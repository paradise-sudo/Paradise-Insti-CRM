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paradisebiryani-my.sharepoint.com/personal/kumar_ayush_paradisefoodcourt_in/Documents/"/>
    </mc:Choice>
  </mc:AlternateContent>
  <xr:revisionPtr revIDLastSave="0" documentId="8_{318EAABA-E7DD-44B1-B27E-E2FA5720EA76}" xr6:coauthVersionLast="47" xr6:coauthVersionMax="47" xr10:uidLastSave="{00000000-0000-0000-0000-000000000000}"/>
  <bookViews>
    <workbookView xWindow="-110" yWindow="-110" windowWidth="19420" windowHeight="10420" firstSheet="6" activeTab="6" xr2:uid="{1ADF6CBE-9969-4020-84E1-2584A3879E64}"/>
  </bookViews>
  <sheets>
    <sheet name="Sector Wise Analysis" sheetId="3" r:id="rId1"/>
    <sheet name="Detail1" sheetId="19" r:id="rId2"/>
    <sheet name="Detail2" sheetId="20" r:id="rId3"/>
    <sheet name="Detail3" sheetId="21" r:id="rId4"/>
    <sheet name="Detail4" sheetId="22" r:id="rId5"/>
    <sheet name="Overall Sales" sheetId="2" r:id="rId6"/>
    <sheet name="DCR" sheetId="1" r:id="rId7"/>
    <sheet name="YLY-QLY Sales" sheetId="4" r:id="rId8"/>
    <sheet name="Key Accounts" sheetId="18" r:id="rId9"/>
  </sheets>
  <definedNames>
    <definedName name="_xlnm._FilterDatabase" localSheetId="6" hidden="1">DCR!$A$1:$U$4361</definedName>
    <definedName name="_xlnm._FilterDatabase" localSheetId="5" hidden="1">'Overall Sales'!$S$24:$S$25</definedName>
  </definedNames>
  <calcPr calcId="191028"/>
  <pivotCaches>
    <pivotCache cacheId="12" r:id="rId10"/>
    <pivotCache cacheId="1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S2462" i="1"/>
  <c r="T2462" i="1"/>
  <c r="S2455" i="1"/>
  <c r="T2455" i="1"/>
  <c r="S2386" i="1"/>
  <c r="T2386" i="1"/>
  <c r="S2249" i="1"/>
  <c r="T2249" i="1"/>
  <c r="S2345" i="1"/>
  <c r="T2345" i="1"/>
  <c r="S2310" i="1"/>
  <c r="T2310" i="1"/>
  <c r="S2364" i="1"/>
  <c r="T2364" i="1"/>
  <c r="S2368" i="1"/>
  <c r="T2368" i="1"/>
  <c r="S2330" i="1"/>
  <c r="T2330" i="1"/>
  <c r="S2321" i="1"/>
  <c r="T2321" i="1"/>
  <c r="S2316" i="1"/>
  <c r="S2281" i="1"/>
  <c r="S2280" i="1"/>
  <c r="S2243" i="1"/>
  <c r="T2243" i="1"/>
  <c r="S2188" i="1"/>
  <c r="T2188" i="1"/>
  <c r="S2128" i="1"/>
  <c r="T2128" i="1"/>
  <c r="S48" i="2"/>
  <c r="S47" i="2"/>
  <c r="S49" i="2" s="1"/>
  <c r="T45" i="2"/>
  <c r="S4361" i="1"/>
  <c r="T4361" i="1"/>
  <c r="S2058" i="1"/>
  <c r="S2035" i="1"/>
  <c r="T2035" i="1"/>
  <c r="S1934" i="1"/>
  <c r="T1934" i="1"/>
  <c r="S1983" i="1"/>
  <c r="T1983" i="1"/>
  <c r="S4355" i="1"/>
  <c r="S4356" i="1"/>
  <c r="S4357" i="1"/>
  <c r="S4358" i="1"/>
  <c r="S4359" i="1"/>
  <c r="S4360" i="1"/>
  <c r="T4355" i="1"/>
  <c r="T4356" i="1"/>
  <c r="T4357" i="1"/>
  <c r="T4358" i="1"/>
  <c r="T4359" i="1"/>
  <c r="T4360" i="1"/>
  <c r="S4354" i="1"/>
  <c r="T4354" i="1"/>
  <c r="S4353" i="1"/>
  <c r="T4353" i="1"/>
  <c r="S4348" i="1"/>
  <c r="S4349" i="1"/>
  <c r="S4350" i="1"/>
  <c r="S4351" i="1"/>
  <c r="S4352" i="1"/>
  <c r="T4348" i="1"/>
  <c r="T4349" i="1"/>
  <c r="T4350" i="1"/>
  <c r="T4351" i="1"/>
  <c r="T4352" i="1"/>
  <c r="S4347" i="1"/>
  <c r="T4347" i="1"/>
  <c r="S4344" i="1"/>
  <c r="S4345" i="1"/>
  <c r="S4346" i="1"/>
  <c r="T4344" i="1"/>
  <c r="T4345" i="1"/>
  <c r="T4346" i="1"/>
  <c r="S4343" i="1"/>
  <c r="T4343" i="1"/>
  <c r="S4341" i="1"/>
  <c r="S4342" i="1"/>
  <c r="T4341" i="1"/>
  <c r="T4342" i="1"/>
  <c r="S4335" i="1"/>
  <c r="S4336" i="1"/>
  <c r="S4337" i="1"/>
  <c r="S4338" i="1"/>
  <c r="S4339" i="1"/>
  <c r="S4340" i="1"/>
  <c r="T4335" i="1"/>
  <c r="T4336" i="1"/>
  <c r="T4337" i="1"/>
  <c r="T4338" i="1"/>
  <c r="T4339" i="1"/>
  <c r="T4340" i="1"/>
  <c r="S4334" i="1"/>
  <c r="T4334" i="1"/>
  <c r="S4331" i="1"/>
  <c r="S4332" i="1"/>
  <c r="S4333" i="1"/>
  <c r="T4331" i="1"/>
  <c r="T4332" i="1"/>
  <c r="T4333" i="1"/>
  <c r="S4330" i="1"/>
  <c r="T4330" i="1"/>
  <c r="S4325" i="1"/>
  <c r="S4326" i="1"/>
  <c r="S4327" i="1"/>
  <c r="S4328" i="1"/>
  <c r="S4329" i="1"/>
  <c r="T4325" i="1"/>
  <c r="T4326" i="1"/>
  <c r="T4327" i="1"/>
  <c r="T4328" i="1"/>
  <c r="T4329" i="1"/>
  <c r="S4323" i="1"/>
  <c r="S4324" i="1"/>
  <c r="T4323" i="1"/>
  <c r="T4324" i="1"/>
  <c r="S4322" i="1"/>
  <c r="T4322" i="1"/>
  <c r="S4321" i="1"/>
  <c r="T4321" i="1"/>
  <c r="S4320" i="1"/>
  <c r="T4320" i="1"/>
  <c r="S4319" i="1"/>
  <c r="T4319" i="1"/>
  <c r="S4316" i="1"/>
  <c r="S4317" i="1"/>
  <c r="S4318" i="1"/>
  <c r="T4316" i="1"/>
  <c r="T4317" i="1"/>
  <c r="T4318" i="1"/>
  <c r="S4313" i="1"/>
  <c r="S4314" i="1"/>
  <c r="S4315" i="1"/>
  <c r="T4313" i="1"/>
  <c r="T4314" i="1"/>
  <c r="T4315" i="1"/>
  <c r="S4310" i="1"/>
  <c r="S4311" i="1"/>
  <c r="S4312" i="1"/>
  <c r="T4310" i="1"/>
  <c r="T4311" i="1"/>
  <c r="T4312" i="1"/>
  <c r="S4309" i="1"/>
  <c r="T4309" i="1"/>
  <c r="S4306" i="1"/>
  <c r="S4307" i="1"/>
  <c r="S4308" i="1"/>
  <c r="T4306" i="1"/>
  <c r="T4307" i="1"/>
  <c r="T4308" i="1"/>
  <c r="S4304" i="1"/>
  <c r="S4305" i="1"/>
  <c r="T4304" i="1"/>
  <c r="T4305" i="1"/>
  <c r="S4297" i="1"/>
  <c r="S4298" i="1"/>
  <c r="S4299" i="1"/>
  <c r="S4300" i="1"/>
  <c r="S4301" i="1"/>
  <c r="S4302" i="1"/>
  <c r="S4303" i="1"/>
  <c r="T4297" i="1"/>
  <c r="T4298" i="1"/>
  <c r="T4299" i="1"/>
  <c r="T4300" i="1"/>
  <c r="T4301" i="1"/>
  <c r="T4302" i="1"/>
  <c r="T4303" i="1"/>
  <c r="S4294" i="1"/>
  <c r="S4295" i="1"/>
  <c r="S4296" i="1"/>
  <c r="T4294" i="1"/>
  <c r="T4295" i="1"/>
  <c r="T4296" i="1"/>
  <c r="S4291" i="1"/>
  <c r="S4292" i="1"/>
  <c r="S4293" i="1"/>
  <c r="T4291" i="1"/>
  <c r="T4292" i="1"/>
  <c r="T4293" i="1"/>
  <c r="S4288" i="1"/>
  <c r="S4289" i="1"/>
  <c r="S4290" i="1"/>
  <c r="T4288" i="1"/>
  <c r="T4289" i="1"/>
  <c r="T4290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S4206" i="1"/>
  <c r="S4207" i="1"/>
  <c r="S4208" i="1"/>
  <c r="S4209" i="1"/>
  <c r="S4210" i="1"/>
  <c r="S4211" i="1"/>
  <c r="S4212" i="1"/>
  <c r="S4213" i="1"/>
  <c r="S4214" i="1"/>
  <c r="T4206" i="1"/>
  <c r="T4207" i="1"/>
  <c r="T4208" i="1"/>
  <c r="T4209" i="1"/>
  <c r="T4210" i="1"/>
  <c r="T4211" i="1"/>
  <c r="T4212" i="1"/>
  <c r="T4213" i="1"/>
  <c r="T4214" i="1"/>
  <c r="S4205" i="1"/>
  <c r="T4205" i="1"/>
  <c r="S4204" i="1"/>
  <c r="T4204" i="1"/>
  <c r="S4203" i="1"/>
  <c r="T4203" i="1"/>
  <c r="S4202" i="1"/>
  <c r="T4202" i="1"/>
  <c r="S4199" i="1"/>
  <c r="S4200" i="1"/>
  <c r="S4201" i="1"/>
  <c r="T4199" i="1"/>
  <c r="T4200" i="1"/>
  <c r="T4201" i="1"/>
  <c r="S4198" i="1"/>
  <c r="T4198" i="1"/>
  <c r="S4197" i="1"/>
  <c r="T4197" i="1"/>
  <c r="S4194" i="1"/>
  <c r="S4195" i="1"/>
  <c r="S4196" i="1"/>
  <c r="T4194" i="1"/>
  <c r="T4195" i="1"/>
  <c r="T4196" i="1"/>
  <c r="S4193" i="1"/>
  <c r="T4193" i="1"/>
  <c r="S4192" i="1"/>
  <c r="T4192" i="1"/>
  <c r="S4191" i="1"/>
  <c r="T4191" i="1"/>
  <c r="S4190" i="1"/>
  <c r="T4190" i="1"/>
  <c r="S4189" i="1"/>
  <c r="T4189" i="1"/>
  <c r="S4186" i="1"/>
  <c r="S4187" i="1"/>
  <c r="S4188" i="1"/>
  <c r="T4186" i="1"/>
  <c r="T4187" i="1"/>
  <c r="T4188" i="1"/>
  <c r="S4184" i="1"/>
  <c r="S4185" i="1"/>
  <c r="T4184" i="1"/>
  <c r="T4185" i="1"/>
  <c r="S4180" i="1"/>
  <c r="S4181" i="1"/>
  <c r="S4182" i="1"/>
  <c r="S4183" i="1"/>
  <c r="T4180" i="1"/>
  <c r="T4181" i="1"/>
  <c r="T4182" i="1"/>
  <c r="T4183" i="1"/>
  <c r="S4179" i="1"/>
  <c r="T417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S4144" i="1"/>
  <c r="S4145" i="1"/>
  <c r="S4146" i="1"/>
  <c r="S4147" i="1"/>
  <c r="S4148" i="1"/>
  <c r="S4149" i="1"/>
  <c r="T4144" i="1"/>
  <c r="T4145" i="1"/>
  <c r="T4146" i="1"/>
  <c r="T4147" i="1"/>
  <c r="T4148" i="1"/>
  <c r="T4149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S4106" i="1"/>
  <c r="S4107" i="1"/>
  <c r="T4106" i="1"/>
  <c r="T4107" i="1"/>
  <c r="S4105" i="1"/>
  <c r="T4105" i="1"/>
  <c r="S4104" i="1"/>
  <c r="T4104" i="1"/>
  <c r="S4101" i="1"/>
  <c r="S4102" i="1"/>
  <c r="S4103" i="1"/>
  <c r="T4101" i="1"/>
  <c r="T4102" i="1"/>
  <c r="T4103" i="1"/>
  <c r="S4098" i="1"/>
  <c r="S4099" i="1"/>
  <c r="S4100" i="1"/>
  <c r="T4098" i="1"/>
  <c r="T4099" i="1"/>
  <c r="T4100" i="1"/>
  <c r="S4096" i="1"/>
  <c r="S4097" i="1"/>
  <c r="T4096" i="1"/>
  <c r="T4097" i="1"/>
  <c r="S4094" i="1"/>
  <c r="S4095" i="1"/>
  <c r="T4094" i="1"/>
  <c r="T4095" i="1"/>
  <c r="S4093" i="1"/>
  <c r="T4093" i="1"/>
  <c r="S4092" i="1"/>
  <c r="T4092" i="1"/>
  <c r="S4090" i="1"/>
  <c r="S4091" i="1"/>
  <c r="T4090" i="1"/>
  <c r="T4091" i="1"/>
  <c r="S4088" i="1"/>
  <c r="S4089" i="1"/>
  <c r="T4088" i="1"/>
  <c r="T4089" i="1"/>
  <c r="S4087" i="1"/>
  <c r="T4087" i="1"/>
  <c r="S4082" i="1"/>
  <c r="S4083" i="1"/>
  <c r="S4084" i="1"/>
  <c r="S4085" i="1"/>
  <c r="S4086" i="1"/>
  <c r="T4082" i="1"/>
  <c r="T4083" i="1"/>
  <c r="T4084" i="1"/>
  <c r="T4085" i="1"/>
  <c r="T4086" i="1"/>
  <c r="S4081" i="1"/>
  <c r="T4081" i="1"/>
  <c r="S4078" i="1"/>
  <c r="S4079" i="1"/>
  <c r="S4080" i="1"/>
  <c r="T4078" i="1"/>
  <c r="T4079" i="1"/>
  <c r="T4080" i="1"/>
  <c r="S4077" i="1"/>
  <c r="T4077" i="1"/>
  <c r="S4076" i="1"/>
  <c r="T4076" i="1"/>
  <c r="S4075" i="1"/>
  <c r="T4075" i="1"/>
  <c r="S4073" i="1"/>
  <c r="S4074" i="1"/>
  <c r="T4073" i="1"/>
  <c r="T4074" i="1"/>
  <c r="S4071" i="1"/>
  <c r="S4072" i="1"/>
  <c r="T4071" i="1"/>
  <c r="T4072" i="1"/>
  <c r="S4069" i="1"/>
  <c r="S4070" i="1"/>
  <c r="T4069" i="1"/>
  <c r="T4070" i="1"/>
  <c r="S4068" i="1"/>
  <c r="T4068" i="1"/>
  <c r="S4067" i="1"/>
  <c r="T4067" i="1"/>
  <c r="S4066" i="1"/>
  <c r="T4066" i="1"/>
  <c r="S4061" i="1"/>
  <c r="S4062" i="1"/>
  <c r="S4063" i="1"/>
  <c r="S4064" i="1"/>
  <c r="S4065" i="1"/>
  <c r="T4061" i="1"/>
  <c r="T4062" i="1"/>
  <c r="T4063" i="1"/>
  <c r="T4064" i="1"/>
  <c r="T4065" i="1"/>
  <c r="S1953" i="1"/>
  <c r="T1953" i="1"/>
  <c r="U43" i="2"/>
  <c r="U45" i="2" s="1"/>
  <c r="S1936" i="1"/>
  <c r="T1936" i="1"/>
  <c r="S1875" i="1"/>
  <c r="T1875" i="1"/>
  <c r="S1920" i="1"/>
  <c r="T1920" i="1"/>
  <c r="S1887" i="1"/>
  <c r="T1887" i="1"/>
  <c r="S1896" i="1"/>
  <c r="T1896" i="1"/>
  <c r="S1816" i="1"/>
  <c r="T1816" i="1"/>
  <c r="S1813" i="1"/>
  <c r="T1813" i="1"/>
  <c r="T1786" i="1"/>
  <c r="S1786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43" i="1"/>
  <c r="U1744" i="1"/>
  <c r="U174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4" i="1"/>
  <c r="S1815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6" i="1"/>
  <c r="S1877" i="1"/>
  <c r="S1878" i="1"/>
  <c r="S1879" i="1"/>
  <c r="S1880" i="1"/>
  <c r="S1881" i="1"/>
  <c r="S1882" i="1"/>
  <c r="S1883" i="1"/>
  <c r="S1884" i="1"/>
  <c r="S1885" i="1"/>
  <c r="S1886" i="1"/>
  <c r="S1888" i="1"/>
  <c r="S1889" i="1"/>
  <c r="S1890" i="1"/>
  <c r="S1891" i="1"/>
  <c r="S1892" i="1"/>
  <c r="S1893" i="1"/>
  <c r="S1894" i="1"/>
  <c r="S1895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5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4" i="1"/>
  <c r="S2245" i="1"/>
  <c r="S2246" i="1"/>
  <c r="S2247" i="1"/>
  <c r="S2248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1" i="1"/>
  <c r="S2312" i="1"/>
  <c r="S2313" i="1"/>
  <c r="S2314" i="1"/>
  <c r="S2315" i="1"/>
  <c r="S2317" i="1"/>
  <c r="S2318" i="1"/>
  <c r="S2319" i="1"/>
  <c r="S2320" i="1"/>
  <c r="S2322" i="1"/>
  <c r="S2323" i="1"/>
  <c r="S2324" i="1"/>
  <c r="S2325" i="1"/>
  <c r="S2326" i="1"/>
  <c r="S2327" i="1"/>
  <c r="S2328" i="1"/>
  <c r="S2329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5" i="1"/>
  <c r="S2366" i="1"/>
  <c r="S2367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6" i="1"/>
  <c r="S2457" i="1"/>
  <c r="S2458" i="1"/>
  <c r="S2459" i="1"/>
  <c r="S2460" i="1"/>
  <c r="S2461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4" i="1"/>
  <c r="T1815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6" i="1"/>
  <c r="T1877" i="1"/>
  <c r="T1878" i="1"/>
  <c r="T1879" i="1"/>
  <c r="T1880" i="1"/>
  <c r="T1881" i="1"/>
  <c r="T1882" i="1"/>
  <c r="T1883" i="1"/>
  <c r="T1884" i="1"/>
  <c r="T1885" i="1"/>
  <c r="T1886" i="1"/>
  <c r="T1888" i="1"/>
  <c r="T1889" i="1"/>
  <c r="T1890" i="1"/>
  <c r="T1891" i="1"/>
  <c r="T1892" i="1"/>
  <c r="T1893" i="1"/>
  <c r="T1894" i="1"/>
  <c r="T1895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5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4" i="1"/>
  <c r="T2245" i="1"/>
  <c r="T2246" i="1"/>
  <c r="T2247" i="1"/>
  <c r="T2248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1" i="1"/>
  <c r="T2312" i="1"/>
  <c r="T2313" i="1"/>
  <c r="T2314" i="1"/>
  <c r="T2315" i="1"/>
  <c r="T2316" i="1"/>
  <c r="T2317" i="1"/>
  <c r="T2318" i="1"/>
  <c r="T2319" i="1"/>
  <c r="T2320" i="1"/>
  <c r="T2322" i="1"/>
  <c r="T2323" i="1"/>
  <c r="T2324" i="1"/>
  <c r="T2325" i="1"/>
  <c r="T2326" i="1"/>
  <c r="T2327" i="1"/>
  <c r="T2328" i="1"/>
  <c r="T2329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5" i="1"/>
  <c r="T2366" i="1"/>
  <c r="T2367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6" i="1"/>
  <c r="T2457" i="1"/>
  <c r="T2458" i="1"/>
  <c r="T2459" i="1"/>
  <c r="T2460" i="1"/>
  <c r="T2461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L25" i="4"/>
  <c r="K25" i="4"/>
  <c r="J25" i="4"/>
  <c r="I25" i="4"/>
  <c r="G25" i="4"/>
  <c r="F25" i="4"/>
  <c r="E25" i="4"/>
  <c r="G11" i="4"/>
  <c r="F11" i="4"/>
  <c r="E11" i="4"/>
  <c r="H7" i="4"/>
  <c r="H8" i="4"/>
  <c r="O26" i="4"/>
  <c r="H10" i="4"/>
  <c r="H9" i="4"/>
  <c r="O24" i="4"/>
  <c r="O21" i="4"/>
  <c r="O22" i="4"/>
  <c r="O23" i="4"/>
  <c r="H11" i="4"/>
  <c r="O25" i="4"/>
  <c r="C88" i="18"/>
  <c r="F7" i="4"/>
  <c r="E7" i="4"/>
  <c r="H12" i="4"/>
  <c r="V45" i="2" l="1"/>
  <c r="U50" i="2"/>
</calcChain>
</file>

<file path=xl/sharedStrings.xml><?xml version="1.0" encoding="utf-8"?>
<sst xmlns="http://schemas.openxmlformats.org/spreadsheetml/2006/main" count="27349" uniqueCount="4569">
  <si>
    <t>Total A/Cs</t>
  </si>
  <si>
    <t>Overall</t>
  </si>
  <si>
    <t>Closed/C4</t>
  </si>
  <si>
    <t>Pipeline</t>
  </si>
  <si>
    <t>Status</t>
  </si>
  <si>
    <t>A/Cs</t>
  </si>
  <si>
    <t>Expexted Revenue</t>
  </si>
  <si>
    <t>Industry</t>
  </si>
  <si>
    <t>Expected Revenue</t>
  </si>
  <si>
    <t>Cancelled</t>
  </si>
  <si>
    <t>Agritech</t>
  </si>
  <si>
    <t>Grand Total</t>
  </si>
  <si>
    <t>Analysis</t>
  </si>
  <si>
    <t>Automobile</t>
  </si>
  <si>
    <t>Banking Finance &amp; Insurance</t>
  </si>
  <si>
    <t>Community</t>
  </si>
  <si>
    <t>Defence &amp; Aerospace</t>
  </si>
  <si>
    <t>Distributers</t>
  </si>
  <si>
    <t>Education</t>
  </si>
  <si>
    <t>Entertainment</t>
  </si>
  <si>
    <t>Events</t>
  </si>
  <si>
    <t>F&amp;B</t>
  </si>
  <si>
    <t>F&amp;B Total</t>
  </si>
  <si>
    <t>Family Group</t>
  </si>
  <si>
    <t>FMCG</t>
  </si>
  <si>
    <t>Healthcare</t>
  </si>
  <si>
    <t>IT</t>
  </si>
  <si>
    <t>Manufacturing</t>
  </si>
  <si>
    <t>Pharma</t>
  </si>
  <si>
    <t>Realestate</t>
  </si>
  <si>
    <t>Retail</t>
  </si>
  <si>
    <t>Sports</t>
  </si>
  <si>
    <t>Tourism</t>
  </si>
  <si>
    <t>Transport</t>
  </si>
  <si>
    <t>college</t>
  </si>
  <si>
    <t>Concert</t>
  </si>
  <si>
    <t>Church</t>
  </si>
  <si>
    <t>Exhibition</t>
  </si>
  <si>
    <t>F&amp;B Agrigator</t>
  </si>
  <si>
    <t>Government</t>
  </si>
  <si>
    <t>Distributors</t>
  </si>
  <si>
    <t>Orphanage &amp; NGO</t>
  </si>
  <si>
    <t>Details for Sum of Expected Business - Expected Business Month: 10/1/2025</t>
  </si>
  <si>
    <t>Date</t>
  </si>
  <si>
    <t>A/C Name</t>
  </si>
  <si>
    <t>Connect Status</t>
  </si>
  <si>
    <t>TYPE</t>
  </si>
  <si>
    <t>Spoc Name</t>
  </si>
  <si>
    <t>Conversation</t>
  </si>
  <si>
    <t>Expected Business</t>
  </si>
  <si>
    <t>Actual Closed Business</t>
  </si>
  <si>
    <t>Expected Business Month</t>
  </si>
  <si>
    <t>Region</t>
  </si>
  <si>
    <t>Lead Status</t>
  </si>
  <si>
    <t>Reason</t>
  </si>
  <si>
    <t>Expected sales of Haleem</t>
  </si>
  <si>
    <t>Type Of Business</t>
  </si>
  <si>
    <t>Punched Date</t>
  </si>
  <si>
    <t>1st meeting Date</t>
  </si>
  <si>
    <t>Month</t>
  </si>
  <si>
    <t>Week</t>
  </si>
  <si>
    <t>Year</t>
  </si>
  <si>
    <t>Azad Engineering</t>
  </si>
  <si>
    <t>F2F</t>
  </si>
  <si>
    <t>Corporate</t>
  </si>
  <si>
    <t>Bharat/Badulla</t>
  </si>
  <si>
    <t>Delivery of Gift Vouchers for employees</t>
  </si>
  <si>
    <t>Hyderabad</t>
  </si>
  <si>
    <t>Closed(C4)</t>
  </si>
  <si>
    <t>Closed</t>
  </si>
  <si>
    <t>Bulk Order</t>
  </si>
  <si>
    <t>Sep-25</t>
  </si>
  <si>
    <t xml:space="preserve">AO Production </t>
  </si>
  <si>
    <t>Srinivas</t>
  </si>
  <si>
    <t>Dine in at Shamshabad &amp; Imax on 12-10-2025</t>
  </si>
  <si>
    <t>Oct-25</t>
  </si>
  <si>
    <t>Cube Highways</t>
  </si>
  <si>
    <t>Saikiran</t>
  </si>
  <si>
    <t>Shared details of Buffet lunch on 16-9-2025  160017</t>
  </si>
  <si>
    <t>Intercity Transport Logistics</t>
  </si>
  <si>
    <t>Mallikarjuna</t>
  </si>
  <si>
    <t>Payment followup and delivery on 1-10-2025</t>
  </si>
  <si>
    <t>Platos</t>
  </si>
  <si>
    <t>Hyder</t>
  </si>
  <si>
    <t>Delivery of employee lunch on 14-10-2025</t>
  </si>
  <si>
    <t>Accenture</t>
  </si>
  <si>
    <t>Sasidevi</t>
  </si>
  <si>
    <t>Popup of at Accenture on 7-10-2025</t>
  </si>
  <si>
    <t>Anthea Pharma</t>
  </si>
  <si>
    <t>Jaipal</t>
  </si>
  <si>
    <t>Take away from Muthangi Store in October Month</t>
  </si>
  <si>
    <t>Delivery of employee lunch on 15-10-2025</t>
  </si>
  <si>
    <t>Delivery of employee lunch on 16-10-2025</t>
  </si>
  <si>
    <t>Rohan</t>
  </si>
  <si>
    <t>Delivery of employee lunch on 13-10-2025</t>
  </si>
  <si>
    <t>Delivery at SEBLR Banglore (Compass)</t>
  </si>
  <si>
    <t>Call</t>
  </si>
  <si>
    <t>Saad</t>
  </si>
  <si>
    <t>New Delivery at Compass group on 22-10-2025</t>
  </si>
  <si>
    <t>Bangalore</t>
  </si>
  <si>
    <t>New Delivery at Compass group on 29-10-2025</t>
  </si>
  <si>
    <t>New Delivery at Compass group on 15-10-2025</t>
  </si>
  <si>
    <t>Popup of at Accenture on 8-10-2025</t>
  </si>
  <si>
    <t>New Delivery at Compass group on 8-10-2025</t>
  </si>
  <si>
    <t>IIT Hyderibad (Delivery)</t>
  </si>
  <si>
    <t>College</t>
  </si>
  <si>
    <t>Aditya</t>
  </si>
  <si>
    <t>Delivery of CB &amp; VB on 11-10-2025 from Lingampally</t>
  </si>
  <si>
    <t>Corporate Order</t>
  </si>
  <si>
    <t>New Delivery at Compass group on 1-10-2025</t>
  </si>
  <si>
    <t>Accenture Waverock</t>
  </si>
  <si>
    <t>Popup of at Accenture on 9-10-2025</t>
  </si>
  <si>
    <t>Popup Counter at Capital Land Block A</t>
  </si>
  <si>
    <t>Vamsi</t>
  </si>
  <si>
    <t>Sale of CB,VB,MB,DKM on 15-10-2025</t>
  </si>
  <si>
    <t>Department of Agriculture</t>
  </si>
  <si>
    <t>Chandrashekhar</t>
  </si>
  <si>
    <t>Delivery of CB and Kabab on 11-10-2025</t>
  </si>
  <si>
    <t>Sale of CB,VB,MB,DKM on 16-10-2025</t>
  </si>
  <si>
    <t>IIT Hyderabad</t>
  </si>
  <si>
    <t>Mohan</t>
  </si>
  <si>
    <t>Biryani popup counter on 17-10-2025</t>
  </si>
  <si>
    <t>Biryani popup counter on 16-10-2025</t>
  </si>
  <si>
    <t>Biryani popup counter on 15-10-2025</t>
  </si>
  <si>
    <t>Biryani popup counter on 13-10-2025</t>
  </si>
  <si>
    <t>Biryani popup counter on 8-10-2025</t>
  </si>
  <si>
    <t>Nims Hospital Panjagutta</t>
  </si>
  <si>
    <t>Rupesh</t>
  </si>
  <si>
    <t>Delivery of Executive Thali fromBegumpet on 12-10-2025</t>
  </si>
  <si>
    <t>Sale of CB,VB,MB,DKM on 28-10-2025</t>
  </si>
  <si>
    <t>Agregator</t>
  </si>
  <si>
    <t>Sale of CB,VB,MB,DKM on 9-10-2025</t>
  </si>
  <si>
    <t>Delivery at Hanmakonda</t>
  </si>
  <si>
    <t>Rakesh</t>
  </si>
  <si>
    <t>Delivery of Biryani &amp; Kabab on 13-10-2025</t>
  </si>
  <si>
    <t>Corporte Order</t>
  </si>
  <si>
    <t>Sale of CB,VB,MB,DKM on 10-10-2025</t>
  </si>
  <si>
    <t>Sale of CB,VB,MB,DKM on 7-10-2025</t>
  </si>
  <si>
    <t>ICMR National Institute of Nutrition</t>
  </si>
  <si>
    <t>Sai Kumar</t>
  </si>
  <si>
    <t>Takeaway of CB &amp; Kabab on 30-10-25 from secundrabad</t>
  </si>
  <si>
    <t>Orphanage Secundrabad</t>
  </si>
  <si>
    <t>Orphnage</t>
  </si>
  <si>
    <t>Satish</t>
  </si>
  <si>
    <t>Take away of Supreme biryany on 11-10-2025 Secbad</t>
  </si>
  <si>
    <t>Sale of CB,VB,MB,DKM on 30-10-2025</t>
  </si>
  <si>
    <t>Sale of CB,VB,MB,DKM on 8-10-2025</t>
  </si>
  <si>
    <t>Sale of CB,VB,MB,DKM on 29-10-2025</t>
  </si>
  <si>
    <t>Sale of CB,VB,MB,DKM on 27-10-2025</t>
  </si>
  <si>
    <t>Sale of CB,VB,MB,DKM on 17-10-2025</t>
  </si>
  <si>
    <t>Biryani popup counter on 7-10-2025</t>
  </si>
  <si>
    <t>Sale of CB,VB,MB,DKM on 13-10-2025</t>
  </si>
  <si>
    <t>Delivery at Malkajgiri</t>
  </si>
  <si>
    <t>Vijay</t>
  </si>
  <si>
    <t>Delivery of Cb on 5-10-2025</t>
  </si>
  <si>
    <t>Sale of CB,VB,MB,DKM on 24-10-2025</t>
  </si>
  <si>
    <t>Sale of CB,VB,MB,DKM on 31-10-2025</t>
  </si>
  <si>
    <t>Sale of CB,VB,MB,DKM on 14-10-2025</t>
  </si>
  <si>
    <t>Sale of CB,VB,MB,DKM on 23-10-2025</t>
  </si>
  <si>
    <t>Sale of CB,VB,MB,DKM on 22-10-2025</t>
  </si>
  <si>
    <t>Sale of CB,VB,MB,DKM on 6-10-2025</t>
  </si>
  <si>
    <t>Biryani popup counter on 3-10-2025</t>
  </si>
  <si>
    <t>S&amp;P Capital IQ</t>
  </si>
  <si>
    <t xml:space="preserve">Call </t>
  </si>
  <si>
    <t>Kiran</t>
  </si>
  <si>
    <t>Delivery of CB and VB on 15-10-2025</t>
  </si>
  <si>
    <t>Sale of CB,VB,MB,DKM on 1-10-2025</t>
  </si>
  <si>
    <t>Biryani popup counter on 18-10-2025</t>
  </si>
  <si>
    <t>Vollyball Leaug Gachibowli stadium</t>
  </si>
  <si>
    <t>Varun</t>
  </si>
  <si>
    <t>Popup counter on 02-20-2025</t>
  </si>
  <si>
    <t>Sale of CB,VB,MB,DKM on 3-10-2025</t>
  </si>
  <si>
    <t>Sale of CB,VB,MB,DKM on 21-10-2025</t>
  </si>
  <si>
    <t>Confirmation of delivery 3 location on 1-10-2025</t>
  </si>
  <si>
    <t>Afroz</t>
  </si>
  <si>
    <t>ODC in October</t>
  </si>
  <si>
    <t>Details for Sum of Expected Business - Expected Business Month: 9/1/2025</t>
  </si>
  <si>
    <t>Sale of CB,VB,MB,DKM on 29-9-2025</t>
  </si>
  <si>
    <t>Biryani popup counter on 30-9-2024</t>
  </si>
  <si>
    <t xml:space="preserve">Take away of CB &amp; VB in September month </t>
  </si>
  <si>
    <t>Biryani popup counter on 29-9-2024</t>
  </si>
  <si>
    <t>Dusshera Lunch for 700 on 28-09-2025</t>
  </si>
  <si>
    <t>Biryani popup counter on 27-9-2024</t>
  </si>
  <si>
    <t>Axix Securities</t>
  </si>
  <si>
    <t>Nilesh</t>
  </si>
  <si>
    <t>Delivery of VB &amp; Kabab on 29-9-2025</t>
  </si>
  <si>
    <t>Sale of CB,VB,MB,DKM on 26-9-2025</t>
  </si>
  <si>
    <t>Biryani popup counter on 26-9-2024</t>
  </si>
  <si>
    <t>Sale of CB,VB,MB,DKM on 25-9-2025</t>
  </si>
  <si>
    <t>Biryani popup counter on 24-9-2024</t>
  </si>
  <si>
    <t>New Delivery at Compass group on 24-9-2025</t>
  </si>
  <si>
    <t>Sale of CB,VB,MB,DKM on 24-9-2025</t>
  </si>
  <si>
    <t xml:space="preserve">Dusshera Lunch for 700 </t>
  </si>
  <si>
    <t>Sale of CB,VB,MB,DKM on 23-9-2025</t>
  </si>
  <si>
    <t>Biryani popup counter on 23-9-2024</t>
  </si>
  <si>
    <t>Astrazenica</t>
  </si>
  <si>
    <t>Sandeep</t>
  </si>
  <si>
    <t>Delivery of CB on 26-9-2025</t>
  </si>
  <si>
    <t>Sale of CB,VB,MB,DKM on 22-9-2025</t>
  </si>
  <si>
    <t>Biryani popup counter on 22-9-2024</t>
  </si>
  <si>
    <t>Take away from Uppal</t>
  </si>
  <si>
    <t>Ramya</t>
  </si>
  <si>
    <t>Take away of Cb on 21-9-2025</t>
  </si>
  <si>
    <t>Biryani popup counter on 21-9-2024</t>
  </si>
  <si>
    <t>Biryani popup counter on 20-9-2024</t>
  </si>
  <si>
    <t>vardhaman Engineering College</t>
  </si>
  <si>
    <t>Aron</t>
  </si>
  <si>
    <t>Delivery of Biryani on 20-9-2025</t>
  </si>
  <si>
    <t>Delivery at Hitex</t>
  </si>
  <si>
    <t>Srinu</t>
  </si>
  <si>
    <t>Delivery of CB &amp; Chicken 65 on 18,19&amp;20 Sept 2025</t>
  </si>
  <si>
    <t>Sale of CB,VB,MB,DKM on 18-9-2025</t>
  </si>
  <si>
    <t>Biryani popup counter on 19-9-2024</t>
  </si>
  <si>
    <t>Delivery at Shamshabad</t>
  </si>
  <si>
    <t>Mahesh</t>
  </si>
  <si>
    <t>Delivery of CB &amp; MB on 18-9-2025</t>
  </si>
  <si>
    <t>Biryani popup counter on 18-9-2024</t>
  </si>
  <si>
    <t>Sale of CB,VB,MB,DKM on 17-9-2025</t>
  </si>
  <si>
    <t>NVIDIA Graphics</t>
  </si>
  <si>
    <t>Naveen</t>
  </si>
  <si>
    <t>Delivery of MB on 18-9-2025, Sight Visit</t>
  </si>
  <si>
    <t>Biryani popup counter on 17-9-2024</t>
  </si>
  <si>
    <t>New Delivery at Compass group on 17-9-2025</t>
  </si>
  <si>
    <t>NVIDIA Graphics (Smart Q)</t>
  </si>
  <si>
    <t>Delivery of MB on 19-9-2025</t>
  </si>
  <si>
    <t>Katria Hotel</t>
  </si>
  <si>
    <t>Bhavik Shah</t>
  </si>
  <si>
    <t>Delivery of packed lunch on 16-9-2025</t>
  </si>
  <si>
    <t>Biryani popup counter on 16-9-2024</t>
  </si>
  <si>
    <t xml:space="preserve">Delivery at Malkajgiri </t>
  </si>
  <si>
    <t>Event</t>
  </si>
  <si>
    <t>Delivery of CB at Malkajgiri on 15-9-2025</t>
  </si>
  <si>
    <t>ODC at Accunture</t>
  </si>
  <si>
    <t>Shiva</t>
  </si>
  <si>
    <t>Biryani Counter sale on 15-9-2025</t>
  </si>
  <si>
    <t>Biryani popup counter on 15-9-2024</t>
  </si>
  <si>
    <t>Delivery at Yapral Golf Event</t>
  </si>
  <si>
    <t>Defence</t>
  </si>
  <si>
    <t>Ajay</t>
  </si>
  <si>
    <t>Delivery of VB &amp; CB on 14-9-2025</t>
  </si>
  <si>
    <t>Biryani popup counter on 14-9-2024</t>
  </si>
  <si>
    <t>Delivery at Himayathnagar</t>
  </si>
  <si>
    <t>Dilawar</t>
  </si>
  <si>
    <t>Delivery of Mini CB on  13-9-2025</t>
  </si>
  <si>
    <t>Biryani popup counter on 13-9-2024</t>
  </si>
  <si>
    <t>Delivery at Masabtank</t>
  </si>
  <si>
    <t xml:space="preserve">Kind </t>
  </si>
  <si>
    <t>Deliveryof Biryani on 12-9-2025</t>
  </si>
  <si>
    <t>Biryani Counter sale on 12-9-2025</t>
  </si>
  <si>
    <t>Capgemini</t>
  </si>
  <si>
    <t>Ajesh</t>
  </si>
  <si>
    <t xml:space="preserve"> Gokhana Popup counter on 11 sept 2025 at Capgemini Campus &amp; GAR</t>
  </si>
  <si>
    <t>Popup counter on 10 sept 2025 at Capgemini Campus &amp; GAR</t>
  </si>
  <si>
    <t>Sale of CB,VB,MB,DKM on 10-9-2025</t>
  </si>
  <si>
    <t>Delivery at Medchal Farm House</t>
  </si>
  <si>
    <t>Anudeep</t>
  </si>
  <si>
    <t>Delivery of CB,VB,MB on 11-9-2025</t>
  </si>
  <si>
    <t>New Delivery at Compass group on 10-9-2025</t>
  </si>
  <si>
    <t xml:space="preserve">Apex Technology </t>
  </si>
  <si>
    <t>Uttej</t>
  </si>
  <si>
    <t>Snacks for employees on 11-9-25</t>
  </si>
  <si>
    <t>Sale of CB,VB,MB,DKM on 9-9-2025</t>
  </si>
  <si>
    <t>Vardhaman Engineering college</t>
  </si>
  <si>
    <t>Site visit for Biryani popup on 12 &amp; 15 Sept 2025</t>
  </si>
  <si>
    <t>Gopinath</t>
  </si>
  <si>
    <t>Sitevisit and discussion in regards with Permenant counter</t>
  </si>
  <si>
    <t>Gokhana Popup counter on 9 sept 2025 at Capgemini Campus &amp; GAR</t>
  </si>
  <si>
    <t>Sale of CB,VB,MB,DKM on 8-9-2025</t>
  </si>
  <si>
    <t>Popup counter at Skyview</t>
  </si>
  <si>
    <t>Sandhya</t>
  </si>
  <si>
    <t>Sale at popup counter on 7-9-2025</t>
  </si>
  <si>
    <t xml:space="preserve">District Food Officer </t>
  </si>
  <si>
    <t>Narayan</t>
  </si>
  <si>
    <t>Take away on VB from Heritage on 6-9-2025</t>
  </si>
  <si>
    <t>Take away from Malkajgiri</t>
  </si>
  <si>
    <t>Jyoti</t>
  </si>
  <si>
    <t>Take away of CB from Malkajgiri on 6-9-2025</t>
  </si>
  <si>
    <t>Sale of CB,VB,MB,DKM on 5-9-2025</t>
  </si>
  <si>
    <t>Sale of CB,VB,MB,DKM on 4-9-2025</t>
  </si>
  <si>
    <t>Sale of CB,VB,MB,DKM on 3-9-2025</t>
  </si>
  <si>
    <t>Sale of CB,VB,MB,DKM on 2-9-2025</t>
  </si>
  <si>
    <t>InnovaSolutions</t>
  </si>
  <si>
    <t>Partha</t>
  </si>
  <si>
    <t>Delivery of Starters and CB on 1-9-2025</t>
  </si>
  <si>
    <t>Sale of CB,VB,MB,DKM on 1-9-2025</t>
  </si>
  <si>
    <t>Delivery at Medchal Farm house</t>
  </si>
  <si>
    <t>Delivery of food in Sepetmber</t>
  </si>
  <si>
    <t>Aug-25</t>
  </si>
  <si>
    <t>Hive Space</t>
  </si>
  <si>
    <t>follow up for delivery of food at their office</t>
  </si>
  <si>
    <t>Jun-25</t>
  </si>
  <si>
    <t>2025</t>
  </si>
  <si>
    <t>Abanik</t>
  </si>
  <si>
    <t>Follow up for bulk orders</t>
  </si>
  <si>
    <t>monthly food requirement with B to C</t>
  </si>
  <si>
    <t>Negotiation(C2)</t>
  </si>
  <si>
    <t>Hot</t>
  </si>
  <si>
    <t>The Gratitude lane</t>
  </si>
  <si>
    <t>Gifting</t>
  </si>
  <si>
    <t>Abhinav</t>
  </si>
  <si>
    <t>Shared details of Biryani kit for gifting</t>
  </si>
  <si>
    <t>Jul-25</t>
  </si>
  <si>
    <t>Details for Sum of Expected Business - Expected Business Month: 8/1/2025</t>
  </si>
  <si>
    <t>Sale of CB,VB,MB,DKM on 29-8-2025</t>
  </si>
  <si>
    <t>Delivery at Bowenpally</t>
  </si>
  <si>
    <t>Sreeramlu</t>
  </si>
  <si>
    <t>Delivery of CB on 31-8-2025</t>
  </si>
  <si>
    <t>Sale of CB,VB,MB,DKM on 28-8-2025</t>
  </si>
  <si>
    <t>Sale of CB,VB,MB,DKM on 26-8-2025</t>
  </si>
  <si>
    <t>Medtronics</t>
  </si>
  <si>
    <t>Asad</t>
  </si>
  <si>
    <t>combo delivery on 29-8-2025 at Vizag and Panjagutta</t>
  </si>
  <si>
    <t>New Delivery at Compass group on 25-8-2025</t>
  </si>
  <si>
    <t>Sale of CB,VB,MB,DKM on 25-8-2025</t>
  </si>
  <si>
    <t>Destination World Holidays</t>
  </si>
  <si>
    <t>Saltanat</t>
  </si>
  <si>
    <t>Lunch at Charminar on 25/8/2025</t>
  </si>
  <si>
    <t>Sale of CB,VB,MB,DKM on 22-8-2025</t>
  </si>
  <si>
    <t>Sale of CB,VB,MB,DKM on 21-8-2025</t>
  </si>
  <si>
    <t>GHMC Group</t>
  </si>
  <si>
    <t xml:space="preserve">Corporate </t>
  </si>
  <si>
    <t>Venkat Nagendra</t>
  </si>
  <si>
    <t>Dine in at secbad on 20-8-2025</t>
  </si>
  <si>
    <t>New Delivery at Compass group on 20-8-2025</t>
  </si>
  <si>
    <t>Delivery at Compass Group Bangalore</t>
  </si>
  <si>
    <t>Pankaj</t>
  </si>
  <si>
    <t>Delivery of Special CB &amp; MB Handi on 13-8-2020</t>
  </si>
  <si>
    <t>Gokhana</t>
  </si>
  <si>
    <t>F&amp;B Agregator</t>
  </si>
  <si>
    <t>Restart of Popup countar at Capital Land</t>
  </si>
  <si>
    <t>Delivery at Secundrabad</t>
  </si>
  <si>
    <t>Apoorva</t>
  </si>
  <si>
    <t>Delivery of CB &amp; VB at Secundrabad</t>
  </si>
  <si>
    <t>Dine in at Vanasthalipuram</t>
  </si>
  <si>
    <t>Arun</t>
  </si>
  <si>
    <t>Dine in at Vanasthalipuram on 17-8-2025</t>
  </si>
  <si>
    <t>Delivery of CB at Malkajgiri on 15-8-2025</t>
  </si>
  <si>
    <t>ITS Global (Tourism)</t>
  </si>
  <si>
    <t>Dhoni</t>
  </si>
  <si>
    <t>Dine in at Charminar on 18-8-2025</t>
  </si>
  <si>
    <t>Sale of CB,VB,MB,DKM on 14-8-2025</t>
  </si>
  <si>
    <t>Delivery of CB at secundrabad Church</t>
  </si>
  <si>
    <t>Aaron</t>
  </si>
  <si>
    <t>Shared quote for CB on 15-8-2025</t>
  </si>
  <si>
    <t>Delivery at Inorbit Mall</t>
  </si>
  <si>
    <t>Delivery of Puff</t>
  </si>
  <si>
    <t>Birthday Party at Kukatpally</t>
  </si>
  <si>
    <t>Kavita</t>
  </si>
  <si>
    <t>Collected advance  for Party on 15-8-25</t>
  </si>
  <si>
    <t>Uday</t>
  </si>
  <si>
    <t>Sale of CB,VB,MB,DKM on 13-8-2025</t>
  </si>
  <si>
    <t>New Delivery at Compass group on 13-8-2025</t>
  </si>
  <si>
    <t>Delivery of Special CB &amp; MB Handi on 13-8-2025</t>
  </si>
  <si>
    <t>Sale of CB,VB,MB,DKM on 12-8-2025</t>
  </si>
  <si>
    <t>Sale of CB,VB,MB,DKM on 11-8-2025</t>
  </si>
  <si>
    <t>Delivery at Uppal</t>
  </si>
  <si>
    <t>Vamshi</t>
  </si>
  <si>
    <t>Delivery of CB &amp; VB on 9-8-2025</t>
  </si>
  <si>
    <t>Sale of CB,VB,MB,DKM on 8-8-2025</t>
  </si>
  <si>
    <t>Delivery at Vijayada</t>
  </si>
  <si>
    <t>food delivery at Vijaywada on 12-8-2025</t>
  </si>
  <si>
    <t>Sale of CB,VB,MB,DKM on 7-8-2025</t>
  </si>
  <si>
    <t>New Delivery at Compass group on 6-8-2025</t>
  </si>
  <si>
    <t>Delivery of Special CB &amp; MB Handi on 6-8-2025</t>
  </si>
  <si>
    <t>Popup Counter At Wipro Vizag</t>
  </si>
  <si>
    <t>Ugandhar</t>
  </si>
  <si>
    <t>Popup counter on 6-8-2025</t>
  </si>
  <si>
    <t>Sale of CB,VB,MB,DKM on 6-8-2025</t>
  </si>
  <si>
    <t>Popup counter on 5-8-2025</t>
  </si>
  <si>
    <t>Sale of CB,VB,MB,DKM on 5-8-2025</t>
  </si>
  <si>
    <t>Wipro Vizag</t>
  </si>
  <si>
    <t>Anil</t>
  </si>
  <si>
    <t>Site Visit and equipment movement for Popup Cpunter</t>
  </si>
  <si>
    <t>Sale of CB,VB,MB,DKM on 4-8-2025</t>
  </si>
  <si>
    <t>Natco Pharma</t>
  </si>
  <si>
    <t>Tanmoy</t>
  </si>
  <si>
    <t>Delivered CB,VB &amp; DKM on 4-8-2025</t>
  </si>
  <si>
    <t>Mukesh</t>
  </si>
  <si>
    <t>Deli</t>
  </si>
  <si>
    <t>Delivery of Veg Biryani at Secundrabad</t>
  </si>
  <si>
    <t>Delivery of VB on 1-8-2025</t>
  </si>
  <si>
    <t>Shared buffet and location detail party on 15-8-2025</t>
  </si>
  <si>
    <t>MSN Labs</t>
  </si>
  <si>
    <t>Follow up for payments</t>
  </si>
  <si>
    <t>Details for Sum of Expected Business - Expected Business Month: 3/1/2026</t>
  </si>
  <si>
    <t>Cognizant GAR ( Smart Q )</t>
  </si>
  <si>
    <t>Samruddhi</t>
  </si>
  <si>
    <t>Popup on 31-3-2026</t>
  </si>
  <si>
    <t>Popup</t>
  </si>
  <si>
    <t>Mar-26</t>
  </si>
  <si>
    <t>EA Sports (Compass)</t>
  </si>
  <si>
    <t>Popup on 31-3-2026 Gachibowli</t>
  </si>
  <si>
    <t>Deloitte Towers (Hungerbox)</t>
  </si>
  <si>
    <t>Rajender</t>
  </si>
  <si>
    <t>Popup from BHEL on 30-3-2026</t>
  </si>
  <si>
    <t>Accenture HDC2 (Hungerbox)</t>
  </si>
  <si>
    <t>Praveen</t>
  </si>
  <si>
    <t>Haleem popup  31-03-2026 Gudimalkapur</t>
  </si>
  <si>
    <t>Haleem popup  30-03-2026 Gudimalkapur</t>
  </si>
  <si>
    <t>Dine in at Secundrabad</t>
  </si>
  <si>
    <t>Dine in Secundrabad on 29-3-2026</t>
  </si>
  <si>
    <t>Dine in at IMAX</t>
  </si>
  <si>
    <t>Sirish</t>
  </si>
  <si>
    <t>Dine in IMAX in 28-3-2026</t>
  </si>
  <si>
    <t>Cognizant Mindspace 20B</t>
  </si>
  <si>
    <t>Haleem Popup on 27-3-2026 Gachibowli</t>
  </si>
  <si>
    <t>Cognizant Mindspace 12A</t>
  </si>
  <si>
    <t>Cognizant Pheonix SEZ</t>
  </si>
  <si>
    <t>Vikash</t>
  </si>
  <si>
    <t>Haleem Popup on 27-3-2026 Sarath City</t>
  </si>
  <si>
    <t>Accenture HDC3 (Hungerbox)</t>
  </si>
  <si>
    <t>Pawan</t>
  </si>
  <si>
    <t>Haleem popup  26-03-2026 BHEL</t>
  </si>
  <si>
    <t>Popup from BHEL on 27-3-2026</t>
  </si>
  <si>
    <t>ADP (compass)</t>
  </si>
  <si>
    <t>Kaustubh</t>
  </si>
  <si>
    <t>Popup on 27-3-2026 from Kukatpally</t>
  </si>
  <si>
    <t>Haleem Popup on 26-3-2026 Gachibowli</t>
  </si>
  <si>
    <t>Haleem Popup on 26-3-2026 Sarath City</t>
  </si>
  <si>
    <t>Popup from BHEL on 26-3-2026</t>
  </si>
  <si>
    <t>Popup on 26-3-2026 from Kukatpally</t>
  </si>
  <si>
    <t>Delivery on 25-3-2026 from HSR</t>
  </si>
  <si>
    <t>F5 (Smart Q)</t>
  </si>
  <si>
    <t>Bharath</t>
  </si>
  <si>
    <t>Haleem Biryani on 25-3-2026 Begumpet</t>
  </si>
  <si>
    <t>Haleem Popup on 25-3-2026 Gachibowli</t>
  </si>
  <si>
    <t>BMS (Compass)</t>
  </si>
  <si>
    <t>Suman</t>
  </si>
  <si>
    <t>Veg, Chicken Biryani 25-3-2025 Hitec City</t>
  </si>
  <si>
    <t>Haleem Popup on 25-3-2026 Sarath City</t>
  </si>
  <si>
    <t>Haleem popup  25-03-2026 Gachibowli</t>
  </si>
  <si>
    <t>Haleem popup  25-03-2026 BHEL</t>
  </si>
  <si>
    <t>Popup from BHEL on 25-3-2026</t>
  </si>
  <si>
    <t>Popup on 25-3-2026 from Kukatpally</t>
  </si>
  <si>
    <t>Haleem popup  24-03-2026 BHEL</t>
  </si>
  <si>
    <t>Popup from BHEL on 24-3-2026</t>
  </si>
  <si>
    <t>Popup on 24-3-2026 from Kukatpally</t>
  </si>
  <si>
    <t>Haleem popup  23-03-2026 BHEL</t>
  </si>
  <si>
    <t>Popup from BHEL on 23-3-2026</t>
  </si>
  <si>
    <t>Popup on 23-3-2026 from Kukatpally</t>
  </si>
  <si>
    <t>Aurobindo Reality Sky View ( Hungerbox)</t>
  </si>
  <si>
    <t>Arvind</t>
  </si>
  <si>
    <t>Popup Counter sharat City 23-03-2026</t>
  </si>
  <si>
    <t>Accenture Gaar</t>
  </si>
  <si>
    <t>Ravi</t>
  </si>
  <si>
    <t>Mutt Haleem from Gachabowli 23-3-2026</t>
  </si>
  <si>
    <t>Indian Army Secundrabad</t>
  </si>
  <si>
    <t>Rajshekhar</t>
  </si>
  <si>
    <t>CB from Secundrabad on 22-3-2026</t>
  </si>
  <si>
    <t>Sanam Band Event at Nexus Mall</t>
  </si>
  <si>
    <t>Popup in event on 22-3-2026 , Begumpet</t>
  </si>
  <si>
    <t xml:space="preserve">Delivery of Haleem at Gudi Malkapur </t>
  </si>
  <si>
    <t>Delivery of Haleem on 21-03-2026</t>
  </si>
  <si>
    <t>Delivery CB on 20-3-2026 from Begumpet</t>
  </si>
  <si>
    <t>Popup from BHEL on 20-3-2026</t>
  </si>
  <si>
    <t>Haleem popup  19-03-2026 BHEL</t>
  </si>
  <si>
    <t>Delivery at Kukatpally</t>
  </si>
  <si>
    <t>Ahmed</t>
  </si>
  <si>
    <t>Delivery of CB &amp; Haleem on 18-3-2026</t>
  </si>
  <si>
    <t>Delivery on 18-3-2026</t>
  </si>
  <si>
    <t>Sanofi (Compass)</t>
  </si>
  <si>
    <t>Varsha</t>
  </si>
  <si>
    <t>Mutt Haleem , Kukatpally on 18-03-2026</t>
  </si>
  <si>
    <t>Novartis Genom Valley (compass)</t>
  </si>
  <si>
    <t>Srikanth</t>
  </si>
  <si>
    <t>Popup on 18-3-2026 from IMAX</t>
  </si>
  <si>
    <t>Novartis Hitec City (Compass)</t>
  </si>
  <si>
    <t>Popup on 18-3-2026 from Kukatpally</t>
  </si>
  <si>
    <t xml:space="preserve">Popup </t>
  </si>
  <si>
    <t>Haleem popup  18-03-2026 BHEL</t>
  </si>
  <si>
    <t>Popup from BHEL on 18-3-2026</t>
  </si>
  <si>
    <t>Haleem Counter at Infosys Pocharam</t>
  </si>
  <si>
    <t>Sathya</t>
  </si>
  <si>
    <t>Haleem popup on 18-03-2026</t>
  </si>
  <si>
    <t>OPTUM 6A (Gokhana) and other</t>
  </si>
  <si>
    <t>Popup on 17-3-2026 from Gachibowli</t>
  </si>
  <si>
    <t>Popup on 17-3-2026 from IMAX</t>
  </si>
  <si>
    <t>Popup on 17-3-2026 from Kukatpally</t>
  </si>
  <si>
    <t>MGEN (Compass)</t>
  </si>
  <si>
    <t>Bibekananda</t>
  </si>
  <si>
    <t>CB on 17-3-2026 from Gachibowli</t>
  </si>
  <si>
    <t>S&amp;P Global (Gokhana)</t>
  </si>
  <si>
    <t>Mutton Haleem on 17-3-2026 IMAX</t>
  </si>
  <si>
    <t>Haleem popup  17-03-2026 BHEL</t>
  </si>
  <si>
    <t>Popup from BHEL on 17-3-2026</t>
  </si>
  <si>
    <t>Haleem popup on 17-03-2026</t>
  </si>
  <si>
    <t>Muthoot Finance</t>
  </si>
  <si>
    <t>Rachna</t>
  </si>
  <si>
    <t>CB from Malkajgiri on 16-3-2026</t>
  </si>
  <si>
    <t>Ramzan Vouchers from Secbad 16-03-2026</t>
  </si>
  <si>
    <t>Haleem popup  16-03-2026 BHEL</t>
  </si>
  <si>
    <t>Popup from BHEL on 16-3-2026</t>
  </si>
  <si>
    <t>Popup on 16-3-2026 from Kukatpally</t>
  </si>
  <si>
    <t>Haleem popup on 16-03-2026</t>
  </si>
  <si>
    <t>Ramzan Fest at NEXUS Mall</t>
  </si>
  <si>
    <t>Vedika</t>
  </si>
  <si>
    <t>Popup on 15-3-2026 from Nexus Mall</t>
  </si>
  <si>
    <t>Popup on 14-3-2026 from Nexus Mall</t>
  </si>
  <si>
    <t>Popup on 13-3-2026 from Nexus Mall</t>
  </si>
  <si>
    <t>Popup from BHEL on 13-3-2026</t>
  </si>
  <si>
    <t>Capgemini Campus (Gokhana)</t>
  </si>
  <si>
    <t>Popup 13-3-2026 from Gachibowli</t>
  </si>
  <si>
    <t>Haleem popup  13-03-2026 BHEL</t>
  </si>
  <si>
    <t>Accenture HDC5 Smart Q</t>
  </si>
  <si>
    <t>Priyansh</t>
  </si>
  <si>
    <t>Haleem popup  13-03-2026 Sharat City</t>
  </si>
  <si>
    <t>Accenture HDC4 Smart Q</t>
  </si>
  <si>
    <t>Popup on 13-3-2026 from Kukatpally</t>
  </si>
  <si>
    <t>Haleem popup on 13-03-2026</t>
  </si>
  <si>
    <t>Mishru Cloathing PVT LTD</t>
  </si>
  <si>
    <t>Divya</t>
  </si>
  <si>
    <t>CB From IMAX 12-3-2026</t>
  </si>
  <si>
    <t>Novartis (Compass)</t>
  </si>
  <si>
    <t>Ch Haleem Kukatpally on 12-3-2026</t>
  </si>
  <si>
    <t>Delivery of Haleem at Shaikpet</t>
  </si>
  <si>
    <t>Sameer</t>
  </si>
  <si>
    <t>Mutt Haleem Gudimalkapur 12-3-2026</t>
  </si>
  <si>
    <t>Popup from BHEL on 12-3-2026</t>
  </si>
  <si>
    <t>Popup 12-3-2026 from Gachibowli</t>
  </si>
  <si>
    <t>Haleem popup  12-03-2026 BHEL</t>
  </si>
  <si>
    <t>Haleem popup  12-03-2026 Sharat City</t>
  </si>
  <si>
    <t>Popup on 12-3-2026 from Kukatpally</t>
  </si>
  <si>
    <t>Haleem popup on 12-03-2026</t>
  </si>
  <si>
    <t>Delivery on 11-3-2026</t>
  </si>
  <si>
    <t>Popup 11-3-2026 from Gachibowli</t>
  </si>
  <si>
    <t>Haleem popup  11-03-2026 BHEL</t>
  </si>
  <si>
    <t>Haleem popup  11-03-2026 Sharat City</t>
  </si>
  <si>
    <t>Popup on 11-3-2026 from Kukatpally</t>
  </si>
  <si>
    <t>NTT Data (Hungerbox)</t>
  </si>
  <si>
    <t>Saiteja</t>
  </si>
  <si>
    <t>Haleem popup Gachibowli on 11-3-2026</t>
  </si>
  <si>
    <t>Haleem popup on 11-03-2026</t>
  </si>
  <si>
    <t>Delivery at Shamshabad Airport</t>
  </si>
  <si>
    <t>Cprporate</t>
  </si>
  <si>
    <t>Tarun</t>
  </si>
  <si>
    <t>CB with Express packaging on 10-03-2026</t>
  </si>
  <si>
    <t>EA Sports</t>
  </si>
  <si>
    <t>Dakshit</t>
  </si>
  <si>
    <t>Haleem delivery on 10-3-2026 , Kukatpally</t>
  </si>
  <si>
    <t>Popup on 10-3-2026 from Kukatpally</t>
  </si>
  <si>
    <t>Haleem popup Gachibowli on 10-3-2026</t>
  </si>
  <si>
    <t>Haleem popup on 10-03-2026</t>
  </si>
  <si>
    <t>Haleem popup on 09-03-2026</t>
  </si>
  <si>
    <t>Popup on 9-3-2026 from Kukatpally</t>
  </si>
  <si>
    <t xml:space="preserve">NVIDIA </t>
  </si>
  <si>
    <t>Dinesh</t>
  </si>
  <si>
    <t>Biryani on 9-3-2026 from Kukatpally</t>
  </si>
  <si>
    <t>Delivery of Biryani Handi Tarnaka</t>
  </si>
  <si>
    <t>Delivery on 8-3-2026 from IMAX</t>
  </si>
  <si>
    <t>Metro Rail Hyderabad</t>
  </si>
  <si>
    <t>Sulakshna</t>
  </si>
  <si>
    <t>Uppal 7-3-2026 CB at Metro Station</t>
  </si>
  <si>
    <t>Haleem popup  06-03-2026 BHEL</t>
  </si>
  <si>
    <t>Haleem Counter at Infosys Gachibowli</t>
  </si>
  <si>
    <t>Gopi</t>
  </si>
  <si>
    <t>Haleem popup on 06-03-2026</t>
  </si>
  <si>
    <t>Haleem popup  05-03-2026 BHEL</t>
  </si>
  <si>
    <t>Haleem popup on 05-03-2026</t>
  </si>
  <si>
    <t>Delivery on 4-3-2026</t>
  </si>
  <si>
    <t>Haleem popup on 04-03-2026</t>
  </si>
  <si>
    <t>Haleem popup on 03-03-2026</t>
  </si>
  <si>
    <t>Haleem popup on 02-03-2026</t>
  </si>
  <si>
    <t xml:space="preserve"> Sales Region wise</t>
  </si>
  <si>
    <t xml:space="preserve">Expected Business </t>
  </si>
  <si>
    <t>Bangalore Total</t>
  </si>
  <si>
    <t>Hyderabad Total</t>
  </si>
  <si>
    <t xml:space="preserve"> Sales HYD/Bang</t>
  </si>
  <si>
    <t>Follow-up(C1)</t>
  </si>
  <si>
    <t>Introduction(C0)</t>
  </si>
  <si>
    <t>Overall Sales Accounts</t>
  </si>
  <si>
    <t>Count of A/C Name</t>
  </si>
  <si>
    <t>Overall Sales Amount</t>
  </si>
  <si>
    <t>Sum of Expected Business</t>
  </si>
  <si>
    <t xml:space="preserve"> Sales Current Quarter</t>
  </si>
  <si>
    <t>TARGET</t>
  </si>
  <si>
    <t xml:space="preserve">Jan </t>
  </si>
  <si>
    <t xml:space="preserve">Feb </t>
  </si>
  <si>
    <t>March</t>
  </si>
  <si>
    <t>April</t>
  </si>
  <si>
    <t>Target ADS</t>
  </si>
  <si>
    <t>Actual ADS</t>
  </si>
  <si>
    <t>Required ADS</t>
  </si>
  <si>
    <t xml:space="preserve">Expected sales of Haleem </t>
  </si>
  <si>
    <t>Turning Minds</t>
  </si>
  <si>
    <t>Sairam</t>
  </si>
  <si>
    <t>Shared details about bulk booking</t>
  </si>
  <si>
    <t>No requirement</t>
  </si>
  <si>
    <t>Computer Generated Solutions PVT LTD</t>
  </si>
  <si>
    <t>Madhvi</t>
  </si>
  <si>
    <t>Newyork Global</t>
  </si>
  <si>
    <t>Ugesh</t>
  </si>
  <si>
    <t>Splash Entertainments</t>
  </si>
  <si>
    <t>Ghouse</t>
  </si>
  <si>
    <t>Shared proposal for discount on Bulk Orders for travelling students.</t>
  </si>
  <si>
    <t>Less budget of students</t>
  </si>
  <si>
    <t>Confirmed(C3)</t>
  </si>
  <si>
    <t>NextSphere Technology</t>
  </si>
  <si>
    <t>Meenakshi</t>
  </si>
  <si>
    <t>Shaired details about bulk booking and ODC</t>
  </si>
  <si>
    <t>Fiserve</t>
  </si>
  <si>
    <t>Saran (Admin)</t>
  </si>
  <si>
    <t xml:space="preserve">Shared details about Bulk orders </t>
  </si>
  <si>
    <t>Event Cancelled</t>
  </si>
  <si>
    <t>Sameena</t>
  </si>
  <si>
    <t>Hyderabad Metro Rail LTD</t>
  </si>
  <si>
    <t>Sulakshna Shukla ( Admin Head)</t>
  </si>
  <si>
    <t>Duiscussed Bulk Order, they want Bakery counter at their office</t>
  </si>
  <si>
    <t>Stumag</t>
  </si>
  <si>
    <t>Pooja</t>
  </si>
  <si>
    <t>Event on 12 Dec 2023 Looking for sponsorship</t>
  </si>
  <si>
    <t xml:space="preserve">Charging 50,000 and very less potential event </t>
  </si>
  <si>
    <t>Express Events</t>
  </si>
  <si>
    <t>Avinash Bharadwaj</t>
  </si>
  <si>
    <t>Cancelled as they were charging 50,000 + GST which was not profitable</t>
  </si>
  <si>
    <t>Dropped as not profitable event</t>
  </si>
  <si>
    <t>SIP Event at Shamshabad</t>
  </si>
  <si>
    <t>Participated in Event with 12000 footfall</t>
  </si>
  <si>
    <t>GGR International School</t>
  </si>
  <si>
    <t>School</t>
  </si>
  <si>
    <t>Jyotsna ( Principal)</t>
  </si>
  <si>
    <t>Shared details for bulk orders and school event.</t>
  </si>
  <si>
    <t>Bijli Rides</t>
  </si>
  <si>
    <t>Shivam Sisodia (MD)</t>
  </si>
  <si>
    <t>Shared details about our offerings, will plan for team lunch.</t>
  </si>
  <si>
    <t>Infinity Holidays</t>
  </si>
  <si>
    <t>Vikas</t>
  </si>
  <si>
    <t>Dropped as less budget of students</t>
  </si>
  <si>
    <t>Alliance Pro IT</t>
  </si>
  <si>
    <t>Mrudula ( HR &amp; Admin)</t>
  </si>
  <si>
    <t>They will plan for team lunch and bulk orders</t>
  </si>
  <si>
    <t>Delta Technologies</t>
  </si>
  <si>
    <t>Amit ( Head HR)</t>
  </si>
  <si>
    <t>Introduction of our products and offerings, Need to meet Admin head shortly for Annual function and bulk orders</t>
  </si>
  <si>
    <t>Puneria Events</t>
  </si>
  <si>
    <t>Sandeep (MD)</t>
  </si>
  <si>
    <t>Shared introduction about Bulk order and ODC</t>
  </si>
  <si>
    <t>Shankar Agencies</t>
  </si>
  <si>
    <t>Shankar</t>
  </si>
  <si>
    <t>Less budget of travelling students</t>
  </si>
  <si>
    <t xml:space="preserve">Tashee Linux </t>
  </si>
  <si>
    <t>Anita Baranwal (HR)</t>
  </si>
  <si>
    <t>Introduction of our products for bulk orders</t>
  </si>
  <si>
    <t>Celon Labs</t>
  </si>
  <si>
    <t>Gulab Singh Rajput (GM HR)</t>
  </si>
  <si>
    <t xml:space="preserve">Shared corporate offerings </t>
  </si>
  <si>
    <t>National Manpower</t>
  </si>
  <si>
    <t>Swamy</t>
  </si>
  <si>
    <t>Discoussed about bulk food delevery at events</t>
  </si>
  <si>
    <t>Preparing their own food</t>
  </si>
  <si>
    <t>Amol</t>
  </si>
  <si>
    <t>Dine in of 25 capgemini employees on 13 Dec 2023</t>
  </si>
  <si>
    <t>Balaji Agencies</t>
  </si>
  <si>
    <t>Venkateshwar</t>
  </si>
  <si>
    <t>Shared proposal for bulk Biryani orders</t>
  </si>
  <si>
    <t>Budget constrains for travelling students</t>
  </si>
  <si>
    <t>Wonderla</t>
  </si>
  <si>
    <t>Souvik</t>
  </si>
  <si>
    <t>bulk order of plum cakes they purchased from kochi due to influence of MD</t>
  </si>
  <si>
    <t>Dropped as they procured inhouse from Kochi</t>
  </si>
  <si>
    <t>Medha Servo Drives</t>
  </si>
  <si>
    <t>Vinay Yadav</t>
  </si>
  <si>
    <t>St Anns College</t>
  </si>
  <si>
    <t>Pravalika</t>
  </si>
  <si>
    <t>Shared details of bulk orders</t>
  </si>
  <si>
    <t>They procured inhouse for Christmas</t>
  </si>
  <si>
    <t>OG'S Wonderland Flea</t>
  </si>
  <si>
    <t xml:space="preserve">Onegolf </t>
  </si>
  <si>
    <t>Discussing for participation , event on 24 Dec 2023</t>
  </si>
  <si>
    <t>Sunburn</t>
  </si>
  <si>
    <t>Hitesh</t>
  </si>
  <si>
    <t>Discussed, This year they have inhouse F&amp;B</t>
  </si>
  <si>
    <t>F&amp;B Was done inhouse by PUB</t>
  </si>
  <si>
    <t>Kirby Building Technology</t>
  </si>
  <si>
    <t>Shared proposal for bulk orders , given first order for 12 Nov 2023</t>
  </si>
  <si>
    <t>Mooving D Needle</t>
  </si>
  <si>
    <t>Bhargav</t>
  </si>
  <si>
    <t>Shared details about discount on bulk orders</t>
  </si>
  <si>
    <t>Granules India Limited</t>
  </si>
  <si>
    <t>Uma Rao (CHRO)</t>
  </si>
  <si>
    <t>Shared details for bulk food deliveries for their Factory Unit</t>
  </si>
  <si>
    <t>No Budget</t>
  </si>
  <si>
    <t>Mounika</t>
  </si>
  <si>
    <t xml:space="preserve"> event on 21 &amp; 22 Dec 2023</t>
  </si>
  <si>
    <t>Dropped due to less potential</t>
  </si>
  <si>
    <t>TCS</t>
  </si>
  <si>
    <t>Nimesh Verma (Admin)</t>
  </si>
  <si>
    <t>Shared introduction given appointment on Monday</t>
  </si>
  <si>
    <t>Novartis</t>
  </si>
  <si>
    <t>Sneha Mamidwar (Admin)</t>
  </si>
  <si>
    <t xml:space="preserve">Shared introduction given appointment on </t>
  </si>
  <si>
    <t xml:space="preserve">Glam Parikrama Event </t>
  </si>
  <si>
    <t>Lalitha George (Founder)</t>
  </si>
  <si>
    <t>Done reckey for event on 8th &amp; 9 Dec 2023</t>
  </si>
  <si>
    <t>St Mathews Church</t>
  </si>
  <si>
    <t>Christmas</t>
  </si>
  <si>
    <t>Sabitha</t>
  </si>
  <si>
    <t>Shared Bakery menu</t>
  </si>
  <si>
    <t>Aakruti School</t>
  </si>
  <si>
    <t>Sarika</t>
  </si>
  <si>
    <t>EGHM Church</t>
  </si>
  <si>
    <t>Hema</t>
  </si>
  <si>
    <t>Introduction about bulk orders and bakery items</t>
  </si>
  <si>
    <t>They purchased from Heritage Branch</t>
  </si>
  <si>
    <t>Mirackles &amp; Testimony Church</t>
  </si>
  <si>
    <t>Rahul</t>
  </si>
  <si>
    <t xml:space="preserve">They Have low budget </t>
  </si>
  <si>
    <t>ECIL Church</t>
  </si>
  <si>
    <t>Less Budget</t>
  </si>
  <si>
    <t>Malakpet Church</t>
  </si>
  <si>
    <t>Keerthi Daniel</t>
  </si>
  <si>
    <t>Purchased locally</t>
  </si>
  <si>
    <t>AG Group Church</t>
  </si>
  <si>
    <t>Susan Vangala</t>
  </si>
  <si>
    <t>Prepared Inhouse</t>
  </si>
  <si>
    <t>Honda Big Wings</t>
  </si>
  <si>
    <t>Vijay Kumar</t>
  </si>
  <si>
    <t>Discussed about food supply in Rides and Destination Lunch at away stores</t>
  </si>
  <si>
    <t>Royal Enfield</t>
  </si>
  <si>
    <t>Kumar</t>
  </si>
  <si>
    <t>Penniwisw Solution/Oglivy</t>
  </si>
  <si>
    <t>Sasikala Vedam</t>
  </si>
  <si>
    <t>Shared Details about bulk orders and Corporate Gifting</t>
  </si>
  <si>
    <t>Shyamla Reddy</t>
  </si>
  <si>
    <t>Academic Heights School</t>
  </si>
  <si>
    <t>Madhukar Reddy (MD)</t>
  </si>
  <si>
    <t>Introduced for supply of food for Bulk Orders</t>
  </si>
  <si>
    <t>NMRIT College</t>
  </si>
  <si>
    <t>Sneha Nalla</t>
  </si>
  <si>
    <t>Discussed about bulk orders for college fest</t>
  </si>
  <si>
    <t>Tata Motors</t>
  </si>
  <si>
    <t>Kiran Kumar(GM)</t>
  </si>
  <si>
    <t>Shared details about discount on bulk orders ( Gift and Discount Vouchers)</t>
  </si>
  <si>
    <t>Vikas Degree College</t>
  </si>
  <si>
    <t>Mateen</t>
  </si>
  <si>
    <t>Introduced for supply of food for Bulk Orders in college fest</t>
  </si>
  <si>
    <t>College Fest Cancelled</t>
  </si>
  <si>
    <t>New Chaitanya JR College</t>
  </si>
  <si>
    <t>Imran (MD)</t>
  </si>
  <si>
    <t>ST. Lucy (ADMIN)</t>
  </si>
  <si>
    <t>Bulk food delivery and Bakery items for Christmas</t>
  </si>
  <si>
    <t>Nextracker</t>
  </si>
  <si>
    <t>Raghava Naidu (Admin)</t>
  </si>
  <si>
    <t>Shared details about bulk food delivery</t>
  </si>
  <si>
    <t>OS Degree college College</t>
  </si>
  <si>
    <t>Abdul</t>
  </si>
  <si>
    <t>Shared details of supplyof food in events</t>
  </si>
  <si>
    <t>Littl Amigos School</t>
  </si>
  <si>
    <t>Nikita (Principal)</t>
  </si>
  <si>
    <t xml:space="preserve">Introduced about bakery items and ODC, Looking for bakery items </t>
  </si>
  <si>
    <t>Qualcomm</t>
  </si>
  <si>
    <t>Shobha (Admin)</t>
  </si>
  <si>
    <t>Shared details about bulk order and corporate gifting</t>
  </si>
  <si>
    <t>St Joseph School(Santoshnagar)</t>
  </si>
  <si>
    <t>Anoop</t>
  </si>
  <si>
    <t>Sty Anthonys School(Rampally)</t>
  </si>
  <si>
    <t xml:space="preserve">School </t>
  </si>
  <si>
    <t>Ajit</t>
  </si>
  <si>
    <t>Morning Star School (DSNR)</t>
  </si>
  <si>
    <t>Chandana</t>
  </si>
  <si>
    <t>St Peters Model High School (Nacharam)</t>
  </si>
  <si>
    <t>Irroni</t>
  </si>
  <si>
    <t>Shared details of bulk orders, Will inform if they have requirements for christmas</t>
  </si>
  <si>
    <t>St Johns High School (Ramanthapur)</t>
  </si>
  <si>
    <t>Ram Reddy</t>
  </si>
  <si>
    <t>Shared details about bulk delivery and Christmas gifting, Will confirm shortly for any requirements.</t>
  </si>
  <si>
    <t>Procured Inhouse</t>
  </si>
  <si>
    <t>Synchrony</t>
  </si>
  <si>
    <t>Moumita (AVP)</t>
  </si>
  <si>
    <t>Shared details about Bulk orders &amp; Corporate Gifting</t>
  </si>
  <si>
    <t>Gowtham Grammar School</t>
  </si>
  <si>
    <t>Ramesh</t>
  </si>
  <si>
    <t>Shared detail;s about bulk orders</t>
  </si>
  <si>
    <t>Arya Vysya Group, Begumpet</t>
  </si>
  <si>
    <t>Narendra</t>
  </si>
  <si>
    <t>Shared details of Bulk Orders</t>
  </si>
  <si>
    <t>Hyderabad Public School</t>
  </si>
  <si>
    <t>Gaurav</t>
  </si>
  <si>
    <t>Confirmed event for 25th and 26th Dec 2023, Went for site visit with Begumpet RCEO</t>
  </si>
  <si>
    <t>Intel</t>
  </si>
  <si>
    <t>Abhay Joshi</t>
  </si>
  <si>
    <t>Shared details about bulk orders</t>
  </si>
  <si>
    <t>AMD</t>
  </si>
  <si>
    <t>Pradeesh Kumar</t>
  </si>
  <si>
    <t>NVEDIA</t>
  </si>
  <si>
    <t>Rajendra</t>
  </si>
  <si>
    <t xml:space="preserve">Root Brown </t>
  </si>
  <si>
    <t>Abhinesh</t>
  </si>
  <si>
    <t>Shared details of corporate bulk bookings</t>
  </si>
  <si>
    <t>Masterminds School</t>
  </si>
  <si>
    <t>Adarsh Reddy</t>
  </si>
  <si>
    <t>Shared details of bulk orders and bakery items.</t>
  </si>
  <si>
    <t>Naveena Degree college</t>
  </si>
  <si>
    <t>Adinarayan (Principal)</t>
  </si>
  <si>
    <t>Shared details of bulk bookings</t>
  </si>
  <si>
    <t>Birthday Party</t>
  </si>
  <si>
    <t>MD Amaan</t>
  </si>
  <si>
    <t>Shared quote for Biryani and Dessert</t>
  </si>
  <si>
    <t>Nizamabad Church Function</t>
  </si>
  <si>
    <t>Agness Rose</t>
  </si>
  <si>
    <t>Biryani and Cake for 200 PAX , Shared details, NizamabadBranch closed</t>
  </si>
  <si>
    <t>Nizamabad Branch Closed</t>
  </si>
  <si>
    <t>ICFAI College Fest</t>
  </si>
  <si>
    <t>Shivang Singh</t>
  </si>
  <si>
    <t>Planning for stall at ICFAI fest in jan</t>
  </si>
  <si>
    <t>50 k for college fest was not profitable.</t>
  </si>
  <si>
    <t>Dell Technologies</t>
  </si>
  <si>
    <t>Deepak Pandey</t>
  </si>
  <si>
    <t>Sold gift voucher of 2000</t>
  </si>
  <si>
    <t>VVC Automobiles</t>
  </si>
  <si>
    <t>Jilani</t>
  </si>
  <si>
    <t>Kia Automotive</t>
  </si>
  <si>
    <t>Martin</t>
  </si>
  <si>
    <t>Aurora PG College</t>
  </si>
  <si>
    <t>Grishmanth</t>
  </si>
  <si>
    <t>College Event and ODC</t>
  </si>
  <si>
    <t>60000 rent was not profitable</t>
  </si>
  <si>
    <t>Parade Ground Event , MNR Education CMP</t>
  </si>
  <si>
    <t>Kumar Yayath</t>
  </si>
  <si>
    <t>requirement of 1250 Veg biryani on 20 Dec 2023 ( Paid advance 1,50,000/-)</t>
  </si>
  <si>
    <t>Karl Public School</t>
  </si>
  <si>
    <t>Daniel</t>
  </si>
  <si>
    <t>Shared details of bulk order and christmas gifting</t>
  </si>
  <si>
    <t xml:space="preserve">Low budget </t>
  </si>
  <si>
    <t>St Teresa School</t>
  </si>
  <si>
    <t>Madhu</t>
  </si>
  <si>
    <t>St Joseph School (ECIL)</t>
  </si>
  <si>
    <t>Aneesh</t>
  </si>
  <si>
    <t xml:space="preserve">Shared details of christmas and New year gifting </t>
  </si>
  <si>
    <t>Get Together</t>
  </si>
  <si>
    <t>Manavya</t>
  </si>
  <si>
    <t>planning for 100 pax biryani in Jan</t>
  </si>
  <si>
    <t>Event cancelled</t>
  </si>
  <si>
    <t>Celebtration Event Management</t>
  </si>
  <si>
    <t>Priyanshi Jain</t>
  </si>
  <si>
    <t>Planning event in hitex in first week of jan</t>
  </si>
  <si>
    <t>Dropped as was not profitable</t>
  </si>
  <si>
    <t>Bharat Serum Limited</t>
  </si>
  <si>
    <t>Priya</t>
  </si>
  <si>
    <t>Co branding and Discount vouchers for doctors</t>
  </si>
  <si>
    <t>Dropped due to high discount demand</t>
  </si>
  <si>
    <t>Cake Order(Lingampally)</t>
  </si>
  <si>
    <t>Balu</t>
  </si>
  <si>
    <t>Order for cake on 27 Dec 2023, Shared with concerned</t>
  </si>
  <si>
    <t>Didn’t turned up for order</t>
  </si>
  <si>
    <t>Mettuguda Church</t>
  </si>
  <si>
    <t>Gladson</t>
  </si>
  <si>
    <t>They are managing food internally for christmas</t>
  </si>
  <si>
    <t>Managed food internally</t>
  </si>
  <si>
    <t>Closed 130 PAX Biryani and Double ka meetha , for 21 Dec 2023 payment will be done on 20 Dec.</t>
  </si>
  <si>
    <t>Abhibus</t>
  </si>
  <si>
    <t>Ajinkya</t>
  </si>
  <si>
    <t>Bulk orders for traveling customers</t>
  </si>
  <si>
    <t>Cancelled Due to payment issues.</t>
  </si>
  <si>
    <t xml:space="preserve">Comic Con </t>
  </si>
  <si>
    <t>Anmol</t>
  </si>
  <si>
    <t>Cancelled due to hi cost 40% revenue sharing</t>
  </si>
  <si>
    <t>Vandana</t>
  </si>
  <si>
    <t>Shared details about food Delivery at events</t>
  </si>
  <si>
    <t>Dawn High School</t>
  </si>
  <si>
    <t>Akhtar</t>
  </si>
  <si>
    <t>United Health Group</t>
  </si>
  <si>
    <t>Ajit Rai</t>
  </si>
  <si>
    <t>Hitachi</t>
  </si>
  <si>
    <t>Amin Shroff</t>
  </si>
  <si>
    <t>Tourist group from Gulbarga</t>
  </si>
  <si>
    <t>Narsa Reddy</t>
  </si>
  <si>
    <t>Tourist group from gulbarga visited imax branch for lunch</t>
  </si>
  <si>
    <t>Coznizant Technology Solutions</t>
  </si>
  <si>
    <t>They have some yearend budget to be utilized with 1 month validity vouchers</t>
  </si>
  <si>
    <t>Wells Fargo</t>
  </si>
  <si>
    <t>Aashutosh Goyal</t>
  </si>
  <si>
    <t>Introduced about bulk orders and ODC</t>
  </si>
  <si>
    <t>Issquard</t>
  </si>
  <si>
    <t>Aditya Challa</t>
  </si>
  <si>
    <t>Introduction about bulk orders and corporate discount</t>
  </si>
  <si>
    <t>Tech Aspects</t>
  </si>
  <si>
    <t>Akash</t>
  </si>
  <si>
    <t>Introduce about bulk food delivery</t>
  </si>
  <si>
    <t>Volkswagen Hyd</t>
  </si>
  <si>
    <t>Giri</t>
  </si>
  <si>
    <t>Introducting about client gifting</t>
  </si>
  <si>
    <t>Global Indian International School</t>
  </si>
  <si>
    <t>Anuradha</t>
  </si>
  <si>
    <t>Introduction for Bulk delivery at fest</t>
  </si>
  <si>
    <t>Hyderabad Metro Rail</t>
  </si>
  <si>
    <t xml:space="preserve">Deliverd lunch first order, Received Good feedback </t>
  </si>
  <si>
    <t>Sagarsoft India Pvt Ltd</t>
  </si>
  <si>
    <t>Srinivas Reddy (Admin)</t>
  </si>
  <si>
    <t>shared quotation for 250 pax buffet lunch on 2 Jan 2024</t>
  </si>
  <si>
    <t>They procured fron Vijaylakshmi tiffins due to less budget</t>
  </si>
  <si>
    <t>Chandan</t>
  </si>
  <si>
    <t>Shared details of 35 pax Dinner on 22 Dec 2023</t>
  </si>
  <si>
    <t>They prepared in house due to budget constrains</t>
  </si>
  <si>
    <t>SVNT Infotech</t>
  </si>
  <si>
    <t>Gupta</t>
  </si>
  <si>
    <t>nizamabad Branch Closed</t>
  </si>
  <si>
    <t>Gatik Junior college</t>
  </si>
  <si>
    <t>Vijaya Lakshmi</t>
  </si>
  <si>
    <t xml:space="preserve">nucleusteq Consulting </t>
  </si>
  <si>
    <t>varun</t>
  </si>
  <si>
    <t>Galcon Infra and Constructions</t>
  </si>
  <si>
    <t>Akshay</t>
  </si>
  <si>
    <t>Bizgaze Limited</t>
  </si>
  <si>
    <t>beula</t>
  </si>
  <si>
    <t>Budget constrains</t>
  </si>
  <si>
    <t>SRM Holdings</t>
  </si>
  <si>
    <t>John</t>
  </si>
  <si>
    <t>Achala IT Solutions</t>
  </si>
  <si>
    <t>Gayatri</t>
  </si>
  <si>
    <t>Knot solutions</t>
  </si>
  <si>
    <t>savio fernandez</t>
  </si>
  <si>
    <t>Verity Knowledge solutions</t>
  </si>
  <si>
    <t>pachima swain</t>
  </si>
  <si>
    <t>Menonite Brethren Bethel Church</t>
  </si>
  <si>
    <t>Bro. Shyam Prasad</t>
  </si>
  <si>
    <t>They are preparing in house due to budget</t>
  </si>
  <si>
    <t>Uppal Stadium</t>
  </si>
  <si>
    <t>Prakash Singh</t>
  </si>
  <si>
    <t>Planning for 170 Pax Biryani</t>
  </si>
  <si>
    <t>Gaudium School</t>
  </si>
  <si>
    <t>Sriman</t>
  </si>
  <si>
    <t>Shared details of bulk order delivery in fest</t>
  </si>
  <si>
    <t>Sreenidhi College Ghatkesar</t>
  </si>
  <si>
    <t>Blooming Buds School Suraram</t>
  </si>
  <si>
    <t>Aleem</t>
  </si>
  <si>
    <t>Shared details of Bulk food delivery</t>
  </si>
  <si>
    <t>Sri Akash School</t>
  </si>
  <si>
    <t>Anjali</t>
  </si>
  <si>
    <t>Not Interested</t>
  </si>
  <si>
    <t>JD Sports Fashion</t>
  </si>
  <si>
    <t>Anjushree</t>
  </si>
  <si>
    <t>Shared details of bulk Orders</t>
  </si>
  <si>
    <t>Turkyamjal Church</t>
  </si>
  <si>
    <t>Jwanish</t>
  </si>
  <si>
    <t>Deliverd food for 35 People</t>
  </si>
  <si>
    <t>Food Delivery at Park Hayat</t>
  </si>
  <si>
    <t>Hotel</t>
  </si>
  <si>
    <t>Subramanyam</t>
  </si>
  <si>
    <t>Food delivery for 75 people</t>
  </si>
  <si>
    <t>House Party at Sikh Village</t>
  </si>
  <si>
    <t>Vamshi Chowdary</t>
  </si>
  <si>
    <t>Shared quote for 35 pax, food delivery</t>
  </si>
  <si>
    <t>Yodha Healthcare</t>
  </si>
  <si>
    <t>Pooja Mahavir</t>
  </si>
  <si>
    <t>Shared detaild of bulk food delivery</t>
  </si>
  <si>
    <t>St Marks School</t>
  </si>
  <si>
    <t>Anand</t>
  </si>
  <si>
    <t>Loyola High School</t>
  </si>
  <si>
    <t>Amruth Wani</t>
  </si>
  <si>
    <t>Little Flower School</t>
  </si>
  <si>
    <t>Aparna</t>
  </si>
  <si>
    <t>Bulk orders for fest</t>
  </si>
  <si>
    <t>Kothapet NGO</t>
  </si>
  <si>
    <t>Anand Nag</t>
  </si>
  <si>
    <t>Bulk food delivery</t>
  </si>
  <si>
    <t>Mechanized Tank</t>
  </si>
  <si>
    <t>Vinoid</t>
  </si>
  <si>
    <t>St Alphonso School</t>
  </si>
  <si>
    <t>Goud</t>
  </si>
  <si>
    <t>Bulk Orders</t>
  </si>
  <si>
    <t>Bulk Order for 60 People on 28 Dec</t>
  </si>
  <si>
    <t>Bulk Order for 60 People</t>
  </si>
  <si>
    <t>Bulk delivery at shamshabad</t>
  </si>
  <si>
    <t>Aridoss</t>
  </si>
  <si>
    <t>Bulk delivery at shamshabad for 20 people</t>
  </si>
  <si>
    <t>Delivery at Saroornagar on 27-12-2023</t>
  </si>
  <si>
    <t>Sunil</t>
  </si>
  <si>
    <t>Bulk delivery for 40 people, Cancelled due to costing</t>
  </si>
  <si>
    <t>Arvind Srikanth</t>
  </si>
  <si>
    <t>Discussion Regarding bakery outlet at there office to be finalized , for six month they wont be collecting any rent , post that 5000 per month.</t>
  </si>
  <si>
    <t>Bulk Delivery at Boduppal</t>
  </si>
  <si>
    <t>Bulk Delivery of Handi and chinese at Boaduppal</t>
  </si>
  <si>
    <t xml:space="preserve">Delivery at Begumbet </t>
  </si>
  <si>
    <t xml:space="preserve">deliverd 40 Biryani </t>
  </si>
  <si>
    <t>BHEL</t>
  </si>
  <si>
    <t>Maya</t>
  </si>
  <si>
    <t>Shared quote for 1000 Pax Biryani</t>
  </si>
  <si>
    <t>Ambipam</t>
  </si>
  <si>
    <t>Shared details for bulk delivery for healthcare employees</t>
  </si>
  <si>
    <t>Axis Clinicals</t>
  </si>
  <si>
    <t>Anusha</t>
  </si>
  <si>
    <t>introduced about bulk delivery</t>
  </si>
  <si>
    <t>Cognizant</t>
  </si>
  <si>
    <t>Team Lunch</t>
  </si>
  <si>
    <t>MJ College</t>
  </si>
  <si>
    <t>Introduced about bulk dilevery in College</t>
  </si>
  <si>
    <t>Corp Systems</t>
  </si>
  <si>
    <t>Shared details for catering vat team events</t>
  </si>
  <si>
    <t>Spectrum Biosides</t>
  </si>
  <si>
    <t>Jagdish</t>
  </si>
  <si>
    <t>Introduced about bulk food delivery for their events and team lunch</t>
  </si>
  <si>
    <t>No requirement as of now</t>
  </si>
  <si>
    <t>Sai Life Science</t>
  </si>
  <si>
    <t>Rajendra Prasad</t>
  </si>
  <si>
    <t>Introduced about bulk food delivery</t>
  </si>
  <si>
    <t>Spectra India</t>
  </si>
  <si>
    <t>Sreenu Nayak</t>
  </si>
  <si>
    <t>Real Vision</t>
  </si>
  <si>
    <t>Nagaraju</t>
  </si>
  <si>
    <t>Tricolour Holidays</t>
  </si>
  <si>
    <t>Sunil Kumar</t>
  </si>
  <si>
    <t>Shared quote for 60 Biryanis for students ontbd</t>
  </si>
  <si>
    <t>Bulk Delivery at Suncity</t>
  </si>
  <si>
    <t>Syed Kazmi</t>
  </si>
  <si>
    <t>Shared quotation for 40 pax order</t>
  </si>
  <si>
    <t>cancelled due to low budget</t>
  </si>
  <si>
    <t>Bulk Delivery at Nizamabad</t>
  </si>
  <si>
    <t>Raghu Goud</t>
  </si>
  <si>
    <t>Shared quotation for 150 pax</t>
  </si>
  <si>
    <t>Sri Vajra Infra</t>
  </si>
  <si>
    <t>Tharun</t>
  </si>
  <si>
    <t>Madhu Agencies Nizamabad</t>
  </si>
  <si>
    <t>Raghunath</t>
  </si>
  <si>
    <t>Introduced about bulk food delivery, Team lunch</t>
  </si>
  <si>
    <t>Balaji School</t>
  </si>
  <si>
    <t>Ganesh</t>
  </si>
  <si>
    <t>IHC Tourism</t>
  </si>
  <si>
    <t>Geeta</t>
  </si>
  <si>
    <t>Shared details of bulk orders for tourist</t>
  </si>
  <si>
    <t>Oxford School of Nursing</t>
  </si>
  <si>
    <t>Himani</t>
  </si>
  <si>
    <t>Introduced about bulk delivery in fest</t>
  </si>
  <si>
    <t>Green Groove School</t>
  </si>
  <si>
    <t>24/7</t>
  </si>
  <si>
    <t>Padma</t>
  </si>
  <si>
    <t>Shared details about bulk delivery and gift vouchers</t>
  </si>
  <si>
    <t>Manoj</t>
  </si>
  <si>
    <t>Confirmed 65 Nizami biryani on 3 Jan 2024</t>
  </si>
  <si>
    <t>Group in Banglore</t>
  </si>
  <si>
    <t>Bulk delivery of 30 PAX</t>
  </si>
  <si>
    <t>Resvisas</t>
  </si>
  <si>
    <t>Mohit</t>
  </si>
  <si>
    <t>Bulk Delivery Nagole</t>
  </si>
  <si>
    <t>Poornima</t>
  </si>
  <si>
    <t>200 pax Biryani on 2nd jan</t>
  </si>
  <si>
    <t>Bulk Delivery at Banglore</t>
  </si>
  <si>
    <t>Delivery of 25 PAX lunch on 2 JAN 2024</t>
  </si>
  <si>
    <t>Bulk Delivery at vidya Nagar</t>
  </si>
  <si>
    <t>Suma</t>
  </si>
  <si>
    <t>30 Pax veg Biryani</t>
  </si>
  <si>
    <t>Abhay</t>
  </si>
  <si>
    <t>Chemvedas</t>
  </si>
  <si>
    <t>Kalyan Rachuri</t>
  </si>
  <si>
    <t>Introduced about bulK food delivery at their office</t>
  </si>
  <si>
    <t>Gandhi Hospital</t>
  </si>
  <si>
    <t>Bhanu Prakash</t>
  </si>
  <si>
    <t>Shared quotation for 40 pax order on 6th jan</t>
  </si>
  <si>
    <t>Bulk Delivery at Aurobindo premier League</t>
  </si>
  <si>
    <t>Bapiraju</t>
  </si>
  <si>
    <t>Bulk Deloivery of 2000 Nizami biryani at Shamshabad on 5th Jan, Shared Quotation</t>
  </si>
  <si>
    <t>Epam</t>
  </si>
  <si>
    <t>Emmanuel</t>
  </si>
  <si>
    <t>Bendal School</t>
  </si>
  <si>
    <t>Granules India</t>
  </si>
  <si>
    <t>B Sravan Kumar</t>
  </si>
  <si>
    <t>V Guard</t>
  </si>
  <si>
    <t>Babu</t>
  </si>
  <si>
    <t xml:space="preserve">MRF </t>
  </si>
  <si>
    <t>Sameer (Telangana Head)</t>
  </si>
  <si>
    <t>Shared details of Bulk orders</t>
  </si>
  <si>
    <t>Global Edge</t>
  </si>
  <si>
    <t>Chitra</t>
  </si>
  <si>
    <t>Shared bulk order details for school events</t>
  </si>
  <si>
    <t xml:space="preserve">Kirby </t>
  </si>
  <si>
    <t>Saleem</t>
  </si>
  <si>
    <t>Folloup for next order, planning in Jan</t>
  </si>
  <si>
    <t>Sparkling events</t>
  </si>
  <si>
    <t>Omersheikh</t>
  </si>
  <si>
    <t>In Discussion for Bulk Supply for events</t>
  </si>
  <si>
    <t>Urbane IIT JEE</t>
  </si>
  <si>
    <t>Aruna</t>
  </si>
  <si>
    <t xml:space="preserve">shared details for staff lunch supply </t>
  </si>
  <si>
    <t>Delivery at Rasoolpura</t>
  </si>
  <si>
    <t>Afreen</t>
  </si>
  <si>
    <t>Shared quote for 25 pax, food delivery</t>
  </si>
  <si>
    <t>Laughingout By Swiggy</t>
  </si>
  <si>
    <t>Novel Raj</t>
  </si>
  <si>
    <t>Ravindra Bharthi</t>
  </si>
  <si>
    <t>Kishore Watti</t>
  </si>
  <si>
    <t>Shared bulk delivery options for events</t>
  </si>
  <si>
    <t>Sutherland Global Solutions</t>
  </si>
  <si>
    <t>Srinivas Gupta</t>
  </si>
  <si>
    <t xml:space="preserve">Shared options for bulk delivery to their corporate office </t>
  </si>
  <si>
    <t>Cyient Limited</t>
  </si>
  <si>
    <t>Vijay Reddy (Admin Head)</t>
  </si>
  <si>
    <t>Introduction on our offerings for their 10000 Employees</t>
  </si>
  <si>
    <t>Amazon</t>
  </si>
  <si>
    <t xml:space="preserve">Bulk Delivery for150 people at shamshabad cancelled due to their budget </t>
  </si>
  <si>
    <t>Budget 110 per biryani</t>
  </si>
  <si>
    <t>Foundit</t>
  </si>
  <si>
    <t>Amudha</t>
  </si>
  <si>
    <t>Introiduction about food supply for office fiest</t>
  </si>
  <si>
    <t>Birthday Party at Kompally</t>
  </si>
  <si>
    <t>Harmeet Arora</t>
  </si>
  <si>
    <t>Dilevery for Birthday party on 4 Feb 2024 for 45 pax</t>
  </si>
  <si>
    <t>Prepared food at home</t>
  </si>
  <si>
    <t>Bulk Delivery at kothapet</t>
  </si>
  <si>
    <t>Keerthi</t>
  </si>
  <si>
    <t>Bulk delivery for 40 People on 7 Jan 2024</t>
  </si>
  <si>
    <t>Purchased from local vendor</t>
  </si>
  <si>
    <t>Naveena School</t>
  </si>
  <si>
    <t>Introduction about bulk food orders</t>
  </si>
  <si>
    <t>KTS Boduppal</t>
  </si>
  <si>
    <t>Chittibabu</t>
  </si>
  <si>
    <t>Marino Foods</t>
  </si>
  <si>
    <t>Abhishek</t>
  </si>
  <si>
    <t>Hitachi Consulting</t>
  </si>
  <si>
    <t>Ajith</t>
  </si>
  <si>
    <t>Schindler Electronics</t>
  </si>
  <si>
    <t>Karthik Melkote</t>
  </si>
  <si>
    <t>Introduction of bulk food supply</t>
  </si>
  <si>
    <t xml:space="preserve">Rasee Seeds </t>
  </si>
  <si>
    <t>Karunakar Reddy</t>
  </si>
  <si>
    <t>Introduced for food supply for their corporate events</t>
  </si>
  <si>
    <t>Delivery At Gandhi Hospital</t>
  </si>
  <si>
    <t>Delivery of 30 Pax on 7 Jan 2024</t>
  </si>
  <si>
    <t>Delivery of 85 Pax at Electronic city</t>
  </si>
  <si>
    <t>Ashish</t>
  </si>
  <si>
    <t>Delivery of 85 Pax on  7 Jan 2024</t>
  </si>
  <si>
    <t>Reliance Trends Kothapet</t>
  </si>
  <si>
    <t>Om</t>
  </si>
  <si>
    <t>Introduced Bulk Delivery for Employee fest</t>
  </si>
  <si>
    <t>Shantiniketan Highschool Gadkesar</t>
  </si>
  <si>
    <t>Introduced bulk delivery of Lunch and Snacks</t>
  </si>
  <si>
    <t>Deloitte</t>
  </si>
  <si>
    <t>Pankaj Sharma</t>
  </si>
  <si>
    <t>Intriduction about team lunch</t>
  </si>
  <si>
    <t>Arpita</t>
  </si>
  <si>
    <t>Standup comedy with 5000 people on 7th Jan , Done sale of 45,920/- Sold biryani and haleem</t>
  </si>
  <si>
    <t>GITAM Univercity</t>
  </si>
  <si>
    <t>Lavanya</t>
  </si>
  <si>
    <t>College fest ay GITAM VIZAG, Not agreeing for revenue share</t>
  </si>
  <si>
    <t>Dinner for 65 pax at Himayathnagar</t>
  </si>
  <si>
    <t>Looking for buffet dinner</t>
  </si>
  <si>
    <t>not fesable due to logistics and Banquet hall</t>
  </si>
  <si>
    <t>Value labs</t>
  </si>
  <si>
    <t>Introduced about team lunch and events</t>
  </si>
  <si>
    <t xml:space="preserve">Meridian School </t>
  </si>
  <si>
    <t>Pasura Crop Care</t>
  </si>
  <si>
    <t>Ayesha</t>
  </si>
  <si>
    <t>Shared details about team lunch and bulk delivery</t>
  </si>
  <si>
    <t xml:space="preserve">Team Lunch of 20 PAX Indian Post Group </t>
  </si>
  <si>
    <t>Shravan</t>
  </si>
  <si>
    <t>Team Lunch of 20 PAX Indian Post Group at Heritage on 9 Jan 2024</t>
  </si>
  <si>
    <t>Delivery of 40 PAX on 10 Jan 2024</t>
  </si>
  <si>
    <t>Less budget</t>
  </si>
  <si>
    <t>Delivery of 80 KG biryani at Electronic city</t>
  </si>
  <si>
    <t>Delivery of Lunch &amp; Snacks at ICICI Towers</t>
  </si>
  <si>
    <t>Savu</t>
  </si>
  <si>
    <t>Delivery of Lunch &amp; Snacks at ICICI Towers on 16 Jan 2024</t>
  </si>
  <si>
    <t>Onsurity</t>
  </si>
  <si>
    <t>Akshada</t>
  </si>
  <si>
    <t xml:space="preserve">Shared details of delivery at Hyderabad and Banglore office </t>
  </si>
  <si>
    <t>HDFC BanK Ltd Ameerpet</t>
  </si>
  <si>
    <t>Jagjeeven Reddy</t>
  </si>
  <si>
    <t>Shared details of team lunch and bulk orders</t>
  </si>
  <si>
    <t>Dhruva College of Fashion Technology</t>
  </si>
  <si>
    <t>Kamal Vas</t>
  </si>
  <si>
    <t xml:space="preserve">Reliance College </t>
  </si>
  <si>
    <t>Adiba</t>
  </si>
  <si>
    <t>Introduction about bulk orders</t>
  </si>
  <si>
    <t xml:space="preserve">Accenture </t>
  </si>
  <si>
    <t>Aditya Runiyar</t>
  </si>
  <si>
    <t>Introduced about bukl orders</t>
  </si>
  <si>
    <t>Hyundai Motors</t>
  </si>
  <si>
    <t>Ajay Gokapai</t>
  </si>
  <si>
    <t>Med Plus</t>
  </si>
  <si>
    <t>Amit Kale</t>
  </si>
  <si>
    <t>shared details of bulk delivery and team lunch</t>
  </si>
  <si>
    <t>Tata Trent Limiteed Kothapet</t>
  </si>
  <si>
    <t>Verma</t>
  </si>
  <si>
    <t>Looking for 400 PAX banquet in feb for R&amp;R</t>
  </si>
  <si>
    <t xml:space="preserve">Cancelled as they want Banquet hall for 500 PAX </t>
  </si>
  <si>
    <t>Chicken Handi Delivery at Rampally</t>
  </si>
  <si>
    <t>Suresh</t>
  </si>
  <si>
    <t>Deliverd on 10 Jan 2024</t>
  </si>
  <si>
    <t>Delivery at Amazon Shamshabad</t>
  </si>
  <si>
    <t>Looking for 2500 Biryani on 15 Jan 2024</t>
  </si>
  <si>
    <t>Less budget, 110 per head</t>
  </si>
  <si>
    <t>Delivery at Fusion Church Jublee Hills</t>
  </si>
  <si>
    <t>Sadguna</t>
  </si>
  <si>
    <t>Delivery of Mutton Handi on 12 Jan2024</t>
  </si>
  <si>
    <t>Ozon Hospital Kothapet</t>
  </si>
  <si>
    <t>Madhusudan Reddy (MD)</t>
  </si>
  <si>
    <t>Introduced delivbery of lunch and snacks for staff</t>
  </si>
  <si>
    <t>Cricket league at Nagole</t>
  </si>
  <si>
    <t>Venkat</t>
  </si>
  <si>
    <t>Delivery of biryani at sports ground on 20,21, 22 Jan 2024</t>
  </si>
  <si>
    <t>Medha Traction Equipments Ghatkesar</t>
  </si>
  <si>
    <t>Santosh</t>
  </si>
  <si>
    <t>Introduces about bulk food and bakery items</t>
  </si>
  <si>
    <t>Reliance Trends KPHB</t>
  </si>
  <si>
    <t>Chakravarthi</t>
  </si>
  <si>
    <t>Intoduction about bulk food delivery</t>
  </si>
  <si>
    <t>Delivery at Miyapur</t>
  </si>
  <si>
    <t>Arvind Reddu</t>
  </si>
  <si>
    <t>Delivered food foe 25 Pax on 12 Jan 2024</t>
  </si>
  <si>
    <t>Sheenlac Paints</t>
  </si>
  <si>
    <t>Introduction about dealers meet and Gifting</t>
  </si>
  <si>
    <t>Chaitanya Bharthi School</t>
  </si>
  <si>
    <t>Kasim</t>
  </si>
  <si>
    <t>Introduction of bulk food supply at school fest</t>
  </si>
  <si>
    <t xml:space="preserve">Group from Kolkata </t>
  </si>
  <si>
    <t>Travel</t>
  </si>
  <si>
    <t>Suparna</t>
  </si>
  <si>
    <t>Delivery to Group from kolkata</t>
  </si>
  <si>
    <t>No</t>
  </si>
  <si>
    <t>Group from Suryapeta</t>
  </si>
  <si>
    <t>Sampat</t>
  </si>
  <si>
    <t>Dine in at kothapet</t>
  </si>
  <si>
    <t>Delivery at Ramanthapur</t>
  </si>
  <si>
    <t>Delivery of Handi on 15 Jan 2024</t>
  </si>
  <si>
    <t>Budget Issue</t>
  </si>
  <si>
    <t>Delivery of 100 Special Biryani at Banglore on 17 Jan 2024</t>
  </si>
  <si>
    <t>Servo Oils</t>
  </si>
  <si>
    <t>Ganesh Biradar</t>
  </si>
  <si>
    <t>Introduction of Bulk Orders</t>
  </si>
  <si>
    <t xml:space="preserve">Delivery at Lal Bazar </t>
  </si>
  <si>
    <t>Jyothi</t>
  </si>
  <si>
    <t>Techwave</t>
  </si>
  <si>
    <t>Pandu</t>
  </si>
  <si>
    <t>Introduction about bulk food and Haleem</t>
  </si>
  <si>
    <t>Alakriti</t>
  </si>
  <si>
    <t>LIC Of India</t>
  </si>
  <si>
    <t>Hanumantulu</t>
  </si>
  <si>
    <t>Shared Details of Haleem and Bulk delivery</t>
  </si>
  <si>
    <t>Decathlon</t>
  </si>
  <si>
    <t>Harini</t>
  </si>
  <si>
    <t>Delivery at Santoshnagar</t>
  </si>
  <si>
    <t>Latif</t>
  </si>
  <si>
    <t>Delivery of 120 pax biryani at santoshnagar</t>
  </si>
  <si>
    <t>NIFT Spectrum 2024 Event</t>
  </si>
  <si>
    <t>Shivdas</t>
  </si>
  <si>
    <t>Fest on 1St 2nd &amp; 3 Feb 2024</t>
  </si>
  <si>
    <t>Cancelled due to low budget</t>
  </si>
  <si>
    <t>16/1/2024</t>
  </si>
  <si>
    <t>Zenith Holidays</t>
  </si>
  <si>
    <t>Arijit</t>
  </si>
  <si>
    <t>Delivery on 18 Jan 2024</t>
  </si>
  <si>
    <t>4C Drug Safety Services</t>
  </si>
  <si>
    <t>Chandan Prakash</t>
  </si>
  <si>
    <t>Introduction about food supply for office fest and bulk delivery of Haleem</t>
  </si>
  <si>
    <t>Impactive Events</t>
  </si>
  <si>
    <t>Manjeeth</t>
  </si>
  <si>
    <t xml:space="preserve">Introduction , bulk food and Haleem </t>
  </si>
  <si>
    <t>Closed the business</t>
  </si>
  <si>
    <t>Bachpan School Annual Day 14th Feb</t>
  </si>
  <si>
    <t>Madhvi Reddy (MD)</t>
  </si>
  <si>
    <t>Annual Day for Badangpet and Meerpet Branches</t>
  </si>
  <si>
    <t>Yojo Farmhouse Rentals</t>
  </si>
  <si>
    <t>Anurag Alluri</t>
  </si>
  <si>
    <t>Bulk Supply of food for events in Farmhouse</t>
  </si>
  <si>
    <t>Delivery of Handi at Secbad</t>
  </si>
  <si>
    <t>Manish</t>
  </si>
  <si>
    <t>Delivery of Handi on 18 Jan 2024</t>
  </si>
  <si>
    <t xml:space="preserve">Kapil Chits </t>
  </si>
  <si>
    <t>Yusuf</t>
  </si>
  <si>
    <t>Introduction of Bulk food and Haleem</t>
  </si>
  <si>
    <t>Sri Sai Vikas Degree College</t>
  </si>
  <si>
    <t>Abdul Mateen</t>
  </si>
  <si>
    <t>Introduction of bulk order and ODC</t>
  </si>
  <si>
    <t>Astra Rafel Compsys</t>
  </si>
  <si>
    <t>Joseph</t>
  </si>
  <si>
    <t>Introduction for Bulk delivery and team lunch</t>
  </si>
  <si>
    <t xml:space="preserve">Anza Medicode </t>
  </si>
  <si>
    <t>Parthasaradi</t>
  </si>
  <si>
    <t>Shared details of team lunch and bulk orders, Haleem delivery.</t>
  </si>
  <si>
    <t>Citizen Cooperative Society</t>
  </si>
  <si>
    <t>Babita (HR)</t>
  </si>
  <si>
    <t xml:space="preserve">Shared </t>
  </si>
  <si>
    <t>Qualcomm Raheja</t>
  </si>
  <si>
    <t>Balram</t>
  </si>
  <si>
    <t>Bank Of America</t>
  </si>
  <si>
    <t>Archana</t>
  </si>
  <si>
    <t>Pro Arch IT Solutions</t>
  </si>
  <si>
    <t>Raju</t>
  </si>
  <si>
    <t>Delivery of Biryani and Haleem at Uppal for team lunch</t>
  </si>
  <si>
    <t>Arcsine</t>
  </si>
  <si>
    <t>Nagraj</t>
  </si>
  <si>
    <t>Bulk Delivery at their office</t>
  </si>
  <si>
    <t>Zomaland</t>
  </si>
  <si>
    <t>Siddharth</t>
  </si>
  <si>
    <t>Event on 20, 21 Jan 2024</t>
  </si>
  <si>
    <t>Delivery of 30 pax CB on 23 Jan 2024</t>
  </si>
  <si>
    <t>Delivery at HSR Layout</t>
  </si>
  <si>
    <t>Delivedry of 150 CB on 24 Jan 2024</t>
  </si>
  <si>
    <t>Delivery at Eluru</t>
  </si>
  <si>
    <t>Delivery of CB Handi on 27 Jan 2024</t>
  </si>
  <si>
    <t>Delivery of CB Handi on 24 Jan 2024</t>
  </si>
  <si>
    <t>DPS Nadergul</t>
  </si>
  <si>
    <t>Baktharaj</t>
  </si>
  <si>
    <t>Introduction to Bulk order and Haleem</t>
  </si>
  <si>
    <t>Barnali Mukherjee</t>
  </si>
  <si>
    <t>Rotterdam International School</t>
  </si>
  <si>
    <t>Charith</t>
  </si>
  <si>
    <t>Peoples Carrer</t>
  </si>
  <si>
    <t>Chhaya</t>
  </si>
  <si>
    <t>Introduction to Team lunch and Haleem</t>
  </si>
  <si>
    <t>Srestha Organics</t>
  </si>
  <si>
    <t>Renuka</t>
  </si>
  <si>
    <t>Kalyan</t>
  </si>
  <si>
    <t>Delivered 25 Chicken Biryani</t>
  </si>
  <si>
    <t>Medha Engineering</t>
  </si>
  <si>
    <t>Madhumohan</t>
  </si>
  <si>
    <t>Fabritech Uppal</t>
  </si>
  <si>
    <t>Anita</t>
  </si>
  <si>
    <t>Macoward</t>
  </si>
  <si>
    <t>Radhika</t>
  </si>
  <si>
    <t>Introduction for team lunvh and haleem</t>
  </si>
  <si>
    <t>Delivery at Kims Sunshine Hospital Secundrabad</t>
  </si>
  <si>
    <t>Venkatesh</t>
  </si>
  <si>
    <t>Delivery of mutton biryani</t>
  </si>
  <si>
    <t>Sagarsoft Technologies</t>
  </si>
  <si>
    <t>Bheem</t>
  </si>
  <si>
    <t>Introduction of Bulk food and Haleem counter at their cafeteria</t>
  </si>
  <si>
    <t>Birthday party at HSR Banglore</t>
  </si>
  <si>
    <t>Soumya</t>
  </si>
  <si>
    <t>Delivery on 28 Jan 2024</t>
  </si>
  <si>
    <t>Amazon Shamshabad</t>
  </si>
  <si>
    <t>Manjunath</t>
  </si>
  <si>
    <t xml:space="preserve">Delivery and Haleem Counter </t>
  </si>
  <si>
    <t xml:space="preserve">MJ College </t>
  </si>
  <si>
    <t>Delivery of bulk order and Haleem</t>
  </si>
  <si>
    <t xml:space="preserve">Take away at secundrabad </t>
  </si>
  <si>
    <t>Paras</t>
  </si>
  <si>
    <t>Take away at Secundrabad</t>
  </si>
  <si>
    <t xml:space="preserve">Mutton Handi at Amberpet </t>
  </si>
  <si>
    <t>Surendra</t>
  </si>
  <si>
    <t>Delivery of Mutton Handi on 26 Jan 2024</t>
  </si>
  <si>
    <t>Vaishnavi JR College</t>
  </si>
  <si>
    <t>Dashrath Goud</t>
  </si>
  <si>
    <t xml:space="preserve">Introduction for bulk delivery at events </t>
  </si>
  <si>
    <t>Little flower College</t>
  </si>
  <si>
    <t>Sheela Ingle</t>
  </si>
  <si>
    <t>SBI Uppal</t>
  </si>
  <si>
    <t>Sudheer</t>
  </si>
  <si>
    <t>Introduction of bulk delivery of food and haleem</t>
  </si>
  <si>
    <t xml:space="preserve">Shalom Church </t>
  </si>
  <si>
    <t xml:space="preserve">Delivery of Mutton haleem </t>
  </si>
  <si>
    <t>Delivery at masabtank on 27 Jan 2024</t>
  </si>
  <si>
    <t xml:space="preserve">Delivery of 30 CB at Tirumalgiri </t>
  </si>
  <si>
    <t>Venu</t>
  </si>
  <si>
    <t>Delivery of 30 CB at Tirumalgiri on 27 Jan 2024</t>
  </si>
  <si>
    <t>Vivekananda High School</t>
  </si>
  <si>
    <t>Gajanand</t>
  </si>
  <si>
    <t>Introduction for bulk delivery</t>
  </si>
  <si>
    <t>Akash Institute Kothapet</t>
  </si>
  <si>
    <t>Ganguli</t>
  </si>
  <si>
    <t>ODC at Kokapet</t>
  </si>
  <si>
    <t>Agnibesh</t>
  </si>
  <si>
    <t>Shared details for 100 pax ODC</t>
  </si>
  <si>
    <t>Procured from their Canteen</t>
  </si>
  <si>
    <t>Aadya Business Solution</t>
  </si>
  <si>
    <t>Lakshman</t>
  </si>
  <si>
    <t>Zenoti</t>
  </si>
  <si>
    <t>Medha R&amp;D</t>
  </si>
  <si>
    <t xml:space="preserve">Delivery of Chicken Handi </t>
  </si>
  <si>
    <t>Anitha</t>
  </si>
  <si>
    <t>Delivery of chicken Handi at Begumpet on 31 Jan 2024</t>
  </si>
  <si>
    <t xml:space="preserve">Delivery at JBS </t>
  </si>
  <si>
    <t>Rajesh</t>
  </si>
  <si>
    <t>Delivery of 75 Nizami CB at JBS on 31 Jan 2024</t>
  </si>
  <si>
    <t>Deliverd CB &amp; MB Handi</t>
  </si>
  <si>
    <t>Delivery of CB on 1st feb at Care hospital</t>
  </si>
  <si>
    <t>Kiranmai</t>
  </si>
  <si>
    <t>Delivery at care hospital on 1 Feb 2024</t>
  </si>
  <si>
    <t>Delivery at Madhapur on 02/01`/2024</t>
  </si>
  <si>
    <t>Amplify</t>
  </si>
  <si>
    <t xml:space="preserve">Delivery of CB Handi </t>
  </si>
  <si>
    <t>Delivery at BHEL 03/02/2024</t>
  </si>
  <si>
    <t>Nagireddy</t>
  </si>
  <si>
    <t>Delivery of CB Handi</t>
  </si>
  <si>
    <t>Delivery at Academic Heights school</t>
  </si>
  <si>
    <t>Bindu</t>
  </si>
  <si>
    <t>Delivery of 390 Vb on 7th &amp; 8 Feb 2024</t>
  </si>
  <si>
    <t>Delivery at Kothapet</t>
  </si>
  <si>
    <t>Surersh</t>
  </si>
  <si>
    <t>Delivery at kothapet</t>
  </si>
  <si>
    <t>Kukdukoo fest Day 1</t>
  </si>
  <si>
    <t>Archit</t>
  </si>
  <si>
    <t>Sale in Stall</t>
  </si>
  <si>
    <t>Kukdukoo fest Day 2</t>
  </si>
  <si>
    <t>Delivery at Gogaraju College Nizampet</t>
  </si>
  <si>
    <t>Delivery of CB and VB with Baby corn Manchuria on 6 Feb 2023</t>
  </si>
  <si>
    <t>Food vouchers</t>
  </si>
  <si>
    <t>Budget constrain</t>
  </si>
  <si>
    <t>Delivery at Nanakramguda</t>
  </si>
  <si>
    <t>Prabhu</t>
  </si>
  <si>
    <t>Delivery of food at stadium</t>
  </si>
  <si>
    <t>Delivery at RTC</t>
  </si>
  <si>
    <t>Madhavi</t>
  </si>
  <si>
    <t>Delivery on 11 Feb 2024 Sunday</t>
  </si>
  <si>
    <t>Ray Biz Tech</t>
  </si>
  <si>
    <t>Pavan Kumar</t>
  </si>
  <si>
    <t>Inroduction of bulk food and Team lunch</t>
  </si>
  <si>
    <t>ICICI Towers</t>
  </si>
  <si>
    <t>Discussion Regarding bakery, Biryani and Haleem outlet at there office to be finalized , for 3 month they wont be collecting any rent, post that we have to go in revenue share.</t>
  </si>
  <si>
    <t>Moschip</t>
  </si>
  <si>
    <t>Sowjanya</t>
  </si>
  <si>
    <t>Introduces about, team lunch, bulk food and bakery items.</t>
  </si>
  <si>
    <t>Delivery at VIP Road</t>
  </si>
  <si>
    <t>Lokesh</t>
  </si>
  <si>
    <t>Delivery of cb</t>
  </si>
  <si>
    <t>Delivery at Pragatinagar</t>
  </si>
  <si>
    <t>Delivery of Mutton Handi</t>
  </si>
  <si>
    <t>Delivery of Gift vouchers for Pepsico</t>
  </si>
  <si>
    <t>Sudheer Reddy</t>
  </si>
  <si>
    <t>500 worth gift vouchers for 2800 people, Dropped the plan due to low budget</t>
  </si>
  <si>
    <t>Medha Railway equipments</t>
  </si>
  <si>
    <t>Introduction to haleem and bulk orders</t>
  </si>
  <si>
    <t>Metro Rail Nagole</t>
  </si>
  <si>
    <t>Udaya</t>
  </si>
  <si>
    <t>Discussion of Haleem counters at metro stations</t>
  </si>
  <si>
    <t>Metro kiosk sale recoded in Separate DCR</t>
  </si>
  <si>
    <t>Delivery at Ozone Hospital kothapet</t>
  </si>
  <si>
    <t>Laxman</t>
  </si>
  <si>
    <t>deliverd CB &amp; MB</t>
  </si>
  <si>
    <t>Delivery at Gachibowli</t>
  </si>
  <si>
    <t>Delivery of 600 CB on 13 Feb 2024, Cancelled due to low budget</t>
  </si>
  <si>
    <t>Delivery of CB &amp; MB Handi on 14 Feb 2024</t>
  </si>
  <si>
    <t>Dataintencity</t>
  </si>
  <si>
    <t>Abhiram</t>
  </si>
  <si>
    <t>Koni India PVT LTD</t>
  </si>
  <si>
    <t>Infor Global Solutions</t>
  </si>
  <si>
    <t>Introduction to Team lunch and ODC</t>
  </si>
  <si>
    <t>Symbosys Law School</t>
  </si>
  <si>
    <t>Salman</t>
  </si>
  <si>
    <t>Event on 24 March 2024</t>
  </si>
  <si>
    <t>Not profitable</t>
  </si>
  <si>
    <t>Celibrity Cricket League</t>
  </si>
  <si>
    <t>Uma</t>
  </si>
  <si>
    <t>Event on 1st to 3 March 2024</t>
  </si>
  <si>
    <t>no profitable event</t>
  </si>
  <si>
    <t xml:space="preserve">T Hub Event </t>
  </si>
  <si>
    <t>Karthik</t>
  </si>
  <si>
    <t>Event on 1st &amp; 2 March 2024</t>
  </si>
  <si>
    <t>Not Profitable</t>
  </si>
  <si>
    <t>Valentines Day Food Festival</t>
  </si>
  <si>
    <t>Food counter at Cyberperl, 8% revenue share</t>
  </si>
  <si>
    <t>Vip International school Annual Function</t>
  </si>
  <si>
    <t>Miraz</t>
  </si>
  <si>
    <t>Food stall on 16 Feb at function hall</t>
  </si>
  <si>
    <t>High Rent</t>
  </si>
  <si>
    <t>Narendra Motors</t>
  </si>
  <si>
    <t xml:space="preserve">Narendra </t>
  </si>
  <si>
    <t>introduced to bulk order and gift vouchers</t>
  </si>
  <si>
    <t>Delivery at Electronic city</t>
  </si>
  <si>
    <t>Delivery of CB and VB on 16 Feb 2024</t>
  </si>
  <si>
    <t>DCM Mall Uppal</t>
  </si>
  <si>
    <t>Mehmuda</t>
  </si>
  <si>
    <t>Haleem stall in March</t>
  </si>
  <si>
    <t>Valeth Hightec Composits</t>
  </si>
  <si>
    <t>Azeem</t>
  </si>
  <si>
    <t>Greenfields Global School</t>
  </si>
  <si>
    <t>Chetan Reddy</t>
  </si>
  <si>
    <t>Accuvate</t>
  </si>
  <si>
    <t>Harmeet Singh</t>
  </si>
  <si>
    <t>Introduction to team lunch and bulk orders</t>
  </si>
  <si>
    <t>Medico Inc</t>
  </si>
  <si>
    <t>Mahesh Reddy</t>
  </si>
  <si>
    <t>Delivery at KIMS  Hospital Secundrabad</t>
  </si>
  <si>
    <t>Ramakrishna</t>
  </si>
  <si>
    <t>Deliverd CB and VB at Doctors training</t>
  </si>
  <si>
    <t>Sazil</t>
  </si>
  <si>
    <t>Delivery on 19 Feb 2024</t>
  </si>
  <si>
    <t>Md Zaheeruddin</t>
  </si>
  <si>
    <t>Declivery of CB handi on 20 Feb 2024</t>
  </si>
  <si>
    <t>Delivery at Suchitra</t>
  </si>
  <si>
    <t>Delivery for tourism group for 75 PAX  on 11 March 2024 from Himayathnagar Store</t>
  </si>
  <si>
    <t>Symbosys College</t>
  </si>
  <si>
    <t>Geetika</t>
  </si>
  <si>
    <t>Introduction and Revenue sharing for event</t>
  </si>
  <si>
    <t>Less crowd, and too far , not profitable</t>
  </si>
  <si>
    <t>Wipro Consumer Division</t>
  </si>
  <si>
    <t>Veera Babu</t>
  </si>
  <si>
    <t>Introduction to advance vouchers for dealers</t>
  </si>
  <si>
    <t>PTNSU</t>
  </si>
  <si>
    <t>Bala Prasad</t>
  </si>
  <si>
    <t>Introduction to team lunch and Haleem</t>
  </si>
  <si>
    <t>Delivery at Chandrayangutta</t>
  </si>
  <si>
    <t>Jaweed</t>
  </si>
  <si>
    <t>Shared quotation for MB Handi</t>
  </si>
  <si>
    <t>Delivery of CB&amp;MB on 21 Feb 2024</t>
  </si>
  <si>
    <t>ODC at Bowenpally</t>
  </si>
  <si>
    <t>Birthday party at dimind point on 16 March 2024</t>
  </si>
  <si>
    <t>Sai Shourtya Hospital</t>
  </si>
  <si>
    <t>V Kraft Software Services</t>
  </si>
  <si>
    <t>Krishna Chaitanya</t>
  </si>
  <si>
    <t>Onmni Hospitals</t>
  </si>
  <si>
    <t>Krishna Priya</t>
  </si>
  <si>
    <t>Introduction to team lunch and haleem</t>
  </si>
  <si>
    <t xml:space="preserve">Ozon Hospital </t>
  </si>
  <si>
    <t>Sudarshan</t>
  </si>
  <si>
    <t>Followup for further orders</t>
  </si>
  <si>
    <t>Sadguru Management</t>
  </si>
  <si>
    <t>Kapil</t>
  </si>
  <si>
    <t>Introduction to team lunch and corporate gifting</t>
  </si>
  <si>
    <t>Wonderla Holidays LTD</t>
  </si>
  <si>
    <t>Discussion about haleem sale at amusement park</t>
  </si>
  <si>
    <t>They are doing inhouse</t>
  </si>
  <si>
    <t>ARI</t>
  </si>
  <si>
    <t xml:space="preserve">Priyanka </t>
  </si>
  <si>
    <t>Introduction to team lunch and womens day party 8th March</t>
  </si>
  <si>
    <t>Cancelled due to pooja</t>
  </si>
  <si>
    <t>Delivery at Kondapur</t>
  </si>
  <si>
    <t>Delivery of CB handi on 24 feb</t>
  </si>
  <si>
    <t>Delivery at Dell</t>
  </si>
  <si>
    <t>Murlidhar</t>
  </si>
  <si>
    <t>Delivery of CB on 23 Feb 2024</t>
  </si>
  <si>
    <t>MSS Law College</t>
  </si>
  <si>
    <t>Abhishekh</t>
  </si>
  <si>
    <t>Event not profitable</t>
  </si>
  <si>
    <t>Perigord</t>
  </si>
  <si>
    <t>Aanjan</t>
  </si>
  <si>
    <t>Milan Expo/Naval Academy Vizag</t>
  </si>
  <si>
    <t>Renin</t>
  </si>
  <si>
    <t>ODC at Naval academy Vizag</t>
  </si>
  <si>
    <t>Tanveer</t>
  </si>
  <si>
    <t>MB at hanmokonda</t>
  </si>
  <si>
    <t>Astra Microwave</t>
  </si>
  <si>
    <t>Raghu</t>
  </si>
  <si>
    <t>Introduction to corporate gifting and Bulk delivery</t>
  </si>
  <si>
    <t>MSN LABS</t>
  </si>
  <si>
    <t>Satyanarayana</t>
  </si>
  <si>
    <t>Delivery at Sanathnagar</t>
  </si>
  <si>
    <t>Haleem counters at metro stations</t>
  </si>
  <si>
    <t>To be mentioned in kiosk sales seperately</t>
  </si>
  <si>
    <t>ICICI Bank T Hub</t>
  </si>
  <si>
    <t>Susan</t>
  </si>
  <si>
    <t>Haleem Counter at ICICI Bank</t>
  </si>
  <si>
    <t>Cant do directly without Hungerbox</t>
  </si>
  <si>
    <t>Renault</t>
  </si>
  <si>
    <t>Introduction to gift vouchers and Bulk orders</t>
  </si>
  <si>
    <t>Rajkumar</t>
  </si>
  <si>
    <t>Take away at Secundrabad CB</t>
  </si>
  <si>
    <t>Delivery of Special CB &amp; MB Handi on 28 Feb 2024</t>
  </si>
  <si>
    <t>Delivery at KPMG Banglore</t>
  </si>
  <si>
    <t>Sridhar</t>
  </si>
  <si>
    <t>Delivery of CB at KPMG</t>
  </si>
  <si>
    <t>Delivery at Boaduppal</t>
  </si>
  <si>
    <t>Delivery of CB Handi on 10 March 2024</t>
  </si>
  <si>
    <t>Sumit</t>
  </si>
  <si>
    <t>Introduction to Corporate Gifting and Buffet</t>
  </si>
  <si>
    <t>Delivery at As rao nagar</t>
  </si>
  <si>
    <t>Delivery of Cb on 4 April 2024</t>
  </si>
  <si>
    <t>Postpond to 12/4/2024</t>
  </si>
  <si>
    <t>Delivery of haleem on 11 March 2024</t>
  </si>
  <si>
    <t>Wasnnot profitable for him to re sale haleem</t>
  </si>
  <si>
    <t>Take away at Gachibowli</t>
  </si>
  <si>
    <t>Usha</t>
  </si>
  <si>
    <t>30 Packs of Sandy cake for little amigos school on 2 March 2024</t>
  </si>
  <si>
    <t>Delivery of Special CB &amp; MB Handi on 6 March 2024</t>
  </si>
  <si>
    <t>Delivery at Charminar</t>
  </si>
  <si>
    <t>Delivery of MB on 5 March 2024</t>
  </si>
  <si>
    <t>Archana Travels</t>
  </si>
  <si>
    <t>Abhilash Reddy</t>
  </si>
  <si>
    <t>NIFT Craft Event 2024</t>
  </si>
  <si>
    <t>Aastha</t>
  </si>
  <si>
    <t>Fest on 14,15, 16 March 2024</t>
  </si>
  <si>
    <t>Less Footfall</t>
  </si>
  <si>
    <t>MNR College</t>
  </si>
  <si>
    <t>Chaitanya</t>
  </si>
  <si>
    <t>Delivery at Kachiguda</t>
  </si>
  <si>
    <t>Delivery og 80 CB on 11March 2024</t>
  </si>
  <si>
    <t>Opentext</t>
  </si>
  <si>
    <t>Chaitnya</t>
  </si>
  <si>
    <t>Thrithi Event at ICFAI College</t>
  </si>
  <si>
    <t>Duscussion of College event on 21,22 &amp; 23 March 2024</t>
  </si>
  <si>
    <t>Not Profitable, no exclusivity</t>
  </si>
  <si>
    <t>Thinci Semiconductors</t>
  </si>
  <si>
    <t>Keshav</t>
  </si>
  <si>
    <t>LCGS Church</t>
  </si>
  <si>
    <t>Daisy</t>
  </si>
  <si>
    <t>Relax Holidays</t>
  </si>
  <si>
    <t>Dastagir Khan</t>
  </si>
  <si>
    <t>Introduction to bulk food delivery for tourist group</t>
  </si>
  <si>
    <t>Aneesh College of Commerce</t>
  </si>
  <si>
    <t>Introduction to bulk delivery and College Annual Day Celebration</t>
  </si>
  <si>
    <t>L&amp;T Finance</t>
  </si>
  <si>
    <t>Diurgaprasad</t>
  </si>
  <si>
    <t>TeaM Lunch on 9 March 2024 (Advance collected in Bank)</t>
  </si>
  <si>
    <t>IPL (UPPAL STADIUM)</t>
  </si>
  <si>
    <t>Haleem and biryani counter, 27 March 2024</t>
  </si>
  <si>
    <t>Bhavans Vivekenand College</t>
  </si>
  <si>
    <t>Shivani</t>
  </si>
  <si>
    <t>Introduction to Haleem and Biryani</t>
  </si>
  <si>
    <t>Haleem Counter at Infosys</t>
  </si>
  <si>
    <t>Introduction to haleem counter on 10% discount Basis</t>
  </si>
  <si>
    <t>Closed for entire season on weekdays</t>
  </si>
  <si>
    <t>Pepsico</t>
  </si>
  <si>
    <t>Rinku</t>
  </si>
  <si>
    <t xml:space="preserve">HCL </t>
  </si>
  <si>
    <t>Deepthisree</t>
  </si>
  <si>
    <t>Introduction to Teamlunch &amp; Haleem</t>
  </si>
  <si>
    <t>Parexel International</t>
  </si>
  <si>
    <t>Gokul</t>
  </si>
  <si>
    <t>Tourist Group from Pune</t>
  </si>
  <si>
    <t>Deepak</t>
  </si>
  <si>
    <t>42 PAX delivery at Nampally railway station</t>
  </si>
  <si>
    <t>Haleem Counter at L&amp;T Mall Moosarambag</t>
  </si>
  <si>
    <t>Ashok</t>
  </si>
  <si>
    <t>Haleem counter at mall</t>
  </si>
  <si>
    <t>Cancelled due to less footfall</t>
  </si>
  <si>
    <t>Rounak A Ramzan, Malakpet</t>
  </si>
  <si>
    <t>Aamir</t>
  </si>
  <si>
    <t>Haleem Kiosk at the event</t>
  </si>
  <si>
    <t>No exclusivity</t>
  </si>
  <si>
    <t>Event Supply of Cooldrinks</t>
  </si>
  <si>
    <t>Cooldrinks Bulk take away at kukatpally</t>
  </si>
  <si>
    <t>Galleria Mall Moosarambag</t>
  </si>
  <si>
    <t>Haleem Counter at Galleria Summer Expo</t>
  </si>
  <si>
    <t>No desired location</t>
  </si>
  <si>
    <t>Yashoda Hospital Malakpet</t>
  </si>
  <si>
    <t>Rekha</t>
  </si>
  <si>
    <t>Introduction to Bulk delivery for Doctors</t>
  </si>
  <si>
    <t>Discussion for 4 stalls of haleem at IPL</t>
  </si>
  <si>
    <t>P&amp;L not Profitable</t>
  </si>
  <si>
    <t>Kanha Shantivanam</t>
  </si>
  <si>
    <t>Proposal Shared</t>
  </si>
  <si>
    <t>Outside vendor not allowed</t>
  </si>
  <si>
    <t>Cyient LTD UPPAL</t>
  </si>
  <si>
    <t>Sneha</t>
  </si>
  <si>
    <t>Shared introduction to Haleem Counter for ramzan</t>
  </si>
  <si>
    <t>Infosys Campus PocharaM</t>
  </si>
  <si>
    <t>Prasad</t>
  </si>
  <si>
    <t>Discussion of Team lunch and ODC at campus, and sining the agreement for Haleem counter. And Location</t>
  </si>
  <si>
    <t>Mentioned below date wise</t>
  </si>
  <si>
    <t>Holy Event at Madhapur by Swiggy</t>
  </si>
  <si>
    <t>Discussed about counter at Holy event 25 March</t>
  </si>
  <si>
    <t>Kukdukoo Event in Bangalore</t>
  </si>
  <si>
    <t>Shubham</t>
  </si>
  <si>
    <t>food counter at event on 6th and 7 April 2024</t>
  </si>
  <si>
    <t>Cancelled as nonveg not allowed</t>
  </si>
  <si>
    <t>Delivery of 25 Special CB on 13 March 2024</t>
  </si>
  <si>
    <t>Delivery at Electronic City Banglore</t>
  </si>
  <si>
    <t>Sarmila</t>
  </si>
  <si>
    <t>Delivery of CB at Electronic city on 19 March 2024</t>
  </si>
  <si>
    <t>Sage International School Medipally</t>
  </si>
  <si>
    <t>Rekha Reddy</t>
  </si>
  <si>
    <t>Introduction to Bulk order and Bakery products</t>
  </si>
  <si>
    <t>Delivery at West Maradpally Orphanage</t>
  </si>
  <si>
    <t>Orphanage</t>
  </si>
  <si>
    <t xml:space="preserve">Marvin </t>
  </si>
  <si>
    <t>Advance received for 31 Mar 2024</t>
  </si>
  <si>
    <t>Sanofi</t>
  </si>
  <si>
    <t>Harish</t>
  </si>
  <si>
    <t>Introduction to Haleem and Bulk delivery</t>
  </si>
  <si>
    <t>Dr Reddys</t>
  </si>
  <si>
    <t>Ramtech</t>
  </si>
  <si>
    <t>ODC at JNC Masjid Bangalore</t>
  </si>
  <si>
    <t>Vinod</t>
  </si>
  <si>
    <t>ODC at JCN Road on 13&amp; 14 March 2024</t>
  </si>
  <si>
    <t>ODC at JCN Road on 15 March 2024</t>
  </si>
  <si>
    <t>Delivery at MGIT Gandipet</t>
  </si>
  <si>
    <t>Shyam Sundar</t>
  </si>
  <si>
    <t>CB Handi Delivery on 20 March 2024 for 600 People</t>
  </si>
  <si>
    <t>Procured from college canteen</t>
  </si>
  <si>
    <t>ODC at JCN Road on 16 March 2024</t>
  </si>
  <si>
    <t>Mytree</t>
  </si>
  <si>
    <t>Take away for house party</t>
  </si>
  <si>
    <t>NALSAR Univercity Fest</t>
  </si>
  <si>
    <t>Hafsa</t>
  </si>
  <si>
    <t>22nd to 24 March 2024</t>
  </si>
  <si>
    <t>Less students participating</t>
  </si>
  <si>
    <t>Delivery of CB at Secundrabad</t>
  </si>
  <si>
    <t>Shahan</t>
  </si>
  <si>
    <t>Delivery of 30 PAX CB &amp; Starter</t>
  </si>
  <si>
    <t>ODC at JCN Road on 17 March 2024</t>
  </si>
  <si>
    <t>Delivery on 22 March 2024</t>
  </si>
  <si>
    <t>ODC at JCN Road on 18 March</t>
  </si>
  <si>
    <t>Syed</t>
  </si>
  <si>
    <t>Delivery of MB and Haleem on 24 March 2024</t>
  </si>
  <si>
    <t>Delivery at whitefield banglore</t>
  </si>
  <si>
    <t>Shehabaz</t>
  </si>
  <si>
    <t>Delivery at Whitefield 2</t>
  </si>
  <si>
    <t>Delivery at kalapakkam Chennai</t>
  </si>
  <si>
    <t>Rajan</t>
  </si>
  <si>
    <t>Delivery of CB and starter</t>
  </si>
  <si>
    <t>Delivery at Compass Group Banglore</t>
  </si>
  <si>
    <t>CB and MB Delivery 20 March 2024</t>
  </si>
  <si>
    <t>Haleem Counter at Airport</t>
  </si>
  <si>
    <t>Medha Railway Coach</t>
  </si>
  <si>
    <t>Introduction to employee gifting</t>
  </si>
  <si>
    <t>ODC at JCN Road on 18 March 2024</t>
  </si>
  <si>
    <t>delivery on 24 March 2024</t>
  </si>
  <si>
    <t>Delivery at Nellore</t>
  </si>
  <si>
    <t>Rajashekhar</t>
  </si>
  <si>
    <t>Delivery on 23 March 2024</t>
  </si>
  <si>
    <t>Delivery at Bachupally</t>
  </si>
  <si>
    <t>Delivery from Kukatpally, CB and VB</t>
  </si>
  <si>
    <t>ODC at JCN Road on 19 March 2024</t>
  </si>
  <si>
    <t>Tek Systems</t>
  </si>
  <si>
    <t>Vigneshwar</t>
  </si>
  <si>
    <t>Buffet at Tek systems office on 9th April</t>
  </si>
  <si>
    <t>Packed meal with less budget</t>
  </si>
  <si>
    <t>Kellton Tech Solutions</t>
  </si>
  <si>
    <t>Delivery at madhapur office</t>
  </si>
  <si>
    <t>Event postponded</t>
  </si>
  <si>
    <t>Bits Pilani</t>
  </si>
  <si>
    <t>Afkham</t>
  </si>
  <si>
    <t>Delivery of M Haleem on 11 April 2024 at Bits Pilani</t>
  </si>
  <si>
    <t>Postpond to 13/4/2024</t>
  </si>
  <si>
    <t>Just My Roots</t>
  </si>
  <si>
    <t>Vaibhav</t>
  </si>
  <si>
    <t>Takeaway of Haleem for Further Selling</t>
  </si>
  <si>
    <t>60 days payment term not fesable</t>
  </si>
  <si>
    <t>ODC at JCN Road on 21 March 2024</t>
  </si>
  <si>
    <t>Satya</t>
  </si>
  <si>
    <t>Sold 70 Mutton Haleem and 50 CH Haleem on 21 March 2024</t>
  </si>
  <si>
    <t>Sai</t>
  </si>
  <si>
    <t>Hexagon</t>
  </si>
  <si>
    <t>Lakshmi</t>
  </si>
  <si>
    <t>Bulk delivery of Haleem</t>
  </si>
  <si>
    <t>Corteva Agriscience India</t>
  </si>
  <si>
    <t>Sruthi</t>
  </si>
  <si>
    <t>Buffet lunch at Madhapur for 200 employees</t>
  </si>
  <si>
    <t>ODC at JCN Road on 22 March 2024</t>
  </si>
  <si>
    <t>Aditya Birla</t>
  </si>
  <si>
    <t>Nilesh Sharma</t>
  </si>
  <si>
    <t>Introduction about corporate gifting and bulk order</t>
  </si>
  <si>
    <t>Biological E Limited</t>
  </si>
  <si>
    <t>Naveen Kumar</t>
  </si>
  <si>
    <t>ODC at JCN Road on 23/3/2024</t>
  </si>
  <si>
    <t>Delivery at Mehdipatnam</t>
  </si>
  <si>
    <t>Malik</t>
  </si>
  <si>
    <t>Delivery on 24 March 2024</t>
  </si>
  <si>
    <t>Delivery at Gudi Malkapur</t>
  </si>
  <si>
    <t>Nagraju</t>
  </si>
  <si>
    <t>ODC at JCN Road on 24 March 2024</t>
  </si>
  <si>
    <t>Danita</t>
  </si>
  <si>
    <t>ODC at JCN Road on 25 March 2024</t>
  </si>
  <si>
    <t>Holi Party at Naval Academy Vizag</t>
  </si>
  <si>
    <t>Delivery of Special CB &amp; MB Handi on 27 March 2024</t>
  </si>
  <si>
    <t>ODC at JCN Road on 26 March 2024</t>
  </si>
  <si>
    <t>Karvy Investment Banking</t>
  </si>
  <si>
    <t>Jaya</t>
  </si>
  <si>
    <t>Birlasoft</t>
  </si>
  <si>
    <t>Adinarayan</t>
  </si>
  <si>
    <t>ODC at JCN Road on 27 March 2024</t>
  </si>
  <si>
    <t>IT Convergence</t>
  </si>
  <si>
    <t>Deepthi</t>
  </si>
  <si>
    <t>Ispace Software pvt ltd</t>
  </si>
  <si>
    <t>Delivery on 4 April 2024</t>
  </si>
  <si>
    <t>ODC at JCN Road on 28 March 2024</t>
  </si>
  <si>
    <t>Option Matrix</t>
  </si>
  <si>
    <t>Nayeem</t>
  </si>
  <si>
    <t>Arrtesyn</t>
  </si>
  <si>
    <t>Venu Madhav</t>
  </si>
  <si>
    <t>ODC at JCN Road on 29 March 2024</t>
  </si>
  <si>
    <t>Delivery at Nacharam</t>
  </si>
  <si>
    <t>Philip</t>
  </si>
  <si>
    <t>Delivery of Nizami CB on 31 March 2024</t>
  </si>
  <si>
    <t>Delivery at Dimond Districts Bangalore</t>
  </si>
  <si>
    <t>Sanoj</t>
  </si>
  <si>
    <t>Delivery of CB 30 March 2024</t>
  </si>
  <si>
    <t>Hindustan Petrolium</t>
  </si>
  <si>
    <t>Introduction to Bulk order and Team lunch</t>
  </si>
  <si>
    <t>ODC at JCN Road on 30 March 2024</t>
  </si>
  <si>
    <t>Bulk Order at Nellore for TDP Party Meeting</t>
  </si>
  <si>
    <t>Delivery of Haleem Family Pack</t>
  </si>
  <si>
    <t>Dine In at Shamshabad</t>
  </si>
  <si>
    <t>Kazmi</t>
  </si>
  <si>
    <t>Dine in at Shamshabad</t>
  </si>
  <si>
    <t>Delivery at Begumpet</t>
  </si>
  <si>
    <t>Harika</t>
  </si>
  <si>
    <t>Delivery of CB Handi on 1 April 2024</t>
  </si>
  <si>
    <t>ODC at JCN Road on 31 March 2024</t>
  </si>
  <si>
    <t>ODC at JCN Road on 1 April 2024</t>
  </si>
  <si>
    <t>ODC at JCN Road on 2/4/2024</t>
  </si>
  <si>
    <t>Delivery at Revolution Hitec City</t>
  </si>
  <si>
    <t>Delivery for team Lunch</t>
  </si>
  <si>
    <t>Wipro SEZ</t>
  </si>
  <si>
    <t>Mahendrakar</t>
  </si>
  <si>
    <t>Haleem Counter on 3 April 2024</t>
  </si>
  <si>
    <t>Wipro Gopanpally</t>
  </si>
  <si>
    <t>Sujeet</t>
  </si>
  <si>
    <t>Wipro Mindspace</t>
  </si>
  <si>
    <t>Delivery at Gudimalkapur</t>
  </si>
  <si>
    <t>Delivery of MB Handi on 4 April 2024</t>
  </si>
  <si>
    <t>ODC at JCN Road on 3 April 2024</t>
  </si>
  <si>
    <t>Delivery of Special CB &amp; MB Handi on 3 April 2024</t>
  </si>
  <si>
    <t>ODC at JCN Road on 4/4/2024</t>
  </si>
  <si>
    <t>Harish Patil</t>
  </si>
  <si>
    <t>delivery of CB for Tourist group frpom maharashtra</t>
  </si>
  <si>
    <t>ODC at JCN Road on 5/4/2024</t>
  </si>
  <si>
    <t>Decivery of CB and VB 35 Pax on 5 April 2024</t>
  </si>
  <si>
    <t>Delivery ar Hosur Road</t>
  </si>
  <si>
    <t>Shama</t>
  </si>
  <si>
    <t>Delivery of CB on 05 April 2024</t>
  </si>
  <si>
    <t>ODC at JCN Road on 6 April 2024</t>
  </si>
  <si>
    <t>Delivery at Nalagandla</t>
  </si>
  <si>
    <t>Udita</t>
  </si>
  <si>
    <t>Deliverd CB from Gachibowli on 6 April 2024</t>
  </si>
  <si>
    <t>Delivery at NTT Data</t>
  </si>
  <si>
    <t>Sania Mirza</t>
  </si>
  <si>
    <t>Delivery from Inorbit Packed lunch on 11 April 2024</t>
  </si>
  <si>
    <t>Delivery from Heritage</t>
  </si>
  <si>
    <t>Sunita</t>
  </si>
  <si>
    <t>Deliveryof 400 Mini CB on 11 April 2024</t>
  </si>
  <si>
    <t>Wasim</t>
  </si>
  <si>
    <t>Delivery of Mini CB</t>
  </si>
  <si>
    <t xml:space="preserve">Meals with sweets, less budget </t>
  </si>
  <si>
    <t>PTW</t>
  </si>
  <si>
    <t>Delivery of 170 pax snacks on 10 April 2024</t>
  </si>
  <si>
    <t>ODC at JCN Road on 7 April 2024</t>
  </si>
  <si>
    <t>Delivery at Bomanhally</t>
  </si>
  <si>
    <t>Roopa</t>
  </si>
  <si>
    <t>Delivery of CB on 12 April 2024</t>
  </si>
  <si>
    <t>ODC at JCN Road on 8/4/2024</t>
  </si>
  <si>
    <t>ODC at JCN Road on 9/4/2024</t>
  </si>
  <si>
    <t>Delivery at Pragati Nagar</t>
  </si>
  <si>
    <t>Delivery of Mutton handi on 11 April 2024</t>
  </si>
  <si>
    <t>Procured inhouse</t>
  </si>
  <si>
    <t>Delivery of Special CB &amp; MB Handi on 10 April 2024</t>
  </si>
  <si>
    <t>ODC at JCN Road on 10/4/2024</t>
  </si>
  <si>
    <t>Delivery at Sithapalmandi</t>
  </si>
  <si>
    <t>Kamal</t>
  </si>
  <si>
    <t>MB and CB Delivery from RTC Branch on 11 April 2024</t>
  </si>
  <si>
    <t>Delivery from Malkajgiri Store</t>
  </si>
  <si>
    <t>Mallikarjun</t>
  </si>
  <si>
    <t>Delivery of haleem on 12/4/2024 at AS Rao Nagar</t>
  </si>
  <si>
    <t>ST John Hospital Banglore</t>
  </si>
  <si>
    <t>Delivery for 30 PAX on 18 April2024</t>
  </si>
  <si>
    <t>Ray Business Solutions</t>
  </si>
  <si>
    <t>Karthik Reddy</t>
  </si>
  <si>
    <t>Arvind Reddy</t>
  </si>
  <si>
    <t>CB and VB Handi from BHEL on 13 April 2024</t>
  </si>
  <si>
    <t>ODC at Intel Bangalore Day 1</t>
  </si>
  <si>
    <t>ODC On 15 April 2024</t>
  </si>
  <si>
    <t>JP Morgan</t>
  </si>
  <si>
    <t>Introduction and shared quote for upcoming event</t>
  </si>
  <si>
    <t>Shared details for Take away and Delivery to Knowledge city</t>
  </si>
  <si>
    <t>Delivery at Nad Vizag</t>
  </si>
  <si>
    <t>Deliverd CB on 15 April 2024</t>
  </si>
  <si>
    <t>Delivery at Arisan Gurgaon</t>
  </si>
  <si>
    <t>Vikas Sinha</t>
  </si>
  <si>
    <t>Delivery of CB &amp; VB for team lunch from MG Road on 19 April 2024</t>
  </si>
  <si>
    <t>Delivery of Special CB &amp; MB Handi on 17 April 2024</t>
  </si>
  <si>
    <t>ODC at Intel Bangalore Day 2</t>
  </si>
  <si>
    <t>ODC On 16 April 2024</t>
  </si>
  <si>
    <t>ODC at Intel Bangalore Day 3</t>
  </si>
  <si>
    <t>ODC On 17 April 2024</t>
  </si>
  <si>
    <t>Nizam Club Hyderabad</t>
  </si>
  <si>
    <t>Dr Mrudula</t>
  </si>
  <si>
    <t>Delicery of CB on 23/4/2024</t>
  </si>
  <si>
    <t>ODC at Airforce Academy, Dundigal</t>
  </si>
  <si>
    <t>Aneesh Agarwal</t>
  </si>
  <si>
    <t>ODC weekly 2-3 days based on survey order</t>
  </si>
  <si>
    <t>Johndeer</t>
  </si>
  <si>
    <t xml:space="preserve">Sumatra Infracon </t>
  </si>
  <si>
    <t>Bhanu</t>
  </si>
  <si>
    <t>Introduction to bulk order and Gifting</t>
  </si>
  <si>
    <t>IMI Mobiles</t>
  </si>
  <si>
    <t>Pavan</t>
  </si>
  <si>
    <t xml:space="preserve">Introduction to team lunch </t>
  </si>
  <si>
    <t>Apollo College of Pharmacy</t>
  </si>
  <si>
    <t>Anwar</t>
  </si>
  <si>
    <t>Introduction to bulk order</t>
  </si>
  <si>
    <t>Tech Mahindra</t>
  </si>
  <si>
    <t>Mohsin</t>
  </si>
  <si>
    <t>Introduction to bulk orders</t>
  </si>
  <si>
    <t>ODC at Intel Bangalore Day 4</t>
  </si>
  <si>
    <t>ODC On 18 April 2024</t>
  </si>
  <si>
    <t>Delivery at Accenture Bangalore</t>
  </si>
  <si>
    <t>Delivered 75CB and 25VB from HSR Branch</t>
  </si>
  <si>
    <t>ODC at JP Morgan Bangalore</t>
  </si>
  <si>
    <t>ODC on 19 April 2024</t>
  </si>
  <si>
    <t>Sailesh Kumar Dash</t>
  </si>
  <si>
    <t>Introduction to Bulk Order at Bangalore</t>
  </si>
  <si>
    <t>ODC at Intel Bangalore Day 5</t>
  </si>
  <si>
    <t>ODC On 19 April 2024</t>
  </si>
  <si>
    <t>Brain Box Media Solutions</t>
  </si>
  <si>
    <t>Mr. Vivek</t>
  </si>
  <si>
    <t>Introduction to bulk delivery in events</t>
  </si>
  <si>
    <t>Crystal Events</t>
  </si>
  <si>
    <t>Mr. Shasha</t>
  </si>
  <si>
    <t>Verni Events</t>
  </si>
  <si>
    <t>Mr. Rakesh Naidu</t>
  </si>
  <si>
    <t>Pixemo Studios ( Wedding Event Organizer)</t>
  </si>
  <si>
    <t>Aswin Kumar.</t>
  </si>
  <si>
    <t>E'Blitz Events</t>
  </si>
  <si>
    <t>Amit Melven</t>
  </si>
  <si>
    <t>Pipedipper Events</t>
  </si>
  <si>
    <t>Ms. Sara Lobo</t>
  </si>
  <si>
    <t>Intertrust Group</t>
  </si>
  <si>
    <t>Discussion about stall in their cafateria and bulk delivery</t>
  </si>
  <si>
    <t>BDO Rise Pvt LTD</t>
  </si>
  <si>
    <t>Shared introduction about bulk delivery and ODC</t>
  </si>
  <si>
    <t>Mphasis</t>
  </si>
  <si>
    <t>Introduction to bulk delivery for team lunch</t>
  </si>
  <si>
    <t>Show time events</t>
  </si>
  <si>
    <t>Mr.Boris G.Felsinger</t>
  </si>
  <si>
    <t>UM Freshworks(Compass Group)</t>
  </si>
  <si>
    <t>Relationship call</t>
  </si>
  <si>
    <t>Whatfix</t>
  </si>
  <si>
    <t>Manikandan</t>
  </si>
  <si>
    <t>Introduction to Bulk order and ODC</t>
  </si>
  <si>
    <t>Khatabook</t>
  </si>
  <si>
    <t>Sanjeev</t>
  </si>
  <si>
    <t>E2 Technologies</t>
  </si>
  <si>
    <t>Ravindra</t>
  </si>
  <si>
    <t>Techasoft</t>
  </si>
  <si>
    <t>KPMG</t>
  </si>
  <si>
    <t>Santosh Kamath</t>
  </si>
  <si>
    <t>ODC On 24 April 2024, Discussed for bulk order PAN India offices</t>
  </si>
  <si>
    <t>Ratan</t>
  </si>
  <si>
    <t>Introduction and follow up for further ODC, Relationship Call</t>
  </si>
  <si>
    <t>Delivery of Special CB &amp; MB Handi on 24 April 2024 and Relationship call</t>
  </si>
  <si>
    <t>Pramod</t>
  </si>
  <si>
    <t>Relationship call and followup for upcoming ODC</t>
  </si>
  <si>
    <t>Delivery at Renova Soumya Hospital, Hyderabad</t>
  </si>
  <si>
    <t>Delivery of CB and MB from Malkajgiri store on 30 April 2024</t>
  </si>
  <si>
    <t>HP</t>
  </si>
  <si>
    <t>Bala</t>
  </si>
  <si>
    <t>Introduction for Bulk delivery and ODC</t>
  </si>
  <si>
    <t>Onsurity Technologies</t>
  </si>
  <si>
    <t>Accenture Services</t>
  </si>
  <si>
    <t>Harsha</t>
  </si>
  <si>
    <t>JNC Masjid stall</t>
  </si>
  <si>
    <t>ODC</t>
  </si>
  <si>
    <t>Introduscion and discussion on Better location</t>
  </si>
  <si>
    <t xml:space="preserve">IBM </t>
  </si>
  <si>
    <t>Krunal</t>
  </si>
  <si>
    <t>Vishal</t>
  </si>
  <si>
    <t>Delivery Biryani kit on 5 May 2024</t>
  </si>
  <si>
    <t>inflow technologies</t>
  </si>
  <si>
    <t>Najeebunnisa</t>
  </si>
  <si>
    <t>Nagaaro.</t>
  </si>
  <si>
    <t>Balesh Singh</t>
  </si>
  <si>
    <t>softtech solutions</t>
  </si>
  <si>
    <t xml:space="preserve"> Pratap</t>
  </si>
  <si>
    <t>Delivery at Nampally</t>
  </si>
  <si>
    <t>Ekbal</t>
  </si>
  <si>
    <t>MB and CB Delivery from Masabtank Branch on 29 April 2024</t>
  </si>
  <si>
    <t>Delivery at Maradpally</t>
  </si>
  <si>
    <t>Sharmila</t>
  </si>
  <si>
    <t>Delivery of CB on 1 May 2024</t>
  </si>
  <si>
    <t>ODC On 29 April 2024,</t>
  </si>
  <si>
    <t>SS&amp;C Fintech Services</t>
  </si>
  <si>
    <t>Discussion for corporate ID Card offer and bulk order</t>
  </si>
  <si>
    <t>Dilevery at BHEL</t>
  </si>
  <si>
    <t xml:space="preserve">Ajay </t>
  </si>
  <si>
    <t>Introduction to gifting and bulk order</t>
  </si>
  <si>
    <t>Revolution</t>
  </si>
  <si>
    <t>Sears</t>
  </si>
  <si>
    <t>Anurag</t>
  </si>
  <si>
    <t>Introduction to team lunch</t>
  </si>
  <si>
    <t>Xylinx</t>
  </si>
  <si>
    <t>Haripriya</t>
  </si>
  <si>
    <t>Delivery at Omega  Hospitals Gachibowli</t>
  </si>
  <si>
    <t>Delivery of CB on 3 May 2024</t>
  </si>
  <si>
    <t>Delivery at west Maradpally</t>
  </si>
  <si>
    <t>Delivery of CB Handi on 3 May 2024</t>
  </si>
  <si>
    <t>Advanta Seeds</t>
  </si>
  <si>
    <t>Minna Rao</t>
  </si>
  <si>
    <t>food delivery at farmers meet</t>
  </si>
  <si>
    <t xml:space="preserve">Model N </t>
  </si>
  <si>
    <t>Delivery from Electronic City</t>
  </si>
  <si>
    <t>Shared quote for CB for 5 May 2024</t>
  </si>
  <si>
    <t>Quadrangle</t>
  </si>
  <si>
    <t>Preeti</t>
  </si>
  <si>
    <t>Lords School</t>
  </si>
  <si>
    <t>Kondarao</t>
  </si>
  <si>
    <t>Introduction to bulk order and ODC</t>
  </si>
  <si>
    <t>Maharshi School</t>
  </si>
  <si>
    <t>TATA Communications</t>
  </si>
  <si>
    <t>Aravind</t>
  </si>
  <si>
    <t>Delivery of MB on 5 May 2024 from BHEL Branch</t>
  </si>
  <si>
    <t>Delivery of CB at Malkajgiri</t>
  </si>
  <si>
    <t>Brahma</t>
  </si>
  <si>
    <t>Delivery of CB on 5 May 2024</t>
  </si>
  <si>
    <t>Kamineni Hospitals</t>
  </si>
  <si>
    <t>Priyabatra</t>
  </si>
  <si>
    <t>Delivery of CB for doctors meet on 9-5-2024</t>
  </si>
  <si>
    <t>Delivery at Electronic City</t>
  </si>
  <si>
    <t>Edwin</t>
  </si>
  <si>
    <t>Delivery On 7 May 2024</t>
  </si>
  <si>
    <t>Delivery at KPHB</t>
  </si>
  <si>
    <t>Naresh</t>
  </si>
  <si>
    <t>Delivery of CB on 7 May 2024</t>
  </si>
  <si>
    <t>Kapil Chit funds</t>
  </si>
  <si>
    <t>Introduction to bulk order for sales meet</t>
  </si>
  <si>
    <t>Omni Hospitals</t>
  </si>
  <si>
    <t>Introduction to bulk order for Doctors</t>
  </si>
  <si>
    <t>Delivery of Special CB &amp; MB Handi on 8 May 2024</t>
  </si>
  <si>
    <t>Vision Degree College</t>
  </si>
  <si>
    <t>Danaiah</t>
  </si>
  <si>
    <t>HDFC BanK Ltd</t>
  </si>
  <si>
    <t>Bala Showry</t>
  </si>
  <si>
    <t>Intoroduction to team lunch and bulk food delivery</t>
  </si>
  <si>
    <t>JB Infra Group</t>
  </si>
  <si>
    <t>Introduction to client lunch and gifting</t>
  </si>
  <si>
    <t>I20 Fever</t>
  </si>
  <si>
    <t>Archana Kancharla</t>
  </si>
  <si>
    <t>SBI Card</t>
  </si>
  <si>
    <t>Poulami</t>
  </si>
  <si>
    <t>Discussion regarding team lunch on 18 May 2024</t>
  </si>
  <si>
    <t>Pride Motors</t>
  </si>
  <si>
    <t>Shivshankar</t>
  </si>
  <si>
    <t>Reliance Trends</t>
  </si>
  <si>
    <t>Durga Reddy</t>
  </si>
  <si>
    <t>Chandramouli Electricals</t>
  </si>
  <si>
    <t>Wipro FMCG</t>
  </si>
  <si>
    <t>Harshita</t>
  </si>
  <si>
    <t>Shared quote for employee benefit gift vouchers for their Dealers</t>
  </si>
  <si>
    <t>Sohail</t>
  </si>
  <si>
    <t>Shared quote for CB Handi</t>
  </si>
  <si>
    <t>Astral Pipes</t>
  </si>
  <si>
    <t>Srini</t>
  </si>
  <si>
    <t>Shared details about gifting coupons</t>
  </si>
  <si>
    <t xml:space="preserve">Siemens </t>
  </si>
  <si>
    <t>Omnimed</t>
  </si>
  <si>
    <t xml:space="preserve">Isha </t>
  </si>
  <si>
    <t>Chepyala Publication</t>
  </si>
  <si>
    <t>Chari</t>
  </si>
  <si>
    <t>CB delivery on 13 May 2024 from Masabtank</t>
  </si>
  <si>
    <t>Infosys</t>
  </si>
  <si>
    <t>CB delivery on 31 May 2024</t>
  </si>
  <si>
    <t xml:space="preserve">MSN Labs </t>
  </si>
  <si>
    <t>50% Advance Received</t>
  </si>
  <si>
    <t>Gati Logistics</t>
  </si>
  <si>
    <t>Fayaz</t>
  </si>
  <si>
    <t>Shared details of team lunch</t>
  </si>
  <si>
    <t>Delivery of CB &amp; VB  on 13 May 2024</t>
  </si>
  <si>
    <t>Jainam Events</t>
  </si>
  <si>
    <t>Nexus Solutions</t>
  </si>
  <si>
    <t>Lakshmi Enterprice Ahmedabad</t>
  </si>
  <si>
    <t>corporate</t>
  </si>
  <si>
    <t>Ravindar</t>
  </si>
  <si>
    <t xml:space="preserve">Shared Quotation for biryani kit </t>
  </si>
  <si>
    <t>NIT Warangal</t>
  </si>
  <si>
    <t>Rohit Guna</t>
  </si>
  <si>
    <t>Big C Hanmakonda</t>
  </si>
  <si>
    <t>Introduction to bulk orders and gifting</t>
  </si>
  <si>
    <t>Airtel Warangal</t>
  </si>
  <si>
    <t>Babji Rao</t>
  </si>
  <si>
    <t>HDFC Life</t>
  </si>
  <si>
    <t>Introduction to team lunch and gifting</t>
  </si>
  <si>
    <t>ODC at SRM Univercity Vizag</t>
  </si>
  <si>
    <t>Shared quote for Biryani</t>
  </si>
  <si>
    <t>Delivery of Special CB &amp; MB Handi on 15 May 2024</t>
  </si>
  <si>
    <t>Yathapu Consulting</t>
  </si>
  <si>
    <t>Pradeep Reddy</t>
  </si>
  <si>
    <t>Ratna Globaltech Solutions</t>
  </si>
  <si>
    <t>Elisha</t>
  </si>
  <si>
    <t>Shivashakti</t>
  </si>
  <si>
    <t>Firoz</t>
  </si>
  <si>
    <t>KCM Petrotech</t>
  </si>
  <si>
    <t>K Srinivas</t>
  </si>
  <si>
    <t>Padmavathi</t>
  </si>
  <si>
    <t>Delivery on 17 May 2024</t>
  </si>
  <si>
    <t>Sahel</t>
  </si>
  <si>
    <t>Delivery of MB on 15 May 2024</t>
  </si>
  <si>
    <t>Edvin</t>
  </si>
  <si>
    <t>Delivery of CB on 15 May 2024</t>
  </si>
  <si>
    <t>Cosmol Energy</t>
  </si>
  <si>
    <t>Kaleem</t>
  </si>
  <si>
    <t>Param Info</t>
  </si>
  <si>
    <t>Franklin Templeton</t>
  </si>
  <si>
    <t>Introduction to team lunch &amp; ODC</t>
  </si>
  <si>
    <t>ICICI Lombard</t>
  </si>
  <si>
    <t>Fatima</t>
  </si>
  <si>
    <t>Jazeel</t>
  </si>
  <si>
    <t>Genpact</t>
  </si>
  <si>
    <t>Manish Mittal</t>
  </si>
  <si>
    <t xml:space="preserve">Introduction to bulk food delivery </t>
  </si>
  <si>
    <t xml:space="preserve">Columbus Logo Solutions </t>
  </si>
  <si>
    <t>Renicare Pharma</t>
  </si>
  <si>
    <t>Lakshmi Gatla</t>
  </si>
  <si>
    <t>Introduction to bulk orders and team lunch</t>
  </si>
  <si>
    <t>Celkon</t>
  </si>
  <si>
    <t>Lalith</t>
  </si>
  <si>
    <t>Maha Technologies</t>
  </si>
  <si>
    <t>Latiff</t>
  </si>
  <si>
    <t>Madhava</t>
  </si>
  <si>
    <t xml:space="preserve">Introductoion to bulk delivery in </t>
  </si>
  <si>
    <t>Delivery at Gandhi Hospital</t>
  </si>
  <si>
    <t>Hospital</t>
  </si>
  <si>
    <t>Delivery on 30 May 2024</t>
  </si>
  <si>
    <t>Take away from Masab Tank</t>
  </si>
  <si>
    <t>Trevor Gonsalves</t>
  </si>
  <si>
    <t>Take away of Mutton Biryani &amp; Haleem</t>
  </si>
  <si>
    <t>Freakuts Adventure Club</t>
  </si>
  <si>
    <t>Harish Negi</t>
  </si>
  <si>
    <t>discussion of food delivery to adventure camps and touring groups</t>
  </si>
  <si>
    <t>Soundlines Consultency</t>
  </si>
  <si>
    <t>Yusufzau</t>
  </si>
  <si>
    <t>Introduction to bulk food delivery</t>
  </si>
  <si>
    <t>Factset</t>
  </si>
  <si>
    <t>Yogesh</t>
  </si>
  <si>
    <t>Introduction to bulk delivery of food and snacks</t>
  </si>
  <si>
    <t>Realvision Infra Projects</t>
  </si>
  <si>
    <t>Yella Krishna</t>
  </si>
  <si>
    <t>Introduction to bulk order and gifting</t>
  </si>
  <si>
    <t>Delivery of Special CB &amp; MB Handi on 22 May 2024</t>
  </si>
  <si>
    <t>RC Oxygen Valley</t>
  </si>
  <si>
    <t>Sasntosh</t>
  </si>
  <si>
    <t>Shared information about bulk foold delivery at property sights</t>
  </si>
  <si>
    <t>Lotus LAP Academy</t>
  </si>
  <si>
    <t>Ramprasad</t>
  </si>
  <si>
    <t>Introduction to bulk food orders</t>
  </si>
  <si>
    <t>Insuraksha</t>
  </si>
  <si>
    <t>Bharath Anand</t>
  </si>
  <si>
    <t>Habeeb</t>
  </si>
  <si>
    <t>Shared quote for delivery of MB on 26 May 2024</t>
  </si>
  <si>
    <t>Crescent IT Solutions</t>
  </si>
  <si>
    <t>Kalpana</t>
  </si>
  <si>
    <t>Delivery at Motinagar</t>
  </si>
  <si>
    <t>Meghana</t>
  </si>
  <si>
    <t>Delivery of CB on 23 May 2024</t>
  </si>
  <si>
    <t>Budget Constrain</t>
  </si>
  <si>
    <t>St Pauls School, Nadergul</t>
  </si>
  <si>
    <t>Tata Advance Systems Bangalore</t>
  </si>
  <si>
    <t>Swaminathan</t>
  </si>
  <si>
    <t>Introduction to bulk delivery</t>
  </si>
  <si>
    <t>No plans as of now</t>
  </si>
  <si>
    <t>Moog Inc Bangalore</t>
  </si>
  <si>
    <t>Dilevery at West Maradpally</t>
  </si>
  <si>
    <t>Alekhya</t>
  </si>
  <si>
    <t>Delivery on 25 May 2024</t>
  </si>
  <si>
    <t>New Edge Consultancy</t>
  </si>
  <si>
    <t>Aarthi</t>
  </si>
  <si>
    <t>Delivery on 31 May 2024</t>
  </si>
  <si>
    <t>American Pathology</t>
  </si>
  <si>
    <t>TRS Future Green</t>
  </si>
  <si>
    <t>Introduction to corporate Gifting</t>
  </si>
  <si>
    <t>ODC at KPMG Bangalore</t>
  </si>
  <si>
    <t>ODC on 29 May 2024</t>
  </si>
  <si>
    <t>Satguru Management</t>
  </si>
  <si>
    <t>Introduction to team outing</t>
  </si>
  <si>
    <t>CH2M</t>
  </si>
  <si>
    <t>Lakshmi Pillai</t>
  </si>
  <si>
    <t>Brihaspati Technologies</t>
  </si>
  <si>
    <t>Cipla Vitals</t>
  </si>
  <si>
    <t>G Pullareddy Group</t>
  </si>
  <si>
    <t>Delivery of Veg Biryani on 25 May 2024</t>
  </si>
  <si>
    <t>they require 1000 VB on a very short notice</t>
  </si>
  <si>
    <t>Aurobindo Realty</t>
  </si>
  <si>
    <t xml:space="preserve">Prakash </t>
  </si>
  <si>
    <t>Take away of CB from Muthangi</t>
  </si>
  <si>
    <t xml:space="preserve">Delivery at Saroornagar </t>
  </si>
  <si>
    <t>Swati</t>
  </si>
  <si>
    <t>Delivery of CB on 27 May 2024</t>
  </si>
  <si>
    <t>Delivery of CB on 28 May 2024</t>
  </si>
  <si>
    <t>Delivery of Special CB &amp; MB Handi on 29 May 2024</t>
  </si>
  <si>
    <t>Himaja</t>
  </si>
  <si>
    <t>Delivery of  Biryani on 1 June 2024</t>
  </si>
  <si>
    <t>Delhi Public School</t>
  </si>
  <si>
    <t xml:space="preserve">Delivery of bulk food </t>
  </si>
  <si>
    <t>Tekfriday</t>
  </si>
  <si>
    <t>Introduction to Bulk order</t>
  </si>
  <si>
    <t>Delivery of CB on 3 June 2024</t>
  </si>
  <si>
    <t>Quomatic Solutions</t>
  </si>
  <si>
    <t>24 By 7</t>
  </si>
  <si>
    <t>Chakravarti</t>
  </si>
  <si>
    <t>Ace Online</t>
  </si>
  <si>
    <t>Deccan Trails</t>
  </si>
  <si>
    <t>Cyril Richards</t>
  </si>
  <si>
    <t>supply of food at adventure camps</t>
  </si>
  <si>
    <t>Lotus Lap Group of Schools</t>
  </si>
  <si>
    <t>Srinivas Reddy</t>
  </si>
  <si>
    <t>Narayana Academy</t>
  </si>
  <si>
    <t>Yadagiri</t>
  </si>
  <si>
    <t>Bulk delivery of food in their functions</t>
  </si>
  <si>
    <t>Avinash College of Commerce</t>
  </si>
  <si>
    <t>Bulk delivery at college functions</t>
  </si>
  <si>
    <t>Delivery at Yapral</t>
  </si>
  <si>
    <t>Sushanta</t>
  </si>
  <si>
    <t>Delivery of CB and VB on 18 June 2024</t>
  </si>
  <si>
    <t>Shailesh</t>
  </si>
  <si>
    <t>B4S</t>
  </si>
  <si>
    <t>Citizen Cooperative Society Funds</t>
  </si>
  <si>
    <t>Avinash</t>
  </si>
  <si>
    <t>Rishi Jr College</t>
  </si>
  <si>
    <t>Babul Reddy</t>
  </si>
  <si>
    <t xml:space="preserve">PTNSU Biotech </t>
  </si>
  <si>
    <t>PATYM</t>
  </si>
  <si>
    <t xml:space="preserve">HP </t>
  </si>
  <si>
    <t>Sanjana</t>
  </si>
  <si>
    <t>Enjoy Travels</t>
  </si>
  <si>
    <t>Introduction to bulk delivery for travallers</t>
  </si>
  <si>
    <t xml:space="preserve"> Travelkhana</t>
  </si>
  <si>
    <t>Desraj Singh</t>
  </si>
  <si>
    <t>Delivery at Secundrabad on 2 June 2024</t>
  </si>
  <si>
    <t>Osmania Univercity</t>
  </si>
  <si>
    <t>Alacriti</t>
  </si>
  <si>
    <t>Padmaja</t>
  </si>
  <si>
    <t>delivery of CB on 5 June 2024</t>
  </si>
  <si>
    <t>Delivery on 6 June 2024</t>
  </si>
  <si>
    <t>Rockwell</t>
  </si>
  <si>
    <t>Damodar</t>
  </si>
  <si>
    <t>Cyient LTD</t>
  </si>
  <si>
    <t>Vardachary</t>
  </si>
  <si>
    <t>Annie Basant JR college</t>
  </si>
  <si>
    <t>Dayakar</t>
  </si>
  <si>
    <t>Bulk delivery of food in college fest</t>
  </si>
  <si>
    <t>Jeevanjor</t>
  </si>
  <si>
    <t>Hanumaprasads</t>
  </si>
  <si>
    <t>Gifting of food coupons for dealers</t>
  </si>
  <si>
    <t>Delivery at electronic city</t>
  </si>
  <si>
    <t>Sindhu</t>
  </si>
  <si>
    <t>Take away CB on 4 June 2024</t>
  </si>
  <si>
    <t>Followup and relationship call</t>
  </si>
  <si>
    <t>Sakshi TV</t>
  </si>
  <si>
    <t>Media &amp; TV</t>
  </si>
  <si>
    <t xml:space="preserve">Delivery of CB on 4 june 2024 at Sakshi TV </t>
  </si>
  <si>
    <t>Fybros</t>
  </si>
  <si>
    <t>Kallol</t>
  </si>
  <si>
    <t>Introduction to corporate gifting</t>
  </si>
  <si>
    <t>Planit Testing India</t>
  </si>
  <si>
    <t>Kranthi</t>
  </si>
  <si>
    <t>Planning 500 pax HI Tea on 12 June 2024</t>
  </si>
  <si>
    <t>Delivery of Special CB &amp; MB Handi on 5 June 2024</t>
  </si>
  <si>
    <t>Pavan Reddy</t>
  </si>
  <si>
    <t>Take away of CB from Malkajgiri on 4th June</t>
  </si>
  <si>
    <t>Saga Events &amp; Holidays</t>
  </si>
  <si>
    <t>Vikram</t>
  </si>
  <si>
    <t>Dine in at Heritage on 6 June 2024</t>
  </si>
  <si>
    <t>Delivery at Peerzadiguda</t>
  </si>
  <si>
    <t>Shahnaz</t>
  </si>
  <si>
    <t>Delivery of CB on 6 June 2024</t>
  </si>
  <si>
    <t>Shadan College</t>
  </si>
  <si>
    <t>Brodridge</t>
  </si>
  <si>
    <t>Zaheda</t>
  </si>
  <si>
    <t>Yugandhar</t>
  </si>
  <si>
    <t xml:space="preserve">Introduction to bulk delivery </t>
  </si>
  <si>
    <t>Yukta Entertainment</t>
  </si>
  <si>
    <t>Saradhi Babu</t>
  </si>
  <si>
    <t>Delivery for events</t>
  </si>
  <si>
    <t>Celio Labs</t>
  </si>
  <si>
    <t>Yojna</t>
  </si>
  <si>
    <t>Corporate gifting and Bulk orders</t>
  </si>
  <si>
    <t>Ultratech Group</t>
  </si>
  <si>
    <t>Dine in of 1200 pax on 14 July 2024</t>
  </si>
  <si>
    <t>MSN Lab</t>
  </si>
  <si>
    <t>Zen Travels</t>
  </si>
  <si>
    <t>Fahim</t>
  </si>
  <si>
    <t>Global Junior Collehe</t>
  </si>
  <si>
    <t>Farhan</t>
  </si>
  <si>
    <t>Mindtree</t>
  </si>
  <si>
    <t>Delivery at Manikonda</t>
  </si>
  <si>
    <t>Maroof</t>
  </si>
  <si>
    <t>delivery of CB on 15 June 2024</t>
  </si>
  <si>
    <t xml:space="preserve">No response from client </t>
  </si>
  <si>
    <t>IBM Mindspace</t>
  </si>
  <si>
    <t>Delivery of CB on 14 June 2024</t>
  </si>
  <si>
    <t>CGHS Hospital</t>
  </si>
  <si>
    <t>Durga Prasad</t>
  </si>
  <si>
    <t>Delivery of CB on 13 June 2024</t>
  </si>
  <si>
    <t>Mankind Pharma</t>
  </si>
  <si>
    <t>Deliovery of CB on 14 June 2024</t>
  </si>
  <si>
    <t>Delivery of Special CB &amp; MB Handi on 12 June 2024</t>
  </si>
  <si>
    <t>Delivery on 14 June 2024 from Silparamam</t>
  </si>
  <si>
    <t>Take away fron RTC</t>
  </si>
  <si>
    <t>Hadassah</t>
  </si>
  <si>
    <t>Take away MB from RTC on 16 June 2024</t>
  </si>
  <si>
    <t>Delivery of CB on 16 June 2024</t>
  </si>
  <si>
    <t>Compass Group</t>
  </si>
  <si>
    <t>Discussion regarding ODC and Food Counter</t>
  </si>
  <si>
    <t>Quislex Legal Services</t>
  </si>
  <si>
    <t>Prakrita</t>
  </si>
  <si>
    <t>Introduction to Bulk Orders</t>
  </si>
  <si>
    <t>Vidya</t>
  </si>
  <si>
    <t>Arun kumar</t>
  </si>
  <si>
    <t>Adanui Willmar</t>
  </si>
  <si>
    <t>Hanumanth</t>
  </si>
  <si>
    <t>Introduction to Bulk orders</t>
  </si>
  <si>
    <t>Delivery of CB on 19 June 202</t>
  </si>
  <si>
    <t>Delivery at Narsingi</t>
  </si>
  <si>
    <t>Kishore</t>
  </si>
  <si>
    <t>Delivery of CB on 19 June 2024</t>
  </si>
  <si>
    <t>Legend Chimes</t>
  </si>
  <si>
    <t>Delivery from from Gachibowl 18 June 2024</t>
  </si>
  <si>
    <t>Dine in at secundrabad in July</t>
  </si>
  <si>
    <t xml:space="preserve">Adarsh Foundation </t>
  </si>
  <si>
    <t>Zakia</t>
  </si>
  <si>
    <t>Introduction to Team Lunch for students.</t>
  </si>
  <si>
    <t>Capital IQ</t>
  </si>
  <si>
    <t>Delivery of Special CB &amp; MB Handi on 19 June 2024</t>
  </si>
  <si>
    <t>Shloka Group</t>
  </si>
  <si>
    <t>Don Bosco</t>
  </si>
  <si>
    <t>Thomas</t>
  </si>
  <si>
    <t>Introduction of bulk delivery in events</t>
  </si>
  <si>
    <t>CA Technologies</t>
  </si>
  <si>
    <t>Introduction to team Lunch</t>
  </si>
  <si>
    <t>Fiyaz</t>
  </si>
  <si>
    <t>Delivery at Sun City</t>
  </si>
  <si>
    <t>Rajani</t>
  </si>
  <si>
    <t>CB on 21 June 2024</t>
  </si>
  <si>
    <t>Hyperlink</t>
  </si>
  <si>
    <t>Anuja</t>
  </si>
  <si>
    <t>Delivery of cb on 24 June 2024</t>
  </si>
  <si>
    <t>Medha Research</t>
  </si>
  <si>
    <t>LIC</t>
  </si>
  <si>
    <t>Hanumanthulu</t>
  </si>
  <si>
    <t>Hari</t>
  </si>
  <si>
    <t>Delivery at ICICI Towers</t>
  </si>
  <si>
    <t>Delivery of CB on 20 June 2024</t>
  </si>
  <si>
    <t xml:space="preserve">collected details about permanent counter </t>
  </si>
  <si>
    <t xml:space="preserve">Bhanu </t>
  </si>
  <si>
    <t>Delivered CB 26 June 2024</t>
  </si>
  <si>
    <t>Agarwal Eye Hospital</t>
  </si>
  <si>
    <t>Babulal</t>
  </si>
  <si>
    <t>Introduction to bulk orders and ODC</t>
  </si>
  <si>
    <t>Cogniti</t>
  </si>
  <si>
    <t>Balakishore</t>
  </si>
  <si>
    <t>Academic Heights</t>
  </si>
  <si>
    <t>Deepa</t>
  </si>
  <si>
    <t>Bulk order on 9th July</t>
  </si>
  <si>
    <t>Nagarjuna Cements</t>
  </si>
  <si>
    <t>Ramco Cement</t>
  </si>
  <si>
    <t>Sriram</t>
  </si>
  <si>
    <t xml:space="preserve">Amazon </t>
  </si>
  <si>
    <t>L&amp;T Cement</t>
  </si>
  <si>
    <t>Hanumanth Rao</t>
  </si>
  <si>
    <t>Introduction to bulk order and corporate gifting</t>
  </si>
  <si>
    <t>Sudarshan Labs</t>
  </si>
  <si>
    <t>Hanuman Reddy</t>
  </si>
  <si>
    <t>Sagarsoft</t>
  </si>
  <si>
    <t>Follow up and delivery of CB for team lunch</t>
  </si>
  <si>
    <t>Followup for payment and further orders</t>
  </si>
  <si>
    <t>K2K Holidays Bhopal</t>
  </si>
  <si>
    <t>Exclusive Holidays</t>
  </si>
  <si>
    <t>Introduction to bulk delivery for travel group</t>
  </si>
  <si>
    <t>Gem Events</t>
  </si>
  <si>
    <t>Aatif Salman</t>
  </si>
  <si>
    <t xml:space="preserve">Introduction for bulk delivery in Events </t>
  </si>
  <si>
    <t>Delivery of Special CB &amp; MB Handi on 26 June 2024</t>
  </si>
  <si>
    <t>Vishwa Vishwani College</t>
  </si>
  <si>
    <t>bulk delivery in events</t>
  </si>
  <si>
    <t>Reliance Sceurities</t>
  </si>
  <si>
    <t>Team lunch and bulk orders</t>
  </si>
  <si>
    <t>Rocksalt HR</t>
  </si>
  <si>
    <t>St Maries Engg College Deshmukhi</t>
  </si>
  <si>
    <t>Carolina</t>
  </si>
  <si>
    <t>Aurbindo Pharma</t>
  </si>
  <si>
    <t>Followup for bulk orders</t>
  </si>
  <si>
    <t>Alliancepro</t>
  </si>
  <si>
    <t>Chamundeshwari</t>
  </si>
  <si>
    <t>Sumtotal Solutions</t>
  </si>
  <si>
    <t>Chandramouli</t>
  </si>
  <si>
    <t>Introduction to team lunch &amp; Bulk delivery</t>
  </si>
  <si>
    <t>K Fintech</t>
  </si>
  <si>
    <t>Delivery at Muthangi</t>
  </si>
  <si>
    <t>Sai Kiran</t>
  </si>
  <si>
    <t>Delivery of CB on 30 June 2024</t>
  </si>
  <si>
    <t>Coca-Cola</t>
  </si>
  <si>
    <t>Gautham Devineni</t>
  </si>
  <si>
    <t>Ozone Hospital</t>
  </si>
  <si>
    <t>Mahendra</t>
  </si>
  <si>
    <t>Take away at shamshabad</t>
  </si>
  <si>
    <t>Gopal</t>
  </si>
  <si>
    <t>Take away fron shamshabad on 30 June 2024</t>
  </si>
  <si>
    <t>Take Away from Secundrabad</t>
  </si>
  <si>
    <t>Amar</t>
  </si>
  <si>
    <t>Take away of CB on 29 June 2024</t>
  </si>
  <si>
    <t>Joy Foundation Orphanage</t>
  </si>
  <si>
    <t>NGO</t>
  </si>
  <si>
    <t>Siju Thomas</t>
  </si>
  <si>
    <t>Take away plum cake from Secbad on 1 July 2024</t>
  </si>
  <si>
    <t>Akruthi School</t>
  </si>
  <si>
    <t>Abbas</t>
  </si>
  <si>
    <t>Introduction to Bulk delivery at events</t>
  </si>
  <si>
    <t>Sai Vidyanikethan School</t>
  </si>
  <si>
    <t>Ekambarnath</t>
  </si>
  <si>
    <t>E Pam</t>
  </si>
  <si>
    <t>Emanuel</t>
  </si>
  <si>
    <t>Pedilite</t>
  </si>
  <si>
    <t>Eshwar</t>
  </si>
  <si>
    <t>Appian</t>
  </si>
  <si>
    <t>200 peoples lunch in chennai on 24 July 2024</t>
  </si>
  <si>
    <t>Binoy</t>
  </si>
  <si>
    <t>Delivery of MB From Kothapet</t>
  </si>
  <si>
    <t>Lourd Xaviour</t>
  </si>
  <si>
    <t>Dine in at Secundrabad in August</t>
  </si>
  <si>
    <t>Prime Hospital</t>
  </si>
  <si>
    <t>Bukl orders and delivery</t>
  </si>
  <si>
    <t>Vaishnavi Olympiad school</t>
  </si>
  <si>
    <t>Kabeer</t>
  </si>
  <si>
    <t>VIT</t>
  </si>
  <si>
    <t>Sudhan</t>
  </si>
  <si>
    <t>Shared details of 3000 pax ODC on 31 July 2024</t>
  </si>
  <si>
    <t>Delivery of Special CB &amp; MB Handi on 3 July 2024</t>
  </si>
  <si>
    <t>Walking Tree</t>
  </si>
  <si>
    <t>Vinay</t>
  </si>
  <si>
    <t>Shapoorji</t>
  </si>
  <si>
    <t>Vishwa</t>
  </si>
  <si>
    <t>Magoi Events</t>
  </si>
  <si>
    <t>Shared quote for 240 PAX in August</t>
  </si>
  <si>
    <t>PNB</t>
  </si>
  <si>
    <t>Pradeep</t>
  </si>
  <si>
    <t>Shared Details for team lunch</t>
  </si>
  <si>
    <t>NABARD</t>
  </si>
  <si>
    <t>N Prabhakar</t>
  </si>
  <si>
    <t>Shared deyails for team lunch</t>
  </si>
  <si>
    <t>HDFC</t>
  </si>
  <si>
    <t>Rainbow Hospitals</t>
  </si>
  <si>
    <t>Shared details regarding bulk supply of foods</t>
  </si>
  <si>
    <t>Standard Chartard Bank</t>
  </si>
  <si>
    <t>Biswa</t>
  </si>
  <si>
    <t>Delivered cb on 5 july 2024</t>
  </si>
  <si>
    <t>Verizon</t>
  </si>
  <si>
    <t>Bala Srinivas</t>
  </si>
  <si>
    <t>Sresta Naturals</t>
  </si>
  <si>
    <t>Byjus</t>
  </si>
  <si>
    <t>Balraj</t>
  </si>
  <si>
    <t>Delivery at Bangalore Airport</t>
  </si>
  <si>
    <t>Delivery of CB &amp; MB on 10 July 2024</t>
  </si>
  <si>
    <t>Delivery of Special CB &amp; MB Handi on 10 July 2024</t>
  </si>
  <si>
    <t>Physicswallah</t>
  </si>
  <si>
    <t>Shared quote for CB and VB for 500 PAX</t>
  </si>
  <si>
    <t>Delivery at Patancheru</t>
  </si>
  <si>
    <t>Sagarika</t>
  </si>
  <si>
    <t>Delivery of CB Handi on 14 July 2024</t>
  </si>
  <si>
    <t>Sanjay</t>
  </si>
  <si>
    <t>Delivery of VB and Starters</t>
  </si>
  <si>
    <t>Follow up call</t>
  </si>
  <si>
    <t>Delivery at Moosarambag</t>
  </si>
  <si>
    <t>Deva</t>
  </si>
  <si>
    <t>Buffet lunch for 600 people</t>
  </si>
  <si>
    <t>Delivery at rampally</t>
  </si>
  <si>
    <t>Delivery of Veg Chicken handi on 15 July 2024</t>
  </si>
  <si>
    <t>Fibros</t>
  </si>
  <si>
    <t>Take away at electronic city</t>
  </si>
  <si>
    <t>Umakant</t>
  </si>
  <si>
    <t>Take away of CB on 13 July 2024</t>
  </si>
  <si>
    <t>Kaushik Enterprise</t>
  </si>
  <si>
    <t>CB &amp; VB at Sky View &amp; Waverock on 18 July 2024</t>
  </si>
  <si>
    <t>Dine in at Secundrabad on 15 July</t>
  </si>
  <si>
    <t>Alliance Real Estate</t>
  </si>
  <si>
    <t>Udaykiran</t>
  </si>
  <si>
    <t>Delivery of CB at Tellapur on 20 &amp; 21 July 2024</t>
  </si>
  <si>
    <t>Elecrronic Arts</t>
  </si>
  <si>
    <t>Murali</t>
  </si>
  <si>
    <t xml:space="preserve">Dine in at Shilparaman on 19 July 2023 </t>
  </si>
  <si>
    <t>Sriram Bio Seeds</t>
  </si>
  <si>
    <t>Concentrix</t>
  </si>
  <si>
    <t>Delivery of Special CB &amp; MB Handi on 17 July 2024</t>
  </si>
  <si>
    <t>Bishal</t>
  </si>
  <si>
    <t>Shared quote for dine in at secbad</t>
  </si>
  <si>
    <t>My Holidays</t>
  </si>
  <si>
    <t>Shared details of dine in and delivery for travellers</t>
  </si>
  <si>
    <t>JP Morgan Argus</t>
  </si>
  <si>
    <t>Murthy</t>
  </si>
  <si>
    <t>Intro to bulk order</t>
  </si>
  <si>
    <t>Chandrasekhar</t>
  </si>
  <si>
    <t>Delivery of CB on 19 July 2024</t>
  </si>
  <si>
    <t>Delivery at Gachibowli GAAR Building</t>
  </si>
  <si>
    <t>Pravin</t>
  </si>
  <si>
    <t>Delivery of CB handi on 19 July 2024</t>
  </si>
  <si>
    <t>Page School</t>
  </si>
  <si>
    <t>kalpana</t>
  </si>
  <si>
    <t>Delivery of CB and VB on October 2024</t>
  </si>
  <si>
    <t>Kapil Chit funds, Vanasthalipuram</t>
  </si>
  <si>
    <t>Chakrhi</t>
  </si>
  <si>
    <t>Siddhartha Grammar school</t>
  </si>
  <si>
    <t>Krishna Rao</t>
  </si>
  <si>
    <t>Tata Advance System Adibatla</t>
  </si>
  <si>
    <t>Simon</t>
  </si>
  <si>
    <t>Fauza</t>
  </si>
  <si>
    <t>Delivery of CB on 22 July 2024</t>
  </si>
  <si>
    <t>Delivery at Madhapur</t>
  </si>
  <si>
    <t xml:space="preserve">Rajendra </t>
  </si>
  <si>
    <t>Delivery of cb on 24 July 2024</t>
  </si>
  <si>
    <t>Hanuma Prasad</t>
  </si>
  <si>
    <t>Introduction to bulk delivery and gifting</t>
  </si>
  <si>
    <t>JSR Group</t>
  </si>
  <si>
    <t>Gangaram</t>
  </si>
  <si>
    <t>Delivery of Special CB &amp; MB Handi on 24 July 2024</t>
  </si>
  <si>
    <t>Roush Pharma</t>
  </si>
  <si>
    <t>Shivendu</t>
  </si>
  <si>
    <t>CB &amp; DKM from Begumpet on 25 July 2024</t>
  </si>
  <si>
    <t>GPR Solutions</t>
  </si>
  <si>
    <t>Delivery from Marathalli on 29 July 2024</t>
  </si>
  <si>
    <t>Delivery of Special CB &amp; MB Handi on 31 July 2024</t>
  </si>
  <si>
    <t>Delivery at Tolichowki</t>
  </si>
  <si>
    <t>Samiuddin</t>
  </si>
  <si>
    <t>Delivery oc CB on 4 August  2024</t>
  </si>
  <si>
    <t>Samsung Semiconductors</t>
  </si>
  <si>
    <t>ODC at Samsung Bangalore</t>
  </si>
  <si>
    <t>Delivery at Tarnaka</t>
  </si>
  <si>
    <t>Melvin</t>
  </si>
  <si>
    <t>Delivery of CB and VB on 3 August 2024</t>
  </si>
  <si>
    <t>Mount opera</t>
  </si>
  <si>
    <t>Bhavya</t>
  </si>
  <si>
    <t>Supply of Biryani for students</t>
  </si>
  <si>
    <t>Delivery at Sithaphal Mandi</t>
  </si>
  <si>
    <t>Shashank</t>
  </si>
  <si>
    <t>Delivery of CB on 4 August 2024</t>
  </si>
  <si>
    <t>Delivery near Gandhi Hospital</t>
  </si>
  <si>
    <t>Venky</t>
  </si>
  <si>
    <t>Delivery of CB on 10 August 2024</t>
  </si>
  <si>
    <t>Proposal Discussion , food package for students</t>
  </si>
  <si>
    <t xml:space="preserve">Discussed the pricing of food </t>
  </si>
  <si>
    <t>Not profitable for permanent counter</t>
  </si>
  <si>
    <t>Delivery at Gaddinaram</t>
  </si>
  <si>
    <t>Natraj</t>
  </si>
  <si>
    <t>Delivery at Gaddiannaram on 4 August 2024</t>
  </si>
  <si>
    <t>Sankalp JR College</t>
  </si>
  <si>
    <t>Madhukar</t>
  </si>
  <si>
    <t>Take away from BHEL</t>
  </si>
  <si>
    <t>Raghuveer</t>
  </si>
  <si>
    <t>Take away of VB on 7 August 2024</t>
  </si>
  <si>
    <t>Buffet Lunch ODC at Madhapur</t>
  </si>
  <si>
    <t>Hrishi</t>
  </si>
  <si>
    <t>ODC at Madhapur on 12 October 2024</t>
  </si>
  <si>
    <t>Anchal</t>
  </si>
  <si>
    <t>Introduction to Food delivery</t>
  </si>
  <si>
    <t>Ashutosh Goyal</t>
  </si>
  <si>
    <t>Paradise Manikonda</t>
  </si>
  <si>
    <t>Deiscuuion with MD of Mount opera for supply of Biryani</t>
  </si>
  <si>
    <t>CR Fabric</t>
  </si>
  <si>
    <t>Raj</t>
  </si>
  <si>
    <t>Discussion of delivery and take away</t>
  </si>
  <si>
    <t>CA Academy Nanded</t>
  </si>
  <si>
    <t>Aurobindo Prarma</t>
  </si>
  <si>
    <t>Word and Deed School</t>
  </si>
  <si>
    <t>Venkat Ramana</t>
  </si>
  <si>
    <t>Delivery of Special CB &amp; MB Handi on 7 August 2024</t>
  </si>
  <si>
    <t>NMRIT College Ghatkesar</t>
  </si>
  <si>
    <t>Discussion for food supply in student fest</t>
  </si>
  <si>
    <t>Radha Krishna Toyota</t>
  </si>
  <si>
    <t>Aurora Engg College</t>
  </si>
  <si>
    <t>Balakrishna</t>
  </si>
  <si>
    <t>Infosys Campus Pocharam</t>
  </si>
  <si>
    <t>Synergies</t>
  </si>
  <si>
    <t>Jami</t>
  </si>
  <si>
    <t>UHG</t>
  </si>
  <si>
    <t>Aadi</t>
  </si>
  <si>
    <t>Shared quote for 20 CB Handi in September</t>
  </si>
  <si>
    <t>Fuddo</t>
  </si>
  <si>
    <t>Discussion on onboarding resturants on Fuddo</t>
  </si>
  <si>
    <t>Delivery not yet started</t>
  </si>
  <si>
    <t>Shared details of Bakery and Gifting items</t>
  </si>
  <si>
    <t>Dollow up for Bulk order</t>
  </si>
  <si>
    <t>Lancesoft</t>
  </si>
  <si>
    <t>110 Pax dinner on 30 August 2024</t>
  </si>
  <si>
    <t>Delivery at Kapra</t>
  </si>
  <si>
    <t>Karan</t>
  </si>
  <si>
    <t>Delivery of CB on 14 August 2024</t>
  </si>
  <si>
    <t>Delivery of MB and KKM on 14 August 2024</t>
  </si>
  <si>
    <t>Heavels India</t>
  </si>
  <si>
    <t>Gabbar</t>
  </si>
  <si>
    <t>Introduction to bulk ordwer</t>
  </si>
  <si>
    <t>Delivery of Special CB &amp; MB Handi on 14 August 2024</t>
  </si>
  <si>
    <t>Introduction to Team lunch and dilivery</t>
  </si>
  <si>
    <t>Gurudutta Travels</t>
  </si>
  <si>
    <t>Shared proposal for dine in for tourist</t>
  </si>
  <si>
    <t>No requoirement</t>
  </si>
  <si>
    <t>Titan</t>
  </si>
  <si>
    <t>Biju</t>
  </si>
  <si>
    <t>Shared details of Gifting for dealers</t>
  </si>
  <si>
    <t>ODC at Bharatnagar</t>
  </si>
  <si>
    <t>CB and MB in August</t>
  </si>
  <si>
    <t>Care Hospital Malakpet</t>
  </si>
  <si>
    <t>Kirmani</t>
  </si>
  <si>
    <t>Delivery of CB and VB on 21 August</t>
  </si>
  <si>
    <t>Introduction for bulk orders</t>
  </si>
  <si>
    <t>Vardhaman Engg College</t>
  </si>
  <si>
    <t>Planning ODC on 23 August , E Summit Event</t>
  </si>
  <si>
    <t>Cancelled due to less crowd</t>
  </si>
  <si>
    <t>Bangia Durga pooja , Gachibowli</t>
  </si>
  <si>
    <t>ODC Event in Durga Pooja</t>
  </si>
  <si>
    <t>Socio Cultural Association</t>
  </si>
  <si>
    <t>Somick</t>
  </si>
  <si>
    <t>Vishal Jain</t>
  </si>
  <si>
    <t>Introduction to team lunch and bulk delivery</t>
  </si>
  <si>
    <t>Upanna</t>
  </si>
  <si>
    <t>Take away of CM on 21 August 2024</t>
  </si>
  <si>
    <t>Vardhaman Engg College, Shamshabad</t>
  </si>
  <si>
    <t>Planning ODC on 23 August , E Summit Eventy</t>
  </si>
  <si>
    <t>Event was not profitable due to less crowd</t>
  </si>
  <si>
    <t>Seshu</t>
  </si>
  <si>
    <t>Planning for 70 pax team lunch in August</t>
  </si>
  <si>
    <t>MIT Hyderabad</t>
  </si>
  <si>
    <t>Planning for fest in August</t>
  </si>
  <si>
    <t>Less Participants</t>
  </si>
  <si>
    <t>Johnson Grammer School</t>
  </si>
  <si>
    <t xml:space="preserve">Citizen Cooperative Society </t>
  </si>
  <si>
    <t>Babita</t>
  </si>
  <si>
    <t>Delivery of Special CB &amp; MB Handi on 21 August 2024</t>
  </si>
  <si>
    <t>Take away from Secundrabad</t>
  </si>
  <si>
    <t>Kruthik</t>
  </si>
  <si>
    <t>Take away of MB and starters on 22 August 2024</t>
  </si>
  <si>
    <t>Wud Lam Gallery</t>
  </si>
  <si>
    <t>Introduction for gifting</t>
  </si>
  <si>
    <t>Wison Infotech</t>
  </si>
  <si>
    <t>Friends Jim</t>
  </si>
  <si>
    <t>Shared quote for CB on 25 August 2024</t>
  </si>
  <si>
    <t>JPMC</t>
  </si>
  <si>
    <t>2700 people bulk delivery in september</t>
  </si>
  <si>
    <t>Unable to deliver in Mumbai</t>
  </si>
  <si>
    <t>Bangia Durga pooja Association</t>
  </si>
  <si>
    <t>Jiban</t>
  </si>
  <si>
    <t>discussion regarding food counters in durga pandal</t>
  </si>
  <si>
    <t>MTAR</t>
  </si>
  <si>
    <t>Jagan</t>
  </si>
  <si>
    <t>Discussion about next PO to be raised for Nov</t>
  </si>
  <si>
    <t>Discussion about 2700 biryani, followup</t>
  </si>
  <si>
    <t>Take away from jublee hills</t>
  </si>
  <si>
    <t>Sowmya</t>
  </si>
  <si>
    <t>Take away of CB from jublee hills on 27 August 2024</t>
  </si>
  <si>
    <t>Followup</t>
  </si>
  <si>
    <t>Carmel School</t>
  </si>
  <si>
    <t>Wilson</t>
  </si>
  <si>
    <t>Follow up fpr bulk order</t>
  </si>
  <si>
    <t>SrestaOrganics</t>
  </si>
  <si>
    <t>Rajshree</t>
  </si>
  <si>
    <t>SN</t>
  </si>
  <si>
    <t>Prime Era</t>
  </si>
  <si>
    <t>Shared details of team lunch and delivery</t>
  </si>
  <si>
    <t>No requirements as of now</t>
  </si>
  <si>
    <t>Xponential AI</t>
  </si>
  <si>
    <t>Jasmin</t>
  </si>
  <si>
    <t>Shared details of bulk orders and gifting</t>
  </si>
  <si>
    <t>Delivery at Ameerpet</t>
  </si>
  <si>
    <t>Delivery of VB Handi on 1 September 2024</t>
  </si>
  <si>
    <t>Akrivaia</t>
  </si>
  <si>
    <t xml:space="preserve">Krishna </t>
  </si>
  <si>
    <t>Shared details of team lunch and daily food</t>
  </si>
  <si>
    <t>Discussion about id card offer and Gifting</t>
  </si>
  <si>
    <t>No requirements</t>
  </si>
  <si>
    <t>Hungerbox</t>
  </si>
  <si>
    <t>Santosh G</t>
  </si>
  <si>
    <t>Shared details of ODC , Snacks &amp; Gifting</t>
  </si>
  <si>
    <t xml:space="preserve">Isthara </t>
  </si>
  <si>
    <t>Shared details of Popup and events</t>
  </si>
  <si>
    <t>The Headquarters</t>
  </si>
  <si>
    <t>Yashvant</t>
  </si>
  <si>
    <t>Shared details of Popup and daily lunch</t>
  </si>
  <si>
    <t>Delivery of Special CB &amp; MB Handi on 28 August 2024</t>
  </si>
  <si>
    <t>Lunch Bethney School 104 students 30 August 2024</t>
  </si>
  <si>
    <t xml:space="preserve">Shared quote for snacks </t>
  </si>
  <si>
    <t>No Requirement</t>
  </si>
  <si>
    <t>Dinner Bethney School 104 students 31 August 2024</t>
  </si>
  <si>
    <t>Arthi</t>
  </si>
  <si>
    <t>Follow up for bulk order</t>
  </si>
  <si>
    <t>Follow up for food requirement</t>
  </si>
  <si>
    <t>Ambka</t>
  </si>
  <si>
    <t>Take Away fron charminar in September</t>
  </si>
  <si>
    <t>Chandar</t>
  </si>
  <si>
    <t>Cancelled due to rain</t>
  </si>
  <si>
    <t>Naval Academy Vyzag</t>
  </si>
  <si>
    <t>Discussion regarding 31 December 2000 pax buffet</t>
  </si>
  <si>
    <t>Indorama Industries</t>
  </si>
  <si>
    <t>Ekta</t>
  </si>
  <si>
    <t>Ratna Solutions</t>
  </si>
  <si>
    <t>Shared quotation for Lunch for 40 people</t>
  </si>
  <si>
    <t>Popup Events in Fest</t>
  </si>
  <si>
    <t>Pasha</t>
  </si>
  <si>
    <t>Discussion in regards with participation in events</t>
  </si>
  <si>
    <t>DCB Bank</t>
  </si>
  <si>
    <t>Tabitha</t>
  </si>
  <si>
    <t>Shared quote for team lunch</t>
  </si>
  <si>
    <t>Coluryt IT</t>
  </si>
  <si>
    <t>Introduction to team lunch and delivery</t>
  </si>
  <si>
    <t>Teja</t>
  </si>
  <si>
    <t>Delivery of Special CB &amp; MB Handi on 4 Sept 2024</t>
  </si>
  <si>
    <t>Delivery at TX hospital uppal</t>
  </si>
  <si>
    <t>Delivery of cb on 6 September 2024</t>
  </si>
  <si>
    <t xml:space="preserve">Delivery of Biryani </t>
  </si>
  <si>
    <t>Surajit</t>
  </si>
  <si>
    <t>Delivery of biryani at Secundrabad</t>
  </si>
  <si>
    <t>Less Quantity</t>
  </si>
  <si>
    <t xml:space="preserve">Delivery of CB at LB Nagar </t>
  </si>
  <si>
    <t xml:space="preserve">Delivery of cb for </t>
  </si>
  <si>
    <t>Havels India</t>
  </si>
  <si>
    <t xml:space="preserve">Introduction to bulk delivery and gifting </t>
  </si>
  <si>
    <t>Delivery in september</t>
  </si>
  <si>
    <t>Exponential AI</t>
  </si>
  <si>
    <t>Delivery of lunch for 50 people on 10 Sept 2024</t>
  </si>
  <si>
    <t>Delivery of CB on 10 Sept 2024</t>
  </si>
  <si>
    <t>Amit</t>
  </si>
  <si>
    <t>Discussion in regards with event</t>
  </si>
  <si>
    <t>Laughinout by swiggy</t>
  </si>
  <si>
    <t>Discussion in regards with event in Vijaywada</t>
  </si>
  <si>
    <t>Less Participants due to flood</t>
  </si>
  <si>
    <t>Karl public School</t>
  </si>
  <si>
    <t>Exponentioal Ai</t>
  </si>
  <si>
    <t>Delivery from shilparamam on 10 September 2024</t>
  </si>
  <si>
    <t>Delivery from Padmaraonagar</t>
  </si>
  <si>
    <t>Travel Group</t>
  </si>
  <si>
    <t>Delivery at Secundrabad station on 19 Sept 2024</t>
  </si>
  <si>
    <t xml:space="preserve">Yashoda Hospital </t>
  </si>
  <si>
    <t>Corporate discount for bulk order</t>
  </si>
  <si>
    <t>Purchased directly from Heritage</t>
  </si>
  <si>
    <t>Eastwood Sports</t>
  </si>
  <si>
    <t>Anil Reddy</t>
  </si>
  <si>
    <t xml:space="preserve"> party orders 19 Sept 2024</t>
  </si>
  <si>
    <t>Delivery of Special CB &amp; MB Handi on 11 Sept 2024</t>
  </si>
  <si>
    <t>Karthick star event at Vijayawada</t>
  </si>
  <si>
    <t>Karthik Star event on 28 September 2024</t>
  </si>
  <si>
    <t>Utsab Cultural Association</t>
  </si>
  <si>
    <t>Sujay</t>
  </si>
  <si>
    <t>Follow up for stall allotment in event</t>
  </si>
  <si>
    <t>Follow up for popup stall</t>
  </si>
  <si>
    <t>Not Fesiable</t>
  </si>
  <si>
    <t>Yashoda Hospital Secundrabad</t>
  </si>
  <si>
    <t>Discussion in regards with team lunch</t>
  </si>
  <si>
    <t>AIMS</t>
  </si>
  <si>
    <t>Lashya</t>
  </si>
  <si>
    <t>Introduction to bulk order and delivery</t>
  </si>
  <si>
    <t>Discussion for travel group food delivery</t>
  </si>
  <si>
    <t>Ramchandra</t>
  </si>
  <si>
    <t>Delivery of CB on 16September 2024</t>
  </si>
  <si>
    <t xml:space="preserve">Rockwell </t>
  </si>
  <si>
    <t>Vidyachari</t>
  </si>
  <si>
    <t>Introduction to team lunch &amp; Delivery</t>
  </si>
  <si>
    <t>MSN LAB</t>
  </si>
  <si>
    <t>Follow up for PO, Relationship call</t>
  </si>
  <si>
    <t>Follow up for bigger oeders</t>
  </si>
  <si>
    <t>Takeaway from kukatpally</t>
  </si>
  <si>
    <t>Anil Kumar</t>
  </si>
  <si>
    <t>Take away of CB Handi on 16 September 2024</t>
  </si>
  <si>
    <t>Simens</t>
  </si>
  <si>
    <t>Goldstone Technologu</t>
  </si>
  <si>
    <t>Afroz Banu</t>
  </si>
  <si>
    <t>Dedlivery at Tarnaka</t>
  </si>
  <si>
    <t>Delivery on 22 September</t>
  </si>
  <si>
    <t>Delivery of Biryani kit at Dehradun</t>
  </si>
  <si>
    <t>Abhilesh</t>
  </si>
  <si>
    <t>Delivery in october</t>
  </si>
  <si>
    <t>They require kits without branding</t>
  </si>
  <si>
    <t>Don Bosco Orphanage</t>
  </si>
  <si>
    <t>FITJEE</t>
  </si>
  <si>
    <t>Value Momentum</t>
  </si>
  <si>
    <t>Francis</t>
  </si>
  <si>
    <t>Delivery of Special CB &amp; MB Handi on 18 Sept 2024</t>
  </si>
  <si>
    <t>Sravan</t>
  </si>
  <si>
    <t>Shared details of bulk orders and team lunch</t>
  </si>
  <si>
    <t>No requiremwnts</t>
  </si>
  <si>
    <t>Follow up for dine in for travellers</t>
  </si>
  <si>
    <t>Following up for bulk orders</t>
  </si>
  <si>
    <t>Olectra Greentech</t>
  </si>
  <si>
    <t>Introduction to bulk delivery and Gifting</t>
  </si>
  <si>
    <t>Tourist group from mumbai</t>
  </si>
  <si>
    <t>Delivery at KIMS Hospital</t>
  </si>
  <si>
    <t>Gururaj</t>
  </si>
  <si>
    <t>Delivery of CB &amp; VB from Begumpet</t>
  </si>
  <si>
    <t>Delivery of CB in September</t>
  </si>
  <si>
    <t>Less budget, went for other vendor</t>
  </si>
  <si>
    <t xml:space="preserve">Care Hospital  </t>
  </si>
  <si>
    <t>Sabiha</t>
  </si>
  <si>
    <t>Azgar</t>
  </si>
  <si>
    <t>Delivery of CB</t>
  </si>
  <si>
    <t>Purchased for less price from other vendor</t>
  </si>
  <si>
    <t>Srinidhi College of Engineering</t>
  </si>
  <si>
    <t>Renitha</t>
  </si>
  <si>
    <t>Delivery of CB for 150 People</t>
  </si>
  <si>
    <t xml:space="preserve">Brihaspati </t>
  </si>
  <si>
    <t>Delivery at Secundrabad Station</t>
  </si>
  <si>
    <t>Tourist Group</t>
  </si>
  <si>
    <t>Shobhindar</t>
  </si>
  <si>
    <t>Delivery fron padmaraonagar 21 Sept 2024</t>
  </si>
  <si>
    <t>Delivery at Kukatpoally</t>
  </si>
  <si>
    <t>call</t>
  </si>
  <si>
    <t>Rachel</t>
  </si>
  <si>
    <t>Delivery of CB on 22 Sept 2024</t>
  </si>
  <si>
    <t>DPS Nacharam</t>
  </si>
  <si>
    <t>Venkatesk</t>
  </si>
  <si>
    <t>Introduction for supply in fest</t>
  </si>
  <si>
    <t>Maradpally Church</t>
  </si>
  <si>
    <t>Harismitha</t>
  </si>
  <si>
    <t>Delivery of CB in November</t>
  </si>
  <si>
    <t>Prepared food inhouse</t>
  </si>
  <si>
    <t>Tata Trent LTD</t>
  </si>
  <si>
    <t>Delivery at Maradpally orphanage</t>
  </si>
  <si>
    <t>Siraj</t>
  </si>
  <si>
    <t>Delivery of CB on 28 September 2024</t>
  </si>
  <si>
    <t>Cube Highways (GMR)</t>
  </si>
  <si>
    <t>Buffet Lunch on 24 October</t>
  </si>
  <si>
    <t>Epiroc Drilling Tools</t>
  </si>
  <si>
    <t>Wallet recharge of 193 employees on 25 Sept 2024</t>
  </si>
  <si>
    <t>MSN</t>
  </si>
  <si>
    <t>Follow up for PO</t>
  </si>
  <si>
    <t>MAX</t>
  </si>
  <si>
    <t>Discussion in regards with pop up counter</t>
  </si>
  <si>
    <t>Delivery of Special CB &amp; MB Handi on 25 Sept 2024</t>
  </si>
  <si>
    <t>GMR Shamshabad</t>
  </si>
  <si>
    <t>Reena</t>
  </si>
  <si>
    <t>Discussion in regards with buffet for 130 peoploe</t>
  </si>
  <si>
    <t>Delivery at Alwal</t>
  </si>
  <si>
    <t>Geetha</t>
  </si>
  <si>
    <t>Discussion in regards with buffet lunch</t>
  </si>
  <si>
    <t>Somnath</t>
  </si>
  <si>
    <t>Tourist group from Kolkata on 26 September 2024</t>
  </si>
  <si>
    <t>Helal</t>
  </si>
  <si>
    <t>Discussion in regards with popup counter</t>
  </si>
  <si>
    <t>Sonam</t>
  </si>
  <si>
    <t>Naagarjuna School</t>
  </si>
  <si>
    <t>Vittal Reddy</t>
  </si>
  <si>
    <t>Vivek</t>
  </si>
  <si>
    <t>Recharged wallet of 5 employees</t>
  </si>
  <si>
    <t>Delivery of MB Handi and CB on 27 Sept 2024</t>
  </si>
  <si>
    <t>Ratna Global technologioes</t>
  </si>
  <si>
    <t>Dine in at Begumpet</t>
  </si>
  <si>
    <t>Aquila</t>
  </si>
  <si>
    <t>Dine in at Begumpet on 28 September 2024</t>
  </si>
  <si>
    <t>Delivery of VB at Airport</t>
  </si>
  <si>
    <t>Somnaath</t>
  </si>
  <si>
    <t>Delivery of VB on 28 September 2024</t>
  </si>
  <si>
    <t>Delivery at Kothapet Orphanage</t>
  </si>
  <si>
    <t>Delivery of CB on 29 September 2024</t>
  </si>
  <si>
    <t>Abbu</t>
  </si>
  <si>
    <t>Travel group from Kerela 29 September 2024</t>
  </si>
  <si>
    <t>Delivery at Airport</t>
  </si>
  <si>
    <t>Shubendu</t>
  </si>
  <si>
    <t>Travel group from Kolkata on 30 September 2024</t>
  </si>
  <si>
    <t xml:space="preserve">Axis Securities </t>
  </si>
  <si>
    <t>Delivery of CB and MB from Begumpet on 30-9-24</t>
  </si>
  <si>
    <t>Dine In at Padmaraonagar</t>
  </si>
  <si>
    <t>Poorvi</t>
  </si>
  <si>
    <t>Dine in on 30 September 2024</t>
  </si>
  <si>
    <t>Delivery of chicken Tikka on 1 October 2024</t>
  </si>
  <si>
    <t>Smart Q</t>
  </si>
  <si>
    <t>Nikita</t>
  </si>
  <si>
    <t>Kheti Corporate</t>
  </si>
  <si>
    <t>Dine in at Gachibowli onn 1st October 2024</t>
  </si>
  <si>
    <t>Indronil</t>
  </si>
  <si>
    <t>Stall setup and menu confirmation</t>
  </si>
  <si>
    <t>King Research Academy</t>
  </si>
  <si>
    <t>Follow up for Team Lunch Order</t>
  </si>
  <si>
    <t>Buffet Lunch on 25 October</t>
  </si>
  <si>
    <t>Annie</t>
  </si>
  <si>
    <t>Delivery of CB on 6 October 2024</t>
  </si>
  <si>
    <t>Delivery at Nampally Station</t>
  </si>
  <si>
    <t>Nitin</t>
  </si>
  <si>
    <t>Delivery of CB &amp; VB on 2 October 2022</t>
  </si>
  <si>
    <t>Sattar</t>
  </si>
  <si>
    <t>Delivery of CB on 04 October 2024</t>
  </si>
  <si>
    <t>Discussion in regards with corporate counter and Gifting</t>
  </si>
  <si>
    <t>Discussion for Corporate Gifting and Bulk order</t>
  </si>
  <si>
    <t>CGR International School</t>
  </si>
  <si>
    <t>Jaffar</t>
  </si>
  <si>
    <t>Jodas Expiom Bio</t>
  </si>
  <si>
    <t>Ishika</t>
  </si>
  <si>
    <t>Delivery at Saidabad</t>
  </si>
  <si>
    <t>Dilip</t>
  </si>
  <si>
    <t>CB,MB and Kabab from Kothapet on 6 October 2024</t>
  </si>
  <si>
    <t>Delivery of CB at Multi locations in October</t>
  </si>
  <si>
    <t xml:space="preserve">Follow up </t>
  </si>
  <si>
    <t>Bangia Sanskritik Sangh</t>
  </si>
  <si>
    <t>Ram</t>
  </si>
  <si>
    <t>Stall setup and Branding</t>
  </si>
  <si>
    <t>ODC at Hrishi Sir's Place</t>
  </si>
  <si>
    <t>Hrishikesh</t>
  </si>
  <si>
    <t>B Day party on 11 October 2024</t>
  </si>
  <si>
    <t>lunch delivery on 10 October 2024</t>
  </si>
  <si>
    <t>Dine in at Kukatpally</t>
  </si>
  <si>
    <t>Dine in at kukatpally on 11 October 2024</t>
  </si>
  <si>
    <t xml:space="preserve">Delivery at Y Junction </t>
  </si>
  <si>
    <t>Mallikarkuna</t>
  </si>
  <si>
    <t>Delivery of CB and Kabab on 10 October 2024</t>
  </si>
  <si>
    <t>Durga Pooja at Keys High School</t>
  </si>
  <si>
    <t>Food Stall on 8.9,10 ,11 ,12,October</t>
  </si>
  <si>
    <t>Durga Pooja at NITHM</t>
  </si>
  <si>
    <t>Food Stall on 8.9,10 ,11 ,12,13 October</t>
  </si>
  <si>
    <t>Planning for 3000 Royal CB by november</t>
  </si>
  <si>
    <t>I ntroduction to Bulk orders and Gifting</t>
  </si>
  <si>
    <t>Abhilash</t>
  </si>
  <si>
    <t>DRDO</t>
  </si>
  <si>
    <t>Bala Sunramanyan</t>
  </si>
  <si>
    <t xml:space="preserve">Delivery of CB,MB,VB,DKM on 17 October 2024 </t>
  </si>
  <si>
    <t>Delivery of CB,VB, Snacks ob 20 October 2024</t>
  </si>
  <si>
    <t>Malliakrjuna</t>
  </si>
  <si>
    <t>Chakrapani</t>
  </si>
  <si>
    <t>Shared details of Gifting options</t>
  </si>
  <si>
    <t>Directly came for dine in in small teams</t>
  </si>
  <si>
    <t>Travel group fron Tanjaur</t>
  </si>
  <si>
    <t>Anabarasan</t>
  </si>
  <si>
    <t>Dine in at I MAX on 17 October 2024</t>
  </si>
  <si>
    <t>HDFC Bank</t>
  </si>
  <si>
    <t>Discussion and upsell of food for delivery on 20 Oct 24</t>
  </si>
  <si>
    <t>Zomato</t>
  </si>
  <si>
    <t>Discussion for food delivery on 22 OCT 2024</t>
  </si>
  <si>
    <t>Mount Opera</t>
  </si>
  <si>
    <t>Follow up for student food</t>
  </si>
  <si>
    <t>Preventive Pharma</t>
  </si>
  <si>
    <t>Cold</t>
  </si>
  <si>
    <t>Followup for closure</t>
  </si>
  <si>
    <t>Follow up for payment</t>
  </si>
  <si>
    <t>Sarfaraz</t>
  </si>
  <si>
    <t xml:space="preserve">Delivery of CB on 19 October 2024 </t>
  </si>
  <si>
    <t>Chandrakala</t>
  </si>
  <si>
    <t>Delivery of MB and starters on 27 October 2024</t>
  </si>
  <si>
    <t>ODC at Aurora Design Institute</t>
  </si>
  <si>
    <t>Sheema</t>
  </si>
  <si>
    <t>ODC Event on 25th to 27th October 2024</t>
  </si>
  <si>
    <t>Not feasible/Profitable.</t>
  </si>
  <si>
    <t xml:space="preserve">DBS </t>
  </si>
  <si>
    <t>Sadhiqa</t>
  </si>
  <si>
    <t>Delivery of Combo meal for 127 people on 25-11-24</t>
  </si>
  <si>
    <t>Buffet Lunch at Padmaraonagar</t>
  </si>
  <si>
    <t>Nazir</t>
  </si>
  <si>
    <t>Buffet lunch for 120 PAX on 27 October</t>
  </si>
  <si>
    <t>Gokhana Capital Land Ataria</t>
  </si>
  <si>
    <t xml:space="preserve">Site visit of Cafateria </t>
  </si>
  <si>
    <t>IIT HYD</t>
  </si>
  <si>
    <t>Anik Das</t>
  </si>
  <si>
    <t>Buffet Lunch for 100 PAX on 6 November 2024</t>
  </si>
  <si>
    <t>bharat Singh</t>
  </si>
  <si>
    <t xml:space="preserve">Gift Vouchers for employees </t>
  </si>
  <si>
    <t>Max Vision Eye Care</t>
  </si>
  <si>
    <t>Dine in at secundrabad on 22 October 2024</t>
  </si>
  <si>
    <t>Harindar</t>
  </si>
  <si>
    <t>Deliverd 30 Platinum Gift Hampers on 24 October 2024</t>
  </si>
  <si>
    <t>Shrestha Organics</t>
  </si>
  <si>
    <t>Shared details of Diwali Gift Hampers</t>
  </si>
  <si>
    <t>Venu Gopal</t>
  </si>
  <si>
    <t>Delivery of CB on 27 October 2024</t>
  </si>
  <si>
    <t>Delivery at rajmundhry Railway station</t>
  </si>
  <si>
    <t>Priya Thakur</t>
  </si>
  <si>
    <t>Deliverd CB &amp; VB on 27 Oct 2024</t>
  </si>
  <si>
    <t>Surya</t>
  </si>
  <si>
    <t>Delivery of CB at Manikonda on 29-10-24</t>
  </si>
  <si>
    <t>Delivery at Jeive Convention Shamirpet</t>
  </si>
  <si>
    <t>Vyshali</t>
  </si>
  <si>
    <t>Delivery of MB,VB &amp; DKM on 17 November</t>
  </si>
  <si>
    <t>Take away From Secundrabad</t>
  </si>
  <si>
    <t>Take away from secundrabad on 29 Oct 2024</t>
  </si>
  <si>
    <t>New Delivery at Compass group on 30-10-24</t>
  </si>
  <si>
    <t>Shiva Reddy</t>
  </si>
  <si>
    <t>Delivery of CB on 16 Nov</t>
  </si>
  <si>
    <t>Mallikarkjuna</t>
  </si>
  <si>
    <t>Delivery of Diwali Gift Hamper</t>
  </si>
  <si>
    <t>Sriram Reddy</t>
  </si>
  <si>
    <t>Delivery at Kokapet</t>
  </si>
  <si>
    <t>Delivery of CB and Curries on 30-10-24</t>
  </si>
  <si>
    <t>Received advance for food delivery on 6 Nov 2024</t>
  </si>
  <si>
    <t>Delivery at Vijawada railway staton</t>
  </si>
  <si>
    <t>Karanbir</t>
  </si>
  <si>
    <t>Deliverd CB at Vijawada on 4-11-24</t>
  </si>
  <si>
    <t>New Delivery at Compass group on 6-11-24</t>
  </si>
  <si>
    <t>Buffet lunch at Nizampet</t>
  </si>
  <si>
    <t>Rafi</t>
  </si>
  <si>
    <t>Delivery in November 200 Pax Buffet</t>
  </si>
  <si>
    <t>Dine in at secundrabad on 6-11-24</t>
  </si>
  <si>
    <t>Teavel Group from Nagpur</t>
  </si>
  <si>
    <t>Dine in at secundrabad on 10-11-24</t>
  </si>
  <si>
    <t xml:space="preserve">Kaushik Enterprise </t>
  </si>
  <si>
    <t>Delivery  of CB, MB &amp; VB at DBS on 7-11-24</t>
  </si>
  <si>
    <t>DBS Waverock</t>
  </si>
  <si>
    <t>Follow up for Delivery on 28 November 2024</t>
  </si>
  <si>
    <t>Distributed amazon vouchers instead of food</t>
  </si>
  <si>
    <t>Delivery at DBS</t>
  </si>
  <si>
    <t>Sadhiqua</t>
  </si>
  <si>
    <t>Delivery of CB and VB Combo on 7th November</t>
  </si>
  <si>
    <t>Delivery at secundrabad railway at 22-12-24</t>
  </si>
  <si>
    <t>Meditronics</t>
  </si>
  <si>
    <t>Arif</t>
  </si>
  <si>
    <t>Received advance for Delivery at NIMS Hospital on 14-11-24</t>
  </si>
  <si>
    <t>Delivery of CB and VB Combo on 9th November</t>
  </si>
  <si>
    <t>Inductive Quotent</t>
  </si>
  <si>
    <t>Ramaiah</t>
  </si>
  <si>
    <t>New Delivery at Compass group on 13-11-24</t>
  </si>
  <si>
    <t>Delivery of Special CB &amp; MB Handi on 13-11- 2024</t>
  </si>
  <si>
    <t>Dil Luminati Event</t>
  </si>
  <si>
    <t>Participating in the event on 15-11-24</t>
  </si>
  <si>
    <t>Follow up for new ODC</t>
  </si>
  <si>
    <t>Public Event</t>
  </si>
  <si>
    <t xml:space="preserve">Not participating in the event </t>
  </si>
  <si>
    <t>operationally not feaisable</t>
  </si>
  <si>
    <t>GMR Arena Cube Highways</t>
  </si>
  <si>
    <t>Deliverd CB &amp; MB on 13-11-24</t>
  </si>
  <si>
    <t>Delivery at Sec Railway station</t>
  </si>
  <si>
    <t>Alnoor chandani</t>
  </si>
  <si>
    <t>Delivery of CB on 19-11-24 at Secbad Station</t>
  </si>
  <si>
    <t>NIMS Hospital</t>
  </si>
  <si>
    <t>Delivery and discussion for further orders</t>
  </si>
  <si>
    <t>Shejal Global Holidays</t>
  </si>
  <si>
    <t>Shoibhindar</t>
  </si>
  <si>
    <t>Discussion in regards with food for travellers</t>
  </si>
  <si>
    <t>Delivery at Mount Opera Amusement Park</t>
  </si>
  <si>
    <t>Amusement</t>
  </si>
  <si>
    <t>Deliverd 830 CB On 18-11-24</t>
  </si>
  <si>
    <t>Nalla Malla Engineering College</t>
  </si>
  <si>
    <t>Priest Association From Milan, Italy</t>
  </si>
  <si>
    <t>Loudu Xavier</t>
  </si>
  <si>
    <t>Advance received for buffet lunch on 20-11-24</t>
  </si>
  <si>
    <t>Woxen College</t>
  </si>
  <si>
    <t>Ankit Sharma</t>
  </si>
  <si>
    <t>Discussion in regards with event on 30-11-24</t>
  </si>
  <si>
    <t>St Francis College Begumpet</t>
  </si>
  <si>
    <t>Shirin</t>
  </si>
  <si>
    <t>Discussion in regards with event on 29-11-24</t>
  </si>
  <si>
    <t>ICFAI Business School</t>
  </si>
  <si>
    <t>Aastha Thakur</t>
  </si>
  <si>
    <t>Discussion in regards with event in December</t>
  </si>
  <si>
    <t>FCCSA</t>
  </si>
  <si>
    <t>Discussion in regards with complementary biryani</t>
  </si>
  <si>
    <t>New Delivery at Compass group on 20-11-24</t>
  </si>
  <si>
    <t>Haldirams</t>
  </si>
  <si>
    <t xml:space="preserve">Introduction to buffet lunch </t>
  </si>
  <si>
    <t>Mount opera Amusement Park</t>
  </si>
  <si>
    <t>Discussion in regards with food for guest</t>
  </si>
  <si>
    <t>Shivam</t>
  </si>
  <si>
    <t>Follow up for business</t>
  </si>
  <si>
    <t>Babul</t>
  </si>
  <si>
    <t>Follow up for orders</t>
  </si>
  <si>
    <t>Discussion in regards with event on 14-12-24</t>
  </si>
  <si>
    <t>Not Profitable,more rent</t>
  </si>
  <si>
    <t>delivery of CB on 24-11-24</t>
  </si>
  <si>
    <t>Weddding event at Ghatkesar</t>
  </si>
  <si>
    <t>Vedha</t>
  </si>
  <si>
    <t>Buffet dinner for 300 people on 11-12-24</t>
  </si>
  <si>
    <t xml:space="preserve">Medha Traction Equipments </t>
  </si>
  <si>
    <t>Varshit Reddy</t>
  </si>
  <si>
    <t>Introduction to bulk deliveries</t>
  </si>
  <si>
    <t>Outside food not allowed in campus</t>
  </si>
  <si>
    <t>Amount received for delivery of Biryani kits in NOV</t>
  </si>
  <si>
    <t xml:space="preserve">Delivery of VB on 26-11-24 from padmaraonagar </t>
  </si>
  <si>
    <t>Take away from muthangi</t>
  </si>
  <si>
    <t>Take away of CB on 26-11-24</t>
  </si>
  <si>
    <t>Vagdevi School Mallapur</t>
  </si>
  <si>
    <t>Introduction to food delivery</t>
  </si>
  <si>
    <t xml:space="preserve">Followup </t>
  </si>
  <si>
    <t>followup for gifting order</t>
  </si>
  <si>
    <t>New Delivery at Compass group on 27-11-24</t>
  </si>
  <si>
    <t>Delivery of CB and VB on December 2024</t>
  </si>
  <si>
    <t>Supply of Biryani for students on 1-12-24</t>
  </si>
  <si>
    <t>Buffet Dinner at hitech</t>
  </si>
  <si>
    <t>Buffet dinner on 7-12-24</t>
  </si>
  <si>
    <t>Baba Pan Material Company</t>
  </si>
  <si>
    <t>Buffet dinner and bulk orders</t>
  </si>
  <si>
    <t>Value Mart</t>
  </si>
  <si>
    <t>Food stall at value mart at nacharam</t>
  </si>
  <si>
    <t>Delivery of Biryani Kits</t>
  </si>
  <si>
    <t>Take Away From Suncity</t>
  </si>
  <si>
    <t>Take away from sun city on 01-12-24</t>
  </si>
  <si>
    <t>Kaveri Seeds</t>
  </si>
  <si>
    <t>Shared Proposal of snacks and lunch for 200 employees in december</t>
  </si>
  <si>
    <t>Santa Maria</t>
  </si>
  <si>
    <t>300 pax lunch on 11-12-24</t>
  </si>
  <si>
    <t>Uday Rao</t>
  </si>
  <si>
    <t>Introduction to food delivery for doctors</t>
  </si>
  <si>
    <t>event postponed</t>
  </si>
  <si>
    <t>Follow Up for payment and further orders</t>
  </si>
  <si>
    <t>Sarojni Devi Eye Hospital</t>
  </si>
  <si>
    <t>Delivery of CB &amp; DKM on 5 Dec for 100 Doctors</t>
  </si>
  <si>
    <t>Delivery of food samples and introduced to gifting</t>
  </si>
  <si>
    <t>New Delivery at Compass group on 5-12-24</t>
  </si>
  <si>
    <t>300 pax Dinner on 14 &amp; 15 December</t>
  </si>
  <si>
    <t>Events at Necklace road</t>
  </si>
  <si>
    <t>Food stall on 7-12-24</t>
  </si>
  <si>
    <t>Cognizant Technology Solutions</t>
  </si>
  <si>
    <t>Dine in at Gachabowli on 13-12-24</t>
  </si>
  <si>
    <t>Nampally Exhibition</t>
  </si>
  <si>
    <t>B Prabha Shankar</t>
  </si>
  <si>
    <t>Stall need to be sublet for sale of Biryani</t>
  </si>
  <si>
    <t xml:space="preserve">Not Profitable </t>
  </si>
  <si>
    <t>Delivery of VB on 5-12-24</t>
  </si>
  <si>
    <t>Popup Events on Necklace Road</t>
  </si>
  <si>
    <t>Popup counter on 7-12-24</t>
  </si>
  <si>
    <t>Popup Events at Necklace Road</t>
  </si>
  <si>
    <t>Popup counter on 8-12-25</t>
  </si>
  <si>
    <t>Delivery at Compass Group Gachibowli</t>
  </si>
  <si>
    <t>Delivery of Food on 5-12-24</t>
  </si>
  <si>
    <t>Coforge</t>
  </si>
  <si>
    <t>Take away from Gachabowli on 5-12-24</t>
  </si>
  <si>
    <t>Delivery of CB &amp; MB on 08-12-24</t>
  </si>
  <si>
    <t>Popup counter on 9-12-25</t>
  </si>
  <si>
    <t>HSBC</t>
  </si>
  <si>
    <t>Sai Satya</t>
  </si>
  <si>
    <t>Delivery of Combo on 11-12-24</t>
  </si>
  <si>
    <t>Amara Raja Battries</t>
  </si>
  <si>
    <t>Ravi Kumar</t>
  </si>
  <si>
    <t>Delivery of CB on 10-12-24</t>
  </si>
  <si>
    <t>Gachibowli Church</t>
  </si>
  <si>
    <t>Arthur</t>
  </si>
  <si>
    <t>Sampling of plum cakes for christmas</t>
  </si>
  <si>
    <t>Cognizant DLF</t>
  </si>
  <si>
    <t>Animesh</t>
  </si>
  <si>
    <t>Amit Goyal</t>
  </si>
  <si>
    <t>Follow up for Bulk orders</t>
  </si>
  <si>
    <t>New Delivery at Compass group on 11-12-24</t>
  </si>
  <si>
    <t>Karunakar</t>
  </si>
  <si>
    <t>Sampling of customised plum cake</t>
  </si>
  <si>
    <t>Delivery of 5000 Biryani on 15-12-24</t>
  </si>
  <si>
    <t>BHEL Church</t>
  </si>
  <si>
    <t>Follow up fpor closure</t>
  </si>
  <si>
    <t>United Church</t>
  </si>
  <si>
    <t>Follow up for Biryani order for 20-12-24</t>
  </si>
  <si>
    <t>Cooking Internally</t>
  </si>
  <si>
    <t>Travel group from Amravati</t>
  </si>
  <si>
    <t>Sailesh</t>
  </si>
  <si>
    <t>delivery of VB at Hitex on 17&amp;18 December</t>
  </si>
  <si>
    <t>Jessie</t>
  </si>
  <si>
    <t>Delivery of CB at RTC on 15-12-2024</t>
  </si>
  <si>
    <t>Delivery of CB &amp; MB on 15-12-24</t>
  </si>
  <si>
    <t>JDA</t>
  </si>
  <si>
    <t>Delivery of MB on 21-12-2024</t>
  </si>
  <si>
    <t>Scanta Maria</t>
  </si>
  <si>
    <t>Delivery of plum cakes in december</t>
  </si>
  <si>
    <t>We don’t have eggless plum cake</t>
  </si>
  <si>
    <t>Dum Hyderabad</t>
  </si>
  <si>
    <t>Hannah</t>
  </si>
  <si>
    <t>Event on 20-12-24</t>
  </si>
  <si>
    <t>Collected advance 80,000/-</t>
  </si>
  <si>
    <t>Bakery items for snacks</t>
  </si>
  <si>
    <t>Praneeth</t>
  </si>
  <si>
    <t>Shared details of gifting and team lunch</t>
  </si>
  <si>
    <t>Suven life Sciences</t>
  </si>
  <si>
    <t xml:space="preserve"> Suman</t>
  </si>
  <si>
    <t>Sai Life Sciences</t>
  </si>
  <si>
    <t>Standard Life Sciences</t>
  </si>
  <si>
    <t>D150</t>
  </si>
  <si>
    <t>Site visit for event on 20-12-2024</t>
  </si>
  <si>
    <t>Delivery at Malakpet</t>
  </si>
  <si>
    <t>delivery of MB on 21-12-24</t>
  </si>
  <si>
    <t>Pure o Natural</t>
  </si>
  <si>
    <t>Tushar</t>
  </si>
  <si>
    <t>Delivery of Bakery items in January</t>
  </si>
  <si>
    <t>Take away from kukatpally</t>
  </si>
  <si>
    <t>Take away of MB on 31-12-24</t>
  </si>
  <si>
    <t>Cancelled due to long distance , Karnataka</t>
  </si>
  <si>
    <t>Brand awarness event of Dum December</t>
  </si>
  <si>
    <t>Wonderla Group from amravati on 20-12-2024</t>
  </si>
  <si>
    <t>IPE Alumini Meet</t>
  </si>
  <si>
    <t>Moorthi</t>
  </si>
  <si>
    <t>Shared contacts and Catering options for college</t>
  </si>
  <si>
    <t>Event at Prestige High Fields</t>
  </si>
  <si>
    <t>Aswin</t>
  </si>
  <si>
    <t>Event on 22-12-24</t>
  </si>
  <si>
    <t>Delivery at Novotel</t>
  </si>
  <si>
    <t>Delivery of CB on 22-12-24</t>
  </si>
  <si>
    <t>Delivery at Westn hotels on 29-12-24</t>
  </si>
  <si>
    <t>Samba Siva Rao</t>
  </si>
  <si>
    <t>Delivery of CB &amp; MB on 29-12-24</t>
  </si>
  <si>
    <t>JCNM Church</t>
  </si>
  <si>
    <t>Daniel Pramod</t>
  </si>
  <si>
    <t>Discussion regarding Agreement and delivery</t>
  </si>
  <si>
    <t>Arshad Ali</t>
  </si>
  <si>
    <t>Declivey of CB &amp; VB on 24-12-24</t>
  </si>
  <si>
    <t>Delivery of Plum Cakes to United Church</t>
  </si>
  <si>
    <t>Arthur Praveen</t>
  </si>
  <si>
    <t>Delivery of Plum Cakes on 19-12-24</t>
  </si>
  <si>
    <t>ODC at Rampally Church</t>
  </si>
  <si>
    <t>ODC sale of plum cake on 25-12-24</t>
  </si>
  <si>
    <t>Delivery of special Boiryani on 25-12-24</t>
  </si>
  <si>
    <t>Delivery of Biryani Kits in Jan</t>
  </si>
  <si>
    <t>JDA Software</t>
  </si>
  <si>
    <t>Delivery of biryani &amp; Kababs on 28-12-24</t>
  </si>
  <si>
    <t>Vasavi Brundavanam Gated Community</t>
  </si>
  <si>
    <t>ODC on 31-12-24</t>
  </si>
  <si>
    <t>Brigade Citadel Gated Community</t>
  </si>
  <si>
    <t>Providing free buffet so not profitable</t>
  </si>
  <si>
    <t>Oakwood School Nagole</t>
  </si>
  <si>
    <t>sharda</t>
  </si>
  <si>
    <t>ODC on 28-12-24</t>
  </si>
  <si>
    <t>Delivery at MG Road</t>
  </si>
  <si>
    <t>Padam</t>
  </si>
  <si>
    <t>Delivery of CB on 25-12-24</t>
  </si>
  <si>
    <t>Delivery from Sarat City Mall</t>
  </si>
  <si>
    <t>Delivery of CB Handi on 25-12-24</t>
  </si>
  <si>
    <t>Dine in at Rampally</t>
  </si>
  <si>
    <t>Family dine in on 25-12-24</t>
  </si>
  <si>
    <t>Delivery at inorbit</t>
  </si>
  <si>
    <t>Niladri</t>
  </si>
  <si>
    <t>Take Away on 25-12-24</t>
  </si>
  <si>
    <t>Delivery at uppal</t>
  </si>
  <si>
    <t>Smruti</t>
  </si>
  <si>
    <t>Delivery of CB on 27-12-24</t>
  </si>
  <si>
    <t>Take away of Flight packaging CB on 28-12-24</t>
  </si>
  <si>
    <t>Nitya</t>
  </si>
  <si>
    <t>Dine in on 30-12-024</t>
  </si>
  <si>
    <t>Delivery at SR Nagar</t>
  </si>
  <si>
    <t>Delivery of VB and Kabab</t>
  </si>
  <si>
    <t>Delivery of PLum Cakes to JCNM Church</t>
  </si>
  <si>
    <t>Delivery of Special Plum Cakes</t>
  </si>
  <si>
    <t>ODC at Prestige High Fields</t>
  </si>
  <si>
    <t>Giridhar</t>
  </si>
  <si>
    <t>Aurobindo premier league , CB Delivery 8-1-25</t>
  </si>
  <si>
    <t>Kukudukoo</t>
  </si>
  <si>
    <t>Fest in February</t>
  </si>
  <si>
    <t>Delivery at Malkajgiri Church</t>
  </si>
  <si>
    <t>Delivery of CB on 1-01-2025</t>
  </si>
  <si>
    <t>Food Stall at Rashtrapati Nilayam</t>
  </si>
  <si>
    <t>Mani</t>
  </si>
  <si>
    <t>Food Stall from 3rd Jan till 13th January 2025</t>
  </si>
  <si>
    <t>Medilead Pharma</t>
  </si>
  <si>
    <t>Jaisimha Reddy</t>
  </si>
  <si>
    <t>Shared details of Bulk deliverables</t>
  </si>
  <si>
    <t>Food stall on 03-01-2025</t>
  </si>
  <si>
    <t>Delivery at Balapur</t>
  </si>
  <si>
    <t>Bangani</t>
  </si>
  <si>
    <t>Delivery at balapur on 03-01-2025</t>
  </si>
  <si>
    <t>Delivery of supreme CB on 03-01-2025</t>
  </si>
  <si>
    <t>Take away at Malkajgiri</t>
  </si>
  <si>
    <t>Manila</t>
  </si>
  <si>
    <t>Take away of CB on 03-01-2025</t>
  </si>
  <si>
    <t>Delivery of CB at Shamshabad on 04-01-2025</t>
  </si>
  <si>
    <t>Takeaway at lingampally</t>
  </si>
  <si>
    <t>Take away of CB on 5-1-2025</t>
  </si>
  <si>
    <t>Food stall on 04-01-2025</t>
  </si>
  <si>
    <t>Food stall on 05-01-2025</t>
  </si>
  <si>
    <t>Tourist Group Dine in at Padmaraonagar</t>
  </si>
  <si>
    <t>Dine in of students from Amravati on 6-1-2025</t>
  </si>
  <si>
    <t>Takeaway from Shamshabad</t>
  </si>
  <si>
    <t>Ayub</t>
  </si>
  <si>
    <t>Take away of CB and Kabab on 06-1-2025</t>
  </si>
  <si>
    <t>Take away at MG Road</t>
  </si>
  <si>
    <t>Dealers &amp; Distributers</t>
  </si>
  <si>
    <t>Take away of VB on 8-1-25</t>
  </si>
  <si>
    <t>Food stall on 07-01-2025</t>
  </si>
  <si>
    <t>Food stall on 08-01-2025</t>
  </si>
  <si>
    <t>New Delivery at Compass group on 8-1-25</t>
  </si>
  <si>
    <t>Delivery of Special CB &amp; MB Handi on 8-1-25</t>
  </si>
  <si>
    <t>Food stall on 09-01-2025</t>
  </si>
  <si>
    <t>Ravindra Bharti ( Telangana Tourism)</t>
  </si>
  <si>
    <t>Prakash</t>
  </si>
  <si>
    <t>food stall at Kite festival on 13-15 Jan free of cost</t>
  </si>
  <si>
    <t>Capital Land Ataria/Gokhana</t>
  </si>
  <si>
    <t>Food stall Popup Site Visit with Debmalya</t>
  </si>
  <si>
    <t>Foodies Group (GMR AIRPORT)</t>
  </si>
  <si>
    <t>Delivery of Haleem &amp; CB in Jan &amp; Feb</t>
  </si>
  <si>
    <t>Food stall on 10-01-2025</t>
  </si>
  <si>
    <t xml:space="preserve">Take away of VB at MG Road </t>
  </si>
  <si>
    <t>Take away of VB on 8-1-25 for lohri function</t>
  </si>
  <si>
    <t>Dine in at Gachibowli</t>
  </si>
  <si>
    <t>Dine in on 10-1-25</t>
  </si>
  <si>
    <t>Delivery from lingampally</t>
  </si>
  <si>
    <t>Delivery of MB,CB &amp; Kabab on 10-1-25</t>
  </si>
  <si>
    <t>Food stall on 11-01-2025</t>
  </si>
  <si>
    <t>Delivery for lohri function at MG Road</t>
  </si>
  <si>
    <t>Amandeep</t>
  </si>
  <si>
    <t>Delivery of CB,MB &amp; VB on 11-1-25</t>
  </si>
  <si>
    <t>Delivery at airport</t>
  </si>
  <si>
    <t>Nandini</t>
  </si>
  <si>
    <t>Delivery of VB on 12-1-25</t>
  </si>
  <si>
    <t>Food stall on 12-01-2025</t>
  </si>
  <si>
    <t>Food stall on 13-01-2025</t>
  </si>
  <si>
    <t>Food Stall at Parade Grounds Kite Festival</t>
  </si>
  <si>
    <t>Chennakeshav</t>
  </si>
  <si>
    <t>Food Stall on 13-1-25</t>
  </si>
  <si>
    <t>Food Stall on 14-1-25</t>
  </si>
  <si>
    <t>New Delivery at Compass group on 15-1-25</t>
  </si>
  <si>
    <t>Delivery of Special CB &amp; MB Handi on 15-1-25</t>
  </si>
  <si>
    <t>Food Stall on 15-1-25</t>
  </si>
  <si>
    <t>Delivery of CB at BHEL</t>
  </si>
  <si>
    <t>Delivery of food on 16-1-2025</t>
  </si>
  <si>
    <t>Take away from Muthangi</t>
  </si>
  <si>
    <t>Take away of CB on 15-1-2025</t>
  </si>
  <si>
    <t>Delivery of MB at Hitec</t>
  </si>
  <si>
    <t>Delivery of MB on 19-1-2025</t>
  </si>
  <si>
    <t>Take Away from Kompally</t>
  </si>
  <si>
    <t>Take away of CB on 27-1-2025</t>
  </si>
  <si>
    <t>Sobi</t>
  </si>
  <si>
    <t>Declivery of MB on 22-1-2025</t>
  </si>
  <si>
    <t>Popup Counter at Capital Land Atria</t>
  </si>
  <si>
    <t>popup counter on 20-1-2025</t>
  </si>
  <si>
    <t>popup counter on 21-1-2025</t>
  </si>
  <si>
    <t>Buffet Lunch at Pashamylaram</t>
  </si>
  <si>
    <t>Arjun</t>
  </si>
  <si>
    <t>Lunch and Dinner on 23-2-2025</t>
  </si>
  <si>
    <t>popup counter on 22-1-2025</t>
  </si>
  <si>
    <t>ITC Paperboard Division</t>
  </si>
  <si>
    <t>Sheshagiri</t>
  </si>
  <si>
    <t>popup counter on 23-1-2025</t>
  </si>
  <si>
    <t>Adarsh</t>
  </si>
  <si>
    <t>Introduction to bulk deloivery</t>
  </si>
  <si>
    <t>GEP</t>
  </si>
  <si>
    <t>Alifiya</t>
  </si>
  <si>
    <t>Delivery of CB on 24-1-2025</t>
  </si>
  <si>
    <t>popup counter on 24-1-2025</t>
  </si>
  <si>
    <t>Delivery at Viatris</t>
  </si>
  <si>
    <t>Delivery of CB on 26-1-2025</t>
  </si>
  <si>
    <t>Delivery at Kachiguda Railway Station</t>
  </si>
  <si>
    <t>Delivery of CB &amp; VB on 27-01-2025</t>
  </si>
  <si>
    <t>popup counter on 27-1-2025</t>
  </si>
  <si>
    <t>Popup Counter at Capital Land A Block</t>
  </si>
  <si>
    <t>popup counter on 28-1-2025</t>
  </si>
  <si>
    <t>Loyola College</t>
  </si>
  <si>
    <t>Shared price for bakery items for 10 FEB</t>
  </si>
  <si>
    <t>popup counter on 29-1-2025</t>
  </si>
  <si>
    <t>Akanksha</t>
  </si>
  <si>
    <t>Site Visit for event on 7-2-2025</t>
  </si>
  <si>
    <t>No Electricty for stall from college side</t>
  </si>
  <si>
    <t>Delivery of CB at Masab Tank</t>
  </si>
  <si>
    <t>Delivery of CB handi on 31-01-2025</t>
  </si>
  <si>
    <t>popup counter on 30-1-2025</t>
  </si>
  <si>
    <t>Nagarjuna</t>
  </si>
  <si>
    <t>Delivery on 1-2-2025</t>
  </si>
  <si>
    <t>popup counter on 31-1-2025</t>
  </si>
  <si>
    <t>Himanshu</t>
  </si>
  <si>
    <t>site visit for popup counter</t>
  </si>
  <si>
    <t>popup counter on 03-2-2025</t>
  </si>
  <si>
    <t>AstraZenica</t>
  </si>
  <si>
    <t>all</t>
  </si>
  <si>
    <t>Srinivas Rao</t>
  </si>
  <si>
    <t>Delivery of food at NIMS on 8-02-2025</t>
  </si>
  <si>
    <t>popup counter on 04-2-2025</t>
  </si>
  <si>
    <t>popup counter on 4-2-2025</t>
  </si>
  <si>
    <t>Delivery at Hitec City</t>
  </si>
  <si>
    <t>Lakhan</t>
  </si>
  <si>
    <t>Delivery of CB &amp; Kabab on 04-02-2025</t>
  </si>
  <si>
    <t>popup counter on 05-2-2025</t>
  </si>
  <si>
    <t>New Delivery at Compass group on 5-2-25</t>
  </si>
  <si>
    <t>Delivery of Special CB &amp; MB Handi on 5-2-25</t>
  </si>
  <si>
    <t>popup counter on 06-2-2025</t>
  </si>
  <si>
    <t>Popup Counter at Bits Pilani</t>
  </si>
  <si>
    <t>Popup counter on 6,7&amp;8 Feb 2025</t>
  </si>
  <si>
    <t>Delivery of Veg Biryani At Shamshabad</t>
  </si>
  <si>
    <t>Delivery on 6-2-2025</t>
  </si>
  <si>
    <t>Delivery at Rampally</t>
  </si>
  <si>
    <t>Akbar</t>
  </si>
  <si>
    <t>Balan</t>
  </si>
  <si>
    <t>Travel group from Kerela on 6-2-25</t>
  </si>
  <si>
    <t>popup counter on 07-2-2025</t>
  </si>
  <si>
    <t>ODC at Rachi Jharkhand</t>
  </si>
  <si>
    <t>Abdullah</t>
  </si>
  <si>
    <t xml:space="preserve">Marriage </t>
  </si>
  <si>
    <t>Budget issue</t>
  </si>
  <si>
    <t>Popup counter on 9-2-2025</t>
  </si>
  <si>
    <t>Delivery at MIG Lingampally from BHEL</t>
  </si>
  <si>
    <t>JK Dupati</t>
  </si>
  <si>
    <t>Delivery of MB on 9-2-2025</t>
  </si>
  <si>
    <t>Dine in at Uppal</t>
  </si>
  <si>
    <t>Dine in on 10-2-2025</t>
  </si>
  <si>
    <t>popup counter on 10-2-2025</t>
  </si>
  <si>
    <t>Take away at SR Nagar</t>
  </si>
  <si>
    <t>Take away of CB on 11-2-2025</t>
  </si>
  <si>
    <t>popup counter on 11-2-2025</t>
  </si>
  <si>
    <t>Compass group hyderabad</t>
  </si>
  <si>
    <t>Delivery of CB &amp; VB on 13-2-2025</t>
  </si>
  <si>
    <t>Due to less budget</t>
  </si>
  <si>
    <t>popup counter on 12-2-2025</t>
  </si>
  <si>
    <t>New Delivery at Compass group on 12-2-25</t>
  </si>
  <si>
    <t>Delivery of Special CB &amp; MB Handi on 12-2-25</t>
  </si>
  <si>
    <t>Food Stall at ICFAI College Shankarpally</t>
  </si>
  <si>
    <t>Arya</t>
  </si>
  <si>
    <t>Food stall on 11-12 Feb 2025</t>
  </si>
  <si>
    <t>popup counter on 13-2-2025</t>
  </si>
  <si>
    <t>popup counter on 14-2-2025</t>
  </si>
  <si>
    <t>Delivery of VB on 14-2-2025</t>
  </si>
  <si>
    <t>Delivery at Necklaceroad Apex Technologies</t>
  </si>
  <si>
    <t>Delivery of bakery items on 16-2-2025</t>
  </si>
  <si>
    <t>Kukdukoo fest 2025 NITHM Gachabowli</t>
  </si>
  <si>
    <t>Popup counter on 15&amp;16 Feb 2025 , 30% Rev Share</t>
  </si>
  <si>
    <t>popup counter on 17-2-2025</t>
  </si>
  <si>
    <t>popup counter on 18-2-2025</t>
  </si>
  <si>
    <t>Delivery of MB at Tolichowki</t>
  </si>
  <si>
    <t>Shoukat</t>
  </si>
  <si>
    <t>Delivery of MB Handi on 20-2-2025</t>
  </si>
  <si>
    <t>Very less budget</t>
  </si>
  <si>
    <t>Popup counter at optum H1 Mindspace</t>
  </si>
  <si>
    <t>Popup stall on 18-2-2025</t>
  </si>
  <si>
    <t>Foodys Group Haleem and biryani delivery at Airport</t>
  </si>
  <si>
    <t>Haleem delivery from 2nd Feb till 28 Feb 2025</t>
  </si>
  <si>
    <t>popup counter on 19-2-2025</t>
  </si>
  <si>
    <t>Clix Capital Services</t>
  </si>
  <si>
    <t>Sathvik</t>
  </si>
  <si>
    <t>Delivery of CB &amp; VB on 19-02-2025 from BGMPET</t>
  </si>
  <si>
    <t>Popup stall on 19-2-2025</t>
  </si>
  <si>
    <t>Delivery of Special CB &amp; MB Handi on 19-2-25</t>
  </si>
  <si>
    <t>popup counter on 20-2-2025</t>
  </si>
  <si>
    <t>popup counter on 21-2-2025</t>
  </si>
  <si>
    <t>Take Away at Hitec City</t>
  </si>
  <si>
    <t>Takeaway of MB &amp; CB on 21-2-2025</t>
  </si>
  <si>
    <t>Jagati</t>
  </si>
  <si>
    <t xml:space="preserve">Delivery of CB &amp; VB on </t>
  </si>
  <si>
    <t>popup counter on 24-2-2025</t>
  </si>
  <si>
    <t>Delivery at NIMS Hospital</t>
  </si>
  <si>
    <t>Delivery of VB on 22-2-2025</t>
  </si>
  <si>
    <t>popup counter on 25-2-2025</t>
  </si>
  <si>
    <t>Laksh</t>
  </si>
  <si>
    <t>Dine in at Masabtank on 26-2-2025</t>
  </si>
  <si>
    <t>Travel Group from Orissa</t>
  </si>
  <si>
    <t>Sahoo</t>
  </si>
  <si>
    <t>Dine in at Shamshabad on 26-2-2025</t>
  </si>
  <si>
    <t>popup counter on 27-2-2025</t>
  </si>
  <si>
    <t>Delivery of CB &amp; VB on 27-02-2025</t>
  </si>
  <si>
    <t>popup counter on 28-2-2025</t>
  </si>
  <si>
    <t>Take away at Hitec City</t>
  </si>
  <si>
    <t>Delivery of CB &amp; VB on 28-2-2025</t>
  </si>
  <si>
    <t>Popup counter at DRDO event</t>
  </si>
  <si>
    <t>Delivery at hitec city</t>
  </si>
  <si>
    <t>Delivery of MB &amp; VB on 01-03-2025</t>
  </si>
  <si>
    <t>Delivery of CB,MB&amp;VB on 01-03-2025</t>
  </si>
  <si>
    <t>Take away of CB &amp; MB on 02-03-3035</t>
  </si>
  <si>
    <t>Haleem Counter at Capital Land Atria</t>
  </si>
  <si>
    <t>Lalitha</t>
  </si>
  <si>
    <t>Popup Counter</t>
  </si>
  <si>
    <t>Haleem Counter at Capital Land Block A</t>
  </si>
  <si>
    <t>Cancelled due to more vendors of Biryani</t>
  </si>
  <si>
    <t>Haleem Counter at  Wipro Gopanpally</t>
  </si>
  <si>
    <t>Haleem Counter at Wipro SEZ Nanakramguda</t>
  </si>
  <si>
    <t>Haleem Counter at Wipro Mindspace</t>
  </si>
  <si>
    <t>Haleem Counter at Bits Pilani</t>
  </si>
  <si>
    <t>Haleem Delivery at Foodys Group Airport</t>
  </si>
  <si>
    <t xml:space="preserve">Delivery of Haleem </t>
  </si>
  <si>
    <t>Take away at Begumpet</t>
  </si>
  <si>
    <t>Narsimha</t>
  </si>
  <si>
    <t>Take away of CV &amp; VB on 03-03-2025</t>
  </si>
  <si>
    <t>Veerababu</t>
  </si>
  <si>
    <t>Delivery of VB on 3-03-2025</t>
  </si>
  <si>
    <t>Delivery of haleem For Iftiar Party at BITS Pilani</t>
  </si>
  <si>
    <t>Afkham Mir</t>
  </si>
  <si>
    <t>Delivery of haleem for iftiar Party</t>
  </si>
  <si>
    <t>Delivery of Haleem and Iftiar box at Infosys</t>
  </si>
  <si>
    <t>Sathya Praveen</t>
  </si>
  <si>
    <t>Delivery of Haleem and iftiar box in March</t>
  </si>
  <si>
    <t>popup counter on 3-3-2025</t>
  </si>
  <si>
    <t>popup counter on 4-3-2025</t>
  </si>
  <si>
    <t>Popup Haleem Counter at Sky View OPTUM</t>
  </si>
  <si>
    <t>Popup counter on 4-3-2025</t>
  </si>
  <si>
    <t>Haleem Popup Counter at Infosys Pocharam</t>
  </si>
  <si>
    <t>haleem popup counter on 04-03-2025</t>
  </si>
  <si>
    <t>Delivery of MB on 4-3-2025</t>
  </si>
  <si>
    <t>haleem popup counter on 05-03-2025</t>
  </si>
  <si>
    <t>Chintu</t>
  </si>
  <si>
    <t>Dine in on 5-3-2025</t>
  </si>
  <si>
    <t>Popup counter on 5-3-2025</t>
  </si>
  <si>
    <t>popup counter on 5-3-2025</t>
  </si>
  <si>
    <t>Value Zone Nacharam</t>
  </si>
  <si>
    <t>Discussion about haleem popup counter</t>
  </si>
  <si>
    <t>haleem popup counter on 06-03-2025</t>
  </si>
  <si>
    <t>Popup counter on 6-3-2025</t>
  </si>
  <si>
    <t>popup counter on 6-3-2025</t>
  </si>
  <si>
    <t>New Delivery at Compass group on 5-3-2025</t>
  </si>
  <si>
    <t>haleem popup counter on 07-03-2025</t>
  </si>
  <si>
    <t>popup counter on 7-3-2025</t>
  </si>
  <si>
    <t>Delivery of VB at IIT Hyderabad</t>
  </si>
  <si>
    <t>Labdhi</t>
  </si>
  <si>
    <t>Delivery of VB on 8th &amp; 9th March 2025</t>
  </si>
  <si>
    <t>Delivery 0n 9-3-2025</t>
  </si>
  <si>
    <t>haleem popup counter on 10-03-2025</t>
  </si>
  <si>
    <t>popup counter on 10-3-2025</t>
  </si>
  <si>
    <t>Delivery of Mutton Biryani at Infosys pocharam</t>
  </si>
  <si>
    <t>Uppana</t>
  </si>
  <si>
    <t>Delivery of MB on 10-3-2025</t>
  </si>
  <si>
    <t>Chef Parcha Delivery of MB &amp; CB ON 7-03-2025</t>
  </si>
  <si>
    <t>Delivery of CB &amp; MB at Infosys Pocharam</t>
  </si>
  <si>
    <t>Delivery of CB &amp; MB on 11-03-2025</t>
  </si>
  <si>
    <t>Haleem Counter at S&amp;P Skiview</t>
  </si>
  <si>
    <t>Haleem counter on 11-3-2025</t>
  </si>
  <si>
    <t>popup counter on 11-3-2025</t>
  </si>
  <si>
    <t>haleem popup counter on 11-03-2025</t>
  </si>
  <si>
    <t>popup counter on 12-3-2025</t>
  </si>
  <si>
    <t>Haleem counter on 12-3-2025</t>
  </si>
  <si>
    <t>haleem popup counter on 12-03-2025</t>
  </si>
  <si>
    <t>Virend</t>
  </si>
  <si>
    <t>Delivery of CB on 12-3-2025</t>
  </si>
  <si>
    <t>Haleem Popup Counter at Wipro Mindspace</t>
  </si>
  <si>
    <t>Maurya</t>
  </si>
  <si>
    <t>Popup counter on 13-3-2025</t>
  </si>
  <si>
    <t>popup counter on 13-3-2025</t>
  </si>
  <si>
    <t>Take away at Masabtank</t>
  </si>
  <si>
    <t>Take away on 14 &amp; 15-3-2025</t>
  </si>
  <si>
    <t>haleem popup counter on 14-03-2025</t>
  </si>
  <si>
    <t>Take away from Himayath nagar</t>
  </si>
  <si>
    <t>Faiz</t>
  </si>
  <si>
    <t>Take away of MB on 15-3-2025</t>
  </si>
  <si>
    <t>Nalsar Univercity Popup Stall in sports day</t>
  </si>
  <si>
    <t>Ashna</t>
  </si>
  <si>
    <t>Popup stall on 14.15 &amp; 16-3-2025</t>
  </si>
  <si>
    <t>popup counter on 17-3-2025</t>
  </si>
  <si>
    <t>Popup counter on 17-3-2025</t>
  </si>
  <si>
    <t>Site Visit at Mindspace for 1 month popup counter</t>
  </si>
  <si>
    <t>Jerry</t>
  </si>
  <si>
    <t>discussion in regards with popup counter</t>
  </si>
  <si>
    <t>Delivery of MB on 22-3-2025</t>
  </si>
  <si>
    <t>Delivery at Sreenidhi College of Engineering</t>
  </si>
  <si>
    <t>Abhijeet</t>
  </si>
  <si>
    <t>delivery of CB &amp; VB on 22-3-2025</t>
  </si>
  <si>
    <t>popup counter on 18-3-2025</t>
  </si>
  <si>
    <t>Popup counter on 18-3-2025</t>
  </si>
  <si>
    <t>Haleem Popup at Wipro Gopanpally</t>
  </si>
  <si>
    <t>Haleem popup on 18-3-2025</t>
  </si>
  <si>
    <t>Delivery of VB &amp; CB on 18-3-2025</t>
  </si>
  <si>
    <t>popup counter on 19-3-2025</t>
  </si>
  <si>
    <t>Popup counter on 19-3-2025</t>
  </si>
  <si>
    <t>Haleem popup on 19-3-2025</t>
  </si>
  <si>
    <t>Haleem Popup at Capgemini Campus</t>
  </si>
  <si>
    <t>Haleem Popup at Capgemini GAR</t>
  </si>
  <si>
    <t>New Delivery at Compass group on 12-3-2025</t>
  </si>
  <si>
    <t>New Delivery at Compass group on 19-3-2025</t>
  </si>
  <si>
    <t>Bulk Food order at Kukatpally</t>
  </si>
  <si>
    <t>Bulk order on 19-3-2025</t>
  </si>
  <si>
    <t>Popup counter on 20-3-2025</t>
  </si>
  <si>
    <t>popup counter on 20-3-2025</t>
  </si>
  <si>
    <t>Popup counter on 21-3-2025</t>
  </si>
  <si>
    <t>popup counter on 21-3-2025</t>
  </si>
  <si>
    <t xml:space="preserve">Haleem Counter at Raheja Mindspace 12 D </t>
  </si>
  <si>
    <t>Delivery of CB on 23-3-2025</t>
  </si>
  <si>
    <t>Khadir</t>
  </si>
  <si>
    <t>Delivery of haleem on 23-3-2025</t>
  </si>
  <si>
    <t>Popup counter on 24-3-2025</t>
  </si>
  <si>
    <t>popup counter on 24-3-2025</t>
  </si>
  <si>
    <t>Popup counter on 25-3-2025</t>
  </si>
  <si>
    <t>popup counter on 25-3-2025</t>
  </si>
  <si>
    <t>Delivery of Biryani &amp; Haleem on 25-3-2025</t>
  </si>
  <si>
    <t>Haleem popup on 25-3-2025</t>
  </si>
  <si>
    <t>Haleem ODC at S&amp;P Global</t>
  </si>
  <si>
    <t>Haleem Iftiar party on 26-3-2025</t>
  </si>
  <si>
    <t>New Delivery at Compass group on 26-3-2025</t>
  </si>
  <si>
    <t>Delivery of Haleem on 26-3-2025</t>
  </si>
  <si>
    <t>Delivery of CB &amp; MB on 26-3-2025</t>
  </si>
  <si>
    <t>Popup counter on 26-3-2025</t>
  </si>
  <si>
    <t>popup counter on 26-3-2025</t>
  </si>
  <si>
    <t>Popup counter on 27-3-2025</t>
  </si>
  <si>
    <t>popup counter on 27-3-2025</t>
  </si>
  <si>
    <t>Delivery at Yashoda Hospital Malakpet</t>
  </si>
  <si>
    <t>Swapnakanchi</t>
  </si>
  <si>
    <t>Delivery of CB &amp; VB on 27-3-205</t>
  </si>
  <si>
    <t>Delivery of CB and Haleem on 27-3-025</t>
  </si>
  <si>
    <t>Delivery of CB &amp; MB</t>
  </si>
  <si>
    <t>Popup counter on 28-3-2025</t>
  </si>
  <si>
    <t>popup counter on 28-3-2025</t>
  </si>
  <si>
    <t>Bits Pilani Perl Fest</t>
  </si>
  <si>
    <t>Delivery at Qube Highways Shamshabad Airport GMR</t>
  </si>
  <si>
    <t>Delivery of CB &amp; VB on 28-3-2025</t>
  </si>
  <si>
    <t>Delivery at Hitec</t>
  </si>
  <si>
    <t>Delivery of VB &amp; CB on 28-3-2025</t>
  </si>
  <si>
    <t>Delivery of Haleem on 28-3-2025</t>
  </si>
  <si>
    <t>V Srinivas</t>
  </si>
  <si>
    <t>Dine in on 28-3-2025</t>
  </si>
  <si>
    <t>popup counter on 28-3-2025 to 30-3-2025</t>
  </si>
  <si>
    <t>Bhusan</t>
  </si>
  <si>
    <t>Delivery of CB &amp; VB on 29-3-2025</t>
  </si>
  <si>
    <t>Foody's Group (GMR AIRPORT)</t>
  </si>
  <si>
    <t>Delivery of Haleem and Biryani till 28-3-2025</t>
  </si>
  <si>
    <t xml:space="preserve"> Haleem sale 29-3-2025 to 31-3-2025</t>
  </si>
  <si>
    <t>Raheja Mind Space</t>
  </si>
  <si>
    <t>Anuroop</t>
  </si>
  <si>
    <t>Discussion in regards with Permanent counter</t>
  </si>
  <si>
    <t>Mahindra Univercity</t>
  </si>
  <si>
    <t>Majeed</t>
  </si>
  <si>
    <t>Popup counter 4 to 6th April</t>
  </si>
  <si>
    <t>New Delivery at Compass group on 2-4-2025</t>
  </si>
  <si>
    <t>IBM</t>
  </si>
  <si>
    <t>Discussion in regards with bulk order</t>
  </si>
  <si>
    <t>KLR Industries</t>
  </si>
  <si>
    <t>Sujeeth</t>
  </si>
  <si>
    <t>Deliverd cb from Rampally on 2-4-2025</t>
  </si>
  <si>
    <t>popup counter on 3-4-2025</t>
  </si>
  <si>
    <t>popup counter on 4-4-2025</t>
  </si>
  <si>
    <t>Bits Pilani Eid Dinner site visit</t>
  </si>
  <si>
    <t>Discussion and site visit for event on 6-4-2025</t>
  </si>
  <si>
    <t>Dine in at Hitec</t>
  </si>
  <si>
    <t>Dine in on 4-4-2025</t>
  </si>
  <si>
    <t>Bits Pilani Eid Dinner</t>
  </si>
  <si>
    <t>Done live Eid dinner for 135 PAX on 5-4-2025</t>
  </si>
  <si>
    <t>popup counter on 7-4-2025</t>
  </si>
  <si>
    <t>Di Fu Co</t>
  </si>
  <si>
    <t>Buffet event on 22-4-2025</t>
  </si>
  <si>
    <t>want japnese cusine with own vendor</t>
  </si>
  <si>
    <t>Bharat Singh</t>
  </si>
  <si>
    <t>Received amount in April  for advance vouchers</t>
  </si>
  <si>
    <t>GHMC Office</t>
  </si>
  <si>
    <t>Sammaiah</t>
  </si>
  <si>
    <t>discussion in regards with buffet for 1000 pax</t>
  </si>
  <si>
    <t>Delivery of CB on 8-4-2025</t>
  </si>
  <si>
    <t>Delivery of MB &amp; CB on 8-4-2025</t>
  </si>
  <si>
    <t>popup counter on 8-4-2025</t>
  </si>
  <si>
    <t>popup counter on 9-4-2025</t>
  </si>
  <si>
    <t>buffet 1000 pax on 11-4-2025</t>
  </si>
  <si>
    <t>New Delivery at Compass group on 9-4-2025</t>
  </si>
  <si>
    <t>popup counter on 10-4-2025</t>
  </si>
  <si>
    <t>popup counter on 11-4-2025</t>
  </si>
  <si>
    <t>Delivery of VB &amp; CB at Secundrabad Station</t>
  </si>
  <si>
    <t>Delivery on 14-4-2025 from Padmaraonagar</t>
  </si>
  <si>
    <t>popup counter on 14-4-2025</t>
  </si>
  <si>
    <t>Tourist Group from Dalmia Cement / Yatri MICE</t>
  </si>
  <si>
    <t>Dine in at IMAX on 14-4-2025</t>
  </si>
  <si>
    <t>popup counter on 15-4-2025</t>
  </si>
  <si>
    <t>Dine in at shamshabad on 15-4-2025</t>
  </si>
  <si>
    <t>popup counter on 16-4-2025</t>
  </si>
  <si>
    <t>Delivery of CB &amp; VB from Inorbit mall</t>
  </si>
  <si>
    <t>Delivery of CB on 18-4-2025</t>
  </si>
  <si>
    <t>popup counter on 17-4-2025</t>
  </si>
  <si>
    <t>popup counter on 18-4-2025</t>
  </si>
  <si>
    <t>Delivery at Maradpally Orphanage</t>
  </si>
  <si>
    <t>Marvin</t>
  </si>
  <si>
    <t>Delivery of CB on 20-4-2025</t>
  </si>
  <si>
    <t>Shyam</t>
  </si>
  <si>
    <t>Delivery of MB on 20-4-2025</t>
  </si>
  <si>
    <t>Delivery of MB &amp; CB on 21-4-2025</t>
  </si>
  <si>
    <t>popup counter on 21-4-2025</t>
  </si>
  <si>
    <t>popup counter on 22-4-2025</t>
  </si>
  <si>
    <t>Delivery of MB on 22-4-2025</t>
  </si>
  <si>
    <t>popup counter on 23-4-2025</t>
  </si>
  <si>
    <t>New Delivery at Compass group on 16-4-2025</t>
  </si>
  <si>
    <t>Tourist Group from Kolkata</t>
  </si>
  <si>
    <t>Somnath Pal</t>
  </si>
  <si>
    <t>Dine in at sghamshabad on 22-4-2025</t>
  </si>
  <si>
    <t>Tourist Group from Yatra MICE</t>
  </si>
  <si>
    <t>Aashrit</t>
  </si>
  <si>
    <t>Dine in at Shamshabad on 23-4-2025</t>
  </si>
  <si>
    <t>Followe up for further orders</t>
  </si>
  <si>
    <t>popup counter on 25-4-2025</t>
  </si>
  <si>
    <t>Dine in at Kompally</t>
  </si>
  <si>
    <t>Ahmad</t>
  </si>
  <si>
    <t>Dine in on 24-4-2025</t>
  </si>
  <si>
    <t>Mallareddy</t>
  </si>
  <si>
    <t>Discussion in regards with daily supply of food</t>
  </si>
  <si>
    <t>Travel Agency Maharashtra</t>
  </si>
  <si>
    <t>Ruchita</t>
  </si>
  <si>
    <t>Shared quote for delivery on 4-5-2025</t>
  </si>
  <si>
    <t>Sample of Snacks with pricing and packages</t>
  </si>
  <si>
    <t>Vardhaman Engineering College</t>
  </si>
  <si>
    <t>Follow up for Events and bulk orders</t>
  </si>
  <si>
    <t>New Delivery at Compass group on 30-4-2025</t>
  </si>
  <si>
    <t>Buffet Lunch at Urban Rise</t>
  </si>
  <si>
    <t>Buffet Lunch on 3-4-2025</t>
  </si>
  <si>
    <t xml:space="preserve">Low Budget </t>
  </si>
  <si>
    <t>Delivery of CB &amp; VB on 30-4-2025</t>
  </si>
  <si>
    <t>Delivery of Mutton Biryani on 1-5-2025</t>
  </si>
  <si>
    <t>Travel Group from Yatra</t>
  </si>
  <si>
    <t>Dine in at IMAX on 1-5-2025</t>
  </si>
  <si>
    <t>Buffet Dinner at Rajbhavan</t>
  </si>
  <si>
    <t>Buffet dinner on 03-5-2025</t>
  </si>
  <si>
    <t>Delivery at Lingampally Railway Station</t>
  </si>
  <si>
    <t>Delivery of VB on 4-5-2025 from Himayathnagar</t>
  </si>
  <si>
    <t xml:space="preserve">Delivery at charlapally Railway station </t>
  </si>
  <si>
    <t>Dine in at Lingampally</t>
  </si>
  <si>
    <t>Dine in at Lingampally on 4-5-2025</t>
  </si>
  <si>
    <t>Dinein at Shamshabad on 4-5-2025</t>
  </si>
  <si>
    <t>Tomaterra Festival</t>
  </si>
  <si>
    <t>food stall at event on 11-5-2025</t>
  </si>
  <si>
    <t>Cancelled due feisability of event profitability</t>
  </si>
  <si>
    <t>Archamedis Labs</t>
  </si>
  <si>
    <t>Introduction to bulk orders and delivery</t>
  </si>
  <si>
    <t>Maaganti Electronics</t>
  </si>
  <si>
    <t>Karvi Fintech</t>
  </si>
  <si>
    <t>Follow up for further orders</t>
  </si>
  <si>
    <t>Yatra Groupo</t>
  </si>
  <si>
    <t>Dine in at Shamshabad on 8-5-2025</t>
  </si>
  <si>
    <t>Globline Shipping</t>
  </si>
  <si>
    <t>Introduction to delivery of packed lunch</t>
  </si>
  <si>
    <t>New Delivery at Compass group on 7-5-2025</t>
  </si>
  <si>
    <t>Follow up for Payment</t>
  </si>
  <si>
    <t>Delivery at electronic City</t>
  </si>
  <si>
    <t>Delivery of CB and Starter on 14-5-2025</t>
  </si>
  <si>
    <t>Delivery at CB from MG road</t>
  </si>
  <si>
    <t>Navneet Singh</t>
  </si>
  <si>
    <t>Delivery of CB on 14-5-2025</t>
  </si>
  <si>
    <t>Delivery at Vanasthalipuram</t>
  </si>
  <si>
    <t>Delivery of CB &amp; MB on 11-5-2025</t>
  </si>
  <si>
    <t xml:space="preserve">Delivery at uppal </t>
  </si>
  <si>
    <t>Delivery of MB on 12-5-2025</t>
  </si>
  <si>
    <t>Ambika</t>
  </si>
  <si>
    <t>Delivery of VB on 15-5-2025</t>
  </si>
  <si>
    <t>Delivery at Kims Hospital Gachibowli</t>
  </si>
  <si>
    <t>Guru Prasad</t>
  </si>
  <si>
    <t>Delivery of CB &amp; VB on 14-5-2025</t>
  </si>
  <si>
    <t>Icfai College</t>
  </si>
  <si>
    <t>Preetam</t>
  </si>
  <si>
    <t>Dine in B Day party at Gachibowli 14-5-2025</t>
  </si>
  <si>
    <t>Abnik</t>
  </si>
  <si>
    <t>Bulk delivery on 25-5-2025</t>
  </si>
  <si>
    <t>Discussion in regards with bulk delivery</t>
  </si>
  <si>
    <t>New Delivery at Compass group on 14-5-2025</t>
  </si>
  <si>
    <t>Dr Reddys Lab</t>
  </si>
  <si>
    <t>Mudit</t>
  </si>
  <si>
    <t>Dine in on 17-5-25</t>
  </si>
  <si>
    <t>Delivery of CB on 18-5-2025</t>
  </si>
  <si>
    <t>Dr Vignesh</t>
  </si>
  <si>
    <t>Delivery of CB on 26-5-2025 from Himayathnagar</t>
  </si>
  <si>
    <t>Delivery at Chandanagar</t>
  </si>
  <si>
    <t>Delivery of CB &amp; MB on 20-5-2-25</t>
  </si>
  <si>
    <t>Compass Group Freshwork Bangalore</t>
  </si>
  <si>
    <t>Sampling &amp; Revival of delivery from 28-5-2025</t>
  </si>
  <si>
    <t>Public Expo at Suncity</t>
  </si>
  <si>
    <t>Site visit for Expo</t>
  </si>
  <si>
    <t>Delivery of VB &amp; MB on 20-5-2025</t>
  </si>
  <si>
    <t>Aware Hospital LB Nagar</t>
  </si>
  <si>
    <t>Bindhu</t>
  </si>
  <si>
    <t>Conversation in regards with bulk delivery</t>
  </si>
  <si>
    <t>Jaganmohan</t>
  </si>
  <si>
    <t>New Delivery at Compass group on 21-5-2025</t>
  </si>
  <si>
    <t>Follow up for Advance Payment for 60100 Kits</t>
  </si>
  <si>
    <t>Vertex Netcom Solution</t>
  </si>
  <si>
    <t>Kairams Event</t>
  </si>
  <si>
    <t>The Giggle fest on 7th &amp; 8 June 2025</t>
  </si>
  <si>
    <t>Giggles Event at Shilparamam</t>
  </si>
  <si>
    <t>Bridgestone</t>
  </si>
  <si>
    <t>Take away of CB on 24-5-2025</t>
  </si>
  <si>
    <t>Delivery of CB on 23-5-2025</t>
  </si>
  <si>
    <t>Tapasya CA College Dilsukhnagar</t>
  </si>
  <si>
    <t xml:space="preserve">Jagan </t>
  </si>
  <si>
    <t>Global Junior College</t>
  </si>
  <si>
    <t>Jagdeesh</t>
  </si>
  <si>
    <t>Thinci Semiconductor</t>
  </si>
  <si>
    <t>Luna</t>
  </si>
  <si>
    <t>Introduction to food delivery at their plant</t>
  </si>
  <si>
    <t>Next tour Kolkata</t>
  </si>
  <si>
    <t>Alok</t>
  </si>
  <si>
    <t>Shared quote for dine in in June</t>
  </si>
  <si>
    <t>Tanmay</t>
  </si>
  <si>
    <t>Vighnesh</t>
  </si>
  <si>
    <t xml:space="preserve">Biryani Kit Sampling </t>
  </si>
  <si>
    <t>Administrative Amplify</t>
  </si>
  <si>
    <t>Akhil</t>
  </si>
  <si>
    <t>CM &amp; VB on 28-5-2025 from Jublee hills</t>
  </si>
  <si>
    <t>Aurobindo Pharma</t>
  </si>
  <si>
    <t>Biryani kits and Meeting with marketing team</t>
  </si>
  <si>
    <t>Delivery of Special CB &amp; MB Handi on 26-5-25</t>
  </si>
  <si>
    <t>New Delivery at Compass group on 28-5-2025</t>
  </si>
  <si>
    <t>Delivery at Kompally</t>
  </si>
  <si>
    <t>Delivery of MB on 28-5-2025</t>
  </si>
  <si>
    <t>Delivery of CB &amp; Haleem</t>
  </si>
  <si>
    <t>ROC Event Celebration of Operation Sindoor</t>
  </si>
  <si>
    <t>Dinner,CB &amp; VB for 600 Indian Soldiers on 31-5-2025</t>
  </si>
  <si>
    <t>Delivery of Haleem at Foodys group Airport</t>
  </si>
  <si>
    <t xml:space="preserve">Delivery of Haleem in May month </t>
  </si>
  <si>
    <t>Delivery of CB on 01-6-2025</t>
  </si>
  <si>
    <t>Delivery of CB &amp; MB on 01-6-2025</t>
  </si>
  <si>
    <t>Delivery of CB on 02-6-2025</t>
  </si>
  <si>
    <t>Delivery of Mutton Biryani on 02-6-2025</t>
  </si>
  <si>
    <t>Convergies</t>
  </si>
  <si>
    <t>DXC Technologies</t>
  </si>
  <si>
    <t>Sreeleran</t>
  </si>
  <si>
    <t>Shared quote for 35 pax on 04-06-2025</t>
  </si>
  <si>
    <t>Maruti NEXA</t>
  </si>
  <si>
    <t>Balajirao</t>
  </si>
  <si>
    <t>Shared details of Advance booking vouchers</t>
  </si>
  <si>
    <t>Mukul</t>
  </si>
  <si>
    <t>New Delivery at Compass group on 04-6-2025</t>
  </si>
  <si>
    <t>BPCL</t>
  </si>
  <si>
    <t>Suresh Tripathy</t>
  </si>
  <si>
    <t>Yogesh Khandoi</t>
  </si>
  <si>
    <t xml:space="preserve">Tech Mahindra </t>
  </si>
  <si>
    <t>Zia Baig</t>
  </si>
  <si>
    <t>Introduction to Bulk delivery</t>
  </si>
  <si>
    <t>Shared quote for 100 pax lunch</t>
  </si>
  <si>
    <t>Kairams Event Suncity</t>
  </si>
  <si>
    <t xml:space="preserve">Site visit and Cancelled the event </t>
  </si>
  <si>
    <t>Quislex Legal Service</t>
  </si>
  <si>
    <t>Yatra MICE</t>
  </si>
  <si>
    <t xml:space="preserve">Follow up for Bulk Order in Dine in </t>
  </si>
  <si>
    <t xml:space="preserve">Delivery at MG Road </t>
  </si>
  <si>
    <t>Delivery of CB on 6-06-2025</t>
  </si>
  <si>
    <t>Rafiq</t>
  </si>
  <si>
    <t>Delivery of Mini rice Bowls at Salarpuria Sattva</t>
  </si>
  <si>
    <t>Postponed to december</t>
  </si>
  <si>
    <t>Sumac Pharma</t>
  </si>
  <si>
    <t>Bhavani</t>
  </si>
  <si>
    <t>Delivery of 115 Biryani Kits on 7-6-2025, Kukatpally</t>
  </si>
  <si>
    <t>Delivery of CB &amp; MB on 7-6-2025</t>
  </si>
  <si>
    <t>Delivery of CB on 7-06-2025</t>
  </si>
  <si>
    <t>Delivery of Biryani Kits at Padmaraonagar</t>
  </si>
  <si>
    <t>Dilip Tilwani</t>
  </si>
  <si>
    <t>Delivery of biryani Kits in Bulk</t>
  </si>
  <si>
    <t>Gurunanak Univercity Ibrahimpatnam</t>
  </si>
  <si>
    <t>Harish Kundra</t>
  </si>
  <si>
    <t>Sreeram Bioseeds</t>
  </si>
  <si>
    <t>Introduction to corporate gifting and Delivery</t>
  </si>
  <si>
    <t xml:space="preserve">Cognizant </t>
  </si>
  <si>
    <t>Shared details of Buffet lunch on 28-7-2025</t>
  </si>
  <si>
    <t>Delivery of CB &amp; Kabab</t>
  </si>
  <si>
    <t>YOJO</t>
  </si>
  <si>
    <t>Shared packages for ODC Parties</t>
  </si>
  <si>
    <t>Requirement cancelled</t>
  </si>
  <si>
    <t>Sravya</t>
  </si>
  <si>
    <t>Follow up for confirmation of Orders</t>
  </si>
  <si>
    <t>Jeevan Jor</t>
  </si>
  <si>
    <t>Hanumaprasad</t>
  </si>
  <si>
    <t>Introduction to gifting &amp; Bulk delivery</t>
  </si>
  <si>
    <t>Victor</t>
  </si>
  <si>
    <t>Introduction to all the services and Gifting</t>
  </si>
  <si>
    <t>Delivery of Special CB &amp; MB Handi on 11-6-25</t>
  </si>
  <si>
    <t>New Delivery at Compass group on 11-6-2025</t>
  </si>
  <si>
    <t>Yashoda Krishna Toyota</t>
  </si>
  <si>
    <t>Introduction to gifting and Bulk orders</t>
  </si>
  <si>
    <t>Dyna</t>
  </si>
  <si>
    <t>Dine in at Kukatpally on 12-6-2025</t>
  </si>
  <si>
    <t>Flea Event at Nagole</t>
  </si>
  <si>
    <t>Event on 17-6-2025</t>
  </si>
  <si>
    <t>Less Walkin crowd of 500 with multiple vendors</t>
  </si>
  <si>
    <t>Malla Reddy</t>
  </si>
  <si>
    <t xml:space="preserve">Follow up for Lunch and Snacks orders </t>
  </si>
  <si>
    <t>Delivery of Biryani and Biscuits</t>
  </si>
  <si>
    <t>Duri Holidays</t>
  </si>
  <si>
    <t>Dine in for tourist group</t>
  </si>
  <si>
    <t>Saga Events and Holidays</t>
  </si>
  <si>
    <t>Dine in at Secundrabad for tourism group from Raipur</t>
  </si>
  <si>
    <t>confirmation of biryani kits by Jan  2026</t>
  </si>
  <si>
    <t>DRS School</t>
  </si>
  <si>
    <t>Discussion in regards with event in August</t>
  </si>
  <si>
    <t>Johnson</t>
  </si>
  <si>
    <t>Dine in of 25 PAX at Begumpet on 18-6-2025</t>
  </si>
  <si>
    <t>Delivery of Biryani at Sattva Building in July</t>
  </si>
  <si>
    <t>Moved to October</t>
  </si>
  <si>
    <t>Lakshmidhar</t>
  </si>
  <si>
    <t>Introduction to bulk food delivery and gifting</t>
  </si>
  <si>
    <t>New Delivery at Compass group on 18-6-2025</t>
  </si>
  <si>
    <t>Franklin Templeton Investments</t>
  </si>
  <si>
    <t>Microsoft</t>
  </si>
  <si>
    <t>Served team lunch at their office</t>
  </si>
  <si>
    <t>Follow up for further groups 28-29 November</t>
  </si>
  <si>
    <t>they have to purchase from Govt Canteen</t>
  </si>
  <si>
    <t>Ankura Hospital LB Nagar</t>
  </si>
  <si>
    <t>Delivery of Chicken combo on 3-7-2025</t>
  </si>
  <si>
    <t>Ankura Hospital Gachibowli</t>
  </si>
  <si>
    <t>Delivery of Chicken combo on 18-7-2025</t>
  </si>
  <si>
    <t>NIMS Panjagutta</t>
  </si>
  <si>
    <t>Delivery of chicken combo on 19-7-2025</t>
  </si>
  <si>
    <t>Shambhavi Enterprise</t>
  </si>
  <si>
    <t>Ratnakar</t>
  </si>
  <si>
    <t>Delivery of cb on 22-6-2025 from Kompally at Suchitra</t>
  </si>
  <si>
    <t>Sujata</t>
  </si>
  <si>
    <t>Discussion in regards with food delivery for hostel</t>
  </si>
  <si>
    <t>Deloitte Consulting USI Gurgaon</t>
  </si>
  <si>
    <t>Delivery of CB and VB and Kabab at Gurgaon</t>
  </si>
  <si>
    <t>Kirams Event</t>
  </si>
  <si>
    <t>Tie up for Flea and Popup stalls in gated community</t>
  </si>
  <si>
    <t>Discussion in regards ith corporate collabration</t>
  </si>
  <si>
    <t>Family Group from Kukatpally</t>
  </si>
  <si>
    <t>Dine in at kukatpally on 22-6-25</t>
  </si>
  <si>
    <t>Cognizant Mindspace</t>
  </si>
  <si>
    <t>Delivery at Mindspace on 25-6-2025</t>
  </si>
  <si>
    <t xml:space="preserve">Platos </t>
  </si>
  <si>
    <t>Follow up for coming order</t>
  </si>
  <si>
    <t>No requirement in november</t>
  </si>
  <si>
    <t>Synergy</t>
  </si>
  <si>
    <t>Tericsoft</t>
  </si>
  <si>
    <t>Ameesha</t>
  </si>
  <si>
    <t>Shared quote for 689 PAX of Biryani on 27-6-2025</t>
  </si>
  <si>
    <t>ICICI Bank</t>
  </si>
  <si>
    <t>Devyani</t>
  </si>
  <si>
    <t>Follow up for bulk delivery</t>
  </si>
  <si>
    <t>Follow up for Further orders</t>
  </si>
  <si>
    <t>Indra Reddy</t>
  </si>
  <si>
    <t>Follow up for Lunch &amp; Snacks Delivery</t>
  </si>
  <si>
    <t>Ambipam Health Care</t>
  </si>
  <si>
    <t>Confirmed delivery of Biryani on 27-6-2025</t>
  </si>
  <si>
    <t>Ashwin</t>
  </si>
  <si>
    <t xml:space="preserve">Shared quote for 40 PAX </t>
  </si>
  <si>
    <t>Shared details of food delivery at event in July</t>
  </si>
  <si>
    <t>Discussion in regards with agreement</t>
  </si>
  <si>
    <t>Discussion in regards with corporate collabration</t>
  </si>
  <si>
    <t>Shared details of bulk delivery</t>
  </si>
  <si>
    <t>Delivery at Bowenpaly</t>
  </si>
  <si>
    <t>Nikesh</t>
  </si>
  <si>
    <t>Delivery of CB on 28-06-2025</t>
  </si>
  <si>
    <t>Delivery of CB on 29-6-2025</t>
  </si>
  <si>
    <t>Shared Pricing and Negot</t>
  </si>
  <si>
    <t xml:space="preserve">Compass Group </t>
  </si>
  <si>
    <t>Chandrika</t>
  </si>
  <si>
    <t xml:space="preserve">Service Now event on </t>
  </si>
  <si>
    <t>Delivery of MB Handi on 30-6-2025</t>
  </si>
  <si>
    <t>Delivery of Biryani and Kabab on 30-6-2025</t>
  </si>
  <si>
    <t>Buffet Lunch at Secundrabad</t>
  </si>
  <si>
    <t>Siva</t>
  </si>
  <si>
    <t>Buffet lunch on 24-5-2025</t>
  </si>
  <si>
    <t>GHMC Commissionerate</t>
  </si>
  <si>
    <t>Samaiah</t>
  </si>
  <si>
    <t>Follow up for payment and Next orders</t>
  </si>
  <si>
    <t>Delivery of Veg and Nonveg combo on 2-7-2025</t>
  </si>
  <si>
    <t>Viswa</t>
  </si>
  <si>
    <t>Delivery of Cb &amp; Kababs</t>
  </si>
  <si>
    <t>Ameerpet Church</t>
  </si>
  <si>
    <t>Rajasekhar</t>
  </si>
  <si>
    <t>Serving of CB Dinner for 200 PAX on 3-7-2025</t>
  </si>
  <si>
    <t>Delivery of CB on 2-7-2025</t>
  </si>
  <si>
    <t>Ankura Hospital</t>
  </si>
  <si>
    <t>Amaron Battries</t>
  </si>
  <si>
    <t xml:space="preserve">Introduction to bulk delivery and dine in </t>
  </si>
  <si>
    <t>Introduction to gifting</t>
  </si>
  <si>
    <t>Shared quote for 100 pax lunch in July</t>
  </si>
  <si>
    <t>Jitendra</t>
  </si>
  <si>
    <t>Delivery of CB on 5-7-2025</t>
  </si>
  <si>
    <t>Delivery at secundrabad</t>
  </si>
  <si>
    <t>Delivery of Cb at secundrabad</t>
  </si>
  <si>
    <t>shared quote for buffet lunch</t>
  </si>
  <si>
    <t>Amaron Battery (Amara Raja Battries Ltd)</t>
  </si>
  <si>
    <t>dine in of 240 pax on 18-7-2025 at charminar</t>
  </si>
  <si>
    <t>Follow up for closure of delivery of bulk order</t>
  </si>
  <si>
    <t>Delivery at Meerpet</t>
  </si>
  <si>
    <t>Pradeep kumar</t>
  </si>
  <si>
    <t>Delivery of CB on 10-7-2025</t>
  </si>
  <si>
    <t>Follow up for Biryani Kits Order</t>
  </si>
  <si>
    <t>New Delivery at Compass group on 9-7-2025</t>
  </si>
  <si>
    <t>SK tours and Travels</t>
  </si>
  <si>
    <t>Introductiopn to bulk delivery and dine in fir tourist</t>
  </si>
  <si>
    <t>Delivery of Biryani Kits at Vanasthalipuram</t>
  </si>
  <si>
    <t>Shivakrishna</t>
  </si>
  <si>
    <t>Deliverd Biryani kits on 11-07-2025</t>
  </si>
  <si>
    <t>Delivery of CB at Mettuguda</t>
  </si>
  <si>
    <t>Delivery of CB on 12-7-2025</t>
  </si>
  <si>
    <t>Delivery of Special CB Handi on 11-7-25</t>
  </si>
  <si>
    <t>Aduri Infra Ltd</t>
  </si>
  <si>
    <t>MS Reddy</t>
  </si>
  <si>
    <t>Introduction to bulk orders and delivery in events</t>
  </si>
  <si>
    <t>Soni</t>
  </si>
  <si>
    <t>Delivery of CB &amp; VB on 19-7-2925</t>
  </si>
  <si>
    <t xml:space="preserve">Travel Agency </t>
  </si>
  <si>
    <t>Muni Kumar</t>
  </si>
  <si>
    <t>Dine in for travel group in July</t>
  </si>
  <si>
    <t>Wipro Lightings</t>
  </si>
  <si>
    <t>Vamsikrishna</t>
  </si>
  <si>
    <t>Universal Tours &amp; Travels</t>
  </si>
  <si>
    <t>Introduction to bulk dine in and delivery for tourist</t>
  </si>
  <si>
    <t>Majestic Travel &amp; Tourism</t>
  </si>
  <si>
    <t>Introductio to bulk orders for tourist</t>
  </si>
  <si>
    <t>Delivery of Special CB &amp; MB Handi on 16-7-25</t>
  </si>
  <si>
    <t>New Delivery at Compass group on 16-7-2025</t>
  </si>
  <si>
    <t xml:space="preserve">Millaniums Event </t>
  </si>
  <si>
    <t>Event at manikonda on 20-7-2025</t>
  </si>
  <si>
    <t>JB Ventures Pvt td</t>
  </si>
  <si>
    <t>Introduction to bulk supply at reralestate</t>
  </si>
  <si>
    <t>DRS International School</t>
  </si>
  <si>
    <t>Follow up for event in August</t>
  </si>
  <si>
    <t>Service Now</t>
  </si>
  <si>
    <t>Shared quote for delivery of food on 24-7-2025</t>
  </si>
  <si>
    <t>follow up for past payment</t>
  </si>
  <si>
    <t>Amaron</t>
  </si>
  <si>
    <t>Confirmed the order for 18-7-2025</t>
  </si>
  <si>
    <t>Delivery at Mehdiptanam from kukatpally</t>
  </si>
  <si>
    <t>Bajid Ansari</t>
  </si>
  <si>
    <t>Delivery of MB and Kabab on 20-7-2025</t>
  </si>
  <si>
    <t>Wipro Consumer &amp; Lightings</t>
  </si>
  <si>
    <t>Shared details of Wallet gifting to employees</t>
  </si>
  <si>
    <t>Swamy Fooods &amp; Travels</t>
  </si>
  <si>
    <t>Ready to work as a TA, Collected Documents</t>
  </si>
  <si>
    <t>MY Travel Buddy</t>
  </si>
  <si>
    <t>Ravil</t>
  </si>
  <si>
    <t>Interested for inbound tourist</t>
  </si>
  <si>
    <t>Sridevi Travels</t>
  </si>
  <si>
    <t>Aero Space Tours &amp; Travels</t>
  </si>
  <si>
    <t>Only international trips may send some small groups</t>
  </si>
  <si>
    <t>Green Vecations</t>
  </si>
  <si>
    <t>Sampath Gupta</t>
  </si>
  <si>
    <t>Intro regards Tie up,more into uinternational trips</t>
  </si>
  <si>
    <t>Great Holidays</t>
  </si>
  <si>
    <t>S Chandra Sekhar</t>
  </si>
  <si>
    <t>Intro to comission based dine in and delivery for tourist</t>
  </si>
  <si>
    <t>68MHolidays</t>
  </si>
  <si>
    <t>Syed Murtza Ali</t>
  </si>
  <si>
    <t>will send guest directly, Outbound</t>
  </si>
  <si>
    <t>Akbar Travels of India PVT LTD</t>
  </si>
  <si>
    <t>Dr Anita Singh</t>
  </si>
  <si>
    <t>Will send groups directly , more into outbound</t>
  </si>
  <si>
    <t>Warm</t>
  </si>
  <si>
    <t>Delivery of Special CB &amp; MB Handi on 23-7-25</t>
  </si>
  <si>
    <t>Take away fron Suncity</t>
  </si>
  <si>
    <t>Take away of CB &amp; VB on 23-7-25</t>
  </si>
  <si>
    <t>Delivery of Executive Meal Plate for employeee</t>
  </si>
  <si>
    <t>Follow up for order</t>
  </si>
  <si>
    <t>Vamshikrishna</t>
  </si>
  <si>
    <t>follow up for wallet recharge</t>
  </si>
  <si>
    <t>Delivery of CB and kabab at uppal on 27-7-25</t>
  </si>
  <si>
    <t>Sana Travels</t>
  </si>
  <si>
    <t>Rashid Amer</t>
  </si>
  <si>
    <t>Introduction to tourist dine in and delivery</t>
  </si>
  <si>
    <t>Issa</t>
  </si>
  <si>
    <t>MSN Lbs</t>
  </si>
  <si>
    <t>Follow up for payment,</t>
  </si>
  <si>
    <t>Delivery at Salarpuria Sattva</t>
  </si>
  <si>
    <t>Shared details of lunch for 1300 people in august</t>
  </si>
  <si>
    <t>As we coudnt signagreement with compass</t>
  </si>
  <si>
    <t>Foodys</t>
  </si>
  <si>
    <t>Sekhar</t>
  </si>
  <si>
    <t>Delivery of Special CB &amp; MB Handi on 30-7-25</t>
  </si>
  <si>
    <t>Neuland Pharma</t>
  </si>
  <si>
    <t>Introduction to Gifting &amp; Bulk orders</t>
  </si>
  <si>
    <t>Celkon Ltd</t>
  </si>
  <si>
    <t>Shared Details of Lunch for 200 Pax</t>
  </si>
  <si>
    <t>Rajbhavan</t>
  </si>
  <si>
    <t>Followup for payment</t>
  </si>
  <si>
    <t>T HUB</t>
  </si>
  <si>
    <t>Sheshendra</t>
  </si>
  <si>
    <t>Follow up for appointment</t>
  </si>
  <si>
    <t>Nvedia Grabhics</t>
  </si>
  <si>
    <t xml:space="preserve">Abhay </t>
  </si>
  <si>
    <t>Realpage</t>
  </si>
  <si>
    <t>Woxen univercity Fest</t>
  </si>
  <si>
    <t>8-10 September 3 day event</t>
  </si>
  <si>
    <t>Naman</t>
  </si>
  <si>
    <t>Event on 19 September</t>
  </si>
  <si>
    <t>United Church Tarnaka</t>
  </si>
  <si>
    <t>Follow up for further Business</t>
  </si>
  <si>
    <t>Nice Tours &amp; Travels</t>
  </si>
  <si>
    <t>Sajjad</t>
  </si>
  <si>
    <t>Introduction to delivery and dine in for tourist</t>
  </si>
  <si>
    <t>Swamy foods &amp;Travels</t>
  </si>
  <si>
    <t>Follow up for groups and delivery</t>
  </si>
  <si>
    <t>Sampat Mykela</t>
  </si>
  <si>
    <t xml:space="preserve">Introduction to bulk order </t>
  </si>
  <si>
    <t>Nalsar Univercity</t>
  </si>
  <si>
    <t>Hafsha</t>
  </si>
  <si>
    <t>Event on 5,6,7 September</t>
  </si>
  <si>
    <t>Hungersate</t>
  </si>
  <si>
    <t>Discussion about delivering food interstste</t>
  </si>
  <si>
    <t>Not feisable</t>
  </si>
  <si>
    <t>Kirams Events</t>
  </si>
  <si>
    <t>Discussion about beverage stall at Taj Deccan</t>
  </si>
  <si>
    <t>Discussion in regards with takeaway from Bangalore</t>
  </si>
  <si>
    <t>Popup counter at Taj Deccan for 11 days Bevarage Stall.</t>
  </si>
  <si>
    <t>Vikranth</t>
  </si>
  <si>
    <t>Followup for Further business</t>
  </si>
  <si>
    <t>Jabbar</t>
  </si>
  <si>
    <t>Delivery of CB in Bangalore</t>
  </si>
  <si>
    <t xml:space="preserve">Popup counter </t>
  </si>
  <si>
    <t xml:space="preserve"> </t>
  </si>
  <si>
    <t xml:space="preserve">Anthea Prarma </t>
  </si>
  <si>
    <t>Take away for October month</t>
  </si>
  <si>
    <t>Followup for delivery of CB on 25-12-2025</t>
  </si>
  <si>
    <t>Hari Transport Maharashtra</t>
  </si>
  <si>
    <t>Dine in of Tourist group from Maharashtra at IMAX</t>
  </si>
  <si>
    <t>Followup for  Delivery of employee lunch on 13-10-2025</t>
  </si>
  <si>
    <t>Tourist Group from Maharashtra</t>
  </si>
  <si>
    <t>Dine in at IMAX 50 PAX on 11-10-2025</t>
  </si>
  <si>
    <t>Delivery of Snacks on 12-10-2025</t>
  </si>
  <si>
    <t>Delivery of CB on 15-10-2025</t>
  </si>
  <si>
    <t>Railway Hospital</t>
  </si>
  <si>
    <t>Vishwam</t>
  </si>
  <si>
    <t>Delivery of Packed lunch in Jan 2026</t>
  </si>
  <si>
    <t>Onesta Nanakramguda</t>
  </si>
  <si>
    <t>Shared Details of Biryani Buffet 100 PAX 16-10-2025</t>
  </si>
  <si>
    <t>Travel Group from Maharashtra</t>
  </si>
  <si>
    <t>MD Munavir</t>
  </si>
  <si>
    <t xml:space="preserve">Dine in at IMAX for Tourist Students </t>
  </si>
  <si>
    <t>Delivery of Chicken Handi at BRS Party Meet</t>
  </si>
  <si>
    <t>Delivery of 5 CB Handi from Begumpet on 13-10-2025</t>
  </si>
  <si>
    <t>Vasanta Tools</t>
  </si>
  <si>
    <t>Ashrf</t>
  </si>
  <si>
    <t>Introiduction to Gifting and Bulk order</t>
  </si>
  <si>
    <t xml:space="preserve">MTAR </t>
  </si>
  <si>
    <t>Birla Sunlife Insurance</t>
  </si>
  <si>
    <t>Karishma</t>
  </si>
  <si>
    <t>Buffet lunch on 29-10-2025</t>
  </si>
  <si>
    <t>Less budget for Buffet, Opted for Pista House</t>
  </si>
  <si>
    <t>Delivery of CB at Musheerabad</t>
  </si>
  <si>
    <t>Delivery of CB on 02-11-2025</t>
  </si>
  <si>
    <t>Delivery of Biryani Kits in November</t>
  </si>
  <si>
    <t>delivery of CB on 24-11-25</t>
  </si>
  <si>
    <t>Follow up for buffet lunch on 20-11-25</t>
  </si>
  <si>
    <t xml:space="preserve"> DBS</t>
  </si>
  <si>
    <t>followup for Delivery of CB and VB Combo in JAN</t>
  </si>
  <si>
    <t>followup for Delivery at NIMS Hospital on 14-11-25</t>
  </si>
  <si>
    <t>Delivery  of CB, MB &amp; VB at DBS in Jan</t>
  </si>
  <si>
    <t>Dine in at secundrabad on 10-11-25</t>
  </si>
  <si>
    <t>Dine in at secundrabad in Jan</t>
  </si>
  <si>
    <t>Deliverd CB at Vijawada on 4-11-25</t>
  </si>
  <si>
    <t>Csncelled</t>
  </si>
  <si>
    <t>Received advance for food delivery on 6 Nov 2025</t>
  </si>
  <si>
    <t>ODC on 31-12-25</t>
  </si>
  <si>
    <t>Delivery at Westn hotels</t>
  </si>
  <si>
    <t>Delivery of CB &amp; MB in Jan</t>
  </si>
  <si>
    <t>Delivery of CB in JAN</t>
  </si>
  <si>
    <t>Aggregator</t>
  </si>
  <si>
    <t>delivery of CB on 8-12-25</t>
  </si>
  <si>
    <t>300 pax Dinner on 14 &amp; 15 December 2025</t>
  </si>
  <si>
    <t>Delivery of CB &amp; DKM in JAN</t>
  </si>
  <si>
    <t>Dine in at Gachabowli on 13-12-25</t>
  </si>
  <si>
    <t>Take away from Gachabowli in Jan</t>
  </si>
  <si>
    <t>Delivery of CB in Jan</t>
  </si>
  <si>
    <t>Delivery of Combo on In Jan</t>
  </si>
  <si>
    <t>United Church BHEL</t>
  </si>
  <si>
    <t>Delivery of Plum cakes on 24-12-2025</t>
  </si>
  <si>
    <t>Aurobibdo Pharma</t>
  </si>
  <si>
    <t>Gopi Krishna</t>
  </si>
  <si>
    <t>Introduction to bulk orders and Gifting</t>
  </si>
  <si>
    <t xml:space="preserve">Abnik </t>
  </si>
  <si>
    <t>Delivery of Biryani on 2-11-2025</t>
  </si>
  <si>
    <t>Sale of CB,VB,MB,DKM on 4-11-2025</t>
  </si>
  <si>
    <t>VJIT College Fest</t>
  </si>
  <si>
    <t>Sale at popup counter on 03-11-2025</t>
  </si>
  <si>
    <t>Pop up</t>
  </si>
  <si>
    <t>Luthran Church</t>
  </si>
  <si>
    <t>Yesu</t>
  </si>
  <si>
    <t>Delivery of CB,MB &amp; VB on 9-11-2025</t>
  </si>
  <si>
    <t>Sale at popup counter on 04-11-2025</t>
  </si>
  <si>
    <t xml:space="preserve">Church </t>
  </si>
  <si>
    <t>Daniel told he will give appointment shortly</t>
  </si>
  <si>
    <t>Sale of CB,VB,MB,DKM on 04-11-2025</t>
  </si>
  <si>
    <t>Discussion for delivery of packed combo on 14-11-20025</t>
  </si>
  <si>
    <t>AWFIS</t>
  </si>
  <si>
    <t xml:space="preserve">Discussion for bulk delivery and Vendor Registration </t>
  </si>
  <si>
    <t>Sale of CB,VB,MB,DKM on 5-11-2025</t>
  </si>
  <si>
    <t>New Delivery at Compass group on 5-11-2025</t>
  </si>
  <si>
    <t>Sale of CB,VB,MB,DKM on 6-11-2025</t>
  </si>
  <si>
    <t>Popup of at Accenture on 7-11-2025</t>
  </si>
  <si>
    <t>Sale of CB,VB,MB,DKM on 7-11-2025</t>
  </si>
  <si>
    <t xml:space="preserve">Bits Pilani Event </t>
  </si>
  <si>
    <t>ODC Sale on 7,8,9 November</t>
  </si>
  <si>
    <t>Sale of CB,VB,MB,DKM on 10-11-2025</t>
  </si>
  <si>
    <t>New Delivery at Compass group on 10-11-2025</t>
  </si>
  <si>
    <t>Sale of CB,VB,MB,DKM on 11-11-2025</t>
  </si>
  <si>
    <t>Sale of CB,VB,MB,DKM on 12-11-2025</t>
  </si>
  <si>
    <t>Bulk Delivery at different location on 13-11-2025</t>
  </si>
  <si>
    <t>Sale of CB,VB,MB,DKM on 13-11-2025</t>
  </si>
  <si>
    <t>Hyderabad Metro</t>
  </si>
  <si>
    <t>Take away from uppal store on 13-11-2025</t>
  </si>
  <si>
    <t>Ramdev Hospital (Medtronics)</t>
  </si>
  <si>
    <t>Delivery of meal combo from kukatpally on 14-11-2025</t>
  </si>
  <si>
    <t>Benz Circle Vijawada Hospital (Medtronics)</t>
  </si>
  <si>
    <t>Delivery of meal combo from Benz Circle on 14-11-2025</t>
  </si>
  <si>
    <t>Barbeque Nation</t>
  </si>
  <si>
    <t>Delivery of Samosa from Hitec on 14-11-2025</t>
  </si>
  <si>
    <t>Sale of CB,VB,MB,DKM on 14-11-2025</t>
  </si>
  <si>
    <t>Dine in at Charminar</t>
  </si>
  <si>
    <t>Dine in at charminar on 15-11-2025</t>
  </si>
  <si>
    <t>Girikand Travels</t>
  </si>
  <si>
    <t>CB at Kachiguda Station from Begumpet on 15-11-2025</t>
  </si>
  <si>
    <t>Habib</t>
  </si>
  <si>
    <t>Delivery of CB from Begumpet on 15-11-2025</t>
  </si>
  <si>
    <t>Delivery at  Ramaram</t>
  </si>
  <si>
    <t>Delivery of CB from kukatpally on 16-11-2025</t>
  </si>
  <si>
    <t>Gachibowli Stadium Karate compitition</t>
  </si>
  <si>
    <t>Delivery of CB from BHEL on 16-11-2025</t>
  </si>
  <si>
    <t>GHMC Zonal Office</t>
  </si>
  <si>
    <t>Sammiah/ Anurag</t>
  </si>
  <si>
    <t>Follow up for past payment of 7,50,000/-</t>
  </si>
  <si>
    <t>HITEX Exhibition</t>
  </si>
  <si>
    <t>Venugopal</t>
  </si>
  <si>
    <t>Discussed regarding Biryani requirement on 25-28 th Nov</t>
  </si>
  <si>
    <t>Delivery of MB on 19-11-2025</t>
  </si>
  <si>
    <t>Sale of CB,VB,MB,DKM on 17-11-2025</t>
  </si>
  <si>
    <t>Sale of CB,VB,MB,DKM on 18-11-2025</t>
  </si>
  <si>
    <t>Take away from secundrabad</t>
  </si>
  <si>
    <t>Shoiab</t>
  </si>
  <si>
    <t>Take away of CB on 18-11-2025 from Secundrabad</t>
  </si>
  <si>
    <t>NS tours and travels</t>
  </si>
  <si>
    <t>Azam</t>
  </si>
  <si>
    <t>Dine in at IMAX on 19-11-2025</t>
  </si>
  <si>
    <t>Sale of CB,VB,MB,DKM on 19-11-2025</t>
  </si>
  <si>
    <t>Delivery at Secundrabad Railway Station</t>
  </si>
  <si>
    <t>Delivery of CB and VB from Begumpet on 19-11-2025</t>
  </si>
  <si>
    <t>Delivery of MB and rumali from Begumpet on 19-11-2025</t>
  </si>
  <si>
    <t>Axis Securities</t>
  </si>
  <si>
    <t>Followup for corporate order</t>
  </si>
  <si>
    <t>New Delivery at Compass group on 19-11-2025</t>
  </si>
  <si>
    <t>Rajsekhar</t>
  </si>
  <si>
    <t>Take away of CB on 19-11-2025 from Secundrabad</t>
  </si>
  <si>
    <t>Sale of CB,VB,MB,DKM on 20-11-2025</t>
  </si>
  <si>
    <t>Rashtrapati Nilayam</t>
  </si>
  <si>
    <t>Varaprasad</t>
  </si>
  <si>
    <t>Registration for Jan exhibition</t>
  </si>
  <si>
    <t>Meru International School</t>
  </si>
  <si>
    <t>Amaya</t>
  </si>
  <si>
    <t>Registration for stall on 29-11-2025</t>
  </si>
  <si>
    <t>Popup at IIT Hyderabad</t>
  </si>
  <si>
    <t>Popup Counter from 17 to 21 November 2025</t>
  </si>
  <si>
    <t>Sale of CB,VB,MB,DKM on 21-11-2025</t>
  </si>
  <si>
    <t>Gravity Films</t>
  </si>
  <si>
    <t>Anji</t>
  </si>
  <si>
    <t>Delivery of CB &amp; VB on 19&amp;22 November 2025 from Hitec</t>
  </si>
  <si>
    <t>Christ the King Church</t>
  </si>
  <si>
    <t>Dr Suman</t>
  </si>
  <si>
    <t>Delivery of 200 CB on 22-11-2025</t>
  </si>
  <si>
    <t>Event Postpond</t>
  </si>
  <si>
    <t>CTS Holidays</t>
  </si>
  <si>
    <t>Gobindas</t>
  </si>
  <si>
    <t>Dine in for 400 PAX in Jan</t>
  </si>
  <si>
    <t>Dine in at IMAX on 22-11-20215</t>
  </si>
  <si>
    <t>ICFAI</t>
  </si>
  <si>
    <t>Manas</t>
  </si>
  <si>
    <t>Discussion in regards with Popup in Jan</t>
  </si>
  <si>
    <t>Discussion for stall on 29-11-2025</t>
  </si>
  <si>
    <t>Gem Kids Fest</t>
  </si>
  <si>
    <t>Site visit for Event on 13-14 Dec 2025</t>
  </si>
  <si>
    <t>Sale of CB,VB,MB,DKM on 24-11-2025</t>
  </si>
  <si>
    <t xml:space="preserve">Doctors Association </t>
  </si>
  <si>
    <t>Meharlata</t>
  </si>
  <si>
    <t>Dine in in Jan for 20 PAX  on 11-1-2026</t>
  </si>
  <si>
    <t>Popup Counter from 24 November 2025</t>
  </si>
  <si>
    <t>Follow up for Corporate Order</t>
  </si>
  <si>
    <t>Protivity</t>
  </si>
  <si>
    <t>Sagar</t>
  </si>
  <si>
    <t>Follow up for next order of Packed lunch</t>
  </si>
  <si>
    <t>Follow up for orders and gifting</t>
  </si>
  <si>
    <t>Popup Counter from 25-11- 2025 from BHEL</t>
  </si>
  <si>
    <t>Sale of CB,VB,MB,DKM on 25-11-2025</t>
  </si>
  <si>
    <t>Sale of CB,VB,MB,DKM on 26-11-2025</t>
  </si>
  <si>
    <t>Popup Counter from 26-11- 2025 from BHEL</t>
  </si>
  <si>
    <t>New Delivery at Compass group on 26-11-2025</t>
  </si>
  <si>
    <t>Follow up for Corporate Order Jan</t>
  </si>
  <si>
    <t>GVK(Arscian)</t>
  </si>
  <si>
    <t>Excelra Knowledge Solution</t>
  </si>
  <si>
    <t>Maniram</t>
  </si>
  <si>
    <t>Sale of CB,VB,MB,DKM on 27-11-2025</t>
  </si>
  <si>
    <t>Popup Counter from 27-11- 2025 from BHEL</t>
  </si>
  <si>
    <t>HITEX Exhibition (Poultry Expo)</t>
  </si>
  <si>
    <t>Feedback of current delivery and membership 27 Nov-25</t>
  </si>
  <si>
    <t>Follow up for Ramzan gifting Biryani kits on 5th Jan 2026</t>
  </si>
  <si>
    <t>Sale of CB,VB,MB,DKM on 28-11-2025</t>
  </si>
  <si>
    <t>Popup Counter from 28-11- 2025 from BHEL</t>
  </si>
  <si>
    <t>Take away from Muthangi Store in Novemer month</t>
  </si>
  <si>
    <t>Hussain</t>
  </si>
  <si>
    <t>Take away from secundrabad on 28-11-2025</t>
  </si>
  <si>
    <t>Mamatha</t>
  </si>
  <si>
    <t>Take away of CB from Secbad on 29-11-2025</t>
  </si>
  <si>
    <t>Take away from BHEL on 30-11-2025</t>
  </si>
  <si>
    <t>Sale of CB,VB,MB,DKM on 1-12-2025</t>
  </si>
  <si>
    <t>Popup Counter on 1-12- 2025 from BHEL</t>
  </si>
  <si>
    <t>Accenture HDC4A (Smart Q)</t>
  </si>
  <si>
    <t>Raza</t>
  </si>
  <si>
    <t>Popup in December 17-18 2025</t>
  </si>
  <si>
    <t>Accenture HDC5A (Smart Q)</t>
  </si>
  <si>
    <t>Popup in december 11-12-2025</t>
  </si>
  <si>
    <t>Cognizant GAR Infobahan Tower 5</t>
  </si>
  <si>
    <t>Phalguna</t>
  </si>
  <si>
    <t>Popup counter in Jan</t>
  </si>
  <si>
    <t>Sale of CB,VB,MB,DKM on 2-12-2025</t>
  </si>
  <si>
    <t>Popup Counter on 2-12- 2025 from BHEL</t>
  </si>
  <si>
    <t>Sale of CB,VB,MB,DKM on 3-12-2025</t>
  </si>
  <si>
    <t>Popup Counter on 3-12- 2025 from BHEL</t>
  </si>
  <si>
    <t>New Delivery at Compass group on 3-12-2025</t>
  </si>
  <si>
    <t>Discussion in regards with delivery for next order</t>
  </si>
  <si>
    <t>Sale of CB,VB,MB,DKM on 4-12-2025</t>
  </si>
  <si>
    <t>Popup Counter on 4-12- 2025 from BHEL</t>
  </si>
  <si>
    <t>Infosys Pocharam</t>
  </si>
  <si>
    <t>Follow up for popup counter and bulk delivery at Infosys</t>
  </si>
  <si>
    <t>Follow up for popup counter and bulk delivery at HMRL</t>
  </si>
  <si>
    <t>Sale of CB,VB,MB,DKM on 5-12-2025</t>
  </si>
  <si>
    <t>Popup Counter on 5-12- 2025 from BHEL</t>
  </si>
  <si>
    <t>PTM at Meru International School</t>
  </si>
  <si>
    <t>Popup counter on 6-12-25 from Sarath City Mall</t>
  </si>
  <si>
    <t>Supercross Bike Race at Stadium</t>
  </si>
  <si>
    <t>Popup on 6-12-2025 from BHEL</t>
  </si>
  <si>
    <t>Sale of CB,VB,MB,DKM on 8-12-2025</t>
  </si>
  <si>
    <t>Popup Counter on 8-12- 2025 from BHEL</t>
  </si>
  <si>
    <t xml:space="preserve">Kiram Events </t>
  </si>
  <si>
    <t>Varum</t>
  </si>
  <si>
    <t>Collection of Cheque and discussion for further events</t>
  </si>
  <si>
    <t xml:space="preserve">Delivery of CB from Himayathnagar on </t>
  </si>
  <si>
    <t>Chai Blizz</t>
  </si>
  <si>
    <t>Kiran Babu</t>
  </si>
  <si>
    <t>Sampling of Osmania Biscuits for Bulk oeder</t>
  </si>
  <si>
    <t>BBQN</t>
  </si>
  <si>
    <t>Sampling of Cookies to be deliverd on 9-12-2025</t>
  </si>
  <si>
    <t>Met Life</t>
  </si>
  <si>
    <t>Packed lunch for 200 Employees in Jan</t>
  </si>
  <si>
    <t>Sale of CB,VB,MB,DKM on 9-12-2025</t>
  </si>
  <si>
    <t>Sale of CB,VB,MB,DKM on 10-12-2025</t>
  </si>
  <si>
    <t>Subbarao</t>
  </si>
  <si>
    <t>Followup for Bulk oeder in December</t>
  </si>
  <si>
    <t>New Delivery at Compass group on 10-12-2025</t>
  </si>
  <si>
    <t>Requirement of plum cakes on 24-12-25</t>
  </si>
  <si>
    <t>NTT DATA</t>
  </si>
  <si>
    <t>Sania</t>
  </si>
  <si>
    <t>PJ Stephen Paul Ministries</t>
  </si>
  <si>
    <t>Delivery of Plum/Sponj Cakes</t>
  </si>
  <si>
    <t>Open Text</t>
  </si>
  <si>
    <t>Delivery from Gachibowli on 12-12-25</t>
  </si>
  <si>
    <t>Dine in for team at Gachibowli on 11-12-2024</t>
  </si>
  <si>
    <t>Sale of CB,VB,MB,DKM on 11-12-2025</t>
  </si>
  <si>
    <t>Sale of CB,VB,MB,DKM on 12-12-2025</t>
  </si>
  <si>
    <t>Delivery at Himayatnagar</t>
  </si>
  <si>
    <t>Delivery of MB on 12-12-2025</t>
  </si>
  <si>
    <t>Narsimhalu</t>
  </si>
  <si>
    <t>Delivery of CB in 12-12-2025 from Uppal</t>
  </si>
  <si>
    <t>Delivery of CB in 12-12-2025 from Manikonda</t>
  </si>
  <si>
    <t>PJS Paul Ministries</t>
  </si>
  <si>
    <t>Shiju</t>
  </si>
  <si>
    <t>Delivery of Plum Cakes in December</t>
  </si>
  <si>
    <t>Popup on 13&amp;14 Dec 2025 from Kukatpally</t>
  </si>
  <si>
    <t>Delivery of CB &amp; VB on 13-12-25 from Kompally</t>
  </si>
  <si>
    <t xml:space="preserve">PY Rao </t>
  </si>
  <si>
    <t>Take away of CB &amp; VB fron Sec on 15-12-2025</t>
  </si>
  <si>
    <t>Sale of CB,VB,MB,DKM on 15-12-2025</t>
  </si>
  <si>
    <t>Sale of CB,VB,MB,DKM on 16-12-2025</t>
  </si>
  <si>
    <t>Sale of CB,VB,MB,DKM on 17-12-2025</t>
  </si>
  <si>
    <t>Popup Counter on 14-17- 2025 from BHEL</t>
  </si>
  <si>
    <t>Popup in December 17-12-25 from Gachibowli</t>
  </si>
  <si>
    <t>Teresa Church SR Nagar</t>
  </si>
  <si>
    <t>Papya</t>
  </si>
  <si>
    <t>Shared details of plum cake and Biryani</t>
  </si>
  <si>
    <t>Sale of CB,VB,MB,DKM on 18-12-2025</t>
  </si>
  <si>
    <t>Delivery of Plum Cakes in December, Sampling</t>
  </si>
  <si>
    <t>New Delivery at Compass group on 18-12-2025</t>
  </si>
  <si>
    <t>Popup in December 18-12-25 from Gachibowli</t>
  </si>
  <si>
    <t>Follow up for 31 Dec Cake confirmation</t>
  </si>
  <si>
    <t>Accenture HDC5 (Smart Q)</t>
  </si>
  <si>
    <t>Popup in December 19-12-25 from Gachibowli</t>
  </si>
  <si>
    <t>Sale of CB,VB,MB,DKM on 19-12-2025</t>
  </si>
  <si>
    <t>Popup Counter on 9Dec to 19-12-2025 from BHEL</t>
  </si>
  <si>
    <t>ST Teresa Church</t>
  </si>
  <si>
    <t>Shared details of Cakes and Biryani</t>
  </si>
  <si>
    <t>Vasavi Brindavanam</t>
  </si>
  <si>
    <t>Site visit for #1st night event</t>
  </si>
  <si>
    <t>Astrazeneca</t>
  </si>
  <si>
    <t>Delivery of CB from Vanasthalipuram on 23-12-2025</t>
  </si>
  <si>
    <t>Splash Entertainment</t>
  </si>
  <si>
    <t>Follow up for Student Group</t>
  </si>
  <si>
    <t>Wild Waters</t>
  </si>
  <si>
    <t xml:space="preserve">Omni Hospitals </t>
  </si>
  <si>
    <t>Delivery of CB on 23-12-2025</t>
  </si>
  <si>
    <t>Delivery of Plup Cakes on 31-12-2025</t>
  </si>
  <si>
    <t>New Delivery at Compass group on 24-11-2025</t>
  </si>
  <si>
    <t>Delivery of Plum Cakes on 24-12-2025</t>
  </si>
  <si>
    <t>Deliverd 2500 Plum cake on 24-12-2025</t>
  </si>
  <si>
    <t>Delivered 16000 Biryani on 25-12-2025</t>
  </si>
  <si>
    <t>Society</t>
  </si>
  <si>
    <t>Confirmed popup on 31-12-2025</t>
  </si>
  <si>
    <t>Take away from Muthangi in December</t>
  </si>
  <si>
    <t>Bolleneni Buyon</t>
  </si>
  <si>
    <t>Popup on 31-12-2025</t>
  </si>
  <si>
    <t>GHR Titania</t>
  </si>
  <si>
    <t>INDIS ONE City</t>
  </si>
  <si>
    <t>Delivery of Plum Cakes on 31-12-2025</t>
  </si>
  <si>
    <t>Deliverd 2500 Plum cake on 31-12-2025</t>
  </si>
  <si>
    <t>Delivery of CB from kukatpally on 31-12-2025</t>
  </si>
  <si>
    <t>New Delivery at Compass group on 31-12-2025</t>
  </si>
  <si>
    <t>GMR Arena NUCLEYA Event</t>
  </si>
  <si>
    <t>Event on 3-1-2026</t>
  </si>
  <si>
    <t>Delivery of MB on 7-1-2026</t>
  </si>
  <si>
    <t>Delivery of CB from hanmakonda on 4-1-2026</t>
  </si>
  <si>
    <t>Wny Holidays</t>
  </si>
  <si>
    <t>Rohit</t>
  </si>
  <si>
    <t xml:space="preserve">Shared Quote for Dine in </t>
  </si>
  <si>
    <t>Shared quote for Delivery at Hospital in hyderabad</t>
  </si>
  <si>
    <t>Kukudukoo Event</t>
  </si>
  <si>
    <t>Megha</t>
  </si>
  <si>
    <t>Confirmation of Event on 31-1-2026 &amp; 1-2-2026</t>
  </si>
  <si>
    <t>Telangana Tourism Kite Festival</t>
  </si>
  <si>
    <t>Malar</t>
  </si>
  <si>
    <t>Food stall on 13-14-15</t>
  </si>
  <si>
    <t>Malkajgiri Church</t>
  </si>
  <si>
    <t>Take away of CB on 03-01-2026</t>
  </si>
  <si>
    <t>Delivery of CB at Attapur</t>
  </si>
  <si>
    <t>Delivery of CB on 19-1-2026</t>
  </si>
  <si>
    <t>Follow up for haleem counter &amp; bulk order</t>
  </si>
  <si>
    <t>Popuo on 9-1-2026</t>
  </si>
  <si>
    <t>Delivery of CB from begumpet on 7-1-2026</t>
  </si>
  <si>
    <t>New Delivery at Compass group on 7-1-2026</t>
  </si>
  <si>
    <t>Azizuddin</t>
  </si>
  <si>
    <t>Delivery of CB from Secbad on 9-1-2026</t>
  </si>
  <si>
    <t>PlanB Events</t>
  </si>
  <si>
    <t>Outdoor Events</t>
  </si>
  <si>
    <t>TA From Sholapur</t>
  </si>
  <si>
    <t>Bulk delivery for Tourist</t>
  </si>
  <si>
    <t>Confirmation of food stall at parade grounds</t>
  </si>
  <si>
    <t>Tourist Group from Mumbai</t>
  </si>
  <si>
    <t>Buffet lunch at charminar on 11-1-2026</t>
  </si>
  <si>
    <t>Chennakshav</t>
  </si>
  <si>
    <t>Confirmed food stall</t>
  </si>
  <si>
    <t>Suzuki Motorcycle fest(Pinnacle)</t>
  </si>
  <si>
    <t>Confirmation of food stall on 25-1-2026</t>
  </si>
  <si>
    <t>Aragan (GVK BIO)</t>
  </si>
  <si>
    <t>Delivery at Hospital on 25-2-2026</t>
  </si>
  <si>
    <t>Food stall on 13-1-2026</t>
  </si>
  <si>
    <t>Follow up for Aurobindo premier league</t>
  </si>
  <si>
    <t>Delivery at VIP Vizag</t>
  </si>
  <si>
    <t>Savitri</t>
  </si>
  <si>
    <t>Delivery of CB on 14-1-2026</t>
  </si>
  <si>
    <t>Relationship Call</t>
  </si>
  <si>
    <t>New Delivery at Compass group on 14-1-2026</t>
  </si>
  <si>
    <t>Food stall on 14-1-2026</t>
  </si>
  <si>
    <t>CUBE Highways</t>
  </si>
  <si>
    <t>Followup for payment and next order</t>
  </si>
  <si>
    <t>Food stall on 15-1-2026</t>
  </si>
  <si>
    <t>Food stall on 16 , 17 &amp; 18 Jan 2026</t>
  </si>
  <si>
    <t>Discussion regarding delivery of Kits</t>
  </si>
  <si>
    <t>Carelon Global Solutions</t>
  </si>
  <si>
    <t>Popup counter on 21-1-2026</t>
  </si>
  <si>
    <t>Dine in at begumpet on  20-1-2026</t>
  </si>
  <si>
    <t>Navdurda Travels</t>
  </si>
  <si>
    <t>Shyam Oza</t>
  </si>
  <si>
    <t>Dine in at IMAX on 25-1-2025</t>
  </si>
  <si>
    <t>Followup for bilk orders</t>
  </si>
  <si>
    <t>New Delivery at Compass group on 21-1-2026</t>
  </si>
  <si>
    <t>Telangana Ruchulu</t>
  </si>
  <si>
    <t>Goli Nagraju</t>
  </si>
  <si>
    <t>Shared quote for Packed Biscuit</t>
  </si>
  <si>
    <t>Pheonix Arena Bangalore</t>
  </si>
  <si>
    <t>Exhibtion</t>
  </si>
  <si>
    <t>Singer event on 18-2-2026</t>
  </si>
  <si>
    <t>College Fest at IPE</t>
  </si>
  <si>
    <t>Aditi</t>
  </si>
  <si>
    <t xml:space="preserve">food stall in fest on 29 &amp; 30 Jan </t>
  </si>
  <si>
    <t xml:space="preserve">Global India </t>
  </si>
  <si>
    <t>Delivery of CB at Shamshabad on 23-1-2026</t>
  </si>
  <si>
    <t>Tourist group from Maharashtra</t>
  </si>
  <si>
    <t>Dine in on 26-1-2026</t>
  </si>
  <si>
    <t>Delivery of CB on 9-2-2026</t>
  </si>
  <si>
    <t>Delivery of CB on 9-2-2026 from Malkajgiri</t>
  </si>
  <si>
    <t>Visited warehouse for negotiation and Delivery Planning</t>
  </si>
  <si>
    <t>Dayanidhi</t>
  </si>
  <si>
    <t>Package shipment aligned for OUM Division</t>
  </si>
  <si>
    <t>Vasant</t>
  </si>
  <si>
    <t>Delivery of Packed lunch at Benz Circle on 25-1-2026</t>
  </si>
  <si>
    <t>Kukdukoo Fest 2026</t>
  </si>
  <si>
    <t>Subham</t>
  </si>
  <si>
    <t>Confirmed menu for the event on 31-1-2026 &amp; 1St Feb</t>
  </si>
  <si>
    <t>New Delivery at Compass group on 28-1-2026</t>
  </si>
  <si>
    <t>Shared quote for MB &amp; VB Delivery in Feb</t>
  </si>
  <si>
    <t>Delivery of CB on 1-2-2026</t>
  </si>
  <si>
    <t>Delivery at skyview</t>
  </si>
  <si>
    <t>Bharat</t>
  </si>
  <si>
    <t>Delivery of MB &amp; VB on 12-02-2026 for 450 PAX</t>
  </si>
  <si>
    <t>S&amp;P Capital</t>
  </si>
  <si>
    <t>Shared quote for Delivery of CB on 11,12,13 Feb</t>
  </si>
  <si>
    <t>They require same vendor for Ahmadabad,Pune &amp; Mumbai</t>
  </si>
  <si>
    <t>Ankush</t>
  </si>
  <si>
    <t>Delivery MB on 2-1-2026 from Secundrabad Take away</t>
  </si>
  <si>
    <t>New Delivery at Compass group on 4-2-2026</t>
  </si>
  <si>
    <t>Accenture Nanakramguda , Hungerbox</t>
  </si>
  <si>
    <t>Popup Counter on 4th &amp; 5th Feb 2026</t>
  </si>
  <si>
    <t>Accenture Waverock , Hungerbox</t>
  </si>
  <si>
    <t>Popup Counter on 6-2-2026</t>
  </si>
  <si>
    <t>Novartis, Compass</t>
  </si>
  <si>
    <t>Popup on 10-2-2026</t>
  </si>
  <si>
    <t>New Delivery at Compass group on 11-2-2026</t>
  </si>
  <si>
    <t>Popup on 11-2-2026</t>
  </si>
  <si>
    <t xml:space="preserve">Ramzan Vouchers from Secbad </t>
  </si>
  <si>
    <t>Popup on 12-2-2026</t>
  </si>
  <si>
    <t>NVIDIA</t>
  </si>
  <si>
    <t>Bulk Delivery on 18-2-2026</t>
  </si>
  <si>
    <t>ADP</t>
  </si>
  <si>
    <t>Haleem Popup in Feb</t>
  </si>
  <si>
    <t>Haleem popup at Infosys</t>
  </si>
  <si>
    <t>Accenture Orion HDC5A (Hungerbox)</t>
  </si>
  <si>
    <t>Popup Counter fron Gachibowli on 13-02-2026</t>
  </si>
  <si>
    <t>Gem Kid Fest Chennai</t>
  </si>
  <si>
    <t>Popup counter on 14-02-2026</t>
  </si>
  <si>
    <t>Popup counter on 15-02-2026</t>
  </si>
  <si>
    <t>Popup on 18-2-2026</t>
  </si>
  <si>
    <t>Knowledge Park</t>
  </si>
  <si>
    <t>Popup on 24-2-2026</t>
  </si>
  <si>
    <t xml:space="preserve">Infosys </t>
  </si>
  <si>
    <t>Haleem counter site visit</t>
  </si>
  <si>
    <t>New Delivery at Compass group on 18-2-2026</t>
  </si>
  <si>
    <t>Infosys Nanakramguga</t>
  </si>
  <si>
    <t>Haleem counter from 21-02-2026</t>
  </si>
  <si>
    <t>App associates</t>
  </si>
  <si>
    <t>Haleem Sampling for Office ramzan Party</t>
  </si>
  <si>
    <t>Haleem popup on 19-02-2026</t>
  </si>
  <si>
    <t>Haleem popup on 19-02-2026 from BHEL</t>
  </si>
  <si>
    <t>Haleem popup on 20-02-2026</t>
  </si>
  <si>
    <t>deliverd veg samosa on 22-02-2026</t>
  </si>
  <si>
    <t>Snadd Developers</t>
  </si>
  <si>
    <t>Follow up for Bulk order</t>
  </si>
  <si>
    <t>Haleem popup on 24-02-2026</t>
  </si>
  <si>
    <t>Haleem and Sheerkhurma for 300 PAX in March</t>
  </si>
  <si>
    <t>Accenture Skyview</t>
  </si>
  <si>
    <t>Delivery of Iftiar haleem and snacks in March</t>
  </si>
  <si>
    <t>Sampling and order confirmation for March</t>
  </si>
  <si>
    <t>New Delivery at Compass group on 25-2-2026</t>
  </si>
  <si>
    <t>Haleem popup on 25-02-2026</t>
  </si>
  <si>
    <t>Popup on 25-2-2026</t>
  </si>
  <si>
    <t>F5</t>
  </si>
  <si>
    <t>Haleem and Biryani on 26-3-2025</t>
  </si>
  <si>
    <t>Haleem popup on 26-02-2026</t>
  </si>
  <si>
    <t>Popup on 26-2-2026</t>
  </si>
  <si>
    <t>Haleem popup on 27-02-2026</t>
  </si>
  <si>
    <t>Haleem popup on 28-02-2026</t>
  </si>
  <si>
    <t>S&amp;P Global  (Compass)</t>
  </si>
  <si>
    <t>Vishal Computers</t>
  </si>
  <si>
    <t>Shared details of Vouchers for gifting</t>
  </si>
  <si>
    <t>Haleem popup  1-04-2026 Gudimalkapur</t>
  </si>
  <si>
    <t>Popup from BHEL on 01-4-2026</t>
  </si>
  <si>
    <t>Popup on 1-4-2026</t>
  </si>
  <si>
    <t>Delivery on 1-4-2026 from HSR</t>
  </si>
  <si>
    <t>CB , VB on 1-4-2026 from Hitec</t>
  </si>
  <si>
    <t xml:space="preserve">Popup from BHEL on 02-4-2026  </t>
  </si>
  <si>
    <t>Popup on 2-4-2026</t>
  </si>
  <si>
    <t>Haleem popup  2-04-2026 Gudimalkapur</t>
  </si>
  <si>
    <t>Accenture HDC4 (Smart Q)</t>
  </si>
  <si>
    <t>popup  3-04-2026 Gachibowli</t>
  </si>
  <si>
    <t>Popup 3-4-2026 Sarat City 4th Floor</t>
  </si>
  <si>
    <t xml:space="preserve">Popup from BHEL on 03-4-2026  </t>
  </si>
  <si>
    <t>Haleem popup  3-04-2026 Gudimalkapur</t>
  </si>
  <si>
    <t>Medical Expo Hitex (Pinnacle)</t>
  </si>
  <si>
    <t>Nawsad</t>
  </si>
  <si>
    <t>Popup at Hitex on 4-4-2026 Hitec City</t>
  </si>
  <si>
    <t>Amgen (Compass)</t>
  </si>
  <si>
    <t>Delivery of CB from Gachibowli 4-4-2026</t>
  </si>
  <si>
    <t>Sunita Bomma</t>
  </si>
  <si>
    <t>Delivery of MB</t>
  </si>
  <si>
    <t>Popup at Hitex on 5-4-2026 Hitec City</t>
  </si>
  <si>
    <t>Popup at Hitex on 6-4-2026 Hitec City</t>
  </si>
  <si>
    <t xml:space="preserve">Popup from BHEL on 06-4-2026  </t>
  </si>
  <si>
    <t>popup  7-04-2026 Gachibowli</t>
  </si>
  <si>
    <t>Popup 7-4-2026 Sarat City 4th Floor</t>
  </si>
  <si>
    <t xml:space="preserve">Popup from BHEL on 07-4-2026  </t>
  </si>
  <si>
    <t>popup  8-04-2026 Gachibowli</t>
  </si>
  <si>
    <t>Popup 8-4-2026 Sarat City 4th Floor</t>
  </si>
  <si>
    <t xml:space="preserve">Popup from BHEL on 08-4-2026  </t>
  </si>
  <si>
    <t>Delivery on 8-4-2026 from HSR</t>
  </si>
  <si>
    <t>popup  9-04-2026 Gachibowli</t>
  </si>
  <si>
    <t>Popup 9-4-2026 Sarat City 4th Floor</t>
  </si>
  <si>
    <t xml:space="preserve">Popup from BHEL on 09-4-2026  </t>
  </si>
  <si>
    <t>popup  10-04-2026 Gachibowli</t>
  </si>
  <si>
    <t>Popup 10-4-2026 Sarat City 4th Floor</t>
  </si>
  <si>
    <t xml:space="preserve">Popup from BHEL on 10-4-2026  </t>
  </si>
  <si>
    <t>Delivery at BHEL</t>
  </si>
  <si>
    <t>Delivery of CB 12-04-2026 BHEL</t>
  </si>
  <si>
    <t>Take away from Gachibowli</t>
  </si>
  <si>
    <t xml:space="preserve">Events </t>
  </si>
  <si>
    <t>Hari Prasad</t>
  </si>
  <si>
    <t>Delivery of CB 13-4-2026 Gachibowli</t>
  </si>
  <si>
    <t>popup  13-04-2026 Gachibowli</t>
  </si>
  <si>
    <t>Popup 13-4-2026 Sarat City 4th Floor</t>
  </si>
  <si>
    <t>popup  14-04-2026 Gachibowli</t>
  </si>
  <si>
    <t>Popup 14-4-2026 Sarat City 4th Floor</t>
  </si>
  <si>
    <t>Haleem popup  15-04-2026 BHEL</t>
  </si>
  <si>
    <t>popup  15-04-2026 Gachibowli</t>
  </si>
  <si>
    <t>Popup 15-4-2026 Sarat City 4th Floor</t>
  </si>
  <si>
    <t>Delivery on 15-4-2026 from HSR</t>
  </si>
  <si>
    <t>Haleem popup  16-04-2026 BHEL</t>
  </si>
  <si>
    <t>popup  16-04-2026 Gachibowli</t>
  </si>
  <si>
    <t>Popup 16-4-2026 Sarat City 4th Floor</t>
  </si>
  <si>
    <t>Maanya</t>
  </si>
  <si>
    <t>Deliverd  vouchers from Kompally 17-4-2026</t>
  </si>
  <si>
    <t>Kims Hospital (Zenith Holidays)</t>
  </si>
  <si>
    <t>Kims Hospital Begumpet 17-04-2026</t>
  </si>
  <si>
    <t>Haleem popup  17-04-2026 BHEL</t>
  </si>
  <si>
    <t>popup  17-04-2026 Gachibowli</t>
  </si>
  <si>
    <t>Popup 17-4-2026 from Lingampally</t>
  </si>
  <si>
    <t>Tssifira Tours &amp; Travels</t>
  </si>
  <si>
    <t>Rupanta</t>
  </si>
  <si>
    <t>Dine in at gachibowli on 18-4-2026</t>
  </si>
  <si>
    <t>popup  20-04-2026 Gachibowli</t>
  </si>
  <si>
    <t>Popup 20-04-2026 from Lingampally</t>
  </si>
  <si>
    <t>CB &amp; VB fron gachibowli on 20-04-2026</t>
  </si>
  <si>
    <t>popup  21-04-2026 Gachibowli</t>
  </si>
  <si>
    <t>Popup 21-04-2026 from Lingampally</t>
  </si>
  <si>
    <t>Popup on 21-4-2026 from BHEL</t>
  </si>
  <si>
    <t>IDFC First Bank</t>
  </si>
  <si>
    <t>Banking Fiinance &amp; Insurance</t>
  </si>
  <si>
    <t>Delivery of CB from Hitec on 21-04-2026</t>
  </si>
  <si>
    <t>popup  22-04-2026 Gachibowli</t>
  </si>
  <si>
    <t>Popup 22-04-2026 from Lingampally</t>
  </si>
  <si>
    <t>Popup on 22-4-2026 from BHEL</t>
  </si>
  <si>
    <t>NVIDIA (Compass)</t>
  </si>
  <si>
    <t>Biryani on 22-04-2026 from Kukatpally</t>
  </si>
  <si>
    <t>TJX (Compass)</t>
  </si>
  <si>
    <t>Sireesh</t>
  </si>
  <si>
    <t>Haleem from kukatpally on 22-04-2026</t>
  </si>
  <si>
    <t>Delivery on 22-4-2026 from HSR</t>
  </si>
  <si>
    <t>popup  23-04-2026 Gachibowli</t>
  </si>
  <si>
    <t>Popup 23-04-2026 from Lingampally</t>
  </si>
  <si>
    <t>Popup on 23-4-2026 from BHEL</t>
  </si>
  <si>
    <t>popup  24-04-2026 Muthangi</t>
  </si>
  <si>
    <t>Popup 24-04-2026 from Lingampally</t>
  </si>
  <si>
    <t>Take away from Begumbet</t>
  </si>
  <si>
    <t>Take away CB from Begumpet 25-04-2026</t>
  </si>
  <si>
    <t>supreme CB from secundrabad 27-4-2026</t>
  </si>
  <si>
    <t>popup  27-04-2026 Muthangi</t>
  </si>
  <si>
    <t>Popup 27-07-2026 from Lingampally</t>
  </si>
  <si>
    <t>Delivery of CB at Hospital in May</t>
  </si>
  <si>
    <t>popup  28-04-2026 Muthangi</t>
  </si>
  <si>
    <t>Popup 28-07-2026 from Lingampally</t>
  </si>
  <si>
    <t>popup  29-04-2026 Muthangi</t>
  </si>
  <si>
    <t>Popup 29-07-2026 from Lingampally</t>
  </si>
  <si>
    <t>Military Hospital</t>
  </si>
  <si>
    <t>Takeaway secundrabad CB 29-04-2026</t>
  </si>
  <si>
    <t>popup  30-04-2026 Muthangi</t>
  </si>
  <si>
    <t>Popup 30-07-2026 from Lingampally</t>
  </si>
  <si>
    <t>Vinay Marriage Function</t>
  </si>
  <si>
    <t>Delivery 1st April at Kapra from Malakjgiri</t>
  </si>
  <si>
    <t>YEARLY SALES</t>
  </si>
  <si>
    <t>FY 2023</t>
  </si>
  <si>
    <t>FY  2024</t>
  </si>
  <si>
    <t>FY 2025</t>
  </si>
  <si>
    <t>Overall Sales</t>
  </si>
  <si>
    <t>Nov 2023 to March 2024</t>
  </si>
  <si>
    <t>April 2024 to March 2025</t>
  </si>
  <si>
    <t>April 2025 till Now</t>
  </si>
  <si>
    <t>Introduction/Co</t>
  </si>
  <si>
    <t>Followup/C1</t>
  </si>
  <si>
    <t>Negotiation/C2</t>
  </si>
  <si>
    <t>Confirmed/C3</t>
  </si>
  <si>
    <t>Total</t>
  </si>
  <si>
    <t>QUARTERLY SALES</t>
  </si>
  <si>
    <t>FY 2024</t>
  </si>
  <si>
    <t>Q3 November, December</t>
  </si>
  <si>
    <t>Q4</t>
  </si>
  <si>
    <t>Q1</t>
  </si>
  <si>
    <t>Q2</t>
  </si>
  <si>
    <t>Q3</t>
  </si>
  <si>
    <t>Accounts</t>
  </si>
  <si>
    <t>Sum of Closed Business</t>
  </si>
  <si>
    <t>Academic Heights school</t>
  </si>
  <si>
    <t>Compass Group Bangalore</t>
  </si>
  <si>
    <t>Yatra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</si>
</sst>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dd/mmm/yyyy"/>
    <numFmt numFmtId="165" formatCode="_(* #,##0_);_(* \(#,##0\);_(* &quot;-&quot;??_);_(@_)"/>
    <numFmt numFmtId="166" formatCode="[$-409]mmm/yy;@"/>
    <numFmt numFmtId="167" formatCode="[$-F800]dddd\,\ mmmm\ dd\,\ yyyy"/>
    <numFmt numFmtId="168" formatCode="[$-409]mmm\-yy;@"/>
    <numFmt numFmtId="169" formatCode="[$-409]d\-mmm\-yy;@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9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164" fontId="2" fillId="0" borderId="0" xfId="0" applyNumberFormat="1" applyFont="1"/>
    <xf numFmtId="0" fontId="2" fillId="0" borderId="0" xfId="0" applyFont="1"/>
    <xf numFmtId="0" fontId="2" fillId="3" borderId="0" xfId="0" applyFont="1" applyFill="1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16" fontId="0" fillId="0" borderId="0" xfId="0" applyNumberFormat="1"/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0" fillId="4" borderId="0" xfId="0" applyFill="1"/>
    <xf numFmtId="17" fontId="0" fillId="0" borderId="0" xfId="0" applyNumberFormat="1" applyAlignment="1">
      <alignment horizontal="center"/>
    </xf>
    <xf numFmtId="166" fontId="0" fillId="0" borderId="0" xfId="0" applyNumberFormat="1"/>
    <xf numFmtId="0" fontId="5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centerContinuous" vertical="center" wrapText="1"/>
    </xf>
    <xf numFmtId="0" fontId="1" fillId="0" borderId="4" xfId="0" applyFont="1" applyBorder="1" applyAlignment="1">
      <alignment horizontal="center"/>
    </xf>
    <xf numFmtId="0" fontId="0" fillId="0" borderId="1" xfId="0" applyBorder="1"/>
    <xf numFmtId="3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/>
    <xf numFmtId="0" fontId="1" fillId="0" borderId="1" xfId="0" applyFont="1" applyBorder="1"/>
    <xf numFmtId="0" fontId="0" fillId="0" borderId="1" xfId="0" applyBorder="1" applyAlignment="1">
      <alignment horizontal="left"/>
    </xf>
    <xf numFmtId="165" fontId="0" fillId="0" borderId="1" xfId="1" applyNumberFormat="1" applyFont="1" applyBorder="1" applyAlignment="1">
      <alignment horizontal="center"/>
    </xf>
    <xf numFmtId="0" fontId="1" fillId="0" borderId="0" xfId="0" applyFont="1"/>
    <xf numFmtId="0" fontId="0" fillId="0" borderId="9" xfId="0" applyBorder="1" applyAlignment="1">
      <alignment horizontal="left"/>
    </xf>
    <xf numFmtId="167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8" xfId="0" applyFill="1" applyBorder="1" applyAlignment="1">
      <alignment horizontal="center"/>
    </xf>
    <xf numFmtId="165" fontId="0" fillId="6" borderId="8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3" fontId="1" fillId="6" borderId="1" xfId="0" applyNumberFormat="1" applyFont="1" applyFill="1" applyBorder="1" applyAlignment="1">
      <alignment horizontal="center"/>
    </xf>
    <xf numFmtId="165" fontId="1" fillId="6" borderId="1" xfId="1" applyNumberFormat="1" applyFont="1" applyFill="1" applyBorder="1" applyAlignment="1">
      <alignment horizontal="center"/>
    </xf>
    <xf numFmtId="3" fontId="0" fillId="6" borderId="8" xfId="0" applyNumberFormat="1" applyFill="1" applyBorder="1" applyAlignment="1">
      <alignment horizontal="center"/>
    </xf>
    <xf numFmtId="3" fontId="0" fillId="6" borderId="0" xfId="0" applyNumberFormat="1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1" fillId="0" borderId="13" xfId="0" applyFont="1" applyBorder="1"/>
    <xf numFmtId="0" fontId="0" fillId="0" borderId="15" xfId="0" applyBorder="1"/>
    <xf numFmtId="0" fontId="1" fillId="0" borderId="16" xfId="0" applyFont="1" applyBorder="1"/>
    <xf numFmtId="3" fontId="0" fillId="0" borderId="17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3" fontId="1" fillId="0" borderId="19" xfId="0" applyNumberFormat="1" applyFont="1" applyBorder="1" applyAlignment="1">
      <alignment horizontal="center"/>
    </xf>
    <xf numFmtId="0" fontId="1" fillId="0" borderId="10" xfId="0" applyFont="1" applyBorder="1"/>
    <xf numFmtId="14" fontId="0" fillId="0" borderId="0" xfId="0" applyNumberFormat="1"/>
    <xf numFmtId="0" fontId="6" fillId="0" borderId="20" xfId="0" applyFont="1" applyBorder="1"/>
    <xf numFmtId="0" fontId="6" fillId="3" borderId="20" xfId="0" applyFont="1" applyFill="1" applyBorder="1"/>
    <xf numFmtId="0" fontId="6" fillId="0" borderId="20" xfId="0" applyFont="1" applyBorder="1" applyAlignment="1">
      <alignment wrapText="1"/>
    </xf>
    <xf numFmtId="0" fontId="6" fillId="3" borderId="20" xfId="0" applyFont="1" applyFill="1" applyBorder="1" applyAlignment="1">
      <alignment wrapText="1"/>
    </xf>
    <xf numFmtId="17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6" fontId="0" fillId="0" borderId="0" xfId="0" applyNumberFormat="1" applyAlignment="1">
      <alignment wrapText="1"/>
    </xf>
    <xf numFmtId="168" fontId="0" fillId="0" borderId="0" xfId="0" applyNumberFormat="1"/>
    <xf numFmtId="0" fontId="7" fillId="0" borderId="0" xfId="0" applyFont="1"/>
    <xf numFmtId="1" fontId="0" fillId="0" borderId="0" xfId="0" applyNumberFormat="1"/>
    <xf numFmtId="9" fontId="0" fillId="0" borderId="0" xfId="0" applyNumberFormat="1"/>
    <xf numFmtId="14" fontId="8" fillId="0" borderId="0" xfId="0" applyNumberFormat="1" applyFont="1"/>
    <xf numFmtId="169" fontId="0" fillId="0" borderId="0" xfId="0" applyNumberFormat="1"/>
    <xf numFmtId="164" fontId="0" fillId="7" borderId="0" xfId="0" applyNumberFormat="1" applyFill="1"/>
    <xf numFmtId="0" fontId="0" fillId="7" borderId="0" xfId="0" applyFill="1"/>
    <xf numFmtId="0" fontId="0" fillId="7" borderId="0" xfId="0" applyFill="1" applyAlignment="1">
      <alignment wrapText="1"/>
    </xf>
    <xf numFmtId="0" fontId="0" fillId="0" borderId="0" xfId="0" applyAlignment="1">
      <alignment vertical="center" wrapText="1"/>
    </xf>
    <xf numFmtId="1" fontId="0" fillId="7" borderId="0" xfId="0" applyNumberFormat="1" applyFill="1"/>
    <xf numFmtId="0" fontId="0" fillId="8" borderId="2" xfId="0" applyFill="1" applyBorder="1"/>
    <xf numFmtId="15" fontId="0" fillId="0" borderId="0" xfId="0" applyNumberFormat="1"/>
    <xf numFmtId="0" fontId="0" fillId="0" borderId="2" xfId="0" applyBorder="1"/>
  </cellXfs>
  <cellStyles count="2">
    <cellStyle name="Comma" xfId="1" builtinId="3"/>
    <cellStyle name="Normal" xfId="0" builtinId="0"/>
  </cellStyles>
  <dxfs count="184"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64" formatCode="dd/mmm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3" formatCode="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70" formatCode="mmm/yy"/>
    </dxf>
    <dxf>
      <numFmt numFmtId="170" formatCode="mmm/yy"/>
    </dxf>
    <dxf>
      <numFmt numFmtId="168" formatCode="[$-409]mmm\-yy;@"/>
    </dxf>
    <dxf>
      <numFmt numFmtId="168" formatCode="[$-409]mmm\-yy;@"/>
    </dxf>
    <dxf>
      <numFmt numFmtId="22" formatCode="mmm\-yy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3" formatCode="#,##0"/>
    </dxf>
    <dxf>
      <numFmt numFmtId="166" formatCode="[$-409]mmm/yy;@"/>
    </dxf>
    <dxf>
      <numFmt numFmtId="166" formatCode="[$-409]mmm/yy;@"/>
    </dxf>
    <dxf>
      <numFmt numFmtId="166" formatCode="[$-409]mmm/yy;@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70" formatCode="mmm/yy"/>
    </dxf>
    <dxf>
      <numFmt numFmtId="168" formatCode="[$-409]mmm\-yy;@"/>
    </dxf>
    <dxf>
      <alignment wrapText="1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alignment vertical="center"/>
    </dxf>
    <dxf>
      <alignment wrapText="1"/>
    </dxf>
    <dxf>
      <numFmt numFmtId="3" formatCode="#,##0"/>
    </dxf>
    <dxf>
      <numFmt numFmtId="166" formatCode="[$-409]mmm/yy;@"/>
    </dxf>
    <dxf>
      <numFmt numFmtId="166" formatCode="[$-409]mmm/yy;@"/>
    </dxf>
    <dxf>
      <numFmt numFmtId="166" formatCode="[$-409]mmm/yy;@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70" formatCode="mmm/yy"/>
    </dxf>
    <dxf>
      <numFmt numFmtId="168" formatCode="[$-409]mmm\-yy;@"/>
    </dxf>
    <dxf>
      <alignment wrapText="1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alignment vertical="center"/>
    </dxf>
    <dxf>
      <alignment wrapText="1"/>
    </dxf>
    <dxf>
      <numFmt numFmtId="168" formatCode="[$-409]mmm\-yy;@"/>
    </dxf>
    <dxf>
      <numFmt numFmtId="3" formatCode="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70" formatCode="mmm/yy"/>
    </dxf>
    <dxf>
      <numFmt numFmtId="170" formatCode="mmm/yy"/>
    </dxf>
    <dxf>
      <numFmt numFmtId="3" formatCode="#,##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70" formatCode="mmm/yy"/>
    </dxf>
    <dxf>
      <numFmt numFmtId="170" formatCode="mmm/yy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170" formatCode="mmm/yy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165" formatCode="_(* #,##0_);_(* \(#,##0\);_(* &quot;-&quot;??_);_(@_)"/>
    </dxf>
    <dxf>
      <font>
        <b/>
      </font>
      <fill>
        <patternFill patternType="solid">
          <fgColor indexed="64"/>
          <bgColor rgb="FFFFC000"/>
        </patternFill>
      </fill>
      <alignment horizontal="centerContinuous" vertical="center" wrapText="1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170" formatCode="mmm/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24E3E86-D038-4FED-9C09-83FD9EDE523D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6.558269907408" createdVersion="8" refreshedVersion="8" minRefreshableVersion="3" recordCount="1992" xr:uid="{5B1F0393-B069-45FA-BF2A-26694BC26E89}">
  <cacheSource type="worksheet">
    <worksheetSource ref="A1:U1993" sheet="DCR"/>
  </cacheSource>
  <cacheFields count="21">
    <cacheField name="Date" numFmtId="164">
      <sharedItems containsSemiMixedTypes="0" containsNonDate="0" containsDate="1" containsString="0" minDate="2002-08-22T00:00:00" maxDate="2026-04-04T00:00:00"/>
    </cacheField>
    <cacheField name="A/C Name" numFmtId="0">
      <sharedItems/>
    </cacheField>
    <cacheField name="Connect Status" numFmtId="0">
      <sharedItems/>
    </cacheField>
    <cacheField name="TYPE" numFmtId="0">
      <sharedItems/>
    </cacheField>
    <cacheField name="Industry" numFmtId="0">
      <sharedItems/>
    </cacheField>
    <cacheField name="Spoc Name" numFmtId="0">
      <sharedItems containsBlank="1"/>
    </cacheField>
    <cacheField name="Conversation" numFmtId="0">
      <sharedItems containsDate="1" containsMixedTypes="1" minDate="2024-03-14T00:00:00" maxDate="2024-05-01T00:00:00"/>
    </cacheField>
    <cacheField name="Expected Business" numFmtId="0">
      <sharedItems containsString="0" containsBlank="1" containsNumber="1" containsInteger="1" minValue="0" maxValue="7599375"/>
    </cacheField>
    <cacheField name="Actual Closed Business" numFmtId="0">
      <sharedItems containsString="0" containsBlank="1" containsNumber="1" containsInteger="1" minValue="0" maxValue="7599375"/>
    </cacheField>
    <cacheField name="Expected Business Month" numFmtId="17">
      <sharedItems containsNonDate="0" containsDate="1" containsMixedTypes="1" minDate="2023-11-01T00:00:00" maxDate="2026-04-02T00:00:00" count="32">
        <d v="2024-04-01T00:00:00"/>
        <d v="2024-01-01T00:00:00"/>
        <d v="2023-12-01T00:00:00"/>
        <d v="2023-11-01T00:00:00"/>
        <d v="2024-07-01T00:00:00"/>
        <d v="2024-03-01T00:00:00"/>
        <d v="2024-06-01T00:00:00"/>
        <d v="2024-02-01T00:00:00"/>
        <d v="2024-10-01T00:00:00"/>
        <d v="2024-08-01T00:00:00"/>
        <d v="2024-05-01T00:00:00"/>
        <d v="2024-09-01T00:00:00"/>
        <d v="2024-12-01T00:00:00"/>
        <d v="2025-02-01T00:00:00"/>
        <d v="2025-01-01T00:00:00"/>
        <d v="2025-03-01T00:00:00"/>
        <d v="2024-11-01T00:00:00"/>
        <d v="2025-05-01T00:00:00"/>
        <d v="2025-12-01T00:00:00"/>
        <d v="2025-08-01T00:00:00"/>
        <d v="2025-12-25T00:00:00"/>
        <d v="2025-04-01T00:00:00"/>
        <d v="2025-06-01T00:00:00"/>
        <d v="2025-07-01T00:00:00"/>
        <d v="2025-11-01T00:00:00"/>
        <d v="2025-09-01T00:00:00"/>
        <d v="2026-01-01T00:00:00"/>
        <d v="2026-04-01T00:00:00"/>
        <d v="2025-10-01T00:00:00"/>
        <s v="Formula1" f="1"/>
        <s v="Formula2" f="1"/>
        <s v="Formula3" f="1"/>
      </sharedItems>
    </cacheField>
    <cacheField name="Region" numFmtId="0">
      <sharedItems containsBlank="1" count="5">
        <s v="Hyderabad"/>
        <s v="Bangalore"/>
        <m u="1"/>
        <s v="yderabad" u="1"/>
        <s v="Chennai" u="1"/>
      </sharedItems>
    </cacheField>
    <cacheField name="Status" numFmtId="0">
      <sharedItems containsBlank="1" count="22">
        <s v="Cancelled"/>
        <s v="Closed(C4)"/>
        <s v="Introduction(C0)"/>
        <s v="Follow-up(C1)"/>
        <s v="Negotiation(C2)"/>
        <s v="Confirmed(C3)" u="1"/>
        <m u="1"/>
        <s v="Negotiation/C2" u="1"/>
        <s v="Followup/C1" u="1"/>
        <s v="Confirmed/C3" u="1"/>
        <s v="Closed/C4" u="1"/>
        <s v="Introduction/C0" u="1"/>
        <s v="Closed" u="1"/>
        <s v="Negotiation" u="1"/>
        <s v="Confirmed" u="1"/>
        <s v="Followup" u="1"/>
        <s v="Introduction" u="1"/>
        <s v="Introduction/ C0" u="1"/>
        <s v="Closed/ C3" u="1"/>
        <s v="Followup/ C1" u="1"/>
        <s v="Negotiation/ C2" u="1"/>
        <s v="Casncelled" u="1"/>
      </sharedItems>
    </cacheField>
    <cacheField name="Lead Status" numFmtId="0">
      <sharedItems/>
    </cacheField>
    <cacheField name="Reason" numFmtId="0">
      <sharedItems containsBlank="1"/>
    </cacheField>
    <cacheField name="Expected sales of Haleem" numFmtId="0">
      <sharedItems containsBlank="1" containsMixedTypes="1" containsNumber="1" minValue="0" maxValue="368000"/>
    </cacheField>
    <cacheField name="Type Of Business" numFmtId="0">
      <sharedItems containsBlank="1"/>
    </cacheField>
    <cacheField name="Punched Date" numFmtId="0">
      <sharedItems containsNonDate="0" containsString="0" containsBlank="1"/>
    </cacheField>
    <cacheField name="1st meeting Date" numFmtId="0">
      <sharedItems containsDate="1" containsBlank="1" containsMixedTypes="1" minDate="2023-11-23T00:00:00" maxDate="1900-01-01T04:51:04"/>
    </cacheField>
    <cacheField name="Month" numFmtId="0">
      <sharedItems/>
    </cacheField>
    <cacheField name="Week" numFmtId="0">
      <sharedItems containsSemiMixedTypes="0" containsString="0" containsNumber="1" containsInteger="1" minValue="1" maxValue="52"/>
    </cacheField>
    <cacheField name="Ye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6.558271180555" createdVersion="8" refreshedVersion="8" minRefreshableVersion="3" recordCount="4360" xr:uid="{C6B00556-5C96-4EB9-9860-791EE7099066}">
  <cacheSource type="worksheet">
    <worksheetSource name="Table1"/>
  </cacheSource>
  <cacheFields count="21">
    <cacheField name="Date" numFmtId="164">
      <sharedItems containsNonDate="0" containsDate="1" containsString="0" containsBlank="1" minDate="2002-08-22T00:00:00" maxDate="2026-05-01T00:00:00"/>
    </cacheField>
    <cacheField name="A/C Name" numFmtId="0">
      <sharedItems containsBlank="1"/>
    </cacheField>
    <cacheField name="Connect Status" numFmtId="0">
      <sharedItems containsBlank="1"/>
    </cacheField>
    <cacheField name="TYPE" numFmtId="0">
      <sharedItems containsBlank="1"/>
    </cacheField>
    <cacheField name="Industry" numFmtId="0">
      <sharedItems containsBlank="1" count="56">
        <s v="IT"/>
        <s v="Tourism"/>
        <s v="Transport"/>
        <s v="Events"/>
        <s v="Education"/>
        <s v="Pharma"/>
        <s v="Entertainment"/>
        <s v="Manufacturing"/>
        <s v="Community"/>
        <s v="Automobile"/>
        <s v="Family Group"/>
        <s v="Sports"/>
        <s v="Hotel"/>
        <s v="Healthcare"/>
        <s v="Orphanage &amp; NGO"/>
        <s v="Realestate"/>
        <s v="Distributers"/>
        <s v="F&amp;B Agrigator"/>
        <s v="Agritech"/>
        <s v="Retail"/>
        <s v="Government"/>
        <s v="Banking Finance &amp; Insurance"/>
        <s v="Defence &amp; Aerospace"/>
        <s v="FMCG"/>
        <s v="Media &amp; TV"/>
        <s v="college"/>
        <s v="Event"/>
        <s v="Concert"/>
        <s v="Amusement"/>
        <s v="Church"/>
        <s v="Exhibition"/>
        <s v="Dealers &amp; Distributers"/>
        <s v="Distributors"/>
        <s v="Gifting"/>
        <s v="F&amp;B Agregator"/>
        <s v="Defence"/>
        <s v="Orphnage"/>
        <s v="F&amp;B"/>
        <s v="Society"/>
        <s v="Exhibtion"/>
        <s v="Banking Fiinance &amp; Insurance"/>
        <m/>
        <s v="Infra" u="1"/>
        <s v="Oil &amp; Gas" u="1"/>
        <s v="NGO" u="1"/>
        <s v="Orphanage NGO" u="1"/>
        <s v="Orphanage" u="1"/>
        <s v="Indian Post" u="1"/>
        <s v="Real Estate" u="1"/>
        <s v="Finance" u="1"/>
        <s v="BIFS" u="1"/>
        <s v="Railway" u="1"/>
        <s v="Aerospace" u="1"/>
        <s v="ITES" u="1"/>
        <s v="Event Management" u="1"/>
        <s v="Administration" u="1"/>
      </sharedItems>
    </cacheField>
    <cacheField name="Spoc Name" numFmtId="0">
      <sharedItems containsBlank="1"/>
    </cacheField>
    <cacheField name="Conversation" numFmtId="0">
      <sharedItems containsDate="1" containsBlank="1" containsMixedTypes="1" minDate="2024-03-14T00:00:00" maxDate="2024-05-01T00:00:00"/>
    </cacheField>
    <cacheField name="Expected Business" numFmtId="0">
      <sharedItems containsString="0" containsBlank="1" containsNumber="1" containsInteger="1" minValue="0" maxValue="7599375"/>
    </cacheField>
    <cacheField name="Actual Closed Business" numFmtId="0">
      <sharedItems containsString="0" containsBlank="1" containsNumber="1" containsInteger="1" minValue="0" maxValue="7599375"/>
    </cacheField>
    <cacheField name="Expected Business Month" numFmtId="0">
      <sharedItems containsNonDate="0" containsDate="1" containsBlank="1" containsMixedTypes="1" minDate="2023-11-01T00:00:00" maxDate="2026-05-02T00:00:00" count="56">
        <d v="2024-04-01T00:00:00"/>
        <d v="2024-01-01T00:00:00"/>
        <d v="2023-12-01T00:00:00"/>
        <d v="2023-11-01T00:00:00"/>
        <d v="2024-07-01T00:00:00"/>
        <d v="2024-03-01T00:00:00"/>
        <d v="2024-06-01T00:00:00"/>
        <d v="2024-02-01T00:00:00"/>
        <d v="2024-10-01T00:00:00"/>
        <d v="2024-08-01T00:00:00"/>
        <d v="2024-05-01T00:00:00"/>
        <d v="2024-09-01T00:00:00"/>
        <d v="2024-12-01T00:00:00"/>
        <d v="2025-02-01T00:00:00"/>
        <d v="2025-01-01T00:00:00"/>
        <d v="2025-03-01T00:00:00"/>
        <d v="2024-11-01T00:00:00"/>
        <d v="2025-05-01T00:00:00"/>
        <d v="2025-12-01T00:00:00"/>
        <d v="2025-08-01T00:00:00"/>
        <d v="2025-12-25T00:00:00"/>
        <d v="2025-04-01T00:00:00"/>
        <d v="2025-06-01T00:00:00"/>
        <d v="2025-07-01T00:00:00"/>
        <d v="2025-11-01T00:00:00"/>
        <d v="2025-09-01T00:00:00"/>
        <d v="2026-01-01T00:00:00"/>
        <d v="2026-04-01T00:00:00"/>
        <d v="2025-10-01T00:00:00"/>
        <d v="2026-02-01T00:00:00"/>
        <d v="2026-03-01T00:00:00"/>
        <d v="2026-05-01T00:00:00"/>
        <m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  <s v="Formula20" f="1"/>
        <s v="Formula21" f="1"/>
        <s v="Formula22" f="1"/>
        <s v="Formula23" f="1"/>
      </sharedItems>
    </cacheField>
    <cacheField name="Region" numFmtId="0">
      <sharedItems containsBlank="1" count="5">
        <s v="Hyderabad"/>
        <s v="Bangalore"/>
        <m/>
        <s v="yderabad" u="1"/>
        <s v="Chennai" u="1"/>
      </sharedItems>
    </cacheField>
    <cacheField name="Status" numFmtId="0">
      <sharedItems containsBlank="1" count="26">
        <s v="Cancelled"/>
        <s v="Closed(C4)"/>
        <s v="Introduction(C0)"/>
        <s v="Follow-up(C1)"/>
        <s v="Negotiation(C2)"/>
        <m/>
        <s v="Confirmed(C3)" u="1"/>
        <s v="Negotiation/C2" u="1"/>
        <s v="Followup/C1" u="1"/>
        <s v="Confirmed/C3" u="1"/>
        <s v="Closed/C4" u="1"/>
        <s v="Introduction/C0" u="1"/>
        <s v="Closed" u="1"/>
        <s v="Negotiation" u="1"/>
        <s v="Confirmed" u="1"/>
        <s v="Followup" u="1"/>
        <s v="Introduction" u="1"/>
        <s v="Introduction/ C0" u="1"/>
        <s v="Closed/ C3" u="1"/>
        <s v="Followup/ C1" u="1"/>
        <s v="Negotiation/ C2" u="1"/>
        <s v="Casncelled" u="1"/>
        <s v="Not Interested" u="1"/>
        <s v="Hyderabad" u="1"/>
        <s v="Bangalore" u="1"/>
        <s v="Formula1" f="1"/>
      </sharedItems>
    </cacheField>
    <cacheField name="Lead Status" numFmtId="0">
      <sharedItems containsBlank="1"/>
    </cacheField>
    <cacheField name="Reason" numFmtId="0">
      <sharedItems containsBlank="1"/>
    </cacheField>
    <cacheField name="Expected sales of Haleem" numFmtId="0">
      <sharedItems containsBlank="1" containsMixedTypes="1" containsNumber="1" minValue="0" maxValue="368000"/>
    </cacheField>
    <cacheField name="Type Of Business" numFmtId="0">
      <sharedItems containsBlank="1"/>
    </cacheField>
    <cacheField name="Punched Date" numFmtId="0">
      <sharedItems containsNonDate="0" containsString="0" containsBlank="1"/>
    </cacheField>
    <cacheField name="1st meeting Date" numFmtId="0">
      <sharedItems containsDate="1" containsBlank="1" containsMixedTypes="1" minDate="2023-11-23T00:00:00" maxDate="1900-01-01T04:51:04"/>
    </cacheField>
    <cacheField name="Month" numFmtId="0">
      <sharedItems/>
    </cacheField>
    <cacheField name="Week" numFmtId="0">
      <sharedItems containsSemiMixedTypes="0" containsString="0" containsNumber="1" containsInteger="1" minValue="1" maxValue="52"/>
    </cacheField>
    <cacheField name="Year" numFmtId="0">
      <sharedItems containsBlank="1"/>
    </cacheField>
  </cacheFields>
  <calculatedItems count="25">
    <calculatedItem>
      <pivotArea cacheIndex="1" outline="0" fieldPosition="0">
        <references count="1">
          <reference field="9" count="1">
            <x v="33"/>
          </reference>
        </references>
      </pivotArea>
    </calculatedItem>
    <calculatedItem>
      <pivotArea cacheIndex="1" outline="0" fieldPosition="0">
        <references count="1">
          <reference field="9" count="1">
            <x v="34"/>
          </reference>
        </references>
      </pivotArea>
    </calculatedItem>
    <calculatedItem>
      <pivotArea cacheIndex="1" outline="0" fieldPosition="0">
        <references count="1">
          <reference field="9" count="1">
            <x v="35"/>
          </reference>
        </references>
      </pivotArea>
    </calculatedItem>
    <calculatedItem>
      <pivotArea cacheIndex="1" outline="0" fieldPosition="0">
        <references count="1">
          <reference field="9" count="1">
            <x v="36"/>
          </reference>
        </references>
      </pivotArea>
    </calculatedItem>
    <calculatedItem formula="0">
      <pivotArea cacheIndex="1" fieldPosition="0">
        <references count="2">
          <reference field="9" count="1">
            <x v="34"/>
          </reference>
          <reference field="11" count="1">
            <x v="12"/>
          </reference>
        </references>
      </pivotArea>
    </calculatedItem>
    <calculatedItem>
      <pivotArea cacheIndex="1" outline="0" fieldPosition="0">
        <references count="1">
          <reference field="9" count="1">
            <x v="37"/>
          </reference>
        </references>
      </pivotArea>
    </calculatedItem>
    <calculatedItem>
      <pivotArea cacheIndex="1" outline="0" fieldPosition="0">
        <references count="1">
          <reference field="9" count="1">
            <x v="38"/>
          </reference>
        </references>
      </pivotArea>
    </calculatedItem>
    <calculatedItem>
      <pivotArea cacheIndex="1" outline="0" fieldPosition="0">
        <references count="1">
          <reference field="9" count="1">
            <x v="39"/>
          </reference>
        </references>
      </pivotArea>
    </calculatedItem>
    <calculatedItem>
      <pivotArea cacheIndex="1" outline="0" fieldPosition="0">
        <references count="1">
          <reference field="9" count="1">
            <x v="40"/>
          </reference>
        </references>
      </pivotArea>
    </calculatedItem>
    <calculatedItem>
      <pivotArea cacheIndex="1" outline="0" fieldPosition="0">
        <references count="1">
          <reference field="9" count="1">
            <x v="41"/>
          </reference>
        </references>
      </pivotArea>
    </calculatedItem>
    <calculatedItem>
      <pivotArea cacheIndex="1" outline="0" fieldPosition="0">
        <references count="1">
          <reference field="9" count="1">
            <x v="42"/>
          </reference>
        </references>
      </pivotArea>
    </calculatedItem>
    <calculatedItem>
      <pivotArea cacheIndex="1" outline="0" fieldPosition="0">
        <references count="1">
          <reference field="9" count="1">
            <x v="43"/>
          </reference>
        </references>
      </pivotArea>
    </calculatedItem>
    <calculatedItem>
      <pivotArea cacheIndex="1" outline="0" fieldPosition="0">
        <references count="1">
          <reference field="9" count="1">
            <x v="44"/>
          </reference>
        </references>
      </pivotArea>
    </calculatedItem>
    <calculatedItem>
      <pivotArea cacheIndex="1" outline="0" fieldPosition="0">
        <references count="1">
          <reference field="9" count="1">
            <x v="45"/>
          </reference>
        </references>
      </pivotArea>
    </calculatedItem>
    <calculatedItem>
      <pivotArea cacheIndex="1" outline="0" fieldPosition="0">
        <references count="1">
          <reference field="9" count="1">
            <x v="46"/>
          </reference>
        </references>
      </pivotArea>
    </calculatedItem>
    <calculatedItem>
      <pivotArea cacheIndex="1" outline="0" fieldPosition="0">
        <references count="1">
          <reference field="9" count="1">
            <x v="47"/>
          </reference>
        </references>
      </pivotArea>
    </calculatedItem>
    <calculatedItem>
      <pivotArea cacheIndex="1" outline="0" fieldPosition="0">
        <references count="1">
          <reference field="9" count="1">
            <x v="48"/>
          </reference>
        </references>
      </pivotArea>
    </calculatedItem>
    <calculatedItem>
      <pivotArea cacheIndex="1" outline="0" fieldPosition="0">
        <references count="1">
          <reference field="9" count="1">
            <x v="49"/>
          </reference>
        </references>
      </pivotArea>
    </calculatedItem>
    <calculatedItem>
      <pivotArea cacheIndex="1" outline="0" fieldPosition="0">
        <references count="1">
          <reference field="9" count="1">
            <x v="50"/>
          </reference>
        </references>
      </pivotArea>
    </calculatedItem>
    <calculatedItem>
      <pivotArea cacheIndex="1" outline="0" fieldPosition="0">
        <references count="1">
          <reference field="9" count="1">
            <x v="51"/>
          </reference>
        </references>
      </pivotArea>
    </calculatedItem>
    <calculatedItem>
      <pivotArea cacheIndex="1" outline="0" fieldPosition="0">
        <references count="1">
          <reference field="9" count="1">
            <x v="52"/>
          </reference>
        </references>
      </pivotArea>
    </calculatedItem>
    <calculatedItem>
      <pivotArea cacheIndex="1" outline="0" fieldPosition="0">
        <references count="1">
          <reference field="9" count="1">
            <x v="53"/>
          </reference>
        </references>
      </pivotArea>
    </calculatedItem>
    <calculatedItem>
      <pivotArea cacheIndex="1" outline="0" fieldPosition="0">
        <references count="1">
          <reference field="9" count="1">
            <x v="54"/>
          </reference>
        </references>
      </pivotArea>
    </calculatedItem>
    <calculatedItem>
      <pivotArea cacheIndex="1" outline="0" fieldPosition="0">
        <references count="1">
          <reference field="9" count="1">
            <x v="55"/>
          </reference>
        </references>
      </pivotArea>
    </calculatedItem>
    <calculatedItem>
      <pivotArea cacheIndex="1" outline="0" fieldPosition="0">
        <references count="1">
          <reference field="11" count="1">
            <x v="2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2">
  <r>
    <d v="2023-11-08T00:00:00"/>
    <s v="Turning Minds"/>
    <s v="Call"/>
    <s v="Corporate"/>
    <s v="IT"/>
    <s v="Sairam"/>
    <s v="Shared details about bulk booking"/>
    <n v="20000"/>
    <n v="0"/>
    <x v="0"/>
    <x v="0"/>
    <x v="0"/>
    <s v="Cancelled"/>
    <s v="No requirement"/>
    <m/>
    <m/>
    <m/>
    <m/>
    <s v="Nov-23"/>
    <n v="45"/>
    <s v="2024"/>
  </r>
  <r>
    <d v="2023-11-08T00:00:00"/>
    <s v="Computer Generated Solutions PVT LTD"/>
    <s v="Call"/>
    <s v="Corporate"/>
    <s v="IT"/>
    <s v="Madhvi"/>
    <s v="Shared details about bulk booking"/>
    <n v="10000"/>
    <n v="0"/>
    <x v="0"/>
    <x v="0"/>
    <x v="0"/>
    <s v="Cancelled"/>
    <s v="No requirement"/>
    <n v="0"/>
    <m/>
    <m/>
    <m/>
    <s v="Nov-23"/>
    <n v="45"/>
    <s v="2024"/>
  </r>
  <r>
    <d v="2023-11-08T00:00:00"/>
    <s v="Newyork Global"/>
    <s v="Call"/>
    <s v="Corporate"/>
    <s v="IT"/>
    <s v="Ugesh"/>
    <s v="Shared details about bulk booking"/>
    <n v="20000"/>
    <n v="0"/>
    <x v="0"/>
    <x v="0"/>
    <x v="0"/>
    <s v="Cancelled"/>
    <s v="No requirement"/>
    <m/>
    <m/>
    <m/>
    <m/>
    <s v="Nov-23"/>
    <n v="45"/>
    <s v="2024"/>
  </r>
  <r>
    <d v="2023-11-16T00:00:00"/>
    <s v="Splash Entertainments"/>
    <s v="F2F"/>
    <s v="Events"/>
    <s v="Tourism"/>
    <s v="Ghouse"/>
    <s v="Shared proposal for discount on Bulk Orders for travelling students."/>
    <n v="100000"/>
    <n v="0"/>
    <x v="1"/>
    <x v="0"/>
    <x v="0"/>
    <s v="Cancelled"/>
    <s v="Less budget of students"/>
    <m/>
    <m/>
    <m/>
    <m/>
    <s v="Nov-23"/>
    <n v="46"/>
    <s v="2024"/>
  </r>
  <r>
    <d v="2023-11-20T00:00:00"/>
    <s v="NextSphere Technology"/>
    <s v="Call"/>
    <s v="Corporate"/>
    <s v="IT"/>
    <s v="Meenakshi"/>
    <s v="Shaired details about bulk booking and ODC"/>
    <n v="12000"/>
    <n v="0"/>
    <x v="0"/>
    <x v="0"/>
    <x v="0"/>
    <s v="Cancelled"/>
    <s v="No requirement"/>
    <m/>
    <m/>
    <m/>
    <m/>
    <s v="Nov-23"/>
    <n v="47"/>
    <s v="2024"/>
  </r>
  <r>
    <d v="2023-11-20T00:00:00"/>
    <s v="Fiserve"/>
    <s v="Call"/>
    <s v="Corporate"/>
    <s v="IT"/>
    <s v="Saran (Admin)"/>
    <s v="Shared details about Bulk orders "/>
    <n v="100000"/>
    <n v="0"/>
    <x v="1"/>
    <x v="0"/>
    <x v="0"/>
    <s v="Cancelled"/>
    <s v="Event Cancelled"/>
    <m/>
    <m/>
    <m/>
    <m/>
    <s v="Nov-23"/>
    <n v="47"/>
    <s v="2024"/>
  </r>
  <r>
    <d v="2023-11-23T00:00:00"/>
    <s v="Fiserve"/>
    <s v="Call"/>
    <s v="Corporate"/>
    <s v="IT"/>
    <s v="Sameena"/>
    <s v="Shaired details about bulk booking and ODC"/>
    <n v="7000"/>
    <n v="0"/>
    <x v="1"/>
    <x v="0"/>
    <x v="0"/>
    <s v="Cancelled"/>
    <s v="Event Cancelled"/>
    <m/>
    <m/>
    <m/>
    <m/>
    <s v="Nov-23"/>
    <n v="47"/>
    <s v="2024"/>
  </r>
  <r>
    <d v="2023-11-23T00:00:00"/>
    <s v="Hyderabad Metro Rail LTD"/>
    <s v="F2F"/>
    <s v="Corporate"/>
    <s v="Transport"/>
    <s v="Sulakshna Shukla ( Admin Head)"/>
    <s v="Duiscussed Bulk Order, they want Bakery counter at their office"/>
    <n v="5000"/>
    <n v="5000"/>
    <x v="1"/>
    <x v="0"/>
    <x v="1"/>
    <s v="Closed"/>
    <m/>
    <m/>
    <m/>
    <m/>
    <d v="2023-11-23T00:00:00"/>
    <s v="Nov-23"/>
    <n v="47"/>
    <s v="2024"/>
  </r>
  <r>
    <d v="2023-11-24T00:00:00"/>
    <s v="Stumag"/>
    <s v="F2F"/>
    <s v="College"/>
    <s v="Events"/>
    <s v="Pooja"/>
    <s v="Event on 12 Dec 2023 Looking for sponsorship"/>
    <n v="0"/>
    <n v="0"/>
    <x v="1"/>
    <x v="0"/>
    <x v="0"/>
    <s v="Cancelled"/>
    <s v="Charging 50,000 and very less potential event "/>
    <m/>
    <m/>
    <m/>
    <m/>
    <s v="Nov-23"/>
    <n v="47"/>
    <s v="2024"/>
  </r>
  <r>
    <d v="2023-11-24T00:00:00"/>
    <s v="Express Events"/>
    <s v="F2F"/>
    <s v="Events"/>
    <s v="Events"/>
    <s v="Avinash Bharadwaj"/>
    <s v="Cancelled as they were charging 50,000 + GST which was not profitable"/>
    <n v="100000"/>
    <n v="0"/>
    <x v="2"/>
    <x v="0"/>
    <x v="0"/>
    <s v="Cancelled"/>
    <s v="Dropped as not profitable event"/>
    <m/>
    <m/>
    <m/>
    <m/>
    <s v="Nov-23"/>
    <n v="47"/>
    <s v="2023"/>
  </r>
  <r>
    <d v="2023-11-26T00:00:00"/>
    <s v="SIP Event at Shamshabad"/>
    <s v="F2F"/>
    <s v="Events"/>
    <s v="Education"/>
    <s v="Arun"/>
    <s v="Participated in Event with 12000 footfall"/>
    <n v="216000"/>
    <n v="216000"/>
    <x v="3"/>
    <x v="0"/>
    <x v="1"/>
    <s v="Closed"/>
    <m/>
    <m/>
    <m/>
    <m/>
    <m/>
    <s v="Nov-23"/>
    <n v="47"/>
    <s v="2023"/>
  </r>
  <r>
    <d v="2023-11-27T00:00:00"/>
    <s v="GGR International School"/>
    <s v="F2F"/>
    <s v="School"/>
    <s v="Education"/>
    <s v="Jyotsna ( Principal)"/>
    <s v="Shared details for bulk orders and school event."/>
    <n v="10000"/>
    <n v="0"/>
    <x v="0"/>
    <x v="0"/>
    <x v="0"/>
    <s v="Cancelled"/>
    <s v="No requirement"/>
    <m/>
    <m/>
    <m/>
    <m/>
    <s v="Nov-23"/>
    <n v="48"/>
    <s v="2024"/>
  </r>
  <r>
    <d v="2023-11-27T00:00:00"/>
    <s v="Bijli Rides"/>
    <s v="F2F"/>
    <s v="Corporate"/>
    <s v="Transport"/>
    <s v="Shivam Sisodia (MD)"/>
    <s v="Shared details about our offerings, will plan for team lunch."/>
    <n v="3000"/>
    <n v="0"/>
    <x v="0"/>
    <x v="0"/>
    <x v="0"/>
    <s v="Cancelled"/>
    <s v="No requirement"/>
    <m/>
    <m/>
    <m/>
    <m/>
    <s v="Nov-23"/>
    <n v="48"/>
    <s v="2024"/>
  </r>
  <r>
    <d v="2023-11-27T00:00:00"/>
    <s v="Infinity Holidays"/>
    <s v="F2F"/>
    <s v="Events"/>
    <s v="Events"/>
    <s v="Vikas"/>
    <s v="Shared proposal for discount on Bulk Orders for travelling students."/>
    <n v="10000"/>
    <n v="0"/>
    <x v="1"/>
    <x v="0"/>
    <x v="0"/>
    <s v="Cancelled"/>
    <s v="Dropped as less budget of students"/>
    <m/>
    <m/>
    <m/>
    <m/>
    <s v="Nov-23"/>
    <n v="48"/>
    <s v="2024"/>
  </r>
  <r>
    <d v="2023-11-28T00:00:00"/>
    <s v="Alliance Pro IT"/>
    <s v="F2F"/>
    <s v="Corporate"/>
    <s v="IT"/>
    <s v="Mrudula ( HR &amp; Admin)"/>
    <s v="They will plan for team lunch and bulk orders"/>
    <n v="10000"/>
    <n v="0"/>
    <x v="4"/>
    <x v="0"/>
    <x v="0"/>
    <s v="Cancelled"/>
    <s v="Event Cancelled"/>
    <m/>
    <m/>
    <m/>
    <m/>
    <s v="Nov-23"/>
    <n v="48"/>
    <s v="2024"/>
  </r>
  <r>
    <d v="2023-11-28T00:00:00"/>
    <s v="Delta Technologies"/>
    <s v="F2F"/>
    <s v="Corporate"/>
    <s v="IT"/>
    <s v="Amit ( Head HR)"/>
    <s v="Introduction of our products and offerings, Need to meet Admin head shortly for Annual function and bulk orders"/>
    <n v="10000"/>
    <n v="0"/>
    <x v="4"/>
    <x v="0"/>
    <x v="0"/>
    <s v="Cancelled"/>
    <s v="No requirement"/>
    <m/>
    <m/>
    <m/>
    <m/>
    <s v="Nov-23"/>
    <n v="48"/>
    <s v="2024"/>
  </r>
  <r>
    <d v="2023-11-28T00:00:00"/>
    <s v="Puneria Events"/>
    <s v="Call"/>
    <s v="Corporate"/>
    <s v="Events"/>
    <s v="Sandeep (MD)"/>
    <s v="Shared introduction about Bulk order and ODC"/>
    <n v="5000"/>
    <n v="0"/>
    <x v="0"/>
    <x v="0"/>
    <x v="0"/>
    <s v="Cancelled"/>
    <s v="No requirement"/>
    <m/>
    <m/>
    <m/>
    <m/>
    <s v="Nov-23"/>
    <n v="48"/>
    <s v="2024"/>
  </r>
  <r>
    <d v="2023-11-28T00:00:00"/>
    <s v="Shankar Agencies"/>
    <s v="Call"/>
    <s v="Events"/>
    <s v="Events"/>
    <s v="Shankar"/>
    <s v="Shared proposal for discount on Bulk Orders for travelling students."/>
    <n v="30000"/>
    <n v="0"/>
    <x v="1"/>
    <x v="0"/>
    <x v="0"/>
    <s v="Cancelled"/>
    <s v="Less budget of travelling students"/>
    <m/>
    <m/>
    <m/>
    <m/>
    <s v="Nov-23"/>
    <n v="48"/>
    <s v="2024"/>
  </r>
  <r>
    <d v="2023-11-29T00:00:00"/>
    <s v="Tashee Linux "/>
    <s v="F2F"/>
    <s v="Corporate"/>
    <s v="IT"/>
    <s v="Anita Baranwal (HR)"/>
    <s v="Introduction of our products for bulk orders"/>
    <n v="8000"/>
    <n v="0"/>
    <x v="4"/>
    <x v="0"/>
    <x v="0"/>
    <s v="Cancelled"/>
    <s v="No requirement"/>
    <m/>
    <m/>
    <m/>
    <m/>
    <s v="Nov-23"/>
    <n v="48"/>
    <s v="2024"/>
  </r>
  <r>
    <d v="2023-11-29T00:00:00"/>
    <s v="Celon Labs"/>
    <s v="F2F"/>
    <s v="Corporate"/>
    <s v="Pharma"/>
    <s v="Gulab Singh Rajput (GM HR)"/>
    <s v="Shared corporate offerings "/>
    <n v="10000"/>
    <n v="0"/>
    <x v="4"/>
    <x v="0"/>
    <x v="0"/>
    <s v="Cancelled"/>
    <s v="No requirement"/>
    <m/>
    <m/>
    <m/>
    <m/>
    <s v="Nov-23"/>
    <n v="48"/>
    <s v="2024"/>
  </r>
  <r>
    <d v="2023-11-30T00:00:00"/>
    <s v="National Manpower"/>
    <s v="Call"/>
    <s v="Corporate"/>
    <s v="IT"/>
    <s v="Swamy"/>
    <s v="Discoussed about bulk food delevery at events"/>
    <n v="8000"/>
    <n v="0"/>
    <x v="5"/>
    <x v="0"/>
    <x v="0"/>
    <s v="Cancelled"/>
    <s v="Preparing their own food"/>
    <m/>
    <m/>
    <m/>
    <m/>
    <s v="Nov-23"/>
    <n v="48"/>
    <s v="2024"/>
  </r>
  <r>
    <d v="2023-11-30T00:00:00"/>
    <s v="Capgemini"/>
    <s v="Call"/>
    <s v="Corporate"/>
    <s v="IT"/>
    <s v="Amol"/>
    <s v="Dine in of 25 capgemini employees on 13 Dec 2023"/>
    <n v="13200"/>
    <n v="13200"/>
    <x v="2"/>
    <x v="0"/>
    <x v="1"/>
    <s v="Closed"/>
    <m/>
    <m/>
    <m/>
    <m/>
    <m/>
    <s v="Nov-23"/>
    <n v="48"/>
    <s v="2023"/>
  </r>
  <r>
    <d v="2023-12-01T00:00:00"/>
    <s v="Balaji Agencies"/>
    <s v="Call"/>
    <s v="Corporate"/>
    <s v="Tourism"/>
    <s v="Venkateshwar"/>
    <s v="Shared proposal for bulk Biryani orders"/>
    <n v="50000"/>
    <n v="0"/>
    <x v="5"/>
    <x v="0"/>
    <x v="0"/>
    <s v="Cancelled"/>
    <s v="Budget constrains for travelling students"/>
    <m/>
    <m/>
    <m/>
    <m/>
    <s v="Dec-23"/>
    <n v="48"/>
    <s v="2024"/>
  </r>
  <r>
    <d v="2023-12-01T00:00:00"/>
    <s v="Wonderla"/>
    <s v="Call"/>
    <s v="Corporate"/>
    <s v="Entertainment"/>
    <s v="Souvik"/>
    <s v="bulk order of plum cakes they purchased from kochi due to influence of MD"/>
    <n v="150000"/>
    <n v="0"/>
    <x v="2"/>
    <x v="0"/>
    <x v="0"/>
    <s v="Cancelled"/>
    <s v="Dropped as they procured inhouse from Kochi"/>
    <m/>
    <m/>
    <m/>
    <m/>
    <s v="Dec-23"/>
    <n v="48"/>
    <s v="2023"/>
  </r>
  <r>
    <d v="2023-12-01T00:00:00"/>
    <s v="Medha Servo Drives"/>
    <s v="Call"/>
    <s v="Corporate"/>
    <s v="Manufacturing"/>
    <s v="Vinay Yadav"/>
    <s v="Shared details about Bulk orders "/>
    <n v="20000"/>
    <n v="0"/>
    <x v="4"/>
    <x v="0"/>
    <x v="0"/>
    <s v="Cancelled"/>
    <s v="No requirement"/>
    <m/>
    <m/>
    <m/>
    <m/>
    <s v="Dec-23"/>
    <n v="48"/>
    <s v="2024"/>
  </r>
  <r>
    <d v="2023-12-01T00:00:00"/>
    <s v="St Anns College"/>
    <s v="F2F"/>
    <s v="College"/>
    <s v="Education"/>
    <s v="Pravalika"/>
    <s v="Shared details of bulk orders"/>
    <n v="0"/>
    <n v="0"/>
    <x v="2"/>
    <x v="0"/>
    <x v="0"/>
    <s v="Cancelled"/>
    <s v="They procured inhouse for Christmas"/>
    <m/>
    <m/>
    <m/>
    <m/>
    <s v="Dec-23"/>
    <n v="48"/>
    <s v="2023"/>
  </r>
  <r>
    <d v="2023-12-04T00:00:00"/>
    <s v="OG'S Wonderland Flea"/>
    <s v="Call"/>
    <s v="Events"/>
    <s v="Entertainment"/>
    <s v="Onegolf "/>
    <s v="Discussing for participation , event on 24 Dec 2023"/>
    <n v="100000"/>
    <n v="0"/>
    <x v="2"/>
    <x v="0"/>
    <x v="0"/>
    <s v="Cancelled"/>
    <s v="Event Cancelled"/>
    <m/>
    <m/>
    <m/>
    <m/>
    <s v="Dec-23"/>
    <n v="49"/>
    <s v="2023"/>
  </r>
  <r>
    <d v="2023-12-05T00:00:00"/>
    <s v="Sunburn"/>
    <s v="Call"/>
    <s v="Events"/>
    <s v="Entertainment"/>
    <s v="Hitesh"/>
    <s v="Discussed, This year they have inhouse F&amp;B"/>
    <n v="100000"/>
    <n v="0"/>
    <x v="2"/>
    <x v="0"/>
    <x v="0"/>
    <s v="Cancelled"/>
    <s v="F&amp;B Was done inhouse by PUB"/>
    <m/>
    <m/>
    <m/>
    <m/>
    <s v="Dec-23"/>
    <n v="49"/>
    <s v="2023"/>
  </r>
  <r>
    <d v="2023-12-06T00:00:00"/>
    <s v="Kirby Building Technology"/>
    <s v="F2F"/>
    <s v="Corporate"/>
    <s v="IT"/>
    <s v="Naveen"/>
    <s v="Shared proposal for bulk orders , given first order for 12 Nov 2023"/>
    <n v="5500"/>
    <n v="5500"/>
    <x v="2"/>
    <x v="0"/>
    <x v="1"/>
    <s v="Closed"/>
    <m/>
    <m/>
    <m/>
    <m/>
    <m/>
    <s v="Dec-23"/>
    <n v="49"/>
    <s v="2023"/>
  </r>
  <r>
    <d v="2023-12-06T00:00:00"/>
    <s v="Mooving D Needle"/>
    <s v="F2F"/>
    <s v="Corporate"/>
    <s v="IT"/>
    <s v="Bhargav"/>
    <s v="Shared details about discount on bulk orders"/>
    <n v="10000"/>
    <n v="0"/>
    <x v="4"/>
    <x v="0"/>
    <x v="0"/>
    <s v="Cancelled"/>
    <s v="No requirement"/>
    <m/>
    <m/>
    <m/>
    <m/>
    <s v="Dec-23"/>
    <n v="49"/>
    <s v="2024"/>
  </r>
  <r>
    <d v="2023-12-06T00:00:00"/>
    <s v="Granules India Limited"/>
    <s v="F2F"/>
    <s v="Corporate"/>
    <s v="Pharma"/>
    <s v="Uma Rao (CHRO)"/>
    <s v="Shared details for bulk food deliveries for their Factory Unit"/>
    <n v="20000"/>
    <n v="0"/>
    <x v="4"/>
    <x v="0"/>
    <x v="0"/>
    <s v="Cancelled"/>
    <s v="No Budget"/>
    <m/>
    <m/>
    <m/>
    <m/>
    <s v="Dec-23"/>
    <n v="49"/>
    <s v="2024"/>
  </r>
  <r>
    <d v="2023-12-06T00:00:00"/>
    <s v="St Anns College"/>
    <s v="F2F"/>
    <s v="College"/>
    <s v="Education"/>
    <s v="Mounika"/>
    <s v=" event on 21 &amp; 22 Dec 2023"/>
    <n v="80000"/>
    <n v="0"/>
    <x v="2"/>
    <x v="0"/>
    <x v="0"/>
    <s v="Cancelled"/>
    <s v="Dropped due to less potential"/>
    <m/>
    <m/>
    <m/>
    <n v="45261"/>
    <s v="Dec-23"/>
    <n v="49"/>
    <s v="2023"/>
  </r>
  <r>
    <d v="2023-12-07T00:00:00"/>
    <s v="TCS"/>
    <s v="Call"/>
    <s v="Corporate"/>
    <s v="IT"/>
    <s v="Nimesh Verma (Admin)"/>
    <s v="Shared introduction given appointment on Monday"/>
    <n v="15000"/>
    <n v="0"/>
    <x v="6"/>
    <x v="0"/>
    <x v="0"/>
    <s v="Cancelled"/>
    <m/>
    <m/>
    <m/>
    <m/>
    <m/>
    <s v="Dec-23"/>
    <n v="49"/>
    <s v="2024"/>
  </r>
  <r>
    <d v="2023-12-07T00:00:00"/>
    <s v="Novartis"/>
    <s v="Call"/>
    <s v="Corporate"/>
    <s v="Pharma"/>
    <s v="Sneha Mamidwar (Admin)"/>
    <s v="Shared introduction given appointment on "/>
    <n v="20000"/>
    <n v="0"/>
    <x v="4"/>
    <x v="0"/>
    <x v="0"/>
    <s v="Cancelled"/>
    <s v="Event Cancelled"/>
    <m/>
    <m/>
    <m/>
    <m/>
    <s v="Dec-23"/>
    <n v="49"/>
    <s v="2024"/>
  </r>
  <r>
    <d v="2023-12-07T00:00:00"/>
    <s v="Glam Parikrama Event "/>
    <s v="F2F"/>
    <s v="Events"/>
    <s v="Events"/>
    <s v="Lalitha George (Founder)"/>
    <s v="Done reckey for event on 8th &amp; 9 Dec 2023"/>
    <n v="24000"/>
    <n v="24000"/>
    <x v="2"/>
    <x v="0"/>
    <x v="1"/>
    <s v="Closed"/>
    <m/>
    <m/>
    <m/>
    <m/>
    <m/>
    <s v="Dec-23"/>
    <n v="49"/>
    <s v="2023"/>
  </r>
  <r>
    <d v="2023-12-08T00:00:00"/>
    <s v="St Mathews Church"/>
    <s v="F2F"/>
    <s v="Christmas"/>
    <s v="Community"/>
    <s v="Sabitha"/>
    <s v="Shared Bakery menu"/>
    <n v="10000"/>
    <n v="0"/>
    <x v="0"/>
    <x v="0"/>
    <x v="0"/>
    <s v="Cancelled"/>
    <s v="They procured inhouse for Christmas"/>
    <m/>
    <m/>
    <m/>
    <m/>
    <s v="Dec-23"/>
    <n v="49"/>
    <s v="2024"/>
  </r>
  <r>
    <d v="2023-12-11T00:00:00"/>
    <s v="Aakruti School"/>
    <s v="F2F"/>
    <s v="Corporate"/>
    <s v="IT"/>
    <s v="Sarika"/>
    <s v="Shared introduction about Bulk order and ODC"/>
    <n v="20000"/>
    <n v="0"/>
    <x v="4"/>
    <x v="0"/>
    <x v="0"/>
    <s v="Cancelled"/>
    <s v="Event Cancelled"/>
    <m/>
    <m/>
    <m/>
    <m/>
    <s v="Dec-23"/>
    <n v="50"/>
    <s v="2024"/>
  </r>
  <r>
    <d v="2023-12-12T00:00:00"/>
    <s v="EGHM Church"/>
    <s v="F2F"/>
    <s v="Events"/>
    <s v="Community"/>
    <s v="Hema"/>
    <s v="Introduction about bulk orders and bakery items"/>
    <n v="10000"/>
    <n v="10000"/>
    <x v="1"/>
    <x v="0"/>
    <x v="1"/>
    <s v="Closed"/>
    <s v="They purchased from Heritage Branch"/>
    <m/>
    <m/>
    <m/>
    <m/>
    <s v="Dec-23"/>
    <n v="50"/>
    <s v="2024"/>
  </r>
  <r>
    <d v="2023-12-12T00:00:00"/>
    <s v="Mirackles &amp; Testimony Church"/>
    <s v="Call"/>
    <s v="Events"/>
    <s v="Community"/>
    <s v="Rahul"/>
    <s v="Introduction about bulk orders and bakery items"/>
    <n v="8000"/>
    <n v="0"/>
    <x v="1"/>
    <x v="0"/>
    <x v="0"/>
    <s v="Cancelled"/>
    <s v="They Have low budget "/>
    <m/>
    <m/>
    <m/>
    <m/>
    <s v="Dec-23"/>
    <n v="50"/>
    <s v="2024"/>
  </r>
  <r>
    <d v="2023-12-12T00:00:00"/>
    <s v="ECIL Church"/>
    <s v="Call"/>
    <s v="Events"/>
    <s v="Community"/>
    <s v="Suman"/>
    <s v="Introduction about bulk orders and bakery items"/>
    <n v="10000"/>
    <n v="0"/>
    <x v="1"/>
    <x v="0"/>
    <x v="0"/>
    <s v="Cancelled"/>
    <s v="Less Budget"/>
    <m/>
    <m/>
    <m/>
    <m/>
    <s v="Dec-23"/>
    <n v="50"/>
    <s v="2024"/>
  </r>
  <r>
    <d v="2023-12-12T00:00:00"/>
    <s v="Malakpet Church"/>
    <s v="Call"/>
    <s v="Events"/>
    <s v="Community"/>
    <s v="Keerthi Daniel"/>
    <s v="Introduction about bulk orders and bakery items"/>
    <n v="8000"/>
    <n v="0"/>
    <x v="1"/>
    <x v="0"/>
    <x v="0"/>
    <s v="Cancelled"/>
    <s v="Purchased locally"/>
    <m/>
    <m/>
    <m/>
    <m/>
    <s v="Dec-23"/>
    <n v="50"/>
    <s v="2024"/>
  </r>
  <r>
    <d v="2023-12-12T00:00:00"/>
    <s v="AG Group Church"/>
    <s v="Call"/>
    <s v="Events"/>
    <s v="Community"/>
    <s v="Susan Vangala"/>
    <s v="Introduction about bulk orders and bakery items"/>
    <n v="6000"/>
    <n v="0"/>
    <x v="1"/>
    <x v="0"/>
    <x v="0"/>
    <s v="Cancelled"/>
    <s v="Prepared Inhouse"/>
    <m/>
    <m/>
    <m/>
    <m/>
    <s v="Dec-23"/>
    <n v="50"/>
    <s v="2024"/>
  </r>
  <r>
    <d v="2023-12-12T00:00:00"/>
    <s v="Honda Big Wings"/>
    <s v="F2F"/>
    <s v="Events"/>
    <s v="Automobile"/>
    <s v="Vijay Kumar"/>
    <s v="Discussed about food supply in Rides and Destination Lunch at away stores"/>
    <n v="10000"/>
    <n v="0"/>
    <x v="5"/>
    <x v="0"/>
    <x v="0"/>
    <s v="Cancelled"/>
    <s v="No requirement"/>
    <m/>
    <m/>
    <m/>
    <m/>
    <s v="Dec-23"/>
    <n v="50"/>
    <s v="2024"/>
  </r>
  <r>
    <d v="2023-12-12T00:00:00"/>
    <s v="Royal Enfield"/>
    <s v="F2F"/>
    <s v="Events"/>
    <s v="Automobile"/>
    <s v="Kumar"/>
    <s v="Discussed about food supply in Rides and Destination Lunch at away stores"/>
    <n v="12000"/>
    <n v="0"/>
    <x v="4"/>
    <x v="0"/>
    <x v="0"/>
    <s v="Cancelled"/>
    <s v="No requirement"/>
    <m/>
    <m/>
    <m/>
    <m/>
    <s v="Dec-23"/>
    <n v="50"/>
    <s v="2024"/>
  </r>
  <r>
    <d v="2023-12-12T00:00:00"/>
    <s v="Penniwisw Solution/Oglivy"/>
    <s v="F2F"/>
    <s v="Corporate"/>
    <s v="IT"/>
    <s v="Sasikala Vedam"/>
    <s v="Shared Details about bulk orders and Corporate Gifting"/>
    <n v="10000"/>
    <n v="0"/>
    <x v="6"/>
    <x v="0"/>
    <x v="0"/>
    <s v="Cancelled"/>
    <m/>
    <m/>
    <m/>
    <m/>
    <m/>
    <s v="Dec-23"/>
    <n v="50"/>
    <s v="2024"/>
  </r>
  <r>
    <d v="2023-12-13T00:00:00"/>
    <s v="Aakruti School"/>
    <s v="Call"/>
    <s v="School"/>
    <s v="Education"/>
    <s v="Shyamla Reddy"/>
    <s v="Shared details of bulk orders"/>
    <n v="5000"/>
    <n v="0"/>
    <x v="0"/>
    <x v="0"/>
    <x v="0"/>
    <s v="Cancelled"/>
    <s v="No requirement"/>
    <m/>
    <m/>
    <m/>
    <m/>
    <s v="Dec-23"/>
    <n v="50"/>
    <s v="2024"/>
  </r>
  <r>
    <d v="2023-12-13T00:00:00"/>
    <s v="Academic Heights School"/>
    <s v="F2F"/>
    <s v="School"/>
    <s v="Education"/>
    <s v="Madhukar Reddy (MD)"/>
    <s v="Introduced for supply of food for Bulk Orders"/>
    <n v="50000"/>
    <n v="0"/>
    <x v="5"/>
    <x v="0"/>
    <x v="0"/>
    <s v="Cancelled"/>
    <m/>
    <m/>
    <m/>
    <m/>
    <m/>
    <s v="Dec-23"/>
    <n v="50"/>
    <s v="2024"/>
  </r>
  <r>
    <d v="2023-12-13T00:00:00"/>
    <s v="NMRIT College"/>
    <s v="F2F"/>
    <s v="College"/>
    <s v="Education"/>
    <s v="Sneha Nalla"/>
    <s v="Discussed about bulk orders for college fest"/>
    <n v="8000"/>
    <n v="0"/>
    <x v="5"/>
    <x v="0"/>
    <x v="0"/>
    <s v="Cancelled"/>
    <s v="No requirement"/>
    <m/>
    <m/>
    <m/>
    <m/>
    <s v="Dec-23"/>
    <n v="50"/>
    <s v="2024"/>
  </r>
  <r>
    <d v="2023-12-13T00:00:00"/>
    <s v="Tata Motors"/>
    <s v="Call"/>
    <s v="Corporate"/>
    <s v="Automobile"/>
    <s v="Kiran Kumar(GM)"/>
    <s v="Shared details about discount on bulk orders ( Gift and Discount Vouchers)"/>
    <n v="10000"/>
    <n v="0"/>
    <x v="6"/>
    <x v="0"/>
    <x v="0"/>
    <s v="Cancelled"/>
    <s v="Event Cancelled"/>
    <m/>
    <m/>
    <m/>
    <m/>
    <s v="Dec-23"/>
    <n v="50"/>
    <s v="2024"/>
  </r>
  <r>
    <d v="2023-12-13T00:00:00"/>
    <s v="Vikas Degree College"/>
    <s v="Call"/>
    <s v="College"/>
    <s v="Education"/>
    <s v="Mateen"/>
    <s v="Introduced for supply of food for Bulk Orders in college fest"/>
    <n v="5000"/>
    <n v="0"/>
    <x v="1"/>
    <x v="0"/>
    <x v="0"/>
    <s v="Cancelled"/>
    <s v="College Fest Cancelled"/>
    <m/>
    <m/>
    <m/>
    <m/>
    <s v="Dec-23"/>
    <n v="50"/>
    <s v="2024"/>
  </r>
  <r>
    <d v="2023-12-13T00:00:00"/>
    <s v="New Chaitanya JR College"/>
    <s v="F2F"/>
    <s v="College"/>
    <s v="Education"/>
    <s v="Imran (MD)"/>
    <s v="Shared details of bulk orders"/>
    <n v="5000"/>
    <n v="0"/>
    <x v="0"/>
    <x v="0"/>
    <x v="0"/>
    <s v="Cancelled"/>
    <s v="No requirement"/>
    <m/>
    <m/>
    <m/>
    <m/>
    <s v="Dec-23"/>
    <n v="50"/>
    <s v="2024"/>
  </r>
  <r>
    <d v="2023-12-13T00:00:00"/>
    <s v="St Anns College"/>
    <s v="F2F"/>
    <s v="College"/>
    <s v="Education"/>
    <s v="ST. Lucy (ADMIN)"/>
    <s v="Bulk food delivery and Bakery items for Christmas"/>
    <n v="5000"/>
    <n v="0"/>
    <x v="5"/>
    <x v="0"/>
    <x v="0"/>
    <s v="Cancelled"/>
    <s v="Prepared Inhouse"/>
    <m/>
    <m/>
    <m/>
    <m/>
    <s v="Dec-23"/>
    <n v="50"/>
    <s v="2024"/>
  </r>
  <r>
    <d v="2023-12-14T00:00:00"/>
    <s v="Nextracker"/>
    <s v="F2F"/>
    <s v="Corporate"/>
    <s v="IT"/>
    <s v="Raghava Naidu (Admin)"/>
    <s v="Shared details about bulk food delivery"/>
    <n v="8000"/>
    <n v="0"/>
    <x v="5"/>
    <x v="0"/>
    <x v="0"/>
    <s v="Cancelled"/>
    <s v="No requirement"/>
    <m/>
    <m/>
    <m/>
    <m/>
    <s v="Dec-23"/>
    <n v="50"/>
    <s v="2024"/>
  </r>
  <r>
    <d v="2023-12-14T00:00:00"/>
    <s v="OS Degree college College"/>
    <s v="Call"/>
    <s v="Events"/>
    <s v="Education"/>
    <s v="Abdul"/>
    <s v="Shared details of supplyof food in events"/>
    <n v="4000"/>
    <n v="0"/>
    <x v="5"/>
    <x v="0"/>
    <x v="0"/>
    <s v="Cancelled"/>
    <s v="No requirement"/>
    <m/>
    <m/>
    <m/>
    <m/>
    <s v="Dec-23"/>
    <n v="50"/>
    <s v="2024"/>
  </r>
  <r>
    <d v="2023-12-14T00:00:00"/>
    <s v="Littl Amigos School"/>
    <s v="F2F"/>
    <s v="School"/>
    <s v="Education"/>
    <s v="Nikita (Principal)"/>
    <s v="Introduced about bakery items and ODC, Looking for bakery items "/>
    <n v="2200"/>
    <n v="2200"/>
    <x v="2"/>
    <x v="0"/>
    <x v="1"/>
    <s v="Closed"/>
    <m/>
    <m/>
    <m/>
    <m/>
    <m/>
    <s v="Dec-23"/>
    <n v="50"/>
    <s v="2023"/>
  </r>
  <r>
    <d v="2023-12-14T00:00:00"/>
    <s v="Qualcomm"/>
    <s v="Call"/>
    <s v="Corporate"/>
    <s v="IT"/>
    <s v="Shobha (Admin)"/>
    <s v="Shared details about bulk order and corporate gifting"/>
    <n v="5000"/>
    <n v="0"/>
    <x v="6"/>
    <x v="0"/>
    <x v="0"/>
    <s v="Cancelled"/>
    <s v="Event Cancelled"/>
    <m/>
    <m/>
    <m/>
    <m/>
    <s v="Dec-23"/>
    <n v="50"/>
    <s v="2024"/>
  </r>
  <r>
    <d v="2023-12-14T00:00:00"/>
    <s v="St Joseph School(Santoshnagar)"/>
    <s v="Call"/>
    <s v="School"/>
    <s v="Education"/>
    <s v="Anoop"/>
    <s v="Shared details of bulk orders"/>
    <n v="5000"/>
    <n v="0"/>
    <x v="6"/>
    <x v="0"/>
    <x v="0"/>
    <s v="Cancelled"/>
    <s v="Event Cancelled"/>
    <m/>
    <m/>
    <m/>
    <m/>
    <s v="Dec-23"/>
    <n v="50"/>
    <s v="2024"/>
  </r>
  <r>
    <d v="2023-12-14T00:00:00"/>
    <s v="Sty Anthonys School(Rampally)"/>
    <s v="Call"/>
    <s v="School "/>
    <s v="Education"/>
    <s v="Ajit"/>
    <s v="Shared details of bulk orders"/>
    <n v="5000"/>
    <n v="0"/>
    <x v="5"/>
    <x v="0"/>
    <x v="0"/>
    <s v="Cancelled"/>
    <s v="Event Cancelled"/>
    <m/>
    <m/>
    <m/>
    <m/>
    <s v="Dec-23"/>
    <n v="50"/>
    <s v="2024"/>
  </r>
  <r>
    <d v="2023-12-14T00:00:00"/>
    <s v="Morning Star School (DSNR)"/>
    <s v="Call"/>
    <s v="School"/>
    <s v="Education"/>
    <s v="Chandana"/>
    <s v="Shared details of bulk orders"/>
    <n v="5000"/>
    <n v="0"/>
    <x v="6"/>
    <x v="0"/>
    <x v="0"/>
    <s v="Cancelled"/>
    <s v="Event Cancelled"/>
    <m/>
    <m/>
    <m/>
    <m/>
    <s v="Dec-23"/>
    <n v="50"/>
    <s v="2024"/>
  </r>
  <r>
    <d v="2023-12-14T00:00:00"/>
    <s v="St Peters Model High School (Nacharam)"/>
    <s v="F2F"/>
    <s v="School"/>
    <s v="Education"/>
    <s v="Irroni"/>
    <s v="Shared details of bulk orders, Will inform if they have requirements for christmas"/>
    <n v="7000"/>
    <n v="0"/>
    <x v="6"/>
    <x v="0"/>
    <x v="0"/>
    <s v="Cancelled"/>
    <s v="Event Cancelled"/>
    <m/>
    <m/>
    <m/>
    <m/>
    <s v="Dec-23"/>
    <n v="50"/>
    <s v="2024"/>
  </r>
  <r>
    <d v="2023-12-14T00:00:00"/>
    <s v="St Johns High School (Ramanthapur)"/>
    <s v="F2F"/>
    <s v="School"/>
    <s v="Education"/>
    <s v="Ram Reddy"/>
    <s v="Shared details about bulk delivery and Christmas gifting, Will confirm shortly for any requirements."/>
    <n v="12000"/>
    <n v="0"/>
    <x v="7"/>
    <x v="0"/>
    <x v="0"/>
    <s v="Cancelled"/>
    <s v="Procured Inhouse"/>
    <m/>
    <m/>
    <m/>
    <m/>
    <s v="Dec-23"/>
    <n v="50"/>
    <s v="2024"/>
  </r>
  <r>
    <d v="2023-12-15T00:00:00"/>
    <s v="Synchrony"/>
    <s v="F2F"/>
    <s v="Corporate"/>
    <s v="IT"/>
    <s v="Moumita (AVP)"/>
    <s v="Shared details about Bulk orders &amp; Corporate Gifting"/>
    <n v="10000"/>
    <n v="0"/>
    <x v="5"/>
    <x v="0"/>
    <x v="0"/>
    <s v="Cancelled"/>
    <s v="No requirement"/>
    <m/>
    <m/>
    <m/>
    <m/>
    <s v="Dec-23"/>
    <n v="50"/>
    <s v="2024"/>
  </r>
  <r>
    <d v="2023-12-15T00:00:00"/>
    <s v="Gowtham Grammar School"/>
    <s v="F2F"/>
    <s v="School"/>
    <s v="Education"/>
    <s v="Ramesh"/>
    <s v="Shared detail;s about bulk orders"/>
    <n v="10000"/>
    <n v="0"/>
    <x v="6"/>
    <x v="0"/>
    <x v="0"/>
    <s v="Cancelled"/>
    <s v="Event Cancelled"/>
    <m/>
    <m/>
    <m/>
    <m/>
    <s v="Dec-23"/>
    <n v="50"/>
    <s v="2024"/>
  </r>
  <r>
    <d v="2023-12-15T00:00:00"/>
    <s v="Arya Vysya Group, Begumpet"/>
    <s v="F2F"/>
    <s v="Events"/>
    <s v="Community"/>
    <s v="Narendra"/>
    <s v="Shared details of bulk orders"/>
    <n v="30000"/>
    <n v="0"/>
    <x v="0"/>
    <x v="0"/>
    <x v="0"/>
    <s v="Cancelled"/>
    <s v="No requirement"/>
    <m/>
    <m/>
    <m/>
    <m/>
    <s v="Dec-23"/>
    <n v="50"/>
    <s v="2024"/>
  </r>
  <r>
    <d v="2023-12-15T00:00:00"/>
    <s v="Hyderabad Public School"/>
    <s v="F2F"/>
    <s v="Events"/>
    <s v="Education"/>
    <s v="Gaurav"/>
    <s v="Confirmed event for 25th and 26th Dec 2023, Went for site visit with Begumpet RCEO"/>
    <n v="100000"/>
    <n v="100000"/>
    <x v="2"/>
    <x v="0"/>
    <x v="1"/>
    <s v="Closed"/>
    <m/>
    <n v="6600"/>
    <m/>
    <m/>
    <m/>
    <s v="Dec-23"/>
    <n v="50"/>
    <s v="2023"/>
  </r>
  <r>
    <d v="2023-12-15T00:00:00"/>
    <s v="Intel"/>
    <s v="Call"/>
    <s v="Corporate"/>
    <s v="IT"/>
    <s v="Abhay Joshi"/>
    <s v="Shared details about bulk orders"/>
    <n v="20000"/>
    <n v="0"/>
    <x v="4"/>
    <x v="0"/>
    <x v="0"/>
    <s v="Cancelled"/>
    <s v="No Budget"/>
    <m/>
    <m/>
    <m/>
    <m/>
    <s v="Dec-23"/>
    <n v="50"/>
    <s v="2024"/>
  </r>
  <r>
    <d v="2023-12-15T00:00:00"/>
    <s v="AMD"/>
    <s v="Call"/>
    <s v="Corporate"/>
    <s v="IT"/>
    <s v="Pradeesh Kumar"/>
    <s v="Shared details about bulk orders"/>
    <n v="20000"/>
    <n v="0"/>
    <x v="4"/>
    <x v="0"/>
    <x v="0"/>
    <s v="Cancelled"/>
    <s v="No Budget"/>
    <m/>
    <m/>
    <m/>
    <m/>
    <s v="Dec-23"/>
    <n v="50"/>
    <s v="2024"/>
  </r>
  <r>
    <d v="2023-12-15T00:00:00"/>
    <s v="NVEDIA"/>
    <s v="Call"/>
    <s v="Corporate"/>
    <s v="IT"/>
    <s v="Rajendra"/>
    <s v="Shared details about bulk orders"/>
    <n v="5000"/>
    <n v="0"/>
    <x v="4"/>
    <x v="0"/>
    <x v="0"/>
    <s v="Cancelled"/>
    <s v="No requirement"/>
    <m/>
    <m/>
    <m/>
    <m/>
    <s v="Dec-23"/>
    <n v="50"/>
    <s v="2024"/>
  </r>
  <r>
    <d v="2023-12-15T00:00:00"/>
    <s v="Root Brown "/>
    <s v="Call"/>
    <s v="Corporate"/>
    <s v="IT"/>
    <s v="Abhinesh"/>
    <s v="Shared details of corporate bulk bookings"/>
    <n v="5000"/>
    <n v="0"/>
    <x v="0"/>
    <x v="0"/>
    <x v="0"/>
    <s v="Cancelled"/>
    <s v="No requirement"/>
    <m/>
    <m/>
    <m/>
    <m/>
    <s v="Dec-23"/>
    <n v="50"/>
    <s v="2024"/>
  </r>
  <r>
    <d v="2023-12-15T00:00:00"/>
    <s v="Masterminds School"/>
    <s v="Call"/>
    <s v="Events"/>
    <s v="Education"/>
    <s v="Adarsh Reddy"/>
    <s v="Shared details of bulk orders and bakery items."/>
    <n v="5000"/>
    <n v="0"/>
    <x v="0"/>
    <x v="0"/>
    <x v="0"/>
    <s v="Cancelled"/>
    <s v="No requirement"/>
    <m/>
    <m/>
    <m/>
    <m/>
    <s v="Dec-23"/>
    <n v="50"/>
    <s v="2024"/>
  </r>
  <r>
    <d v="2023-12-15T00:00:00"/>
    <s v="Naveena Degree college"/>
    <s v="Call"/>
    <s v="Events"/>
    <s v="Education"/>
    <s v="Adinarayan (Principal)"/>
    <s v="Shared details of bulk bookings"/>
    <n v="20000"/>
    <n v="0"/>
    <x v="1"/>
    <x v="0"/>
    <x v="0"/>
    <s v="Cancelled"/>
    <m/>
    <m/>
    <m/>
    <m/>
    <m/>
    <s v="Dec-23"/>
    <n v="50"/>
    <s v="2024"/>
  </r>
  <r>
    <d v="2023-12-16T00:00:00"/>
    <s v="Birthday Party"/>
    <s v="Call"/>
    <s v="Events"/>
    <s v="Family Group"/>
    <s v="MD Amaan"/>
    <s v="Shared quote for Biryani and Dessert"/>
    <n v="18000"/>
    <n v="0"/>
    <x v="2"/>
    <x v="0"/>
    <x v="0"/>
    <s v="Cancelled"/>
    <s v="Less Budget"/>
    <m/>
    <m/>
    <m/>
    <m/>
    <s v="Dec-23"/>
    <n v="50"/>
    <s v="2023"/>
  </r>
  <r>
    <d v="2023-12-16T00:00:00"/>
    <s v="Nizamabad Church Function"/>
    <s v="Call"/>
    <s v="Events"/>
    <s v="Community"/>
    <s v="Agness Rose"/>
    <s v="Biryani and Cake for 200 PAX , Shared details, NizamabadBranch closed"/>
    <n v="40000"/>
    <n v="0"/>
    <x v="5"/>
    <x v="0"/>
    <x v="0"/>
    <s v="Cancelled"/>
    <s v="Nizamabad Branch Closed"/>
    <m/>
    <m/>
    <m/>
    <m/>
    <s v="Dec-23"/>
    <n v="50"/>
    <s v="2024"/>
  </r>
  <r>
    <d v="2023-12-16T00:00:00"/>
    <s v="ICFAI College Fest"/>
    <s v="Call"/>
    <s v="Events"/>
    <s v="Education"/>
    <s v="Shivang Singh"/>
    <s v="Planning for stall at ICFAI fest in jan"/>
    <n v="100000"/>
    <n v="0"/>
    <x v="1"/>
    <x v="0"/>
    <x v="0"/>
    <s v="Cancelled"/>
    <s v="50 k for college fest was not profitable."/>
    <m/>
    <m/>
    <m/>
    <m/>
    <s v="Dec-23"/>
    <n v="50"/>
    <s v="2024"/>
  </r>
  <r>
    <d v="2023-12-16T00:00:00"/>
    <s v="Dell Technologies"/>
    <s v="Call"/>
    <s v="Corporate"/>
    <s v="IT"/>
    <s v="Deepak Pandey"/>
    <s v="Sold gift voucher of 2000"/>
    <n v="2000"/>
    <n v="2000"/>
    <x v="2"/>
    <x v="0"/>
    <x v="1"/>
    <s v="Closed"/>
    <m/>
    <m/>
    <m/>
    <m/>
    <m/>
    <s v="Dec-23"/>
    <n v="50"/>
    <s v="2023"/>
  </r>
  <r>
    <d v="2023-12-17T00:00:00"/>
    <s v="VVC Automobiles"/>
    <s v="Call"/>
    <s v="Corporate"/>
    <s v="Automobile"/>
    <s v="Jilani"/>
    <s v="Shared introduction about Bulk order and ODC"/>
    <n v="20000"/>
    <n v="0"/>
    <x v="4"/>
    <x v="0"/>
    <x v="0"/>
    <s v="Cancelled"/>
    <s v="No requirement"/>
    <m/>
    <m/>
    <m/>
    <m/>
    <s v="Dec-23"/>
    <n v="50"/>
    <s v="2024"/>
  </r>
  <r>
    <d v="2023-12-17T00:00:00"/>
    <s v="Kia Automotive"/>
    <s v="Call"/>
    <s v="Corporate"/>
    <s v="Automobile"/>
    <s v="Martin"/>
    <s v="Shared introduction about Bulk order and ODC"/>
    <n v="30000"/>
    <n v="0"/>
    <x v="0"/>
    <x v="0"/>
    <x v="0"/>
    <s v="Cancelled"/>
    <s v="No requirement"/>
    <m/>
    <m/>
    <m/>
    <m/>
    <s v="Dec-23"/>
    <n v="50"/>
    <s v="2024"/>
  </r>
  <r>
    <d v="2023-12-18T00:00:00"/>
    <s v="Aurora PG College"/>
    <s v="Call"/>
    <s v="Corporate"/>
    <s v="Education"/>
    <s v="Grishmanth"/>
    <s v="College Event and ODC"/>
    <n v="30000"/>
    <n v="0"/>
    <x v="1"/>
    <x v="0"/>
    <x v="0"/>
    <s v="Cancelled"/>
    <s v="60000 rent was not profitable"/>
    <m/>
    <m/>
    <m/>
    <m/>
    <s v="Dec-23"/>
    <n v="51"/>
    <s v="2024"/>
  </r>
  <r>
    <d v="2023-12-18T00:00:00"/>
    <s v="Parade Ground Event , MNR Education CMP"/>
    <s v="Call"/>
    <s v="Events"/>
    <s v="Events"/>
    <s v="Kumar Yayath"/>
    <s v="requirement of 1250 Veg biryani on 20 Dec 2023 ( Paid advance 1,50,000/-)"/>
    <n v="150000"/>
    <n v="150000"/>
    <x v="2"/>
    <x v="0"/>
    <x v="1"/>
    <s v="Closed"/>
    <m/>
    <m/>
    <m/>
    <m/>
    <m/>
    <s v="Dec-23"/>
    <n v="51"/>
    <s v="2023"/>
  </r>
  <r>
    <d v="2023-12-18T00:00:00"/>
    <s v="Karl Public School"/>
    <s v="F2F"/>
    <s v="School"/>
    <s v="Education"/>
    <s v="Daniel"/>
    <s v="Shared details of bulk order and christmas gifting"/>
    <n v="10000"/>
    <n v="0"/>
    <x v="1"/>
    <x v="0"/>
    <x v="0"/>
    <s v="Cancelled"/>
    <s v="Low budget "/>
    <m/>
    <m/>
    <m/>
    <m/>
    <s v="Dec-23"/>
    <n v="51"/>
    <s v="2024"/>
  </r>
  <r>
    <d v="2023-12-18T00:00:00"/>
    <s v="St Teresa School"/>
    <s v="F2F"/>
    <s v="School"/>
    <s v="Education"/>
    <s v="Madhu"/>
    <s v="Shared details of bulk orders"/>
    <n v="10000"/>
    <n v="0"/>
    <x v="1"/>
    <x v="0"/>
    <x v="0"/>
    <s v="Cancelled"/>
    <s v="Procured Inhouse"/>
    <m/>
    <m/>
    <m/>
    <m/>
    <s v="Dec-23"/>
    <n v="51"/>
    <s v="2024"/>
  </r>
  <r>
    <d v="2023-12-18T00:00:00"/>
    <s v="St Joseph School (ECIL)"/>
    <s v="F2F"/>
    <s v="School"/>
    <s v="Education"/>
    <s v="Aneesh"/>
    <s v="Shared details of christmas and New year gifting "/>
    <n v="10000"/>
    <n v="0"/>
    <x v="0"/>
    <x v="0"/>
    <x v="0"/>
    <s v="Cancelled"/>
    <s v="No requirement"/>
    <m/>
    <m/>
    <m/>
    <m/>
    <s v="Dec-23"/>
    <n v="51"/>
    <s v="2024"/>
  </r>
  <r>
    <d v="2023-12-18T00:00:00"/>
    <s v="Get Together"/>
    <s v="Call"/>
    <s v="Events"/>
    <s v="Family Group"/>
    <s v="Manavya"/>
    <s v="planning for 100 pax biryani in Jan"/>
    <n v="25000"/>
    <n v="0"/>
    <x v="1"/>
    <x v="0"/>
    <x v="0"/>
    <s v="Cancelled"/>
    <s v="Event Cancelled"/>
    <m/>
    <m/>
    <m/>
    <m/>
    <s v="Dec-23"/>
    <n v="51"/>
    <s v="2024"/>
  </r>
  <r>
    <d v="2023-12-18T00:00:00"/>
    <s v="Celebtration Event Management"/>
    <s v="Call"/>
    <s v="Corporate"/>
    <s v="Events"/>
    <s v="Priyanshi Jain"/>
    <s v="Planning event in hitex in first week of jan"/>
    <n v="20000"/>
    <n v="0"/>
    <x v="1"/>
    <x v="0"/>
    <x v="0"/>
    <s v="Cancelled"/>
    <s v="Dropped as was not profitable"/>
    <m/>
    <m/>
    <m/>
    <m/>
    <s v="Dec-23"/>
    <n v="51"/>
    <s v="2024"/>
  </r>
  <r>
    <d v="2023-12-18T00:00:00"/>
    <s v="Bharat Serum Limited"/>
    <s v="Call"/>
    <s v="Corporate"/>
    <s v="Pharma"/>
    <s v="Priya"/>
    <s v="Co branding and Discount vouchers for doctors"/>
    <n v="50000"/>
    <n v="0"/>
    <x v="1"/>
    <x v="0"/>
    <x v="0"/>
    <s v="Cancelled"/>
    <s v="Dropped due to high discount demand"/>
    <m/>
    <m/>
    <m/>
    <m/>
    <s v="Dec-23"/>
    <n v="51"/>
    <s v="2024"/>
  </r>
  <r>
    <d v="2023-12-18T00:00:00"/>
    <s v="Cake Order(Lingampally)"/>
    <s v="Call"/>
    <s v="Events"/>
    <s v="Family Group"/>
    <s v="Balu"/>
    <s v="Order for cake on 27 Dec 2023, Shared with concerned"/>
    <n v="2500"/>
    <n v="0"/>
    <x v="2"/>
    <x v="0"/>
    <x v="0"/>
    <s v="Cancelled"/>
    <s v="Didn’t turned up for order"/>
    <m/>
    <m/>
    <m/>
    <m/>
    <s v="Dec-23"/>
    <n v="51"/>
    <s v="2023"/>
  </r>
  <r>
    <d v="2023-12-19T00:00:00"/>
    <s v="Mettuguda Church"/>
    <s v="F2F"/>
    <s v="Corporate"/>
    <s v="Events"/>
    <s v="Gladson"/>
    <s v="They are managing food internally for christmas"/>
    <n v="30000"/>
    <n v="0"/>
    <x v="2"/>
    <x v="0"/>
    <x v="0"/>
    <s v="Cancelled"/>
    <s v="Managed food internally"/>
    <m/>
    <m/>
    <m/>
    <m/>
    <s v="Dec-23"/>
    <n v="51"/>
    <s v="2023"/>
  </r>
  <r>
    <d v="2023-12-19T00:00:00"/>
    <s v="AMD"/>
    <s v="F2F"/>
    <s v="Corporate"/>
    <s v="IT"/>
    <s v="Kiran"/>
    <s v="Closed 130 PAX Biryani and Double ka meetha , for 21 Dec 2023 payment will be done on 20 Dec."/>
    <n v="27684"/>
    <n v="27684"/>
    <x v="2"/>
    <x v="0"/>
    <x v="1"/>
    <s v="Closed"/>
    <m/>
    <m/>
    <m/>
    <m/>
    <m/>
    <s v="Dec-23"/>
    <n v="51"/>
    <s v="2023"/>
  </r>
  <r>
    <d v="2023-12-19T00:00:00"/>
    <s v="Abhibus"/>
    <s v="Call"/>
    <s v="Corporate"/>
    <s v="Transport"/>
    <s v="Ajinkya"/>
    <s v="Bulk orders for traveling customers"/>
    <n v="0"/>
    <n v="0"/>
    <x v="1"/>
    <x v="0"/>
    <x v="0"/>
    <s v="Cancelled"/>
    <s v="Cancelled Due to payment issues."/>
    <m/>
    <m/>
    <m/>
    <m/>
    <s v="Dec-23"/>
    <n v="51"/>
    <s v="2024"/>
  </r>
  <r>
    <d v="2023-12-19T00:00:00"/>
    <s v="Comic Con "/>
    <s v="Call"/>
    <s v="Events"/>
    <s v="Events"/>
    <s v="Anmol"/>
    <s v="Cancelled due to hi cost 40% revenue sharing"/>
    <n v="0"/>
    <n v="0"/>
    <x v="1"/>
    <x v="0"/>
    <x v="0"/>
    <s v="Cancelled"/>
    <s v="Cancelled due to hi cost 40% revenue sharing"/>
    <m/>
    <m/>
    <m/>
    <m/>
    <s v="Dec-23"/>
    <n v="51"/>
    <s v="2024"/>
  </r>
  <r>
    <d v="2023-12-19T00:00:00"/>
    <s v="Academic Heights School"/>
    <s v="Call"/>
    <s v="Events"/>
    <s v="Education"/>
    <s v="Vandana"/>
    <s v="Shared details about food Delivery at events"/>
    <n v="20000"/>
    <n v="0"/>
    <x v="0"/>
    <x v="0"/>
    <x v="0"/>
    <s v="Cancelled"/>
    <s v="No requirement"/>
    <m/>
    <m/>
    <m/>
    <m/>
    <s v="Dec-23"/>
    <n v="51"/>
    <s v="2024"/>
  </r>
  <r>
    <d v="2023-12-19T00:00:00"/>
    <s v="Dawn High School"/>
    <s v="Call"/>
    <s v="Events"/>
    <s v="Education"/>
    <s v="Akhtar"/>
    <s v="Shared details about food Delivery at events"/>
    <n v="10000"/>
    <n v="0"/>
    <x v="0"/>
    <x v="0"/>
    <x v="0"/>
    <s v="Cancelled"/>
    <s v="No requirement"/>
    <m/>
    <m/>
    <m/>
    <m/>
    <s v="Dec-23"/>
    <n v="51"/>
    <s v="2024"/>
  </r>
  <r>
    <d v="2023-12-19T00:00:00"/>
    <s v="United Health Group"/>
    <s v="Call"/>
    <s v="Corporate"/>
    <s v="IT"/>
    <s v="Ajit Rai"/>
    <s v="Shared details of bulk orders"/>
    <n v="30000"/>
    <n v="0"/>
    <x v="4"/>
    <x v="0"/>
    <x v="0"/>
    <s v="Cancelled"/>
    <s v="Event Cancelled"/>
    <m/>
    <m/>
    <m/>
    <m/>
    <s v="Dec-23"/>
    <n v="51"/>
    <s v="2024"/>
  </r>
  <r>
    <d v="2023-12-19T00:00:00"/>
    <s v="Hitachi"/>
    <s v="Call"/>
    <s v="Corporate"/>
    <s v="IT"/>
    <s v="Amin Shroff"/>
    <s v="Shared details of bulk orders"/>
    <n v="20000"/>
    <n v="0"/>
    <x v="4"/>
    <x v="0"/>
    <x v="0"/>
    <s v="Cancelled"/>
    <s v="Event Cancelled"/>
    <m/>
    <m/>
    <m/>
    <m/>
    <s v="Dec-23"/>
    <n v="51"/>
    <s v="2024"/>
  </r>
  <r>
    <d v="2023-12-19T00:00:00"/>
    <s v="Tourist group from Gulbarga"/>
    <s v="Call"/>
    <s v="Events"/>
    <s v="Tourism"/>
    <s v="Narsa Reddy"/>
    <s v="Tourist group from gulbarga visited imax branch for lunch"/>
    <n v="26000"/>
    <n v="26000"/>
    <x v="2"/>
    <x v="0"/>
    <x v="1"/>
    <s v="Closed"/>
    <m/>
    <m/>
    <m/>
    <m/>
    <m/>
    <s v="Dec-23"/>
    <n v="51"/>
    <s v="2023"/>
  </r>
  <r>
    <d v="2023-12-20T00:00:00"/>
    <s v="Coznizant Technology Solutions"/>
    <s v="F2F"/>
    <s v="Corporate"/>
    <s v="IT"/>
    <s v="Vijay"/>
    <s v="They have some yearend budget to be utilized with 1 month validity vouchers"/>
    <n v="25000"/>
    <n v="25000"/>
    <x v="1"/>
    <x v="0"/>
    <x v="1"/>
    <s v="Closed"/>
    <m/>
    <m/>
    <m/>
    <m/>
    <m/>
    <s v="Dec-23"/>
    <n v="51"/>
    <s v="2024"/>
  </r>
  <r>
    <d v="2023-12-20T00:00:00"/>
    <s v="Wells Fargo"/>
    <s v="F2F"/>
    <s v="Corporate"/>
    <s v="IT"/>
    <s v="Aashutosh Goyal"/>
    <s v="Introduced about bulk orders and ODC"/>
    <n v="10000"/>
    <n v="0"/>
    <x v="4"/>
    <x v="0"/>
    <x v="0"/>
    <s v="Cancelled"/>
    <s v="No requirement"/>
    <m/>
    <m/>
    <m/>
    <m/>
    <s v="Dec-23"/>
    <n v="51"/>
    <s v="2024"/>
  </r>
  <r>
    <d v="2023-12-20T00:00:00"/>
    <s v="Issquard"/>
    <s v="Call"/>
    <s v="Corporate"/>
    <s v="IT"/>
    <s v="Aditya Challa"/>
    <s v="Introduction about bulk orders and corporate discount"/>
    <n v="10000"/>
    <n v="0"/>
    <x v="0"/>
    <x v="0"/>
    <x v="0"/>
    <s v="Cancelled"/>
    <s v="No requirement"/>
    <m/>
    <m/>
    <m/>
    <m/>
    <s v="Dec-23"/>
    <n v="51"/>
    <s v="2024"/>
  </r>
  <r>
    <d v="2023-12-20T00:00:00"/>
    <s v="Tech Aspects"/>
    <s v="Call"/>
    <s v="Corporate"/>
    <s v="IT"/>
    <s v="Akash"/>
    <s v="Introduce about bulk food delivery"/>
    <n v="5000"/>
    <n v="0"/>
    <x v="0"/>
    <x v="0"/>
    <x v="0"/>
    <s v="Cancelled"/>
    <s v="No requirement"/>
    <m/>
    <m/>
    <m/>
    <m/>
    <s v="Dec-23"/>
    <n v="51"/>
    <s v="2024"/>
  </r>
  <r>
    <d v="2023-12-20T00:00:00"/>
    <s v="Volkswagen Hyd"/>
    <s v="Call"/>
    <s v="Corporate"/>
    <s v="Automobile"/>
    <s v="Giri"/>
    <s v="Introducting about client gifting"/>
    <n v="20000"/>
    <n v="0"/>
    <x v="0"/>
    <x v="0"/>
    <x v="0"/>
    <s v="Cancelled"/>
    <s v="No requirement"/>
    <m/>
    <m/>
    <m/>
    <m/>
    <s v="Dec-23"/>
    <n v="51"/>
    <s v="2024"/>
  </r>
  <r>
    <d v="2023-12-20T00:00:00"/>
    <s v="Global Indian International School"/>
    <s v="Call"/>
    <s v="Events"/>
    <s v="Education"/>
    <s v="Anuradha"/>
    <s v="Introduction for Bulk delivery at fest"/>
    <n v="30000"/>
    <n v="0"/>
    <x v="0"/>
    <x v="0"/>
    <x v="0"/>
    <s v="Cancelled"/>
    <s v="No requirement"/>
    <m/>
    <m/>
    <m/>
    <m/>
    <s v="Dec-23"/>
    <n v="51"/>
    <s v="2024"/>
  </r>
  <r>
    <d v="2023-12-20T00:00:00"/>
    <s v="Hyderabad Metro Rail"/>
    <s v="F2F"/>
    <s v="Corporate"/>
    <s v="Transport"/>
    <s v="Sulakshna"/>
    <s v="Deliverd lunch first order, Received Good feedback "/>
    <n v="6800"/>
    <n v="6800"/>
    <x v="2"/>
    <x v="0"/>
    <x v="1"/>
    <s v="Closed"/>
    <m/>
    <m/>
    <m/>
    <m/>
    <m/>
    <s v="Dec-23"/>
    <n v="51"/>
    <s v="2023"/>
  </r>
  <r>
    <d v="2023-12-21T00:00:00"/>
    <s v="Sagarsoft India Pvt Ltd"/>
    <s v="F2F"/>
    <s v="Corporate"/>
    <s v="IT"/>
    <s v="Srinivas Reddy (Admin)"/>
    <s v="shared quotation for 250 pax buffet lunch on 2 Jan 2024"/>
    <n v="250000"/>
    <n v="0"/>
    <x v="1"/>
    <x v="0"/>
    <x v="0"/>
    <s v="Cancelled"/>
    <s v="They procured fron Vijaylakshmi tiffins due to less budget"/>
    <m/>
    <m/>
    <m/>
    <m/>
    <s v="Dec-23"/>
    <n v="51"/>
    <s v="2024"/>
  </r>
  <r>
    <d v="2023-12-21T00:00:00"/>
    <s v="Birthday Party"/>
    <s v="Call"/>
    <s v="Events"/>
    <s v="Family Group"/>
    <s v="Chandan"/>
    <s v="Shared details of 35 pax Dinner on 22 Dec 2023"/>
    <n v="15000"/>
    <n v="0"/>
    <x v="1"/>
    <x v="0"/>
    <x v="0"/>
    <s v="Cancelled"/>
    <s v="They prepared in house due to budget constrains"/>
    <m/>
    <m/>
    <m/>
    <m/>
    <s v="Dec-23"/>
    <n v="51"/>
    <s v="2024"/>
  </r>
  <r>
    <d v="2023-12-21T00:00:00"/>
    <s v="SVNT Infotech"/>
    <s v="Call"/>
    <s v="Corporate"/>
    <s v="IT"/>
    <s v="Gupta"/>
    <s v="Introduction about bulk orders and corporate discount"/>
    <n v="5000"/>
    <n v="0"/>
    <x v="6"/>
    <x v="0"/>
    <x v="0"/>
    <s v="Cancelled"/>
    <s v="Nizamabad Branch Closed"/>
    <m/>
    <m/>
    <m/>
    <m/>
    <s v="Dec-23"/>
    <n v="51"/>
    <s v="2024"/>
  </r>
  <r>
    <d v="2023-12-21T00:00:00"/>
    <s v="Gatik Junior college"/>
    <s v="Call"/>
    <s v="Corporate"/>
    <s v="IT"/>
    <s v="Vijaya Lakshmi"/>
    <s v="Introduction about bulk orders and corporate discount"/>
    <n v="3000"/>
    <n v="0"/>
    <x v="5"/>
    <x v="0"/>
    <x v="0"/>
    <s v="Cancelled"/>
    <s v="No requirement"/>
    <m/>
    <m/>
    <m/>
    <m/>
    <s v="Dec-23"/>
    <n v="51"/>
    <s v="2024"/>
  </r>
  <r>
    <d v="2023-12-21T00:00:00"/>
    <s v="nucleusteq Consulting "/>
    <s v="Call"/>
    <s v="Corporate"/>
    <s v="IT"/>
    <s v="varun"/>
    <s v="Introduction about bulk orders and corporate discount"/>
    <n v="3000"/>
    <n v="0"/>
    <x v="5"/>
    <x v="0"/>
    <x v="0"/>
    <s v="Cancelled"/>
    <s v="No requirement"/>
    <m/>
    <m/>
    <m/>
    <m/>
    <s v="Dec-23"/>
    <n v="51"/>
    <s v="2024"/>
  </r>
  <r>
    <d v="2023-12-21T00:00:00"/>
    <s v="Galcon Infra and Constructions"/>
    <s v="Call"/>
    <s v="Corporate"/>
    <s v="IT"/>
    <s v="Akshay"/>
    <s v="Introduction about bulk orders and corporate discount"/>
    <n v="5000"/>
    <n v="0"/>
    <x v="5"/>
    <x v="0"/>
    <x v="0"/>
    <s v="Cancelled"/>
    <s v="No requirement"/>
    <m/>
    <m/>
    <m/>
    <m/>
    <s v="Dec-23"/>
    <n v="51"/>
    <s v="2024"/>
  </r>
  <r>
    <d v="2023-12-21T00:00:00"/>
    <s v="Bizgaze Limited"/>
    <s v="Call"/>
    <s v="Corporate"/>
    <s v="IT"/>
    <s v="beula"/>
    <s v="Introduction about bulk orders and corporate discount"/>
    <n v="8000"/>
    <n v="0"/>
    <x v="5"/>
    <x v="0"/>
    <x v="0"/>
    <s v="Cancelled"/>
    <s v="Budget constrains"/>
    <m/>
    <m/>
    <m/>
    <m/>
    <s v="Dec-23"/>
    <n v="51"/>
    <s v="2024"/>
  </r>
  <r>
    <d v="2023-12-21T00:00:00"/>
    <s v="SRM Holdings"/>
    <s v="Call"/>
    <s v="Corporate"/>
    <s v="IT"/>
    <s v="John"/>
    <s v="Introduced about bulk orders and ODC"/>
    <n v="5000"/>
    <n v="0"/>
    <x v="5"/>
    <x v="0"/>
    <x v="0"/>
    <s v="Cancelled"/>
    <s v="No requirement"/>
    <m/>
    <m/>
    <m/>
    <m/>
    <s v="Dec-23"/>
    <n v="51"/>
    <s v="2024"/>
  </r>
  <r>
    <d v="2023-12-21T00:00:00"/>
    <s v="Achala IT Solutions"/>
    <s v="Call"/>
    <s v="Corporate"/>
    <s v="IT"/>
    <s v="Gayatri"/>
    <s v="Introduced about bulk orders and ODC"/>
    <n v="4000"/>
    <n v="0"/>
    <x v="5"/>
    <x v="0"/>
    <x v="0"/>
    <s v="Cancelled"/>
    <s v="No requirement"/>
    <m/>
    <m/>
    <m/>
    <m/>
    <s v="Dec-23"/>
    <n v="51"/>
    <s v="2024"/>
  </r>
  <r>
    <d v="2023-12-21T00:00:00"/>
    <s v="Knot solutions"/>
    <s v="Call"/>
    <s v="Corporate"/>
    <s v="IT"/>
    <s v="savio fernandez"/>
    <s v="Introduced about bulk orders and ODC"/>
    <n v="5000"/>
    <n v="0"/>
    <x v="5"/>
    <x v="0"/>
    <x v="0"/>
    <s v="Cancelled"/>
    <s v="No requirement"/>
    <m/>
    <m/>
    <m/>
    <m/>
    <s v="Dec-23"/>
    <n v="51"/>
    <s v="2024"/>
  </r>
  <r>
    <d v="2023-12-21T00:00:00"/>
    <s v="Verity Knowledge solutions"/>
    <s v="Call"/>
    <s v="Corporate"/>
    <s v="IT"/>
    <s v="pachima swain"/>
    <s v="Introduced about bulk orders and ODC"/>
    <n v="20000"/>
    <n v="0"/>
    <x v="6"/>
    <x v="0"/>
    <x v="0"/>
    <s v="Cancelled"/>
    <s v="Event Cancelled"/>
    <m/>
    <m/>
    <m/>
    <m/>
    <s v="Dec-23"/>
    <n v="51"/>
    <s v="2024"/>
  </r>
  <r>
    <d v="2023-12-22T00:00:00"/>
    <s v="Menonite Brethren Bethel Church"/>
    <s v="F2F"/>
    <s v="Events"/>
    <s v="Community"/>
    <s v="Bro. Shyam Prasad"/>
    <s v="They are preparing in house due to budget"/>
    <n v="150000"/>
    <n v="0"/>
    <x v="2"/>
    <x v="0"/>
    <x v="0"/>
    <s v="Cancelled"/>
    <s v="Prepared Inhouse"/>
    <m/>
    <m/>
    <m/>
    <m/>
    <s v="Dec-23"/>
    <n v="51"/>
    <s v="2023"/>
  </r>
  <r>
    <d v="2023-12-22T00:00:00"/>
    <s v="Uppal Stadium"/>
    <s v="F2F"/>
    <s v="Events"/>
    <s v="Sports"/>
    <s v="Prakash Singh"/>
    <s v="Planning for 170 Pax Biryani"/>
    <n v="30000"/>
    <n v="0"/>
    <x v="1"/>
    <x v="0"/>
    <x v="0"/>
    <s v="Cancelled"/>
    <s v="Event Cancelled"/>
    <m/>
    <m/>
    <m/>
    <m/>
    <s v="Dec-23"/>
    <n v="51"/>
    <s v="2024"/>
  </r>
  <r>
    <d v="2023-12-22T00:00:00"/>
    <s v="Gaudium School"/>
    <s v="Call"/>
    <s v="Events"/>
    <s v="Education"/>
    <s v="Sriman"/>
    <s v="Shared details of bulk order delivery in fest"/>
    <n v="25000"/>
    <n v="0"/>
    <x v="6"/>
    <x v="0"/>
    <x v="0"/>
    <s v="Cancelled"/>
    <s v="Event Cancelled"/>
    <m/>
    <m/>
    <m/>
    <m/>
    <s v="Dec-23"/>
    <n v="51"/>
    <s v="2024"/>
  </r>
  <r>
    <d v="2023-12-22T00:00:00"/>
    <s v="Sreenidhi College Ghatkesar"/>
    <s v="F2F"/>
    <s v="Events"/>
    <s v="Education"/>
    <s v="Srikanth"/>
    <s v="Introduced about bulk orders and ODC"/>
    <n v="20000"/>
    <n v="0"/>
    <x v="5"/>
    <x v="0"/>
    <x v="0"/>
    <s v="Cancelled"/>
    <s v="Budget constrains"/>
    <m/>
    <m/>
    <m/>
    <m/>
    <s v="Dec-23"/>
    <n v="51"/>
    <s v="2024"/>
  </r>
  <r>
    <d v="2023-12-22T00:00:00"/>
    <s v="Blooming Buds School Suraram"/>
    <s v="Call"/>
    <s v="Events"/>
    <s v="Education"/>
    <s v="Aleem"/>
    <s v="Shared details of Bulk food delivery"/>
    <n v="15000"/>
    <n v="0"/>
    <x v="5"/>
    <x v="0"/>
    <x v="0"/>
    <s v="Cancelled"/>
    <s v="No requirement"/>
    <m/>
    <m/>
    <m/>
    <m/>
    <s v="Dec-23"/>
    <n v="51"/>
    <s v="2024"/>
  </r>
  <r>
    <d v="2023-12-22T00:00:00"/>
    <s v="Sri Akash School"/>
    <s v="Call"/>
    <s v="Events"/>
    <s v="Education"/>
    <s v="Anjali"/>
    <s v="Shared details of Bulk food delivery"/>
    <n v="5000"/>
    <n v="0"/>
    <x v="5"/>
    <x v="0"/>
    <x v="0"/>
    <s v="Cancelled"/>
    <s v="Not Interested"/>
    <m/>
    <m/>
    <m/>
    <m/>
    <s v="Dec-23"/>
    <n v="51"/>
    <s v="2024"/>
  </r>
  <r>
    <d v="2023-12-22T00:00:00"/>
    <s v="JD Sports Fashion"/>
    <s v="Call"/>
    <s v="Corporate"/>
    <s v="Sports"/>
    <s v="Anjushree"/>
    <s v="Shared details of bulk orders"/>
    <n v="10000"/>
    <n v="0"/>
    <x v="5"/>
    <x v="0"/>
    <x v="0"/>
    <s v="Cancelled"/>
    <s v="No requirement"/>
    <m/>
    <m/>
    <m/>
    <m/>
    <s v="Dec-23"/>
    <n v="51"/>
    <s v="2024"/>
  </r>
  <r>
    <d v="2023-12-23T00:00:00"/>
    <s v="Turkyamjal Church"/>
    <s v="Call"/>
    <s v="Events"/>
    <s v="Community"/>
    <s v="Jwanish"/>
    <s v="Deliverd food for 35 People"/>
    <n v="17500"/>
    <n v="17500"/>
    <x v="2"/>
    <x v="0"/>
    <x v="1"/>
    <s v="Closed"/>
    <m/>
    <m/>
    <m/>
    <m/>
    <m/>
    <s v="Dec-23"/>
    <n v="51"/>
    <s v="2023"/>
  </r>
  <r>
    <d v="2023-12-23T00:00:00"/>
    <s v="Food Delivery at Park Hayat"/>
    <s v="Call"/>
    <s v="Events"/>
    <s v="Hotel"/>
    <s v="Subramanyam"/>
    <s v="Food delivery for 75 people"/>
    <n v="20000"/>
    <n v="20000"/>
    <x v="2"/>
    <x v="0"/>
    <x v="1"/>
    <s v="Closed"/>
    <m/>
    <m/>
    <m/>
    <m/>
    <m/>
    <s v="Dec-23"/>
    <n v="51"/>
    <s v="2023"/>
  </r>
  <r>
    <d v="2023-12-23T00:00:00"/>
    <s v="House Party at Sikh Village"/>
    <s v="Call"/>
    <s v="Events"/>
    <s v="Family Group"/>
    <s v="Vamshi Chowdary"/>
    <s v="Shared quote for 35 pax, food delivery"/>
    <n v="12000"/>
    <n v="0"/>
    <x v="1"/>
    <x v="0"/>
    <x v="0"/>
    <s v="Cancelled"/>
    <s v="Event Cancelled"/>
    <m/>
    <m/>
    <m/>
    <m/>
    <s v="Dec-23"/>
    <n v="51"/>
    <s v="2024"/>
  </r>
  <r>
    <d v="2023-12-23T00:00:00"/>
    <s v="Yodha Healthcare"/>
    <s v="Call"/>
    <s v="Corporate"/>
    <s v="Healthcare"/>
    <s v="Pooja Mahavir"/>
    <s v="Shared detaild of bulk food delivery"/>
    <n v="0"/>
    <n v="0"/>
    <x v="5"/>
    <x v="0"/>
    <x v="0"/>
    <s v="Cancelled"/>
    <s v="No requirement"/>
    <m/>
    <m/>
    <m/>
    <m/>
    <s v="Dec-23"/>
    <n v="51"/>
    <s v="2024"/>
  </r>
  <r>
    <d v="2023-12-24T00:00:00"/>
    <s v="St Marks School"/>
    <s v="Call"/>
    <s v="Events"/>
    <s v="Education"/>
    <s v="Anand"/>
    <s v="Shared detaild of bulk food delivery"/>
    <n v="5000"/>
    <n v="0"/>
    <x v="5"/>
    <x v="0"/>
    <x v="0"/>
    <s v="Cancelled"/>
    <s v="No requirement"/>
    <m/>
    <m/>
    <m/>
    <m/>
    <s v="Dec-23"/>
    <n v="51"/>
    <s v="2024"/>
  </r>
  <r>
    <d v="2023-12-24T00:00:00"/>
    <s v="Loyola High School"/>
    <s v="Call"/>
    <s v="Events"/>
    <s v="Education"/>
    <s v="Amruth Wani"/>
    <s v="Shared detaild of bulk food delivery"/>
    <n v="3000"/>
    <n v="0"/>
    <x v="5"/>
    <x v="0"/>
    <x v="0"/>
    <s v="Cancelled"/>
    <s v="No requirement"/>
    <m/>
    <m/>
    <m/>
    <m/>
    <s v="Dec-23"/>
    <n v="51"/>
    <s v="2024"/>
  </r>
  <r>
    <d v="2023-12-24T00:00:00"/>
    <s v="Little Flower School"/>
    <s v="Call"/>
    <s v="Events"/>
    <s v="Education"/>
    <s v="Aparna"/>
    <s v="Bulk orders for fest"/>
    <n v="10000"/>
    <n v="0"/>
    <x v="7"/>
    <x v="0"/>
    <x v="0"/>
    <s v="Cancelled"/>
    <s v="Event Cancelled"/>
    <m/>
    <m/>
    <m/>
    <m/>
    <s v="Dec-23"/>
    <n v="51"/>
    <s v="2024"/>
  </r>
  <r>
    <d v="2023-12-24T00:00:00"/>
    <s v="Kothapet NGO"/>
    <s v="Call"/>
    <s v="Events"/>
    <s v="Orphanage &amp; NGO"/>
    <s v="Anand Nag"/>
    <s v="Bulk food delivery"/>
    <n v="10000"/>
    <n v="0"/>
    <x v="5"/>
    <x v="0"/>
    <x v="0"/>
    <s v="Cancelled"/>
    <s v="Event Cancelled"/>
    <m/>
    <m/>
    <m/>
    <m/>
    <s v="Dec-23"/>
    <n v="51"/>
    <s v="2024"/>
  </r>
  <r>
    <d v="2023-12-25T00:00:00"/>
    <s v="Mechanized Tank"/>
    <s v="Call"/>
    <s v="Corporate"/>
    <s v="Manufacturing"/>
    <s v="Vinoid"/>
    <s v="Bulk food delivery"/>
    <n v="14000"/>
    <n v="0"/>
    <x v="1"/>
    <x v="0"/>
    <x v="0"/>
    <s v="Cancelled"/>
    <s v="Event Cancelled"/>
    <m/>
    <m/>
    <m/>
    <m/>
    <s v="Dec-23"/>
    <n v="52"/>
    <s v="2024"/>
  </r>
  <r>
    <d v="2023-12-25T00:00:00"/>
    <s v="St Alphonso School"/>
    <s v="Call"/>
    <s v="Events"/>
    <s v="Education"/>
    <s v="Goud"/>
    <s v="Bulk Orders"/>
    <n v="10000"/>
    <n v="0"/>
    <x v="0"/>
    <x v="0"/>
    <x v="0"/>
    <s v="Cancelled"/>
    <s v="No requirement"/>
    <m/>
    <m/>
    <m/>
    <m/>
    <s v="Dec-23"/>
    <n v="52"/>
    <s v="2024"/>
  </r>
  <r>
    <d v="2023-12-26T00:00:00"/>
    <s v="Bulk Order for 60 People on 28 Dec"/>
    <s v="Call"/>
    <s v="Events"/>
    <s v="Family Group"/>
    <s v="Vijay Kumar"/>
    <s v="Bulk Order for 60 People"/>
    <n v="30000"/>
    <n v="0"/>
    <x v="1"/>
    <x v="0"/>
    <x v="0"/>
    <s v="Cancelled"/>
    <s v="Event Cancelled"/>
    <m/>
    <m/>
    <m/>
    <m/>
    <s v="Dec-23"/>
    <n v="52"/>
    <s v="2024"/>
  </r>
  <r>
    <d v="2023-12-26T00:00:00"/>
    <s v="Bulk delivery at shamshabad"/>
    <s v="Call"/>
    <s v="Events"/>
    <s v="Family Group"/>
    <s v="Aridoss"/>
    <s v="Bulk delivery at shamshabad for 20 people"/>
    <n v="5000"/>
    <n v="5000"/>
    <x v="2"/>
    <x v="0"/>
    <x v="1"/>
    <s v="Closed"/>
    <m/>
    <m/>
    <m/>
    <m/>
    <m/>
    <s v="Dec-23"/>
    <n v="52"/>
    <s v="2023"/>
  </r>
  <r>
    <d v="2023-12-26T00:00:00"/>
    <s v="Delivery at Saroornagar on 27-12-2023"/>
    <s v="Call"/>
    <s v="Events"/>
    <s v="Family Group"/>
    <s v="Sunil"/>
    <s v="Bulk delivery for 40 people, Cancelled due to costing"/>
    <n v="12000"/>
    <n v="0"/>
    <x v="2"/>
    <x v="0"/>
    <x v="0"/>
    <s v="Cancelled"/>
    <s v="Event Cancelled"/>
    <m/>
    <m/>
    <m/>
    <m/>
    <s v="Dec-23"/>
    <n v="52"/>
    <s v="2023"/>
  </r>
  <r>
    <d v="2023-12-27T00:00:00"/>
    <s v="Hyderabad Metro Rail"/>
    <s v="F2F"/>
    <s v="Corporate"/>
    <s v="Transport"/>
    <s v="Arvind Srikanth"/>
    <s v="Discussion Regarding bakery outlet at there office to be finalized , for six month they wont be collecting any rent , post that 5000 per month."/>
    <n v="10000"/>
    <n v="10000"/>
    <x v="1"/>
    <x v="0"/>
    <x v="1"/>
    <s v="Closed"/>
    <m/>
    <m/>
    <m/>
    <m/>
    <m/>
    <s v="Dec-23"/>
    <n v="52"/>
    <s v="2024"/>
  </r>
  <r>
    <d v="2023-12-27T00:00:00"/>
    <s v="Bulk Delivery at Boduppal"/>
    <s v="Call"/>
    <s v="Events"/>
    <s v="Family Group"/>
    <s v="Srikanth"/>
    <s v="Bulk Delivery of Handi and chinese at Boaduppal"/>
    <n v="18000"/>
    <n v="18000"/>
    <x v="2"/>
    <x v="0"/>
    <x v="1"/>
    <s v="Closed"/>
    <m/>
    <m/>
    <m/>
    <m/>
    <m/>
    <s v="Dec-23"/>
    <n v="52"/>
    <s v="2023"/>
  </r>
  <r>
    <d v="2023-12-27T00:00:00"/>
    <s v="Delivery at Begumbet "/>
    <s v="F2F"/>
    <s v="Events"/>
    <s v="Education"/>
    <s v="Gaurav"/>
    <s v="deliverd 40 Biryani "/>
    <n v="20000"/>
    <n v="20000"/>
    <x v="2"/>
    <x v="0"/>
    <x v="1"/>
    <s v="Closed"/>
    <m/>
    <m/>
    <m/>
    <m/>
    <m/>
    <s v="Dec-23"/>
    <n v="52"/>
    <s v="2023"/>
  </r>
  <r>
    <d v="2023-12-27T00:00:00"/>
    <s v="BHEL"/>
    <s v="Call"/>
    <s v="Corporate"/>
    <s v="Manufacturing"/>
    <s v="Maya"/>
    <s v="Shared quote for 1000 Pax Biryani"/>
    <n v="214000"/>
    <n v="0"/>
    <x v="1"/>
    <x v="0"/>
    <x v="0"/>
    <s v="Cancelled"/>
    <s v="Less Budget"/>
    <m/>
    <m/>
    <m/>
    <m/>
    <s v="Dec-23"/>
    <n v="52"/>
    <s v="2024"/>
  </r>
  <r>
    <d v="2023-12-27T00:00:00"/>
    <s v="Ambipam"/>
    <s v="Call"/>
    <s v="Corporate"/>
    <s v="Healthcare"/>
    <s v="Pooja Mahavir"/>
    <s v="Shared details for bulk delivery for healthcare employees"/>
    <n v="30000"/>
    <n v="0"/>
    <x v="0"/>
    <x v="0"/>
    <x v="0"/>
    <s v="Cancelled"/>
    <s v="No requirement"/>
    <m/>
    <m/>
    <m/>
    <m/>
    <s v="Dec-23"/>
    <n v="52"/>
    <s v="2024"/>
  </r>
  <r>
    <d v="2023-12-27T00:00:00"/>
    <s v="Axis Clinicals"/>
    <s v="Call"/>
    <s v="Events"/>
    <s v="Pharma"/>
    <s v="Anusha"/>
    <s v="introduced about bulk delivery"/>
    <n v="15000"/>
    <n v="0"/>
    <x v="4"/>
    <x v="0"/>
    <x v="0"/>
    <s v="Cancelled"/>
    <m/>
    <m/>
    <m/>
    <m/>
    <m/>
    <s v="Dec-23"/>
    <n v="52"/>
    <s v="2024"/>
  </r>
  <r>
    <d v="2023-12-27T00:00:00"/>
    <s v="Cognizant"/>
    <s v="Call"/>
    <s v="Corporate"/>
    <s v="IT"/>
    <s v="Anil"/>
    <s v="Team Lunch"/>
    <n v="4000"/>
    <n v="4000"/>
    <x v="2"/>
    <x v="0"/>
    <x v="1"/>
    <s v="Closed"/>
    <m/>
    <m/>
    <m/>
    <m/>
    <m/>
    <s v="Dec-23"/>
    <n v="52"/>
    <s v="2023"/>
  </r>
  <r>
    <d v="2023-12-27T00:00:00"/>
    <s v="MJ College"/>
    <s v="Call"/>
    <s v="Events"/>
    <s v="Education"/>
    <s v="Abdul"/>
    <s v="Introduced about bulk dilevery in College"/>
    <n v="12000"/>
    <n v="0"/>
    <x v="0"/>
    <x v="0"/>
    <x v="0"/>
    <s v="Cancelled"/>
    <s v="No requirement"/>
    <m/>
    <m/>
    <m/>
    <m/>
    <s v="Dec-23"/>
    <n v="52"/>
    <s v="2024"/>
  </r>
  <r>
    <d v="2023-12-27T00:00:00"/>
    <s v="Corp Systems"/>
    <s v="Call"/>
    <s v="Events"/>
    <s v="IT"/>
    <s v="Ajay"/>
    <s v="Shared details for catering vat team events"/>
    <n v="15000"/>
    <n v="0"/>
    <x v="0"/>
    <x v="0"/>
    <x v="0"/>
    <s v="Cancelled"/>
    <s v="No requirement"/>
    <m/>
    <m/>
    <m/>
    <m/>
    <s v="Dec-23"/>
    <n v="52"/>
    <s v="2024"/>
  </r>
  <r>
    <d v="2023-12-28T00:00:00"/>
    <s v="Spectrum Biosides"/>
    <s v="F2F"/>
    <s v="Corporate"/>
    <s v="Pharma"/>
    <s v="Jagdish"/>
    <s v="Introduced about bulk food delivery for their events and team lunch"/>
    <n v="4000"/>
    <n v="0"/>
    <x v="8"/>
    <x v="0"/>
    <x v="0"/>
    <s v="Cancelled"/>
    <s v="No requirement as of now"/>
    <m/>
    <m/>
    <m/>
    <m/>
    <s v="Dec-23"/>
    <n v="52"/>
    <s v="2024"/>
  </r>
  <r>
    <d v="2023-12-28T00:00:00"/>
    <s v="Sai Life Science"/>
    <s v="Call"/>
    <s v="Corporate"/>
    <s v="Pharma"/>
    <s v="Rajendra Prasad"/>
    <s v="Introduced about bulk food delivery"/>
    <n v="10000"/>
    <n v="0"/>
    <x v="8"/>
    <x v="0"/>
    <x v="0"/>
    <s v="Cancelled"/>
    <s v="No requirement as of now"/>
    <m/>
    <m/>
    <m/>
    <m/>
    <s v="Dec-23"/>
    <n v="52"/>
    <s v="2024"/>
  </r>
  <r>
    <d v="2023-12-28T00:00:00"/>
    <s v="Spectra India"/>
    <s v="Call"/>
    <s v="Corporate"/>
    <s v="Realestate"/>
    <s v="Sreenu Nayak"/>
    <s v="Introduced about bulk food delivery"/>
    <n v="8000"/>
    <n v="0"/>
    <x v="8"/>
    <x v="0"/>
    <x v="0"/>
    <s v="Cancelled"/>
    <s v="No requirement as of now"/>
    <m/>
    <m/>
    <m/>
    <m/>
    <s v="Dec-23"/>
    <n v="52"/>
    <s v="2024"/>
  </r>
  <r>
    <d v="2023-12-28T00:00:00"/>
    <s v="Real Vision"/>
    <s v="Call"/>
    <s v="Corporate"/>
    <s v="Realestate"/>
    <s v="Nagaraju"/>
    <s v="Introduced about bulk food delivery"/>
    <n v="4000"/>
    <n v="0"/>
    <x v="8"/>
    <x v="0"/>
    <x v="0"/>
    <s v="Cancelled"/>
    <s v="No requirement as of now"/>
    <m/>
    <m/>
    <m/>
    <m/>
    <s v="Dec-23"/>
    <n v="52"/>
    <s v="2024"/>
  </r>
  <r>
    <d v="2023-12-28T00:00:00"/>
    <s v="Tricolour Holidays"/>
    <s v="Call"/>
    <s v="Events"/>
    <s v="Tourism"/>
    <s v="Sunil Kumar"/>
    <s v="Shared quote for 60 Biryanis for students ontbd"/>
    <n v="12000"/>
    <n v="0"/>
    <x v="7"/>
    <x v="0"/>
    <x v="0"/>
    <s v="Cancelled"/>
    <s v="Event Cancelled"/>
    <m/>
    <m/>
    <m/>
    <m/>
    <s v="Dec-23"/>
    <n v="52"/>
    <s v="2024"/>
  </r>
  <r>
    <d v="2023-12-28T00:00:00"/>
    <s v="Bulk Delivery at Suncity"/>
    <s v="Call"/>
    <s v="Events"/>
    <s v="Family Group"/>
    <s v="Syed Kazmi"/>
    <s v="Shared quotation for 40 pax order"/>
    <n v="24000"/>
    <n v="0"/>
    <x v="7"/>
    <x v="0"/>
    <x v="0"/>
    <s v="Cancelled"/>
    <s v="cancelled due to low budget"/>
    <m/>
    <m/>
    <m/>
    <m/>
    <s v="Dec-23"/>
    <n v="52"/>
    <s v="2024"/>
  </r>
  <r>
    <d v="2023-12-28T00:00:00"/>
    <s v="Bulk Delivery at Nizamabad"/>
    <s v="Call"/>
    <s v="Events"/>
    <s v="Family Group"/>
    <s v="Raghu Goud"/>
    <s v="Shared quotation for 150 pax"/>
    <n v="27000"/>
    <n v="0"/>
    <x v="2"/>
    <x v="0"/>
    <x v="0"/>
    <s v="Cancelled"/>
    <s v="Prepared Inhouse"/>
    <m/>
    <m/>
    <m/>
    <m/>
    <s v="Dec-23"/>
    <n v="52"/>
    <s v="2023"/>
  </r>
  <r>
    <d v="2023-12-28T00:00:00"/>
    <s v="Sri Vajra Infra"/>
    <s v="Call"/>
    <s v="Corporate"/>
    <s v="Realestate"/>
    <s v="Tharun"/>
    <s v="Introduced about bulk food delivery"/>
    <n v="8000"/>
    <n v="0"/>
    <x v="0"/>
    <x v="0"/>
    <x v="0"/>
    <s v="Cancelled"/>
    <s v="No requirement"/>
    <m/>
    <m/>
    <m/>
    <m/>
    <s v="Dec-23"/>
    <n v="52"/>
    <s v="2024"/>
  </r>
  <r>
    <d v="2023-12-28T00:00:00"/>
    <s v="Madhu Agencies Nizamabad"/>
    <s v="Call"/>
    <s v="Corporate"/>
    <s v="Distributers"/>
    <s v="Madhu"/>
    <s v="Introduced about bulk food delivery"/>
    <n v="5000"/>
    <n v="0"/>
    <x v="0"/>
    <x v="0"/>
    <x v="0"/>
    <s v="Cancelled"/>
    <s v="No requirement"/>
    <m/>
    <m/>
    <m/>
    <m/>
    <s v="Dec-23"/>
    <n v="52"/>
    <s v="2024"/>
  </r>
  <r>
    <d v="2023-12-28T00:00:00"/>
    <s v="Dell Technologies"/>
    <s v="F2F"/>
    <s v="Corporate"/>
    <s v="IT"/>
    <s v="Raghunath"/>
    <s v="Introduced about bulk food delivery, Team lunch"/>
    <n v="10000"/>
    <n v="0"/>
    <x v="8"/>
    <x v="0"/>
    <x v="0"/>
    <s v="Cancelled"/>
    <s v="No requirement as of now"/>
    <m/>
    <m/>
    <m/>
    <m/>
    <s v="Dec-23"/>
    <n v="52"/>
    <s v="2024"/>
  </r>
  <r>
    <d v="2023-12-29T00:00:00"/>
    <s v="Balaji School"/>
    <s v="Call"/>
    <s v="Events"/>
    <s v="Education"/>
    <s v="Ganesh"/>
    <s v="Shared introduction about Bulk order and ODC"/>
    <n v="10000"/>
    <n v="0"/>
    <x v="0"/>
    <x v="0"/>
    <x v="0"/>
    <s v="Cancelled"/>
    <s v="No requirement"/>
    <m/>
    <m/>
    <m/>
    <m/>
    <s v="Dec-23"/>
    <n v="52"/>
    <s v="2024"/>
  </r>
  <r>
    <d v="2023-12-29T00:00:00"/>
    <s v="IHC Tourism"/>
    <s v="Call"/>
    <s v="Events"/>
    <s v="Tourism"/>
    <s v="Geeta"/>
    <s v="Shared details of bulk orders for tourist"/>
    <n v="15000"/>
    <n v="0"/>
    <x v="0"/>
    <x v="0"/>
    <x v="0"/>
    <s v="Cancelled"/>
    <s v="No requirement"/>
    <m/>
    <m/>
    <m/>
    <m/>
    <s v="Dec-23"/>
    <n v="52"/>
    <s v="2024"/>
  </r>
  <r>
    <d v="2023-12-29T00:00:00"/>
    <s v="Oxford School of Nursing"/>
    <s v="Call"/>
    <s v="Events"/>
    <s v="Education"/>
    <s v="Himani"/>
    <s v="Introduced about bulk delivery in fest"/>
    <n v="20000"/>
    <n v="0"/>
    <x v="0"/>
    <x v="0"/>
    <x v="0"/>
    <s v="Cancelled"/>
    <s v="No requirement"/>
    <m/>
    <m/>
    <m/>
    <m/>
    <s v="Dec-23"/>
    <n v="52"/>
    <s v="2024"/>
  </r>
  <r>
    <d v="2023-12-29T00:00:00"/>
    <s v="Green Groove School"/>
    <s v="Call"/>
    <s v="Events"/>
    <s v="Education"/>
    <s v="Giri"/>
    <s v="Shared introduction about Bulk order and ODC"/>
    <n v="10000"/>
    <n v="0"/>
    <x v="0"/>
    <x v="0"/>
    <x v="0"/>
    <s v="Cancelled"/>
    <s v="No requirement"/>
    <m/>
    <m/>
    <m/>
    <m/>
    <s v="Dec-23"/>
    <n v="52"/>
    <s v="2024"/>
  </r>
  <r>
    <d v="2023-12-29T00:00:00"/>
    <s v="24/7"/>
    <s v="Call"/>
    <s v="Events"/>
    <s v="IT"/>
    <s v="Padma"/>
    <s v="Shared details about bulk delivery and gift vouchers"/>
    <n v="20000"/>
    <n v="0"/>
    <x v="6"/>
    <x v="0"/>
    <x v="0"/>
    <s v="Cancelled"/>
    <s v="Event Cancelled"/>
    <m/>
    <m/>
    <m/>
    <m/>
    <s v="Dec-23"/>
    <n v="52"/>
    <s v="2024"/>
  </r>
  <r>
    <d v="2023-12-30T00:00:00"/>
    <s v="Delivery at Compass Group Bangalore"/>
    <s v="Call"/>
    <s v="Events"/>
    <s v="F&amp;B Agrigator"/>
    <s v="Manoj"/>
    <s v="Confirmed 65 Nizami biryani on 3 Jan 2024"/>
    <n v="27339"/>
    <n v="27339"/>
    <x v="1"/>
    <x v="1"/>
    <x v="1"/>
    <s v="Closed"/>
    <m/>
    <n v="0"/>
    <m/>
    <m/>
    <m/>
    <s v="Dec-23"/>
    <n v="52"/>
    <s v="2024"/>
  </r>
  <r>
    <d v="2023-12-30T00:00:00"/>
    <s v="Group in Banglore"/>
    <s v="Call"/>
    <s v="Events"/>
    <s v="Family Group"/>
    <s v="Kumar"/>
    <s v="Bulk delivery of 30 PAX"/>
    <n v="10000"/>
    <n v="10000"/>
    <x v="1"/>
    <x v="1"/>
    <x v="1"/>
    <s v="Closed"/>
    <m/>
    <m/>
    <m/>
    <m/>
    <m/>
    <s v="Dec-23"/>
    <n v="52"/>
    <s v="2024"/>
  </r>
  <r>
    <d v="2023-12-31T00:00:00"/>
    <s v="Resvisas"/>
    <s v="Call"/>
    <s v="Corporate"/>
    <s v="IT"/>
    <s v="Mohit"/>
    <s v="Introduced about bulk orders and ODC"/>
    <n v="5000"/>
    <n v="0"/>
    <x v="0"/>
    <x v="0"/>
    <x v="0"/>
    <s v="Cancelled"/>
    <s v="No requirement"/>
    <m/>
    <m/>
    <m/>
    <m/>
    <s v="Dec-23"/>
    <n v="52"/>
    <s v="2024"/>
  </r>
  <r>
    <d v="2023-12-31T00:00:00"/>
    <s v="Bulk Delivery Nagole"/>
    <s v="Call"/>
    <s v="Events"/>
    <s v="Family Group"/>
    <s v="Poornima"/>
    <s v="200 pax Biryani on 2nd jan"/>
    <n v="30000"/>
    <n v="0"/>
    <x v="1"/>
    <x v="0"/>
    <x v="0"/>
    <s v="Cancelled"/>
    <s v="Event Cancelled"/>
    <m/>
    <m/>
    <m/>
    <m/>
    <s v="Dec-23"/>
    <n v="52"/>
    <s v="2024"/>
  </r>
  <r>
    <d v="2023-12-31T00:00:00"/>
    <s v="Bulk Delivery at Banglore"/>
    <s v="Call"/>
    <s v="Events"/>
    <s v="Family Group"/>
    <s v="Shiva"/>
    <s v="Delivery of 25 PAX lunch on 2 JAN 2024"/>
    <n v="5000"/>
    <n v="5000"/>
    <x v="1"/>
    <x v="1"/>
    <x v="1"/>
    <s v="Closed"/>
    <m/>
    <m/>
    <m/>
    <m/>
    <m/>
    <s v="Dec-23"/>
    <n v="52"/>
    <s v="2024"/>
  </r>
  <r>
    <d v="2024-01-01T00:00:00"/>
    <s v="Bulk Delivery at vidya Nagar"/>
    <s v="Call"/>
    <s v="Events"/>
    <s v="Family Group"/>
    <s v="Suma"/>
    <s v="30 Pax veg Biryani"/>
    <n v="5500"/>
    <n v="5500"/>
    <x v="1"/>
    <x v="0"/>
    <x v="1"/>
    <s v="Closed"/>
    <m/>
    <m/>
    <m/>
    <m/>
    <m/>
    <s v="Jan-24"/>
    <n v="1"/>
    <s v="2024"/>
  </r>
  <r>
    <d v="2024-01-01T00:00:00"/>
    <s v="Qualcomm"/>
    <s v="Call"/>
    <s v="Corporate"/>
    <s v="IT"/>
    <s v="Abhay"/>
    <s v="Introduced about bulk orders and ODC"/>
    <n v="10000"/>
    <n v="0"/>
    <x v="6"/>
    <x v="0"/>
    <x v="0"/>
    <s v="Cancelled"/>
    <s v="Event Cancelled"/>
    <m/>
    <m/>
    <m/>
    <m/>
    <s v="Jan-24"/>
    <n v="1"/>
    <s v="2024"/>
  </r>
  <r>
    <d v="2024-01-01T00:00:00"/>
    <s v="Chemvedas"/>
    <s v="Call"/>
    <s v="Corporate"/>
    <s v="Pharma"/>
    <s v="Kalyan Rachuri"/>
    <s v="Introduced about bulK food delivery at their office"/>
    <n v="8000"/>
    <n v="0"/>
    <x v="6"/>
    <x v="0"/>
    <x v="0"/>
    <s v="Cancelled"/>
    <s v="Event Cancelled"/>
    <m/>
    <m/>
    <m/>
    <m/>
    <s v="Jan-24"/>
    <n v="1"/>
    <s v="2024"/>
  </r>
  <r>
    <d v="2024-01-02T00:00:00"/>
    <s v="Gandhi Hospital"/>
    <s v="Call"/>
    <s v="Corporate"/>
    <s v="Healthcare"/>
    <s v="Bhanu Prakash"/>
    <s v="Shared quotation for 40 pax order on 6th jan"/>
    <n v="10000"/>
    <n v="10000"/>
    <x v="1"/>
    <x v="0"/>
    <x v="1"/>
    <s v="Closed"/>
    <m/>
    <m/>
    <m/>
    <m/>
    <m/>
    <s v="Jan-24"/>
    <n v="1"/>
    <s v="2024"/>
  </r>
  <r>
    <d v="2024-01-02T00:00:00"/>
    <s v="Bulk Delivery at Aurobindo premier League"/>
    <s v="F2F"/>
    <s v="Corporate"/>
    <s v="Pharma"/>
    <s v="Bapiraju"/>
    <s v="Bulk Deloivery of 2000 Nizami biryani at Shamshabad on 5th Jan, Shared Quotation"/>
    <n v="292500"/>
    <n v="292500"/>
    <x v="1"/>
    <x v="0"/>
    <x v="1"/>
    <s v="Closed"/>
    <m/>
    <m/>
    <m/>
    <m/>
    <m/>
    <s v="Jan-24"/>
    <n v="1"/>
    <s v="2024"/>
  </r>
  <r>
    <d v="2024-01-02T00:00:00"/>
    <s v="Epam"/>
    <s v="Call"/>
    <s v="Corporate"/>
    <s v="IT"/>
    <s v="Emmanuel"/>
    <s v="Shared introduction about Bulk order and ODC"/>
    <n v="10000"/>
    <n v="0"/>
    <x v="6"/>
    <x v="0"/>
    <x v="0"/>
    <s v="Cancelled"/>
    <s v="Event Cancelled"/>
    <m/>
    <m/>
    <m/>
    <m/>
    <s v="Jan-24"/>
    <n v="1"/>
    <s v="2024"/>
  </r>
  <r>
    <d v="2024-01-02T00:00:00"/>
    <s v="Bendal School"/>
    <s v="Call"/>
    <s v="School"/>
    <s v="Education"/>
    <s v="Anil"/>
    <s v="Shared introduction about Bulk order and ODC"/>
    <n v="5000"/>
    <n v="0"/>
    <x v="5"/>
    <x v="0"/>
    <x v="0"/>
    <s v="Cancelled"/>
    <s v="No requirement"/>
    <m/>
    <m/>
    <m/>
    <m/>
    <s v="Jan-24"/>
    <n v="1"/>
    <s v="2024"/>
  </r>
  <r>
    <d v="2024-01-02T00:00:00"/>
    <s v="Granules India"/>
    <s v="Call"/>
    <s v="Corporate"/>
    <s v="Pharma"/>
    <s v="B Sravan Kumar"/>
    <s v="Shared introduction about Bulk order and ODC"/>
    <n v="4000"/>
    <n v="0"/>
    <x v="8"/>
    <x v="0"/>
    <x v="0"/>
    <s v="Cancelled"/>
    <s v="No requirement as of now"/>
    <m/>
    <m/>
    <m/>
    <m/>
    <s v="Jan-24"/>
    <n v="1"/>
    <s v="2024"/>
  </r>
  <r>
    <d v="2024-01-02T00:00:00"/>
    <s v="V Guard"/>
    <s v="Call"/>
    <s v="Corporate"/>
    <s v="Distributers"/>
    <s v="Babu"/>
    <s v="Shared introduction about Bulk order and ODC"/>
    <n v="0"/>
    <n v="0"/>
    <x v="8"/>
    <x v="0"/>
    <x v="0"/>
    <s v="Cancelled"/>
    <s v="No requirement as of now"/>
    <m/>
    <m/>
    <m/>
    <m/>
    <s v="Jan-24"/>
    <n v="1"/>
    <s v="2024"/>
  </r>
  <r>
    <d v="2024-01-03T00:00:00"/>
    <s v="MRF "/>
    <s v="Call"/>
    <s v="Corporate"/>
    <s v="Distributers"/>
    <s v="Sameer (Telangana Head)"/>
    <s v="Shared details of bulk orders"/>
    <n v="10000"/>
    <n v="0"/>
    <x v="5"/>
    <x v="0"/>
    <x v="0"/>
    <s v="Cancelled"/>
    <s v="No requirement"/>
    <m/>
    <m/>
    <m/>
    <m/>
    <s v="Jan-24"/>
    <n v="1"/>
    <s v="2024"/>
  </r>
  <r>
    <d v="2024-01-03T00:00:00"/>
    <s v="Global Edge"/>
    <s v="Call"/>
    <s v="Events"/>
    <s v="Education"/>
    <s v="Chitra"/>
    <s v="Shared bulk order details for school events"/>
    <n v="5000"/>
    <n v="0"/>
    <x v="1"/>
    <x v="0"/>
    <x v="0"/>
    <s v="Cancelled"/>
    <m/>
    <m/>
    <m/>
    <m/>
    <m/>
    <s v="Jan-24"/>
    <n v="1"/>
    <s v="2024"/>
  </r>
  <r>
    <d v="2024-01-03T00:00:00"/>
    <s v="Kirby "/>
    <s v="F2F"/>
    <s v="Corporate"/>
    <s v="Realestate"/>
    <s v="Saleem"/>
    <s v="Folloup for next order, planning in Jan"/>
    <n v="10000"/>
    <n v="0"/>
    <x v="1"/>
    <x v="0"/>
    <x v="0"/>
    <s v="Cancelled"/>
    <m/>
    <m/>
    <m/>
    <m/>
    <m/>
    <s v="Jan-24"/>
    <n v="1"/>
    <s v="2024"/>
  </r>
  <r>
    <d v="2024-01-03T00:00:00"/>
    <s v="Sparkling events"/>
    <s v="Call"/>
    <s v="Corporate"/>
    <s v="Events"/>
    <s v="Omersheikh"/>
    <s v="In Discussion for Bulk Supply for events"/>
    <n v="20000"/>
    <n v="0"/>
    <x v="7"/>
    <x v="0"/>
    <x v="0"/>
    <s v="Cancelled"/>
    <m/>
    <m/>
    <m/>
    <m/>
    <m/>
    <s v="Jan-24"/>
    <n v="1"/>
    <s v="2024"/>
  </r>
  <r>
    <d v="2024-01-03T00:00:00"/>
    <s v="Urbane IIT JEE"/>
    <s v="F2F"/>
    <s v="Corporate"/>
    <s v="Education"/>
    <s v="Aruna"/>
    <s v="shared details for staff lunch supply "/>
    <n v="10000"/>
    <n v="0"/>
    <x v="1"/>
    <x v="0"/>
    <x v="0"/>
    <s v="Cancelled"/>
    <m/>
    <m/>
    <m/>
    <m/>
    <m/>
    <s v="Jan-24"/>
    <n v="1"/>
    <s v="2024"/>
  </r>
  <r>
    <d v="2024-01-03T00:00:00"/>
    <s v="Delivery at Rasoolpura"/>
    <s v="Call"/>
    <s v="Events"/>
    <s v="Family Group"/>
    <s v="Afreen"/>
    <s v="Shared quote for 25 pax, food delivery"/>
    <n v="8000"/>
    <n v="0"/>
    <x v="1"/>
    <x v="0"/>
    <x v="0"/>
    <s v="Cancelled"/>
    <s v="Low budget "/>
    <m/>
    <m/>
    <m/>
    <m/>
    <s v="Jan-24"/>
    <n v="1"/>
    <s v="2024"/>
  </r>
  <r>
    <d v="2024-01-03T00:00:00"/>
    <s v="Laughingout By Swiggy"/>
    <s v="Call"/>
    <s v="Corporate"/>
    <s v="IT"/>
    <s v="Novel Raj"/>
    <s v="Shared introduction about Bulk order and ODC"/>
    <n v="20000"/>
    <n v="20000"/>
    <x v="1"/>
    <x v="0"/>
    <x v="1"/>
    <s v="Closed"/>
    <m/>
    <m/>
    <m/>
    <m/>
    <m/>
    <s v="Jan-24"/>
    <n v="1"/>
    <s v="2024"/>
  </r>
  <r>
    <d v="2024-01-03T00:00:00"/>
    <s v="Ravindra Bharthi"/>
    <s v="F2F"/>
    <s v="Events"/>
    <s v="Education"/>
    <s v="Kishore Watti"/>
    <s v="Shared bulk delivery options for events"/>
    <n v="30000"/>
    <n v="0"/>
    <x v="0"/>
    <x v="0"/>
    <x v="0"/>
    <s v="Cancelled"/>
    <s v="No requirement"/>
    <m/>
    <m/>
    <m/>
    <m/>
    <s v="Jan-24"/>
    <n v="1"/>
    <s v="2024"/>
  </r>
  <r>
    <d v="2024-01-04T00:00:00"/>
    <s v="Sutherland Global Solutions"/>
    <s v="Call"/>
    <s v="Corporate"/>
    <s v="IT"/>
    <s v="Srinivas Gupta"/>
    <s v="Shared options for bulk delivery to their corporate office "/>
    <n v="10000"/>
    <n v="0"/>
    <x v="0"/>
    <x v="0"/>
    <x v="0"/>
    <s v="Cancelled"/>
    <s v="No requirement"/>
    <m/>
    <m/>
    <m/>
    <m/>
    <s v="Jan-24"/>
    <n v="1"/>
    <s v="2024"/>
  </r>
  <r>
    <d v="2024-01-04T00:00:00"/>
    <s v="Cyient Limited"/>
    <s v="F2F"/>
    <s v="Corporate"/>
    <s v="IT"/>
    <s v="Vijay Reddy (Admin Head)"/>
    <s v="Introduction on our offerings for their 10000 Employees"/>
    <n v="0"/>
    <n v="0"/>
    <x v="8"/>
    <x v="0"/>
    <x v="0"/>
    <s v="Cancelled"/>
    <s v="No requirement as of now"/>
    <m/>
    <m/>
    <m/>
    <m/>
    <s v="Jan-24"/>
    <n v="1"/>
    <s v="2024"/>
  </r>
  <r>
    <d v="2024-01-04T00:00:00"/>
    <s v="Amazon"/>
    <s v="Call"/>
    <s v="Corporate"/>
    <s v="IT"/>
    <s v="Srikanth"/>
    <s v="Bulk Delivery for150 people at shamshabad cancelled due to their budget "/>
    <n v="33000"/>
    <n v="0"/>
    <x v="1"/>
    <x v="0"/>
    <x v="0"/>
    <s v="Cancelled"/>
    <s v="Budget 110 per biryani"/>
    <m/>
    <m/>
    <m/>
    <m/>
    <s v="Jan-24"/>
    <n v="1"/>
    <s v="2024"/>
  </r>
  <r>
    <d v="2024-01-04T00:00:00"/>
    <s v="Foundit"/>
    <s v="Call"/>
    <s v="Corporate"/>
    <s v="IT"/>
    <s v="Amudha"/>
    <s v="Introiduction about food supply for office fiest"/>
    <n v="10000"/>
    <n v="0"/>
    <x v="0"/>
    <x v="0"/>
    <x v="0"/>
    <s v="Cancelled"/>
    <s v="No requirement"/>
    <m/>
    <m/>
    <m/>
    <m/>
    <s v="Jan-24"/>
    <n v="1"/>
    <s v="2024"/>
  </r>
  <r>
    <d v="2024-01-04T00:00:00"/>
    <s v="Birthday Party at Kompally"/>
    <s v="Call"/>
    <s v="Events"/>
    <s v="Family Group"/>
    <s v="Harmeet Arora"/>
    <s v="Dilevery for Birthday party on 4 Feb 2024 for 45 pax"/>
    <n v="16000"/>
    <n v="0"/>
    <x v="7"/>
    <x v="0"/>
    <x v="0"/>
    <s v="Cancelled"/>
    <s v="Prepared food at home"/>
    <m/>
    <m/>
    <m/>
    <m/>
    <s v="Jan-24"/>
    <n v="1"/>
    <s v="2024"/>
  </r>
  <r>
    <d v="2024-01-04T00:00:00"/>
    <s v="Bulk Delivery at kothapet"/>
    <s v="Call"/>
    <s v="Events"/>
    <s v="Family Group"/>
    <s v="Keerthi"/>
    <s v="Bulk delivery for 40 People on 7 Jan 2024"/>
    <n v="15000"/>
    <n v="0"/>
    <x v="1"/>
    <x v="0"/>
    <x v="0"/>
    <s v="Cancelled"/>
    <s v="Purchased from local vendor"/>
    <m/>
    <m/>
    <m/>
    <m/>
    <s v="Jan-24"/>
    <n v="1"/>
    <s v="2024"/>
  </r>
  <r>
    <d v="2024-01-04T00:00:00"/>
    <s v="Naveena School"/>
    <s v="F2F"/>
    <s v="Events"/>
    <s v="Education"/>
    <s v="Aruna"/>
    <s v="Introduction about bulk food orders"/>
    <n v="5000"/>
    <n v="0"/>
    <x v="5"/>
    <x v="0"/>
    <x v="0"/>
    <s v="Cancelled"/>
    <s v="Event Cancelled"/>
    <m/>
    <m/>
    <m/>
    <m/>
    <s v="Jan-24"/>
    <n v="1"/>
    <s v="2024"/>
  </r>
  <r>
    <d v="2024-01-04T00:00:00"/>
    <s v="KTS Boduppal"/>
    <s v="Call"/>
    <s v="Events"/>
    <s v="Education"/>
    <s v="Chittibabu"/>
    <s v="Introduction about bulk food orders"/>
    <n v="10000"/>
    <n v="0"/>
    <x v="5"/>
    <x v="0"/>
    <x v="0"/>
    <s v="Cancelled"/>
    <s v="Event Cancelled"/>
    <m/>
    <m/>
    <m/>
    <m/>
    <s v="Jan-24"/>
    <n v="1"/>
    <s v="2024"/>
  </r>
  <r>
    <d v="2024-01-05T00:00:00"/>
    <s v="Marino Foods"/>
    <s v="Call"/>
    <s v="Corporate"/>
    <s v="Manufacturing"/>
    <s v="Abhishek"/>
    <s v="Introduction about bulk food orders"/>
    <n v="0"/>
    <n v="0"/>
    <x v="8"/>
    <x v="0"/>
    <x v="0"/>
    <s v="Cancelled"/>
    <s v="No requirement as of now"/>
    <m/>
    <m/>
    <m/>
    <m/>
    <s v="Jan-24"/>
    <n v="1"/>
    <s v="2024"/>
  </r>
  <r>
    <d v="2024-01-05T00:00:00"/>
    <s v="Hitachi Consulting"/>
    <s v="Call"/>
    <s v="Corporate"/>
    <s v="IT"/>
    <s v="Ajith"/>
    <s v="Introduction about bulk orders and corporate discount"/>
    <n v="0"/>
    <n v="0"/>
    <x v="8"/>
    <x v="0"/>
    <x v="0"/>
    <s v="Cancelled"/>
    <s v="No requirement as of now"/>
    <m/>
    <m/>
    <m/>
    <m/>
    <s v="Jan-24"/>
    <n v="1"/>
    <s v="2024"/>
  </r>
  <r>
    <d v="2024-01-05T00:00:00"/>
    <s v="Schindler Electronics"/>
    <s v="Call"/>
    <s v="Corporate"/>
    <s v="Manufacturing"/>
    <s v="Karthik Melkote"/>
    <s v="Introduction of bulk food supply"/>
    <n v="0"/>
    <n v="0"/>
    <x v="8"/>
    <x v="0"/>
    <x v="0"/>
    <s v="Cancelled"/>
    <s v="No requirement as of now"/>
    <m/>
    <m/>
    <m/>
    <m/>
    <s v="Jan-24"/>
    <n v="1"/>
    <s v="2024"/>
  </r>
  <r>
    <d v="2024-01-05T00:00:00"/>
    <s v="Rasee Seeds "/>
    <s v="Call"/>
    <s v="Corporate"/>
    <s v="Agritech"/>
    <s v="Karunakar Reddy"/>
    <s v="Introduced for food supply for their corporate events"/>
    <n v="0"/>
    <n v="0"/>
    <x v="8"/>
    <x v="0"/>
    <x v="0"/>
    <s v="Cancelled"/>
    <s v="No requirement as of now"/>
    <m/>
    <m/>
    <m/>
    <m/>
    <s v="Jan-24"/>
    <n v="1"/>
    <s v="2024"/>
  </r>
  <r>
    <d v="2024-01-06T00:00:00"/>
    <s v="Delivery At Gandhi Hospital"/>
    <s v="Call"/>
    <s v="Corporate"/>
    <s v="Healthcare"/>
    <s v="Bhanu Prakash"/>
    <s v="Delivery of 30 Pax on 7 Jan 2024"/>
    <n v="7660"/>
    <n v="7660"/>
    <x v="1"/>
    <x v="0"/>
    <x v="1"/>
    <s v="Closed"/>
    <m/>
    <m/>
    <m/>
    <m/>
    <m/>
    <s v="Jan-24"/>
    <n v="1"/>
    <s v="2024"/>
  </r>
  <r>
    <d v="2024-01-06T00:00:00"/>
    <s v="Delivery of 85 Pax at Electronic city"/>
    <s v="Call"/>
    <s v="Corporate"/>
    <s v="Distributers"/>
    <s v="Ashish"/>
    <s v="Delivery of 85 Pax on  7 Jan 2024"/>
    <n v="22000"/>
    <n v="22000"/>
    <x v="1"/>
    <x v="1"/>
    <x v="1"/>
    <s v="Closed"/>
    <m/>
    <m/>
    <m/>
    <m/>
    <m/>
    <s v="Jan-24"/>
    <n v="1"/>
    <s v="2024"/>
  </r>
  <r>
    <d v="2024-01-06T00:00:00"/>
    <s v="Reliance Trends Kothapet"/>
    <s v="Call"/>
    <s v="Corporate"/>
    <s v="Retail"/>
    <s v="Om"/>
    <s v="Introduced Bulk Delivery for Employee fest"/>
    <n v="0"/>
    <n v="0"/>
    <x v="8"/>
    <x v="0"/>
    <x v="0"/>
    <s v="Cancelled"/>
    <s v="No requirement as of now"/>
    <m/>
    <m/>
    <m/>
    <m/>
    <s v="Jan-24"/>
    <n v="1"/>
    <s v="2024"/>
  </r>
  <r>
    <d v="2024-01-06T00:00:00"/>
    <s v="Shantiniketan Highschool Gadkesar"/>
    <s v="Call"/>
    <s v="School"/>
    <s v="Education"/>
    <s v="Padma"/>
    <s v="Introduced bulk delivery of Lunch and Snacks"/>
    <n v="0"/>
    <n v="0"/>
    <x v="8"/>
    <x v="0"/>
    <x v="0"/>
    <s v="Cancelled"/>
    <s v="No requirement as of now"/>
    <m/>
    <m/>
    <m/>
    <m/>
    <s v="Jan-24"/>
    <n v="1"/>
    <s v="2024"/>
  </r>
  <r>
    <d v="2024-01-06T00:00:00"/>
    <s v="Deloitte"/>
    <s v="Call"/>
    <s v="Corporate"/>
    <s v="IT"/>
    <s v="Pankaj Sharma"/>
    <s v="Intriduction about team lunch"/>
    <n v="0"/>
    <n v="0"/>
    <x v="8"/>
    <x v="0"/>
    <x v="0"/>
    <s v="Cancelled"/>
    <s v="No requirement as of now"/>
    <m/>
    <m/>
    <m/>
    <m/>
    <s v="Jan-24"/>
    <n v="1"/>
    <s v="2024"/>
  </r>
  <r>
    <d v="2024-01-07T00:00:00"/>
    <s v="Laughingout By Swiggy"/>
    <s v="F2F"/>
    <s v="Events"/>
    <s v="F&amp;B Agrigator"/>
    <s v="Arpita"/>
    <s v="Standup comedy with 5000 people on 7th Jan , Done sale of 45,920/- Sold biryani and haleem"/>
    <n v="45920"/>
    <n v="45920"/>
    <x v="1"/>
    <x v="0"/>
    <x v="1"/>
    <s v="Closed"/>
    <m/>
    <n v="7700"/>
    <m/>
    <m/>
    <m/>
    <s v="Jan-24"/>
    <n v="1"/>
    <s v="2024"/>
  </r>
  <r>
    <d v="2024-01-07T00:00:00"/>
    <s v="GITAM Univercity"/>
    <s v="Call"/>
    <s v="Events"/>
    <s v="Education"/>
    <s v="Lavanya"/>
    <s v="College fest ay GITAM VIZAG, Not agreeing for revenue share"/>
    <n v="10000"/>
    <n v="10000"/>
    <x v="1"/>
    <x v="0"/>
    <x v="1"/>
    <s v="Closed"/>
    <m/>
    <m/>
    <m/>
    <m/>
    <m/>
    <s v="Jan-24"/>
    <n v="1"/>
    <s v="2024"/>
  </r>
  <r>
    <d v="2024-01-07T00:00:00"/>
    <s v="Dinner for 65 pax at Himayathnagar"/>
    <s v="Call"/>
    <s v="Events"/>
    <s v="Family Group"/>
    <s v="Sameena"/>
    <s v="Looking for buffet dinner"/>
    <n v="30000"/>
    <n v="0"/>
    <x v="1"/>
    <x v="0"/>
    <x v="0"/>
    <s v="Cancelled"/>
    <s v="not fesable due to logistics and Banquet hall"/>
    <m/>
    <m/>
    <m/>
    <m/>
    <s v="Jan-24"/>
    <n v="1"/>
    <s v="2024"/>
  </r>
  <r>
    <d v="2024-01-08T00:00:00"/>
    <s v="Value labs"/>
    <s v="F2F"/>
    <s v="Corporate"/>
    <s v="IT"/>
    <s v="Aditya"/>
    <s v="Introduced about team lunch and events"/>
    <n v="0"/>
    <n v="0"/>
    <x v="8"/>
    <x v="0"/>
    <x v="0"/>
    <s v="Cancelled"/>
    <s v="No requirement as of now"/>
    <m/>
    <m/>
    <m/>
    <m/>
    <s v="Jan-24"/>
    <n v="2"/>
    <s v="2024"/>
  </r>
  <r>
    <d v="2024-01-08T00:00:00"/>
    <s v="Meridian School "/>
    <s v="F2F"/>
    <s v="School"/>
    <s v="Education"/>
    <s v="Ajay"/>
    <s v="Introduced about bulk delivery in fest"/>
    <n v="0"/>
    <n v="0"/>
    <x v="8"/>
    <x v="0"/>
    <x v="0"/>
    <s v="Cancelled"/>
    <s v="No requirement as of now"/>
    <m/>
    <m/>
    <m/>
    <m/>
    <s v="Jan-24"/>
    <n v="2"/>
    <s v="2024"/>
  </r>
  <r>
    <d v="2024-01-08T00:00:00"/>
    <s v="Pasura Crop Care"/>
    <s v="Call"/>
    <s v="Corporate"/>
    <s v="Agritech"/>
    <s v="Ayesha"/>
    <s v="Shared details about team lunch and bulk delivery"/>
    <n v="0"/>
    <n v="0"/>
    <x v="8"/>
    <x v="0"/>
    <x v="0"/>
    <s v="Cancelled"/>
    <s v="No requirement as of now"/>
    <m/>
    <m/>
    <m/>
    <m/>
    <s v="Jan-24"/>
    <n v="2"/>
    <s v="2024"/>
  </r>
  <r>
    <d v="2024-01-09T00:00:00"/>
    <s v="Team Lunch of 20 PAX Indian Post Group "/>
    <s v="Call"/>
    <s v="Corporate"/>
    <s v="Government"/>
    <s v="Shravan"/>
    <s v="Team Lunch of 20 PAX Indian Post Group at Heritage on 9 Jan 2024"/>
    <n v="9500"/>
    <n v="9500"/>
    <x v="1"/>
    <x v="0"/>
    <x v="1"/>
    <s v="Closed"/>
    <m/>
    <m/>
    <m/>
    <m/>
    <m/>
    <s v="Jan-24"/>
    <n v="2"/>
    <s v="2024"/>
  </r>
  <r>
    <d v="2024-01-09T00:00:00"/>
    <s v="Delivery at Bowenpally"/>
    <s v="Call"/>
    <s v="Events"/>
    <s v="Family Group"/>
    <m/>
    <s v="Delivery of 40 PAX on 10 Jan 2024"/>
    <n v="10000"/>
    <n v="0"/>
    <x v="1"/>
    <x v="0"/>
    <x v="0"/>
    <s v="Cancelled"/>
    <s v="Less Budget"/>
    <m/>
    <m/>
    <m/>
    <m/>
    <s v="Jan-24"/>
    <n v="2"/>
    <s v="2024"/>
  </r>
  <r>
    <d v="2024-01-09T00:00:00"/>
    <s v="Delivery at Compass Group Bangalore"/>
    <s v="Call"/>
    <s v="Corporate"/>
    <s v="F&amp;B Agrigator"/>
    <s v="Pankaj"/>
    <s v="Delivery of 80 KG biryani at Electronic city"/>
    <n v="32000"/>
    <n v="32000"/>
    <x v="1"/>
    <x v="1"/>
    <x v="1"/>
    <s v="Closed"/>
    <m/>
    <n v="0"/>
    <m/>
    <m/>
    <m/>
    <s v="Jan-24"/>
    <n v="2"/>
    <s v="2024"/>
  </r>
  <r>
    <d v="2024-01-09T00:00:00"/>
    <s v="Delivery of Lunch &amp; Snacks at ICICI Towers"/>
    <s v="Call"/>
    <s v="Corporate"/>
    <s v="Banking Finance &amp; Insurance"/>
    <s v="Savu"/>
    <s v="Delivery of Lunch &amp; Snacks at ICICI Towers on 16 Jan 2024"/>
    <n v="30000"/>
    <n v="0"/>
    <x v="5"/>
    <x v="0"/>
    <x v="0"/>
    <s v="Cancelled"/>
    <m/>
    <m/>
    <m/>
    <m/>
    <m/>
    <s v="Jan-24"/>
    <n v="2"/>
    <s v="2024"/>
  </r>
  <r>
    <d v="2024-01-10T00:00:00"/>
    <s v="Onsurity"/>
    <s v="F2F"/>
    <s v="Corporate"/>
    <s v="Banking Finance &amp; Insurance"/>
    <s v="Akshada"/>
    <s v="Shared details of delivery at Hyderabad and Banglore office "/>
    <n v="0"/>
    <n v="0"/>
    <x v="8"/>
    <x v="0"/>
    <x v="0"/>
    <s v="Cancelled"/>
    <s v="No requirement as of now"/>
    <m/>
    <m/>
    <m/>
    <m/>
    <s v="Jan-24"/>
    <n v="2"/>
    <s v="2024"/>
  </r>
  <r>
    <d v="2024-01-10T00:00:00"/>
    <s v="HDFC BanK Ltd Ameerpet"/>
    <s v="F2F"/>
    <s v="Corporate"/>
    <s v="Banking Finance &amp; Insurance"/>
    <s v="Jagjeeven Reddy"/>
    <s v="Shared details of team lunch and bulk orders"/>
    <n v="5000"/>
    <n v="0"/>
    <x v="6"/>
    <x v="0"/>
    <x v="0"/>
    <s v="Cancelled"/>
    <s v="Event Cancelled"/>
    <m/>
    <m/>
    <m/>
    <m/>
    <s v="Jan-24"/>
    <n v="2"/>
    <s v="2024"/>
  </r>
  <r>
    <d v="2024-01-10T00:00:00"/>
    <s v="Dhruva College of Fashion Technology"/>
    <s v="F2F"/>
    <s v="Events"/>
    <s v="Education"/>
    <s v="Kamal Vas"/>
    <s v="Introduced about bulk orders and ODC"/>
    <n v="3000"/>
    <n v="0"/>
    <x v="6"/>
    <x v="0"/>
    <x v="0"/>
    <s v="Cancelled"/>
    <s v="Event Cancelled"/>
    <m/>
    <m/>
    <m/>
    <m/>
    <s v="Jan-24"/>
    <n v="2"/>
    <s v="2024"/>
  </r>
  <r>
    <d v="2024-01-10T00:00:00"/>
    <s v="Reliance College "/>
    <s v="Call"/>
    <s v="Events"/>
    <s v="Education"/>
    <s v="Adiba"/>
    <s v="Introduction about bulk orders"/>
    <n v="0"/>
    <n v="0"/>
    <x v="6"/>
    <x v="0"/>
    <x v="0"/>
    <s v="Cancelled"/>
    <s v="Event Cancelled"/>
    <m/>
    <m/>
    <m/>
    <m/>
    <s v="Jan-24"/>
    <n v="2"/>
    <s v="2024"/>
  </r>
  <r>
    <d v="2024-01-10T00:00:00"/>
    <s v="Accenture "/>
    <s v="Call"/>
    <s v="Corporate"/>
    <s v="IT"/>
    <s v="Aditya Runiyar"/>
    <s v="Introduced about bukl orders"/>
    <n v="10000"/>
    <n v="0"/>
    <x v="6"/>
    <x v="0"/>
    <x v="0"/>
    <s v="Cancelled"/>
    <s v="Event Cancelled"/>
    <m/>
    <m/>
    <m/>
    <m/>
    <s v="Jan-24"/>
    <n v="2"/>
    <s v="2024"/>
  </r>
  <r>
    <d v="2024-01-10T00:00:00"/>
    <s v="Hyundai Motors"/>
    <s v="Call"/>
    <s v="Corporate"/>
    <s v="Automobile"/>
    <s v="Ajay Gokapai"/>
    <s v="Introduced for food supply for their corporate events"/>
    <n v="20000"/>
    <n v="0"/>
    <x v="6"/>
    <x v="0"/>
    <x v="0"/>
    <s v="Cancelled"/>
    <s v="Event Cancelled"/>
    <m/>
    <m/>
    <m/>
    <m/>
    <s v="Jan-24"/>
    <n v="2"/>
    <s v="2024"/>
  </r>
  <r>
    <d v="2024-01-10T00:00:00"/>
    <s v="Med Plus"/>
    <s v="Call"/>
    <s v="Corporate"/>
    <s v="Pharma"/>
    <s v="Amit Kale"/>
    <s v="shared details of bulk delivery and team lunch"/>
    <n v="2000"/>
    <n v="0"/>
    <x v="6"/>
    <x v="0"/>
    <x v="0"/>
    <s v="Cancelled"/>
    <s v="Event Cancelled"/>
    <m/>
    <m/>
    <m/>
    <m/>
    <s v="Jan-24"/>
    <n v="2"/>
    <s v="2024"/>
  </r>
  <r>
    <d v="2024-01-11T00:00:00"/>
    <s v="Tata Trent Limiteed Kothapet"/>
    <s v="F2F"/>
    <s v="Corporate"/>
    <s v="Retail"/>
    <s v="Verma"/>
    <s v="Looking for 400 PAX banquet in feb for R&amp;R"/>
    <n v="300000"/>
    <n v="0"/>
    <x v="7"/>
    <x v="0"/>
    <x v="0"/>
    <s v="Cancelled"/>
    <s v="Cancelled as they want Banquet hall for 500 PAX "/>
    <m/>
    <m/>
    <m/>
    <m/>
    <s v="Jan-24"/>
    <n v="2"/>
    <s v="2024"/>
  </r>
  <r>
    <d v="2024-01-11T00:00:00"/>
    <s v="Chicken Handi Delivery at Rampally"/>
    <s v="Call"/>
    <s v="Events"/>
    <s v="Family Group"/>
    <s v="Suresh"/>
    <s v="Deliverd on 10 Jan 2024"/>
    <n v="8400"/>
    <n v="8400"/>
    <x v="1"/>
    <x v="0"/>
    <x v="1"/>
    <s v="Closed"/>
    <m/>
    <m/>
    <m/>
    <m/>
    <m/>
    <s v="Jan-24"/>
    <n v="2"/>
    <s v="2024"/>
  </r>
  <r>
    <d v="2024-01-11T00:00:00"/>
    <s v="Delivery at Amazon Shamshabad"/>
    <s v="Call"/>
    <s v="Corporate"/>
    <s v="IT"/>
    <s v="Srikanth"/>
    <s v="Looking for 2500 Biryani on 15 Jan 2024"/>
    <n v="300000"/>
    <n v="0"/>
    <x v="1"/>
    <x v="0"/>
    <x v="0"/>
    <s v="Cancelled"/>
    <s v="Less budget, 110 per head"/>
    <m/>
    <m/>
    <m/>
    <m/>
    <s v="Jan-24"/>
    <n v="2"/>
    <s v="2024"/>
  </r>
  <r>
    <d v="2024-01-11T00:00:00"/>
    <s v="Delivery at Fusion Church Jublee Hills"/>
    <s v="F2F"/>
    <s v="Events"/>
    <s v="Family Group"/>
    <s v="Sadguna"/>
    <s v="Delivery of Mutton Handi on 12 Jan2024"/>
    <n v="10000"/>
    <n v="10000"/>
    <x v="1"/>
    <x v="0"/>
    <x v="1"/>
    <s v="Closed"/>
    <m/>
    <m/>
    <m/>
    <m/>
    <m/>
    <s v="Jan-24"/>
    <n v="2"/>
    <s v="2024"/>
  </r>
  <r>
    <d v="2024-01-11T00:00:00"/>
    <s v="Ozon Hospital Kothapet"/>
    <s v="F2F"/>
    <s v="Corporate"/>
    <s v="Healthcare"/>
    <s v="Madhusudan Reddy (MD)"/>
    <s v="Introduced delivbery of lunch and snacks for staff"/>
    <n v="5000"/>
    <n v="0"/>
    <x v="6"/>
    <x v="0"/>
    <x v="0"/>
    <s v="Cancelled"/>
    <s v="Event Cancelled"/>
    <m/>
    <m/>
    <m/>
    <m/>
    <s v="Jan-24"/>
    <n v="2"/>
    <s v="2024"/>
  </r>
  <r>
    <d v="2024-01-11T00:00:00"/>
    <s v="Cricket league at Nagole"/>
    <s v="F2F"/>
    <s v="Events"/>
    <s v="Sports"/>
    <s v="Venkat"/>
    <s v="Delivery of biryani at sports ground on 20,21, 22 Jan 2024"/>
    <n v="500000"/>
    <n v="0"/>
    <x v="1"/>
    <x v="0"/>
    <x v="0"/>
    <s v="Cancelled"/>
    <s v="Event Cancelled"/>
    <m/>
    <m/>
    <m/>
    <m/>
    <s v="Jan-24"/>
    <n v="2"/>
    <s v="2024"/>
  </r>
  <r>
    <d v="2024-01-12T00:00:00"/>
    <s v="Medha Traction Equipments Ghatkesar"/>
    <s v="F2F"/>
    <s v="Corporate"/>
    <s v="Manufacturing"/>
    <s v="Santosh"/>
    <s v="Introduces about bulk food and bakery items"/>
    <n v="10000"/>
    <n v="0"/>
    <x v="8"/>
    <x v="0"/>
    <x v="0"/>
    <s v="Cancelled"/>
    <s v="No requirement as of now"/>
    <m/>
    <m/>
    <m/>
    <m/>
    <s v="Jan-24"/>
    <n v="2"/>
    <s v="2024"/>
  </r>
  <r>
    <d v="2024-01-12T00:00:00"/>
    <s v="Reliance Trends KPHB"/>
    <s v="F2F"/>
    <s v="Corporate"/>
    <s v="Retail"/>
    <s v="Chakravarthi"/>
    <s v="Intoduction about bulk food delivery"/>
    <n v="12000"/>
    <n v="0"/>
    <x v="8"/>
    <x v="0"/>
    <x v="0"/>
    <s v="Cancelled"/>
    <s v="No requirement"/>
    <m/>
    <m/>
    <m/>
    <m/>
    <s v="Jan-24"/>
    <n v="2"/>
    <s v="2024"/>
  </r>
  <r>
    <d v="2024-01-12T00:00:00"/>
    <s v="Delivery at Miyapur"/>
    <s v="Call"/>
    <s v="Events"/>
    <s v="Family Group"/>
    <s v="Arvind Reddu"/>
    <s v="Delivered food foe 25 Pax on 12 Jan 2024"/>
    <n v="8000"/>
    <n v="8000"/>
    <x v="1"/>
    <x v="0"/>
    <x v="1"/>
    <s v="Closed"/>
    <m/>
    <m/>
    <m/>
    <m/>
    <m/>
    <s v="Jan-24"/>
    <n v="2"/>
    <s v="2024"/>
  </r>
  <r>
    <d v="2024-01-12T00:00:00"/>
    <s v="Sheenlac Paints"/>
    <s v="F2F"/>
    <s v="Corporate"/>
    <s v="Distributers"/>
    <s v="Anand"/>
    <s v="Introduction about dealers meet and Gifting"/>
    <n v="10000"/>
    <n v="0"/>
    <x v="0"/>
    <x v="0"/>
    <x v="0"/>
    <s v="Cancelled"/>
    <s v="No requirement"/>
    <m/>
    <m/>
    <m/>
    <m/>
    <s v="Jan-24"/>
    <n v="2"/>
    <s v="2024"/>
  </r>
  <r>
    <d v="2024-01-12T00:00:00"/>
    <s v="Chaitanya Bharthi School"/>
    <s v="F2F"/>
    <s v="School"/>
    <s v="Education"/>
    <s v="Kasim"/>
    <s v="Introduction of bulk food supply at school fest"/>
    <n v="12000"/>
    <n v="0"/>
    <x v="8"/>
    <x v="0"/>
    <x v="0"/>
    <s v="Cancelled"/>
    <s v="No requirement"/>
    <n v="2400"/>
    <m/>
    <m/>
    <m/>
    <s v="Jan-24"/>
    <n v="2"/>
    <s v="2024"/>
  </r>
  <r>
    <d v="2024-01-13T00:00:00"/>
    <s v="Group from Kolkata "/>
    <s v="Call"/>
    <s v="Travel"/>
    <s v="Family Group"/>
    <s v="Suparna"/>
    <s v="Delivery to Group from kolkata"/>
    <n v="2800"/>
    <n v="2800"/>
    <x v="1"/>
    <x v="0"/>
    <x v="1"/>
    <s v="Closed"/>
    <m/>
    <s v="No"/>
    <m/>
    <m/>
    <m/>
    <s v="Jan-24"/>
    <n v="2"/>
    <s v="2024"/>
  </r>
  <r>
    <d v="2024-01-13T00:00:00"/>
    <s v="Group from Suryapeta"/>
    <s v="Call"/>
    <s v="Travel"/>
    <s v="Family Group"/>
    <s v="Sampat"/>
    <s v="Dine in at kothapet"/>
    <n v="2500"/>
    <n v="2500"/>
    <x v="1"/>
    <x v="0"/>
    <x v="1"/>
    <s v="Closed"/>
    <m/>
    <s v="No"/>
    <m/>
    <m/>
    <m/>
    <s v="Jan-24"/>
    <n v="2"/>
    <s v="2024"/>
  </r>
  <r>
    <d v="2024-01-13T00:00:00"/>
    <s v="Delivery at Ramanthapur"/>
    <s v="Call"/>
    <s v="Events"/>
    <s v="Family Group"/>
    <s v="Anil"/>
    <s v="Delivery of Handi on 15 Jan 2024"/>
    <n v="15000"/>
    <n v="0"/>
    <x v="1"/>
    <x v="0"/>
    <x v="0"/>
    <s v="Cancelled"/>
    <s v="Budget Issue"/>
    <n v="3000"/>
    <m/>
    <m/>
    <m/>
    <s v="Jan-24"/>
    <n v="2"/>
    <s v="2024"/>
  </r>
  <r>
    <d v="2024-01-13T00:00:00"/>
    <s v="Delivery at Compass Group Bangalore"/>
    <s v="Call"/>
    <s v="Corporate"/>
    <s v="F&amp;B Agrigator"/>
    <s v="Pankaj"/>
    <s v="Delivery of 100 Special Biryani at Banglore on 17 Jan 2024"/>
    <n v="53487"/>
    <n v="53487"/>
    <x v="1"/>
    <x v="1"/>
    <x v="1"/>
    <s v="Closed"/>
    <m/>
    <n v="0"/>
    <m/>
    <m/>
    <m/>
    <s v="Jan-24"/>
    <n v="2"/>
    <s v="2024"/>
  </r>
  <r>
    <d v="2024-01-13T00:00:00"/>
    <s v="Servo Oils"/>
    <s v="Call"/>
    <s v="Corporate"/>
    <s v="Distributers"/>
    <s v="Ganesh Biradar"/>
    <s v="Introduction of Bulk Orders"/>
    <n v="5000"/>
    <n v="0"/>
    <x v="8"/>
    <x v="0"/>
    <x v="0"/>
    <s v="Cancelled"/>
    <s v="No requirement"/>
    <n v="1000"/>
    <m/>
    <m/>
    <m/>
    <s v="Jan-24"/>
    <n v="2"/>
    <s v="2024"/>
  </r>
  <r>
    <d v="2024-01-14T00:00:00"/>
    <s v="Delivery at Lal Bazar "/>
    <s v="Call"/>
    <s v="Events"/>
    <s v="Family Group"/>
    <s v="Jyothi"/>
    <s v="Delivery of Handi on 15 Jan 2024"/>
    <n v="10500"/>
    <n v="0"/>
    <x v="1"/>
    <x v="0"/>
    <x v="0"/>
    <s v="Cancelled"/>
    <s v="Budget Issue"/>
    <n v="2100"/>
    <m/>
    <m/>
    <m/>
    <s v="Jan-24"/>
    <n v="2"/>
    <s v="2024"/>
  </r>
  <r>
    <d v="2024-01-14T00:00:00"/>
    <s v="Techwave"/>
    <s v="Call"/>
    <s v="Corporate"/>
    <s v="IT"/>
    <s v="Pandu"/>
    <s v="Introduction about bulk food and Haleem"/>
    <n v="5000"/>
    <n v="0"/>
    <x v="8"/>
    <x v="0"/>
    <x v="0"/>
    <s v="Cancelled"/>
    <s v="No requirement"/>
    <n v="1000"/>
    <m/>
    <m/>
    <m/>
    <s v="Jan-24"/>
    <n v="2"/>
    <s v="2024"/>
  </r>
  <r>
    <d v="2024-01-14T00:00:00"/>
    <s v="Alakriti"/>
    <s v="Call"/>
    <s v="Corporate"/>
    <s v="IT"/>
    <s v="Padma"/>
    <s v="Introduction about bulk food and Haleem"/>
    <n v="6000"/>
    <n v="0"/>
    <x v="9"/>
    <x v="0"/>
    <x v="0"/>
    <s v="Cancelled"/>
    <s v="No Budget"/>
    <n v="1200"/>
    <m/>
    <m/>
    <m/>
    <s v="Jan-24"/>
    <n v="2"/>
    <s v="2024"/>
  </r>
  <r>
    <d v="2024-01-15T00:00:00"/>
    <s v="LIC Of India"/>
    <s v="Call"/>
    <s v="Corporate"/>
    <s v="Banking Finance &amp; Insurance"/>
    <s v="Hanumantulu"/>
    <s v="Shared Details of Haleem and Bulk delivery"/>
    <n v="10000"/>
    <n v="0"/>
    <x v="9"/>
    <x v="0"/>
    <x v="0"/>
    <s v="Cancelled"/>
    <s v="No Budget"/>
    <n v="2000"/>
    <m/>
    <m/>
    <m/>
    <s v="Jan-24"/>
    <n v="3"/>
    <s v="2024"/>
  </r>
  <r>
    <d v="2024-01-15T00:00:00"/>
    <s v="Decathlon"/>
    <s v="Call"/>
    <s v="Corporate"/>
    <s v="Sports"/>
    <s v="Harini"/>
    <s v="Shared Details of Haleem and Bulk delivery"/>
    <n v="10000"/>
    <n v="0"/>
    <x v="5"/>
    <x v="0"/>
    <x v="0"/>
    <s v="Cancelled"/>
    <s v="No requirement"/>
    <n v="2000"/>
    <m/>
    <m/>
    <m/>
    <s v="Jan-24"/>
    <n v="3"/>
    <s v="2024"/>
  </r>
  <r>
    <d v="2024-01-16T00:00:00"/>
    <s v="Delivery at Santoshnagar"/>
    <s v="Call"/>
    <s v="Events"/>
    <s v="Family Group"/>
    <s v="Latif"/>
    <s v="Delivery of 120 pax biryani at santoshnagar"/>
    <n v="30000"/>
    <n v="0"/>
    <x v="1"/>
    <x v="0"/>
    <x v="0"/>
    <s v="Cancelled"/>
    <s v="Budget Issue"/>
    <n v="6000"/>
    <m/>
    <m/>
    <m/>
    <s v="Jan-24"/>
    <n v="3"/>
    <s v="2024"/>
  </r>
  <r>
    <d v="2024-01-16T00:00:00"/>
    <s v="NIFT Spectrum 2024 Event"/>
    <s v="F2F"/>
    <s v="Events"/>
    <s v="Education"/>
    <s v="Shivdas"/>
    <s v="Fest on 1St 2nd &amp; 3 Feb 2024"/>
    <n v="100000"/>
    <n v="0"/>
    <x v="7"/>
    <x v="0"/>
    <x v="0"/>
    <s v="Cancelled"/>
    <s v="Cancelled due to low budget"/>
    <n v="20000"/>
    <m/>
    <m/>
    <s v="16/1/2024"/>
    <s v="Jan-24"/>
    <n v="3"/>
    <s v="2024"/>
  </r>
  <r>
    <d v="2024-01-16T00:00:00"/>
    <s v="Zenith Holidays"/>
    <s v="Call"/>
    <s v="Corporate"/>
    <s v="Tourism"/>
    <s v="Arijit"/>
    <s v="Delivery on 18 Jan 2024"/>
    <n v="10000"/>
    <n v="10000"/>
    <x v="1"/>
    <x v="0"/>
    <x v="1"/>
    <s v="Closed"/>
    <m/>
    <n v="2000"/>
    <m/>
    <m/>
    <m/>
    <s v="Jan-24"/>
    <n v="3"/>
    <s v="2024"/>
  </r>
  <r>
    <d v="2024-01-16T00:00:00"/>
    <s v="4C Drug Safety Services"/>
    <s v="F2F"/>
    <s v="Corporate"/>
    <s v="Pharma"/>
    <s v="Chandan Prakash"/>
    <s v="Introduction about food supply for office fest and bulk delivery of Haleem"/>
    <n v="10000"/>
    <n v="0"/>
    <x v="9"/>
    <x v="0"/>
    <x v="0"/>
    <s v="Cancelled"/>
    <s v="No Budget"/>
    <n v="2000"/>
    <m/>
    <m/>
    <m/>
    <s v="Jan-24"/>
    <n v="3"/>
    <s v="2024"/>
  </r>
  <r>
    <d v="2024-01-16T00:00:00"/>
    <s v="Impactive Events"/>
    <s v="F2F"/>
    <s v="Corporate"/>
    <s v="Events"/>
    <s v="Manjeeth"/>
    <s v="Introduction , bulk food and Haleem "/>
    <n v="8000"/>
    <n v="0"/>
    <x v="5"/>
    <x v="0"/>
    <x v="0"/>
    <s v="Cancelled"/>
    <s v="Closed the business"/>
    <n v="1600"/>
    <m/>
    <m/>
    <m/>
    <s v="Jan-24"/>
    <n v="3"/>
    <s v="2024"/>
  </r>
  <r>
    <d v="2024-01-17T00:00:00"/>
    <s v="Bachpan School Annual Day 14th Feb"/>
    <s v="F2F"/>
    <s v="School"/>
    <s v="Education"/>
    <s v="Madhvi Reddy (MD)"/>
    <s v="Annual Day for Badangpet and Meerpet Branches"/>
    <n v="50000"/>
    <n v="0"/>
    <x v="5"/>
    <x v="0"/>
    <x v="0"/>
    <s v="Cancelled"/>
    <s v="Budget Issue"/>
    <n v="10000"/>
    <m/>
    <m/>
    <m/>
    <s v="Jan-24"/>
    <n v="3"/>
    <s v="2024"/>
  </r>
  <r>
    <d v="2024-01-17T00:00:00"/>
    <s v="Yojo Farmhouse Rentals"/>
    <s v="F2F"/>
    <s v="Corporate"/>
    <s v="Events"/>
    <s v="Anurag Alluri"/>
    <s v="Bulk Supply of food for events in Farmhouse"/>
    <n v="10000"/>
    <n v="0"/>
    <x v="1"/>
    <x v="0"/>
    <x v="0"/>
    <s v="Cancelled"/>
    <s v="Event Cancelled"/>
    <n v="2000"/>
    <m/>
    <m/>
    <m/>
    <s v="Jan-24"/>
    <n v="3"/>
    <s v="2024"/>
  </r>
  <r>
    <d v="2024-01-17T00:00:00"/>
    <s v="Delivery of Handi at Secbad"/>
    <s v="Call"/>
    <s v="Events"/>
    <s v="Family Group"/>
    <s v="Manish"/>
    <s v="Delivery of Handi on 18 Jan 2024"/>
    <n v="10000"/>
    <n v="0"/>
    <x v="1"/>
    <x v="0"/>
    <x v="0"/>
    <s v="Cancelled"/>
    <s v="Event Cancelled"/>
    <n v="2000"/>
    <m/>
    <m/>
    <m/>
    <s v="Jan-24"/>
    <n v="3"/>
    <s v="2024"/>
  </r>
  <r>
    <d v="2024-01-17T00:00:00"/>
    <s v="Kapil Chits "/>
    <s v="F2F"/>
    <s v="Corporate"/>
    <s v="Banking Finance &amp; Insurance"/>
    <s v="Yusuf"/>
    <s v="Introduction of Bulk food and Haleem"/>
    <n v="10000"/>
    <n v="0"/>
    <x v="9"/>
    <x v="0"/>
    <x v="0"/>
    <s v="Cancelled"/>
    <s v="No Budget"/>
    <n v="2000"/>
    <m/>
    <m/>
    <m/>
    <s v="Jan-24"/>
    <n v="3"/>
    <s v="2024"/>
  </r>
  <r>
    <d v="2024-01-18T00:00:00"/>
    <s v="Sri Sai Vikas Degree College"/>
    <s v="F2F"/>
    <s v="College"/>
    <s v="Education"/>
    <s v="Abdul Mateen"/>
    <s v="Introduction of bulk order and ODC"/>
    <n v="10000"/>
    <n v="0"/>
    <x v="9"/>
    <x v="0"/>
    <x v="0"/>
    <s v="Cancelled"/>
    <s v="No Budget"/>
    <n v="2000"/>
    <m/>
    <m/>
    <m/>
    <s v="Jan-24"/>
    <n v="3"/>
    <s v="2024"/>
  </r>
  <r>
    <d v="2024-01-18T00:00:00"/>
    <s v="Astra Rafel Compsys"/>
    <s v="F2F"/>
    <s v="Corporate"/>
    <s v="Defence &amp; Aerospace"/>
    <s v="Joseph"/>
    <s v="Introduction for Bulk delivery and team lunch"/>
    <n v="8000"/>
    <n v="0"/>
    <x v="9"/>
    <x v="0"/>
    <x v="0"/>
    <s v="Cancelled"/>
    <s v="No Budget"/>
    <n v="1600"/>
    <m/>
    <m/>
    <m/>
    <s v="Jan-24"/>
    <n v="3"/>
    <s v="2024"/>
  </r>
  <r>
    <d v="2024-01-18T00:00:00"/>
    <s v="Anza Medicode "/>
    <s v="Call"/>
    <s v="Corporate"/>
    <s v="IT"/>
    <s v="Parthasaradi"/>
    <s v="Shared details of team lunch and bulk orders, Haleem delivery."/>
    <n v="12000"/>
    <n v="0"/>
    <x v="0"/>
    <x v="0"/>
    <x v="0"/>
    <s v="Cancelled"/>
    <s v="No requirement"/>
    <n v="2400"/>
    <m/>
    <m/>
    <m/>
    <s v="Jan-24"/>
    <n v="3"/>
    <s v="2024"/>
  </r>
  <r>
    <d v="2024-01-19T00:00:00"/>
    <s v="Citizen Cooperative Society"/>
    <s v="Call"/>
    <s v="Corporate"/>
    <s v="Banking Finance &amp; Insurance"/>
    <s v="Babita (HR)"/>
    <s v="Shared "/>
    <n v="4000"/>
    <n v="0"/>
    <x v="9"/>
    <x v="0"/>
    <x v="0"/>
    <s v="Cancelled"/>
    <s v="No Budget"/>
    <n v="800"/>
    <m/>
    <m/>
    <m/>
    <s v="Jan-24"/>
    <n v="3"/>
    <s v="2024"/>
  </r>
  <r>
    <d v="2024-01-19T00:00:00"/>
    <s v="Qualcomm Raheja"/>
    <s v="Call"/>
    <s v="Corporate"/>
    <s v="IT"/>
    <s v="Balram"/>
    <s v="Introduced about team lunch and events"/>
    <n v="10000"/>
    <n v="0"/>
    <x v="4"/>
    <x v="0"/>
    <x v="0"/>
    <s v="Cancelled"/>
    <s v="No requirement"/>
    <n v="2000"/>
    <m/>
    <m/>
    <m/>
    <s v="Jan-24"/>
    <n v="3"/>
    <s v="2024"/>
  </r>
  <r>
    <d v="2024-01-19T00:00:00"/>
    <s v="Bank Of America"/>
    <s v="Call"/>
    <s v="Corporate"/>
    <s v="Banking Finance &amp; Insurance"/>
    <s v="Archana"/>
    <s v="Introduced about team lunch and events"/>
    <n v="5000"/>
    <n v="0"/>
    <x v="9"/>
    <x v="0"/>
    <x v="0"/>
    <s v="Cancelled"/>
    <s v="No Budget"/>
    <n v="1000"/>
    <m/>
    <m/>
    <m/>
    <s v="Jan-24"/>
    <n v="3"/>
    <s v="2024"/>
  </r>
  <r>
    <d v="2024-01-19T00:00:00"/>
    <s v="Pro Arch IT Solutions"/>
    <s v="Call"/>
    <s v="Corporate"/>
    <s v="IT"/>
    <s v="Raju"/>
    <s v="Delivery of Biryani and Haleem at Uppal for team lunch"/>
    <n v="10000"/>
    <n v="0"/>
    <x v="6"/>
    <x v="0"/>
    <x v="0"/>
    <s v="Cancelled"/>
    <s v="Event Cancelled"/>
    <n v="2000"/>
    <m/>
    <m/>
    <m/>
    <s v="Jan-24"/>
    <n v="3"/>
    <s v="2024"/>
  </r>
  <r>
    <d v="2024-01-19T00:00:00"/>
    <s v="Arcsine"/>
    <s v="Call"/>
    <s v="Corporate"/>
    <s v="IT"/>
    <s v="Nagraj"/>
    <s v="Bulk Delivery at their office"/>
    <n v="4000"/>
    <n v="0"/>
    <x v="0"/>
    <x v="0"/>
    <x v="0"/>
    <s v="Cancelled"/>
    <s v="Event Cancelled"/>
    <n v="800"/>
    <m/>
    <m/>
    <m/>
    <s v="Jan-24"/>
    <n v="3"/>
    <s v="2024"/>
  </r>
  <r>
    <d v="2024-01-21T00:00:00"/>
    <s v="Zomaland"/>
    <s v="Call"/>
    <s v="Events"/>
    <s v="Entertainment"/>
    <s v="Siddharth"/>
    <s v="Event on 20, 21 Jan 2024"/>
    <n v="57000"/>
    <n v="57000"/>
    <x v="1"/>
    <x v="0"/>
    <x v="1"/>
    <s v="Cancelled"/>
    <s v="No requirement"/>
    <n v="11400"/>
    <m/>
    <m/>
    <m/>
    <s v="Jan-24"/>
    <n v="3"/>
    <s v="2024"/>
  </r>
  <r>
    <d v="2024-01-21T00:00:00"/>
    <s v="Delivery at Secundrabad"/>
    <s v="Call"/>
    <s v="Events"/>
    <s v="Family Group"/>
    <s v="Joseph"/>
    <s v="Delivery of 30 pax CB on 23 Jan 2024"/>
    <n v="6500"/>
    <n v="0"/>
    <x v="1"/>
    <x v="0"/>
    <x v="0"/>
    <s v="Cancelled"/>
    <s v="No Budget"/>
    <n v="1300"/>
    <m/>
    <m/>
    <m/>
    <s v="Jan-24"/>
    <n v="3"/>
    <s v="2024"/>
  </r>
  <r>
    <d v="2024-01-21T00:00:00"/>
    <s v="Delivery at HSR Layout"/>
    <s v="Call"/>
    <s v="Events"/>
    <s v="Family Group"/>
    <s v="Vijay"/>
    <s v="Delivedry of 150 CB on 24 Jan 2024"/>
    <n v="30000"/>
    <n v="0"/>
    <x v="1"/>
    <x v="1"/>
    <x v="0"/>
    <s v="Cancelled"/>
    <s v="No Budget"/>
    <n v="6000"/>
    <m/>
    <m/>
    <m/>
    <s v="Jan-24"/>
    <n v="3"/>
    <s v="2024"/>
  </r>
  <r>
    <d v="2024-01-21T00:00:00"/>
    <s v="Delivery at Eluru"/>
    <s v="Call"/>
    <s v="Events"/>
    <s v="Family Group"/>
    <s v="Srinivas"/>
    <s v="Delivery of CB Handi on 27 Jan 2024"/>
    <n v="12000"/>
    <n v="0"/>
    <x v="1"/>
    <x v="0"/>
    <x v="0"/>
    <s v="Cancelled"/>
    <s v="No requirement"/>
    <n v="2400"/>
    <m/>
    <m/>
    <m/>
    <s v="Jan-24"/>
    <n v="3"/>
    <s v="2024"/>
  </r>
  <r>
    <d v="2024-01-22T00:00:00"/>
    <s v="Delivery at Compass Group Bangalore"/>
    <s v="Call"/>
    <s v="Corporate"/>
    <s v="F&amp;B Agrigator"/>
    <s v="Pankaj"/>
    <s v="Delivery of CB Handi on 24 Jan 2024"/>
    <n v="49329"/>
    <n v="49329"/>
    <x v="1"/>
    <x v="1"/>
    <x v="1"/>
    <s v="Cancelled"/>
    <s v="Event Cancelled"/>
    <n v="0"/>
    <m/>
    <m/>
    <m/>
    <s v="Jan-24"/>
    <n v="4"/>
    <s v="2024"/>
  </r>
  <r>
    <d v="2024-01-22T00:00:00"/>
    <s v="DPS Nadergul"/>
    <s v="Call"/>
    <s v="Events"/>
    <s v="Education"/>
    <s v="Baktharaj"/>
    <s v="Introduction to Bulk order and Haleem"/>
    <n v="5000"/>
    <n v="0"/>
    <x v="9"/>
    <x v="0"/>
    <x v="0"/>
    <s v="Cancelled"/>
    <s v="No requirement"/>
    <n v="1000"/>
    <m/>
    <m/>
    <m/>
    <s v="Jan-24"/>
    <n v="4"/>
    <s v="2024"/>
  </r>
  <r>
    <d v="2024-01-22T00:00:00"/>
    <s v="Hitachi Consulting"/>
    <s v="Call"/>
    <s v="Corporate"/>
    <s v="IT"/>
    <s v="Barnali Mukherjee"/>
    <s v="Introduction to Bulk order and Haleem"/>
    <n v="6000"/>
    <n v="0"/>
    <x v="9"/>
    <x v="0"/>
    <x v="0"/>
    <s v="Cancelled"/>
    <s v="No requirement"/>
    <n v="1200"/>
    <m/>
    <m/>
    <m/>
    <s v="Jan-24"/>
    <n v="4"/>
    <s v="2024"/>
  </r>
  <r>
    <d v="2024-01-22T00:00:00"/>
    <s v="Rotterdam International School"/>
    <s v="Call"/>
    <s v="Events"/>
    <s v="Education"/>
    <s v="Charith"/>
    <s v="Introduction to Bulk order and Haleem"/>
    <n v="5000"/>
    <n v="0"/>
    <x v="0"/>
    <x v="0"/>
    <x v="0"/>
    <s v="Cancelled"/>
    <s v="No requirement"/>
    <n v="1000"/>
    <m/>
    <m/>
    <m/>
    <s v="Jan-24"/>
    <n v="4"/>
    <s v="2024"/>
  </r>
  <r>
    <d v="2024-01-22T00:00:00"/>
    <s v="Peoples Carrer"/>
    <s v="Call"/>
    <s v="Events"/>
    <s v="Education"/>
    <s v="Chhaya"/>
    <s v="Introduction to Team lunch and Haleem"/>
    <n v="3000"/>
    <n v="0"/>
    <x v="5"/>
    <x v="0"/>
    <x v="0"/>
    <s v="Cancelled"/>
    <s v="Event Cancelled"/>
    <n v="600"/>
    <m/>
    <m/>
    <m/>
    <s v="Jan-24"/>
    <n v="4"/>
    <s v="2024"/>
  </r>
  <r>
    <d v="2024-01-23T00:00:00"/>
    <s v="Srestha Organics"/>
    <s v="F2F"/>
    <s v="Corporate"/>
    <s v="Agritech"/>
    <s v="Renuka"/>
    <s v="Introduction to Team lunch and Haleem"/>
    <n v="10000"/>
    <n v="0"/>
    <x v="9"/>
    <x v="0"/>
    <x v="0"/>
    <s v="Cancelled"/>
    <s v="No requirement"/>
    <n v="2000"/>
    <m/>
    <m/>
    <m/>
    <s v="Jan-24"/>
    <n v="4"/>
    <s v="2024"/>
  </r>
  <r>
    <d v="2024-01-23T00:00:00"/>
    <s v="Delivery at Secundrabad"/>
    <s v="Call"/>
    <s v="Events"/>
    <s v="Family Group"/>
    <s v="Kalyan"/>
    <s v="Delivered 25 Chicken Biryani"/>
    <n v="5700"/>
    <n v="5700"/>
    <x v="1"/>
    <x v="0"/>
    <x v="1"/>
    <s v="Closed"/>
    <m/>
    <n v="1140"/>
    <m/>
    <m/>
    <m/>
    <s v="Jan-24"/>
    <n v="4"/>
    <s v="2024"/>
  </r>
  <r>
    <d v="2024-01-23T00:00:00"/>
    <s v="Medha Engineering"/>
    <s v="F2F"/>
    <s v="Corporate"/>
    <s v="Manufacturing"/>
    <s v="Madhumohan"/>
    <s v="Introduction of Bulk food and Haleem"/>
    <n v="15000"/>
    <n v="0"/>
    <x v="9"/>
    <x v="0"/>
    <x v="0"/>
    <s v="Cancelled"/>
    <s v="No requirement"/>
    <n v="3000"/>
    <m/>
    <m/>
    <m/>
    <s v="Jan-24"/>
    <n v="4"/>
    <s v="2024"/>
  </r>
  <r>
    <d v="2024-01-23T00:00:00"/>
    <s v="Fabritech Uppal"/>
    <s v="F2F"/>
    <s v="Corporate"/>
    <s v="Manufacturing"/>
    <s v="Anita"/>
    <s v="Introduction to Bulk order and Haleem"/>
    <n v="5000"/>
    <n v="0"/>
    <x v="6"/>
    <x v="0"/>
    <x v="0"/>
    <s v="Cancelled"/>
    <s v="Event Cancelled"/>
    <n v="1000"/>
    <m/>
    <m/>
    <m/>
    <s v="Jan-24"/>
    <n v="4"/>
    <s v="2024"/>
  </r>
  <r>
    <d v="2024-01-23T00:00:00"/>
    <s v="Macoward"/>
    <s v="F2F"/>
    <s v="Corporate"/>
    <s v="Manufacturing"/>
    <s v="Radhika"/>
    <s v="Introduction for team lunvh and haleem"/>
    <n v="8000"/>
    <n v="0"/>
    <x v="5"/>
    <x v="0"/>
    <x v="0"/>
    <s v="Cancelled"/>
    <s v="Event Cancelled"/>
    <n v="1600"/>
    <m/>
    <m/>
    <m/>
    <s v="Jan-24"/>
    <n v="4"/>
    <s v="2024"/>
  </r>
  <r>
    <d v="2024-01-24T00:00:00"/>
    <s v="Delivery at Kims Sunshine Hospital Secundrabad"/>
    <s v="Call"/>
    <s v="Corporate"/>
    <s v="Healthcare"/>
    <s v="Venkatesh"/>
    <s v="Delivery of mutton biryani"/>
    <n v="15000"/>
    <n v="15000"/>
    <x v="1"/>
    <x v="0"/>
    <x v="1"/>
    <s v="Closed"/>
    <m/>
    <n v="3000"/>
    <m/>
    <m/>
    <m/>
    <s v="Jan-24"/>
    <n v="4"/>
    <s v="2024"/>
  </r>
  <r>
    <d v="2024-01-24T00:00:00"/>
    <s v="Sagarsoft Technologies"/>
    <s v="F2F"/>
    <s v="Corporate"/>
    <s v="IT"/>
    <s v="Bheem"/>
    <s v="Introduction of Bulk food and Haleem counter at their cafeteria"/>
    <n v="10000"/>
    <n v="0"/>
    <x v="9"/>
    <x v="0"/>
    <x v="0"/>
    <s v="Cancelled"/>
    <s v="No requirement"/>
    <n v="2000"/>
    <m/>
    <m/>
    <m/>
    <s v="Jan-24"/>
    <n v="4"/>
    <s v="2024"/>
  </r>
  <r>
    <d v="2024-01-24T00:00:00"/>
    <s v="Birthday party at HSR Banglore"/>
    <s v="Call"/>
    <s v="Events"/>
    <s v="Family Group"/>
    <s v="Soumya"/>
    <s v="Delivery on 28 Jan 2024"/>
    <n v="28163"/>
    <n v="0"/>
    <x v="1"/>
    <x v="1"/>
    <x v="0"/>
    <s v="Cancelled"/>
    <s v="Less Budget"/>
    <n v="5632.6"/>
    <m/>
    <m/>
    <m/>
    <s v="Jan-24"/>
    <n v="4"/>
    <s v="2024"/>
  </r>
  <r>
    <d v="2024-01-24T00:00:00"/>
    <s v="Amazon Shamshabad"/>
    <s v="Call"/>
    <s v="Corporate"/>
    <s v="IT"/>
    <s v="Manjunath"/>
    <s v="Delivery and Haleem Counter "/>
    <n v="30000"/>
    <n v="0"/>
    <x v="9"/>
    <x v="0"/>
    <x v="0"/>
    <s v="Cancelled"/>
    <s v="No requirement"/>
    <n v="6000"/>
    <m/>
    <m/>
    <m/>
    <s v="Jan-24"/>
    <n v="4"/>
    <s v="2024"/>
  </r>
  <r>
    <d v="2024-01-24T00:00:00"/>
    <s v="MJ College "/>
    <s v="F2F"/>
    <s v="College"/>
    <s v="Education"/>
    <s v="Abdul"/>
    <s v="Delivery of bulk order and Haleem"/>
    <n v="10000"/>
    <n v="0"/>
    <x v="6"/>
    <x v="0"/>
    <x v="0"/>
    <s v="Cancelled"/>
    <s v="Event Cancelled"/>
    <n v="2000"/>
    <m/>
    <m/>
    <m/>
    <s v="Jan-24"/>
    <n v="4"/>
    <s v="2024"/>
  </r>
  <r>
    <d v="2024-01-25T00:00:00"/>
    <s v="Take away at secundrabad "/>
    <s v="Call"/>
    <s v="Events"/>
    <s v="Family Group"/>
    <s v="Paras"/>
    <s v="Take away at Secundrabad"/>
    <n v="7000"/>
    <n v="7000"/>
    <x v="1"/>
    <x v="0"/>
    <x v="1"/>
    <s v="Closed"/>
    <m/>
    <n v="1400"/>
    <m/>
    <m/>
    <m/>
    <s v="Jan-24"/>
    <n v="4"/>
    <s v="2024"/>
  </r>
  <r>
    <d v="2024-01-25T00:00:00"/>
    <s v="Mutton Handi at Amberpet "/>
    <s v="Call"/>
    <s v="Events"/>
    <s v="Family Group"/>
    <s v="Surendra"/>
    <s v="Delivery of Mutton Handi on 26 Jan 2024"/>
    <n v="10500"/>
    <n v="10500"/>
    <x v="1"/>
    <x v="0"/>
    <x v="1"/>
    <s v="Closed"/>
    <m/>
    <n v="2100"/>
    <m/>
    <m/>
    <m/>
    <s v="Jan-24"/>
    <n v="4"/>
    <s v="2024"/>
  </r>
  <r>
    <d v="2024-01-25T00:00:00"/>
    <s v="Vaishnavi JR College"/>
    <s v="F2F"/>
    <s v="College"/>
    <s v="Education"/>
    <s v="Dashrath Goud"/>
    <s v="Introduction for bulk delivery at events "/>
    <n v="6000"/>
    <n v="0"/>
    <x v="6"/>
    <x v="0"/>
    <x v="0"/>
    <s v="Cancelled"/>
    <s v="Event Cancelled"/>
    <n v="1200"/>
    <m/>
    <m/>
    <m/>
    <s v="Jan-24"/>
    <n v="4"/>
    <s v="2024"/>
  </r>
  <r>
    <d v="2024-01-25T00:00:00"/>
    <s v="Little flower College"/>
    <s v="F2F"/>
    <s v="College"/>
    <s v="Education"/>
    <s v="Sheela Ingle"/>
    <s v="Introduction for bulk delivery at events "/>
    <n v="10000"/>
    <n v="0"/>
    <x v="6"/>
    <x v="0"/>
    <x v="0"/>
    <s v="Cancelled"/>
    <s v="Event Cancelled"/>
    <n v="2000"/>
    <m/>
    <m/>
    <m/>
    <s v="Jan-24"/>
    <n v="4"/>
    <s v="2024"/>
  </r>
  <r>
    <d v="2024-01-25T00:00:00"/>
    <s v="SBI Uppal"/>
    <s v="F2F"/>
    <s v="Corporate"/>
    <s v="Banking Finance &amp; Insurance"/>
    <s v="Sudheer"/>
    <s v="Introduction of bulk delivery of food and haleem"/>
    <n v="12000"/>
    <n v="0"/>
    <x v="0"/>
    <x v="0"/>
    <x v="0"/>
    <s v="Cancelled"/>
    <s v="No requirement"/>
    <n v="2400"/>
    <m/>
    <m/>
    <m/>
    <s v="Jan-24"/>
    <n v="4"/>
    <s v="2024"/>
  </r>
  <r>
    <d v="2024-01-25T00:00:00"/>
    <s v="Shalom Church "/>
    <s v="F2F"/>
    <s v="Events"/>
    <s v="Family Group"/>
    <s v="Srikanth"/>
    <s v="Introduction of bulk delivery of food and haleem"/>
    <n v="10000"/>
    <n v="0"/>
    <x v="7"/>
    <x v="0"/>
    <x v="0"/>
    <s v="Cancelled"/>
    <s v="Prepared Inhouse"/>
    <n v="2000"/>
    <m/>
    <m/>
    <m/>
    <s v="Jan-24"/>
    <n v="4"/>
    <s v="2024"/>
  </r>
  <r>
    <d v="2024-01-26T00:00:00"/>
    <s v="Delivery of Mutton haleem "/>
    <s v="Call"/>
    <s v="Events"/>
    <s v="Family Group"/>
    <s v="Abdul"/>
    <s v="Delivery at masabtank on 27 Jan 2024"/>
    <n v="3000"/>
    <n v="3000"/>
    <x v="1"/>
    <x v="0"/>
    <x v="1"/>
    <s v="Closed"/>
    <m/>
    <n v="3000"/>
    <m/>
    <m/>
    <m/>
    <s v="Jan-24"/>
    <n v="4"/>
    <s v="2024"/>
  </r>
  <r>
    <d v="2024-01-26T00:00:00"/>
    <s v="Delivery of 30 CB at Tirumalgiri "/>
    <s v="Call"/>
    <s v="Events"/>
    <s v="Family Group"/>
    <s v="Venu"/>
    <s v="Delivery of 30 CB at Tirumalgiri on 27 Jan 2024"/>
    <n v="6500"/>
    <n v="6500"/>
    <x v="1"/>
    <x v="0"/>
    <x v="1"/>
    <s v="Closed"/>
    <m/>
    <n v="1300"/>
    <m/>
    <m/>
    <m/>
    <s v="Jan-24"/>
    <n v="4"/>
    <s v="2024"/>
  </r>
  <r>
    <d v="2024-01-27T00:00:00"/>
    <s v="Vivekananda High School"/>
    <s v="Call"/>
    <s v="School"/>
    <s v="Education"/>
    <s v="Gajanand"/>
    <s v="Introduction for bulk delivery"/>
    <n v="5000"/>
    <n v="0"/>
    <x v="0"/>
    <x v="0"/>
    <x v="0"/>
    <s v="Cancelled"/>
    <s v="No requirement"/>
    <n v="1000"/>
    <m/>
    <m/>
    <m/>
    <s v="Jan-24"/>
    <n v="4"/>
    <s v="2024"/>
  </r>
  <r>
    <d v="2024-01-27T00:00:00"/>
    <s v="Akash Institute Kothapet"/>
    <s v="Call"/>
    <s v="Events"/>
    <s v="Education"/>
    <s v="Ganguli"/>
    <s v="Introduction for bulk delivery"/>
    <n v="6000"/>
    <n v="0"/>
    <x v="5"/>
    <x v="0"/>
    <x v="0"/>
    <s v="Cancelled"/>
    <s v="No requirement"/>
    <n v="1200"/>
    <m/>
    <m/>
    <m/>
    <s v="Jan-24"/>
    <n v="4"/>
    <s v="2024"/>
  </r>
  <r>
    <d v="2024-01-28T00:00:00"/>
    <s v="ODC at Kokapet"/>
    <s v="Call"/>
    <s v="Events"/>
    <s v="Family Group"/>
    <s v="Agnibesh"/>
    <s v="Shared details for 100 pax ODC"/>
    <n v="28000"/>
    <n v="0"/>
    <x v="5"/>
    <x v="0"/>
    <x v="0"/>
    <s v="Cancelled"/>
    <s v="Procured from their Canteen"/>
    <n v="5600"/>
    <m/>
    <m/>
    <m/>
    <s v="Jan-24"/>
    <n v="4"/>
    <s v="2024"/>
  </r>
  <r>
    <d v="2024-01-28T00:00:00"/>
    <s v="Aadya Business Solution"/>
    <s v="Call"/>
    <s v="Corporate"/>
    <s v="IT"/>
    <s v="Lakshman"/>
    <s v="Introduction to Bulk order and Haleem"/>
    <n v="5000"/>
    <n v="0"/>
    <x v="0"/>
    <x v="0"/>
    <x v="0"/>
    <s v="Cancelled"/>
    <s v="No requirement"/>
    <n v="1000"/>
    <m/>
    <m/>
    <m/>
    <s v="Jan-24"/>
    <n v="4"/>
    <s v="2024"/>
  </r>
  <r>
    <d v="2024-01-28T00:00:00"/>
    <s v="Zenoti"/>
    <s v="Call"/>
    <s v="Corporate"/>
    <s v="IT"/>
    <s v="Abhishek"/>
    <s v="Introduction to Bulk order and Haleem"/>
    <n v="4000"/>
    <n v="0"/>
    <x v="5"/>
    <x v="0"/>
    <x v="0"/>
    <s v="Cancelled"/>
    <s v="Event Cancelled"/>
    <n v="800"/>
    <m/>
    <m/>
    <m/>
    <s v="Jan-24"/>
    <n v="4"/>
    <s v="2024"/>
  </r>
  <r>
    <d v="2024-01-28T00:00:00"/>
    <s v="Medha R&amp;D"/>
    <s v="Call"/>
    <s v="Corporate"/>
    <s v="Manufacturing"/>
    <s v="Ajay"/>
    <s v="Introduction to Bulk order and Haleem"/>
    <n v="8000"/>
    <n v="0"/>
    <x v="9"/>
    <x v="0"/>
    <x v="0"/>
    <s v="Cancelled"/>
    <s v="No requirement"/>
    <n v="1600"/>
    <m/>
    <m/>
    <m/>
    <s v="Jan-24"/>
    <n v="4"/>
    <s v="2024"/>
  </r>
  <r>
    <d v="2024-01-30T00:00:00"/>
    <s v="Delivery of Chicken Handi "/>
    <s v="Call"/>
    <s v="Events"/>
    <s v="Family Group"/>
    <s v="Anitha"/>
    <s v="Delivery of chicken Handi at Begumpet on 31 Jan 2024"/>
    <n v="8400"/>
    <n v="8400"/>
    <x v="1"/>
    <x v="0"/>
    <x v="1"/>
    <s v="Closed"/>
    <m/>
    <n v="1680"/>
    <m/>
    <m/>
    <m/>
    <s v="Jan-24"/>
    <n v="5"/>
    <s v="2024"/>
  </r>
  <r>
    <d v="2024-01-30T00:00:00"/>
    <s v="Delivery at JBS "/>
    <s v="Call"/>
    <s v="Events"/>
    <s v="Family Group"/>
    <s v="Rajesh"/>
    <s v="Delivery of 75 Nizami CB at JBS on 31 Jan 2024"/>
    <n v="22500"/>
    <n v="22500"/>
    <x v="1"/>
    <x v="0"/>
    <x v="1"/>
    <s v="Closed"/>
    <m/>
    <n v="4500"/>
    <m/>
    <m/>
    <m/>
    <s v="Jan-24"/>
    <n v="5"/>
    <s v="2024"/>
  </r>
  <r>
    <d v="2024-01-31T00:00:00"/>
    <s v="Delivery at Compass Group Bangalore"/>
    <s v="Call"/>
    <s v="Corporate"/>
    <s v="F&amp;B Agrigator"/>
    <s v="Pankaj"/>
    <s v="Deliverd CB &amp; MB Handi"/>
    <n v="45516"/>
    <n v="45516"/>
    <x v="1"/>
    <x v="1"/>
    <x v="1"/>
    <s v="Closed"/>
    <m/>
    <n v="0"/>
    <m/>
    <m/>
    <m/>
    <s v="Jan-24"/>
    <n v="5"/>
    <s v="2024"/>
  </r>
  <r>
    <d v="2024-01-31T00:00:00"/>
    <s v="Delivery of CB on 1st feb at Care hospital"/>
    <s v="Call"/>
    <s v="Corporate"/>
    <s v="Healthcare"/>
    <s v="Kiranmai"/>
    <s v="Delivery at care hospital on 1 Feb 2024"/>
    <n v="12400"/>
    <n v="12400"/>
    <x v="7"/>
    <x v="0"/>
    <x v="1"/>
    <s v="Closed"/>
    <m/>
    <n v="2480"/>
    <m/>
    <m/>
    <m/>
    <s v="Jan-24"/>
    <n v="5"/>
    <s v="2024"/>
  </r>
  <r>
    <d v="2024-02-01T00:00:00"/>
    <s v="Delivery at Madhapur on 02/01`/2024"/>
    <s v="F2F"/>
    <s v="Corporate"/>
    <s v="IT"/>
    <s v="Amplify"/>
    <s v="Delivery of CB Handi "/>
    <n v="11000"/>
    <n v="11000"/>
    <x v="7"/>
    <x v="0"/>
    <x v="1"/>
    <s v="Closed"/>
    <m/>
    <n v="2200"/>
    <m/>
    <m/>
    <m/>
    <s v="Feb-24"/>
    <n v="5"/>
    <s v="2024"/>
  </r>
  <r>
    <d v="2024-02-01T00:00:00"/>
    <s v="Delivery at BHEL 03/02/2024"/>
    <s v="Call"/>
    <s v="Events"/>
    <s v="Family Group"/>
    <s v="Nagireddy"/>
    <s v="Delivery of CB Handi"/>
    <n v="8500"/>
    <n v="0"/>
    <x v="7"/>
    <x v="0"/>
    <x v="0"/>
    <s v="Cancelled"/>
    <s v="Low budget "/>
    <n v="1700"/>
    <m/>
    <m/>
    <m/>
    <s v="Feb-24"/>
    <n v="5"/>
    <s v="2024"/>
  </r>
  <r>
    <d v="2024-02-02T00:00:00"/>
    <s v="Delivery at Academic Heights school"/>
    <s v="F2F"/>
    <s v="School"/>
    <s v="Education"/>
    <s v="Bindu"/>
    <s v="Delivery of 390 Vb on 7th &amp; 8 Feb 2024"/>
    <n v="114000"/>
    <n v="114000"/>
    <x v="7"/>
    <x v="0"/>
    <x v="1"/>
    <s v="Closed"/>
    <m/>
    <n v="22800"/>
    <m/>
    <m/>
    <m/>
    <s v="Feb-24"/>
    <n v="5"/>
    <s v="2024"/>
  </r>
  <r>
    <d v="2024-02-02T00:00:00"/>
    <s v="Delivery at Kothapet"/>
    <s v="Call"/>
    <s v="Events"/>
    <s v="Family Group"/>
    <s v="Surersh"/>
    <s v="Delivery at kothapet"/>
    <n v="12000"/>
    <n v="0"/>
    <x v="7"/>
    <x v="0"/>
    <x v="0"/>
    <s v="Cancelled"/>
    <s v="Low budget "/>
    <n v="2400"/>
    <m/>
    <m/>
    <m/>
    <s v="Feb-24"/>
    <n v="5"/>
    <s v="2024"/>
  </r>
  <r>
    <d v="2024-02-03T00:00:00"/>
    <s v="Kukdukoo fest Day 1"/>
    <s v="F2F"/>
    <s v="Events"/>
    <s v="Events"/>
    <s v="Archit"/>
    <s v="Sale in Stall"/>
    <n v="88300"/>
    <n v="88300"/>
    <x v="7"/>
    <x v="0"/>
    <x v="1"/>
    <s v="Closed"/>
    <m/>
    <n v="17660"/>
    <m/>
    <m/>
    <m/>
    <s v="Feb-24"/>
    <n v="5"/>
    <s v="2024"/>
  </r>
  <r>
    <d v="2024-02-04T00:00:00"/>
    <s v="Kukdukoo fest Day 2"/>
    <s v="F2F"/>
    <s v="Events"/>
    <s v="Events"/>
    <s v="Archit"/>
    <s v="Sale in Stall"/>
    <n v="105450"/>
    <n v="105450"/>
    <x v="7"/>
    <x v="0"/>
    <x v="1"/>
    <s v="Closed"/>
    <m/>
    <n v="21090"/>
    <m/>
    <m/>
    <m/>
    <s v="Feb-24"/>
    <n v="5"/>
    <s v="2024"/>
  </r>
  <r>
    <d v="2024-02-05T00:00:00"/>
    <s v="Delivery at Gogaraju College Nizampet"/>
    <s v="Call"/>
    <s v="Events"/>
    <s v="Education"/>
    <s v="Bharath"/>
    <s v="Delivery of CB and VB with Baby corn Manchuria on 6 Feb 2023"/>
    <n v="7000"/>
    <n v="7000"/>
    <x v="7"/>
    <x v="0"/>
    <x v="1"/>
    <s v="Closed"/>
    <m/>
    <n v="1400"/>
    <m/>
    <m/>
    <m/>
    <s v="Feb-24"/>
    <n v="6"/>
    <s v="2024"/>
  </r>
  <r>
    <d v="2024-02-06T00:00:00"/>
    <s v="Tata Motors"/>
    <s v="F2F"/>
    <s v="Corporate"/>
    <s v="Automobile"/>
    <s v="Satish"/>
    <s v="Food vouchers"/>
    <n v="10000"/>
    <n v="0"/>
    <x v="5"/>
    <x v="0"/>
    <x v="0"/>
    <s v="Cancelled"/>
    <s v="Budget constrain"/>
    <n v="2000"/>
    <m/>
    <m/>
    <m/>
    <s v="Feb-24"/>
    <n v="6"/>
    <s v="2024"/>
  </r>
  <r>
    <d v="2024-02-06T00:00:00"/>
    <s v="Delivery at Nanakramguda"/>
    <s v="Call"/>
    <s v="Corporate"/>
    <s v="IT"/>
    <s v="Prabhu"/>
    <s v="Delivery of food at stadium"/>
    <n v="18692"/>
    <n v="0"/>
    <x v="7"/>
    <x v="0"/>
    <x v="0"/>
    <s v="Cancelled"/>
    <s v="Low budget "/>
    <n v="3738.4"/>
    <m/>
    <m/>
    <m/>
    <s v="Feb-24"/>
    <n v="6"/>
    <s v="2024"/>
  </r>
  <r>
    <d v="2024-02-06T00:00:00"/>
    <s v="Delivery at RTC"/>
    <s v="Call"/>
    <s v="Events"/>
    <s v="Family Group"/>
    <s v="Madhavi"/>
    <s v="Delivery on 11 Feb 2024 Sunday"/>
    <n v="12000"/>
    <n v="0"/>
    <x v="7"/>
    <x v="0"/>
    <x v="0"/>
    <s v="Cancelled"/>
    <s v="Low budget "/>
    <n v="2400"/>
    <m/>
    <m/>
    <m/>
    <s v="Feb-24"/>
    <n v="6"/>
    <s v="2024"/>
  </r>
  <r>
    <d v="2024-02-06T00:00:00"/>
    <s v="Ray Biz Tech"/>
    <s v="F2F"/>
    <s v="Corporate"/>
    <s v="IT"/>
    <s v="Pavan Kumar"/>
    <s v="Inroduction of bulk food and Team lunch"/>
    <n v="10000"/>
    <n v="0"/>
    <x v="9"/>
    <x v="0"/>
    <x v="0"/>
    <s v="Cancelled"/>
    <s v="No requirement"/>
    <n v="2000"/>
    <m/>
    <m/>
    <m/>
    <s v="Feb-24"/>
    <n v="6"/>
    <s v="2024"/>
  </r>
  <r>
    <d v="2024-02-07T00:00:00"/>
    <s v="ICICI Towers"/>
    <s v="F2F"/>
    <s v="Corporate"/>
    <s v="Banking Finance &amp; Insurance"/>
    <s v="Sandeep"/>
    <s v="Discussion Regarding bakery, Biryani and Haleem outlet at there office to be finalized , for 3 month they wont be collecting any rent, post that we have to go in revenue share."/>
    <n v="30000"/>
    <n v="0"/>
    <x v="6"/>
    <x v="0"/>
    <x v="0"/>
    <s v="Cancelled"/>
    <s v="Event Cancelled"/>
    <n v="0"/>
    <m/>
    <m/>
    <m/>
    <s v="Feb-24"/>
    <n v="6"/>
    <s v="2024"/>
  </r>
  <r>
    <d v="2024-02-07T00:00:00"/>
    <s v="Moschip"/>
    <s v="F2F"/>
    <s v="Corporate"/>
    <s v="IT"/>
    <s v="Sowjanya"/>
    <s v="Introduces about, team lunch, bulk food and bakery items."/>
    <n v="10000"/>
    <n v="0"/>
    <x v="5"/>
    <x v="0"/>
    <x v="0"/>
    <s v="Cancelled"/>
    <s v="No requirement"/>
    <n v="2000"/>
    <m/>
    <m/>
    <m/>
    <s v="Feb-24"/>
    <n v="6"/>
    <s v="2024"/>
  </r>
  <r>
    <d v="2024-02-07T00:00:00"/>
    <s v="Delivery at Compass Group Bangalore"/>
    <s v="Call"/>
    <s v="Corporate"/>
    <s v="F&amp;B Agrigator"/>
    <s v="Pankaj"/>
    <s v="Deliverd CB &amp; MB Handi"/>
    <n v="40000"/>
    <n v="40000"/>
    <x v="7"/>
    <x v="1"/>
    <x v="1"/>
    <s v="Closed"/>
    <m/>
    <n v="0"/>
    <m/>
    <m/>
    <m/>
    <s v="Feb-24"/>
    <n v="6"/>
    <s v="2024"/>
  </r>
  <r>
    <d v="2024-02-07T00:00:00"/>
    <s v="Delivery at VIP Road"/>
    <s v="Call"/>
    <s v="Corporate"/>
    <s v="IT"/>
    <s v="Lokesh"/>
    <s v="Delivery of cb"/>
    <n v="15000"/>
    <n v="15000"/>
    <x v="7"/>
    <x v="0"/>
    <x v="1"/>
    <s v="Closed"/>
    <m/>
    <n v="3000"/>
    <m/>
    <m/>
    <m/>
    <s v="Feb-24"/>
    <n v="6"/>
    <s v="2024"/>
  </r>
  <r>
    <d v="2024-02-08T00:00:00"/>
    <s v="Delivery at Pragatinagar"/>
    <s v="Call"/>
    <s v="Events"/>
    <s v="Family Group"/>
    <s v="Madhu"/>
    <s v="Delivery of Mutton Handi"/>
    <n v="10500"/>
    <n v="0"/>
    <x v="7"/>
    <x v="0"/>
    <x v="0"/>
    <s v="Cancelled"/>
    <s v="Low budget "/>
    <n v="2100"/>
    <m/>
    <m/>
    <m/>
    <s v="Feb-24"/>
    <n v="6"/>
    <s v="2024"/>
  </r>
  <r>
    <d v="2024-02-09T00:00:00"/>
    <s v="Delivery of Gift vouchers for Pepsico"/>
    <s v="Call"/>
    <s v="Corporate"/>
    <s v="FMCG"/>
    <s v="Sudheer Reddy"/>
    <s v="500 worth gift vouchers for 2800 people, Dropped the plan due to low budget"/>
    <n v="1200000"/>
    <n v="0"/>
    <x v="7"/>
    <x v="0"/>
    <x v="0"/>
    <s v="Cancelled"/>
    <s v="Low budget "/>
    <n v="240000"/>
    <m/>
    <m/>
    <m/>
    <s v="Feb-24"/>
    <n v="6"/>
    <s v="2024"/>
  </r>
  <r>
    <d v="2024-02-09T00:00:00"/>
    <s v="Medha Railway equipments"/>
    <s v="F2F"/>
    <s v="Corporate"/>
    <s v="Manufacturing"/>
    <s v="Santosh"/>
    <s v="Introduction to haleem and bulk orders"/>
    <n v="10000"/>
    <n v="0"/>
    <x v="9"/>
    <x v="0"/>
    <x v="0"/>
    <s v="Cancelled"/>
    <s v="No requirement"/>
    <n v="2000"/>
    <m/>
    <m/>
    <m/>
    <s v="Feb-24"/>
    <n v="6"/>
    <s v="2024"/>
  </r>
  <r>
    <d v="2024-02-09T00:00:00"/>
    <s v="Metro Rail Nagole"/>
    <s v="F2F"/>
    <s v="Corporate"/>
    <s v="Transport"/>
    <s v="Udaya"/>
    <s v="Discussion of Haleem counters at metro stations"/>
    <n v="100000"/>
    <n v="0"/>
    <x v="5"/>
    <x v="0"/>
    <x v="0"/>
    <s v="Cancelled"/>
    <s v="Metro kiosk sale recoded in Separate DCR"/>
    <n v="20000"/>
    <m/>
    <m/>
    <m/>
    <s v="Feb-24"/>
    <n v="6"/>
    <s v="2024"/>
  </r>
  <r>
    <d v="2024-02-10T00:00:00"/>
    <s v="Delivery at Ozone Hospital kothapet"/>
    <s v="Call"/>
    <s v="Corporate"/>
    <s v="Healthcare"/>
    <s v="Laxman"/>
    <s v="deliverd CB &amp; MB"/>
    <n v="5152"/>
    <n v="5152"/>
    <x v="7"/>
    <x v="0"/>
    <x v="1"/>
    <s v="Closed"/>
    <m/>
    <n v="1030.4000000000001"/>
    <m/>
    <m/>
    <m/>
    <s v="Feb-24"/>
    <n v="6"/>
    <s v="2024"/>
  </r>
  <r>
    <d v="2024-02-11T00:00:00"/>
    <s v="Delivery at Gachibowli"/>
    <s v="Call"/>
    <s v="Corporate"/>
    <s v="IT"/>
    <s v="Siddharth"/>
    <s v="Delivery of 600 CB on 13 Feb 2024, Cancelled due to low budget"/>
    <n v="177000"/>
    <n v="0"/>
    <x v="7"/>
    <x v="0"/>
    <x v="0"/>
    <s v="Cancelled"/>
    <s v="Low budget "/>
    <n v="35400"/>
    <m/>
    <m/>
    <m/>
    <s v="Feb-24"/>
    <n v="6"/>
    <s v="2024"/>
  </r>
  <r>
    <d v="2024-02-12T00:00:00"/>
    <s v="Delivery at Compass Group Bangalore"/>
    <s v="Call"/>
    <s v="Corporate"/>
    <s v="F&amp;B Agrigator"/>
    <s v="Pankaj"/>
    <s v="Delivery of CB &amp; MB Handi on 14 Feb 2024"/>
    <n v="44555"/>
    <n v="44555"/>
    <x v="7"/>
    <x v="1"/>
    <x v="1"/>
    <s v="Closed"/>
    <m/>
    <n v="0"/>
    <m/>
    <m/>
    <m/>
    <s v="Feb-24"/>
    <n v="7"/>
    <s v="2024"/>
  </r>
  <r>
    <d v="2024-02-12T00:00:00"/>
    <s v="Dataintencity"/>
    <s v="F2F"/>
    <s v="Corporate"/>
    <s v="IT"/>
    <s v="Abhiram"/>
    <s v="Shared Details of Haleem and Bulk delivery"/>
    <n v="12000"/>
    <n v="0"/>
    <x v="0"/>
    <x v="0"/>
    <x v="0"/>
    <s v="Cancelled"/>
    <s v="No requirement"/>
    <n v="2400"/>
    <m/>
    <m/>
    <m/>
    <s v="Feb-24"/>
    <n v="7"/>
    <s v="2024"/>
  </r>
  <r>
    <d v="2024-02-12T00:00:00"/>
    <s v="Koni India PVT LTD"/>
    <s v="F2F"/>
    <s v="Corporate"/>
    <s v="IT"/>
    <s v="Aditya"/>
    <s v="Introduction to Bulk order and Haleem"/>
    <n v="10000"/>
    <n v="0"/>
    <x v="9"/>
    <x v="0"/>
    <x v="0"/>
    <s v="Cancelled"/>
    <s v="No requirement"/>
    <n v="2000"/>
    <m/>
    <m/>
    <m/>
    <s v="Feb-24"/>
    <n v="7"/>
    <s v="2024"/>
  </r>
  <r>
    <d v="2024-02-13T00:00:00"/>
    <s v="Infor Global Solutions"/>
    <s v="F2F"/>
    <s v="Corporate"/>
    <s v="IT"/>
    <s v="Kalyan"/>
    <s v="Introduction to Team lunch and ODC"/>
    <n v="10000"/>
    <n v="0"/>
    <x v="9"/>
    <x v="0"/>
    <x v="0"/>
    <s v="Cancelled"/>
    <s v="No requirement"/>
    <n v="2000"/>
    <m/>
    <m/>
    <m/>
    <s v="Feb-24"/>
    <n v="7"/>
    <s v="2024"/>
  </r>
  <r>
    <d v="2024-02-13T00:00:00"/>
    <s v="Symbosys Law School"/>
    <s v="Call"/>
    <s v="College"/>
    <s v="Education"/>
    <s v="Salman"/>
    <s v="Event on 24 March 2024"/>
    <n v="30000"/>
    <n v="0"/>
    <x v="0"/>
    <x v="0"/>
    <x v="0"/>
    <s v="Cancelled"/>
    <s v="Not profitable"/>
    <n v="0"/>
    <m/>
    <m/>
    <m/>
    <s v="Feb-24"/>
    <n v="7"/>
    <s v="2024"/>
  </r>
  <r>
    <d v="2024-02-13T00:00:00"/>
    <s v="Celibrity Cricket League"/>
    <s v="F2F"/>
    <s v="Events"/>
    <s v="Sports"/>
    <s v="Uma"/>
    <s v="Event on 1st to 3 March 2024"/>
    <n v="100000"/>
    <n v="0"/>
    <x v="5"/>
    <x v="0"/>
    <x v="0"/>
    <s v="Cancelled"/>
    <s v="no profitable event"/>
    <n v="20000"/>
    <m/>
    <m/>
    <m/>
    <s v="Feb-24"/>
    <n v="7"/>
    <s v="2024"/>
  </r>
  <r>
    <d v="2024-02-13T00:00:00"/>
    <s v="T Hub Event "/>
    <s v="F2F"/>
    <s v="Events"/>
    <s v="Education"/>
    <s v="Karthik"/>
    <s v="Event on 1st &amp; 2 March 2024"/>
    <n v="20000"/>
    <n v="0"/>
    <x v="5"/>
    <x v="0"/>
    <x v="0"/>
    <s v="Cancelled"/>
    <s v="Not Profitable"/>
    <n v="4000"/>
    <m/>
    <m/>
    <m/>
    <s v="Feb-24"/>
    <n v="7"/>
    <s v="2024"/>
  </r>
  <r>
    <d v="2024-02-14T00:00:00"/>
    <s v="Valentines Day Food Festival"/>
    <s v="F2F"/>
    <s v="Corporate"/>
    <s v="IT"/>
    <s v="Rohan"/>
    <s v="Food counter at Cyberperl, 8% revenue share"/>
    <n v="15500"/>
    <n v="15500"/>
    <x v="7"/>
    <x v="0"/>
    <x v="1"/>
    <s v="Closed"/>
    <m/>
    <n v="12000"/>
    <m/>
    <m/>
    <m/>
    <s v="Feb-24"/>
    <n v="7"/>
    <s v="2024"/>
  </r>
  <r>
    <d v="2024-02-14T00:00:00"/>
    <s v="Vip International school Annual Function"/>
    <s v="Call"/>
    <s v="School"/>
    <s v="Education"/>
    <s v="Miraz"/>
    <s v="Food stall on 16 Feb at function hall"/>
    <n v="100000"/>
    <n v="0"/>
    <x v="7"/>
    <x v="0"/>
    <x v="0"/>
    <s v="Cancelled"/>
    <s v="High Rent"/>
    <n v="20000"/>
    <m/>
    <m/>
    <m/>
    <s v="Feb-24"/>
    <n v="7"/>
    <s v="2024"/>
  </r>
  <r>
    <d v="2024-02-15T00:00:00"/>
    <s v="Narendra Motors"/>
    <s v="F2F"/>
    <s v="Corporate"/>
    <s v="Automobile"/>
    <s v="Narendra "/>
    <s v="introduced to bulk order and gift vouchers"/>
    <n v="10000"/>
    <n v="0"/>
    <x v="5"/>
    <x v="0"/>
    <x v="0"/>
    <s v="Cancelled"/>
    <s v="Event Cancelled"/>
    <n v="2000"/>
    <m/>
    <m/>
    <m/>
    <s v="Feb-24"/>
    <n v="7"/>
    <s v="2024"/>
  </r>
  <r>
    <d v="2024-02-15T00:00:00"/>
    <s v="Delivery at Electronic city"/>
    <s v="Call"/>
    <s v="Corporate"/>
    <s v="IT"/>
    <s v="Anil"/>
    <s v="Delivery of CB and VB on 16 Feb 2024"/>
    <n v="15000"/>
    <n v="0"/>
    <x v="7"/>
    <x v="0"/>
    <x v="0"/>
    <s v="Cancelled"/>
    <s v="Low budget "/>
    <n v="3000"/>
    <m/>
    <m/>
    <m/>
    <s v="Feb-24"/>
    <n v="7"/>
    <s v="2024"/>
  </r>
  <r>
    <d v="2024-02-15T00:00:00"/>
    <s v="DCM Mall Uppal"/>
    <s v="Call"/>
    <s v="Corporate"/>
    <s v="Retail"/>
    <s v="Mehmuda"/>
    <s v="Haleem stall in March"/>
    <n v="30000"/>
    <n v="0"/>
    <x v="5"/>
    <x v="0"/>
    <x v="0"/>
    <s v="Cancelled"/>
    <m/>
    <n v="30000"/>
    <m/>
    <m/>
    <m/>
    <s v="Feb-24"/>
    <n v="7"/>
    <s v="2024"/>
  </r>
  <r>
    <d v="2024-02-16T00:00:00"/>
    <s v="Valeth Hightec Composits"/>
    <s v="Call"/>
    <s v="Corporate"/>
    <s v="Defence &amp; Aerospace"/>
    <s v="Azeem"/>
    <s v="Shared introduction about Bulk order and ODC"/>
    <n v="20000"/>
    <n v="0"/>
    <x v="9"/>
    <x v="0"/>
    <x v="0"/>
    <s v="Cancelled"/>
    <s v="No requirement"/>
    <n v="4000"/>
    <m/>
    <m/>
    <m/>
    <s v="Feb-24"/>
    <n v="7"/>
    <s v="2024"/>
  </r>
  <r>
    <d v="2024-02-16T00:00:00"/>
    <s v="Greenfields Global School"/>
    <s v="F2F"/>
    <s v="School"/>
    <s v="Education"/>
    <s v="Chetan Reddy"/>
    <s v="Introduction to haleem and bulk orders"/>
    <n v="10000"/>
    <n v="0"/>
    <x v="0"/>
    <x v="0"/>
    <x v="0"/>
    <s v="Cancelled"/>
    <s v="No requirement"/>
    <n v="2000"/>
    <m/>
    <m/>
    <m/>
    <s v="Feb-24"/>
    <n v="7"/>
    <s v="2024"/>
  </r>
  <r>
    <d v="2024-02-16T00:00:00"/>
    <s v="Accuvate"/>
    <s v="F2F"/>
    <s v="Corporate"/>
    <s v="IT"/>
    <s v="Harmeet Singh"/>
    <s v="Introduction to team lunch and bulk orders"/>
    <n v="12000"/>
    <n v="0"/>
    <x v="9"/>
    <x v="0"/>
    <x v="0"/>
    <s v="Cancelled"/>
    <s v="No requirement"/>
    <n v="2400"/>
    <m/>
    <m/>
    <m/>
    <s v="Feb-24"/>
    <n v="7"/>
    <s v="2024"/>
  </r>
  <r>
    <d v="2024-02-16T00:00:00"/>
    <s v="Medico Inc"/>
    <s v="F2F"/>
    <s v="Corporate"/>
    <s v="IT"/>
    <s v="Mahesh Reddy"/>
    <s v="Introduction to Team lunch and Haleem"/>
    <n v="10000"/>
    <n v="0"/>
    <x v="0"/>
    <x v="0"/>
    <x v="0"/>
    <s v="Cancelled"/>
    <s v="No requirement"/>
    <n v="2000"/>
    <m/>
    <m/>
    <m/>
    <s v="Feb-24"/>
    <n v="7"/>
    <s v="2024"/>
  </r>
  <r>
    <d v="2024-02-17T00:00:00"/>
    <s v="Delivery at KIMS  Hospital Secundrabad"/>
    <s v="Call"/>
    <s v="Corporate"/>
    <s v="Healthcare"/>
    <s v="Ramakrishna"/>
    <s v="Deliverd CB and VB at Doctors training"/>
    <n v="10500"/>
    <n v="10500"/>
    <x v="7"/>
    <x v="0"/>
    <x v="1"/>
    <s v="Closed"/>
    <m/>
    <n v="2100"/>
    <m/>
    <m/>
    <m/>
    <s v="Feb-24"/>
    <n v="7"/>
    <s v="2024"/>
  </r>
  <r>
    <d v="2024-02-17T00:00:00"/>
    <s v="Delivery at Masabtank"/>
    <s v="Call"/>
    <s v="Events"/>
    <s v="Family Group"/>
    <s v="Sazil"/>
    <s v="Delivery on 19 Feb 2024"/>
    <n v="10000"/>
    <n v="0"/>
    <x v="7"/>
    <x v="0"/>
    <x v="0"/>
    <s v="Cancelled"/>
    <s v="Low budget "/>
    <n v="2000"/>
    <m/>
    <m/>
    <m/>
    <s v="Feb-24"/>
    <n v="7"/>
    <s v="2024"/>
  </r>
  <r>
    <d v="2024-02-18T00:00:00"/>
    <s v="Delivery at Hanmakonda"/>
    <s v="Call"/>
    <s v="Events"/>
    <s v="Family Group"/>
    <s v="Md Zaheeruddin"/>
    <s v="Declivery of CB handi on 20 Feb 2024"/>
    <n v="10000"/>
    <n v="0"/>
    <x v="7"/>
    <x v="0"/>
    <x v="0"/>
    <s v="Cancelled"/>
    <s v="Low budget "/>
    <n v="2000"/>
    <m/>
    <m/>
    <m/>
    <s v="Feb-24"/>
    <n v="7"/>
    <s v="2024"/>
  </r>
  <r>
    <d v="2024-02-18T00:00:00"/>
    <s v="Delivery at Suchitra"/>
    <s v="Call"/>
    <s v="Events"/>
    <s v="Tourism"/>
    <s v="Ramesh"/>
    <s v="Delivery for tourism group for 75 PAX  on 11 March 2024 from Himayathnagar Store"/>
    <n v="12274"/>
    <n v="12274"/>
    <x v="5"/>
    <x v="0"/>
    <x v="1"/>
    <s v="Closed"/>
    <m/>
    <n v="0"/>
    <m/>
    <m/>
    <m/>
    <s v="Feb-24"/>
    <n v="7"/>
    <s v="2024"/>
  </r>
  <r>
    <d v="2024-02-19T00:00:00"/>
    <s v="Symbosys College"/>
    <s v="F2F"/>
    <s v="Events"/>
    <s v="Education"/>
    <s v="Geetika"/>
    <s v="Introduction and Revenue sharing for event"/>
    <n v="40000"/>
    <n v="0"/>
    <x v="5"/>
    <x v="0"/>
    <x v="0"/>
    <s v="Cancelled"/>
    <s v="Less crowd, and too far , not profitable"/>
    <n v="8000"/>
    <m/>
    <m/>
    <m/>
    <s v="Feb-24"/>
    <n v="8"/>
    <s v="2024"/>
  </r>
  <r>
    <d v="2024-02-19T00:00:00"/>
    <s v="Wipro Consumer Division"/>
    <s v="F2F"/>
    <s v="Corporate"/>
    <s v="FMCG"/>
    <s v="Veera Babu"/>
    <s v="Introduction to advance vouchers for dealers"/>
    <n v="50000"/>
    <n v="0"/>
    <x v="6"/>
    <x v="0"/>
    <x v="0"/>
    <s v="Cancelled"/>
    <s v="Event Cancelled"/>
    <n v="10000"/>
    <m/>
    <m/>
    <m/>
    <s v="Feb-24"/>
    <n v="8"/>
    <s v="2024"/>
  </r>
  <r>
    <d v="2024-02-19T00:00:00"/>
    <s v="PTNSU"/>
    <s v="F2F"/>
    <s v="Corporate"/>
    <s v="Manufacturing"/>
    <s v="Bala Prasad"/>
    <s v="Introduction to team lunch and Haleem"/>
    <n v="12000"/>
    <n v="0"/>
    <x v="9"/>
    <x v="0"/>
    <x v="0"/>
    <s v="Cancelled"/>
    <s v="No requirement"/>
    <n v="2400"/>
    <m/>
    <m/>
    <m/>
    <s v="Feb-24"/>
    <n v="8"/>
    <s v="2024"/>
  </r>
  <r>
    <d v="2024-02-19T00:00:00"/>
    <s v="Delivery at Chandrayangutta"/>
    <s v="Call"/>
    <s v="Events"/>
    <s v="Family Group"/>
    <s v="Jaweed"/>
    <s v="Shared quotation for MB Handi"/>
    <n v="10500"/>
    <n v="0"/>
    <x v="7"/>
    <x v="0"/>
    <x v="0"/>
    <s v="Cancelled"/>
    <s v="Low budget "/>
    <n v="2100"/>
    <m/>
    <m/>
    <m/>
    <s v="Feb-24"/>
    <n v="8"/>
    <s v="2024"/>
  </r>
  <r>
    <d v="2024-02-19T00:00:00"/>
    <s v="Delivery at Compass Group Bangalore"/>
    <s v="Call"/>
    <s v="Corporate"/>
    <s v="F&amp;B Agrigator"/>
    <s v="Pankaj"/>
    <s v="Delivery of CB&amp;MB on 21 Feb 2024"/>
    <n v="39300"/>
    <n v="39300"/>
    <x v="7"/>
    <x v="1"/>
    <x v="1"/>
    <s v="Closed"/>
    <m/>
    <n v="0"/>
    <m/>
    <m/>
    <m/>
    <s v="Feb-24"/>
    <n v="8"/>
    <s v="2024"/>
  </r>
  <r>
    <d v="2024-02-20T00:00:00"/>
    <s v="ODC at Bowenpally"/>
    <s v="Call"/>
    <s v="Events"/>
    <s v="Family Group"/>
    <s v="Sandeep"/>
    <s v="Birthday party at dimind point on 16 March 2024"/>
    <n v="23000"/>
    <n v="0"/>
    <x v="5"/>
    <x v="0"/>
    <x v="0"/>
    <s v="Cancelled"/>
    <s v="Event Cancelled"/>
    <n v="4600"/>
    <m/>
    <m/>
    <m/>
    <s v="Feb-24"/>
    <n v="8"/>
    <s v="2024"/>
  </r>
  <r>
    <d v="2024-02-20T00:00:00"/>
    <s v="Sai Shourtya Hospital"/>
    <s v="F2F"/>
    <s v="Corporate"/>
    <s v="Healthcare"/>
    <s v="Sandhya"/>
    <s v="Introduction to Bulk order and Haleem"/>
    <n v="10000"/>
    <n v="0"/>
    <x v="0"/>
    <x v="0"/>
    <x v="0"/>
    <s v="Cancelled"/>
    <s v="No requirement"/>
    <n v="2000"/>
    <m/>
    <m/>
    <m/>
    <s v="Feb-24"/>
    <n v="8"/>
    <s v="2024"/>
  </r>
  <r>
    <d v="2024-02-20T00:00:00"/>
    <s v="V Kraft Software Services"/>
    <s v="F2F"/>
    <s v="Corporate"/>
    <s v="IT"/>
    <s v="Krishna Chaitanya"/>
    <s v="Introduction to Bulk order and Haleem"/>
    <n v="12000"/>
    <n v="0"/>
    <x v="5"/>
    <x v="0"/>
    <x v="0"/>
    <s v="Cancelled"/>
    <s v="Event Cancelled"/>
    <n v="2400"/>
    <m/>
    <m/>
    <m/>
    <s v="Feb-24"/>
    <n v="8"/>
    <s v="2024"/>
  </r>
  <r>
    <d v="2024-02-20T00:00:00"/>
    <s v="Onmni Hospitals"/>
    <s v="F2F"/>
    <s v="Corporate"/>
    <s v="Healthcare"/>
    <s v="Krishna Priya"/>
    <s v="Introduction to team lunch and haleem"/>
    <n v="15000"/>
    <n v="0"/>
    <x v="6"/>
    <x v="0"/>
    <x v="0"/>
    <s v="Cancelled"/>
    <s v="Event Cancelled"/>
    <n v="3000"/>
    <m/>
    <m/>
    <m/>
    <s v="Feb-24"/>
    <n v="8"/>
    <s v="2024"/>
  </r>
  <r>
    <d v="2024-02-21T00:00:00"/>
    <s v="Ozon Hospital "/>
    <s v="F2F"/>
    <s v="Corporate"/>
    <s v="Healthcare"/>
    <s v="Sudarshan"/>
    <s v="Followup for further orders"/>
    <n v="10000"/>
    <n v="0"/>
    <x v="6"/>
    <x v="0"/>
    <x v="0"/>
    <s v="Cancelled"/>
    <s v="Event Cancelled"/>
    <n v="2000"/>
    <m/>
    <m/>
    <m/>
    <s v="Feb-24"/>
    <n v="8"/>
    <s v="2024"/>
  </r>
  <r>
    <d v="2024-02-21T00:00:00"/>
    <s v="Sadguru Management"/>
    <s v="F2F"/>
    <s v="Corporate"/>
    <s v="IT"/>
    <s v="Kapil"/>
    <s v="Introduction to team lunch and corporate gifting"/>
    <n v="15000"/>
    <n v="0"/>
    <x v="9"/>
    <x v="0"/>
    <x v="0"/>
    <s v="Cancelled"/>
    <s v="No requirement"/>
    <n v="3000"/>
    <m/>
    <m/>
    <m/>
    <s v="Feb-24"/>
    <n v="8"/>
    <s v="2024"/>
  </r>
  <r>
    <d v="2024-02-21T00:00:00"/>
    <s v="Wonderla Holidays LTD"/>
    <s v="Call"/>
    <s v="Corporate"/>
    <s v="Entertainment"/>
    <s v="Rajendra Prasad"/>
    <s v="Discussion about haleem sale at amusement park"/>
    <n v="100000"/>
    <n v="0"/>
    <x v="5"/>
    <x v="0"/>
    <x v="0"/>
    <s v="Cancelled"/>
    <s v="They are doing inhouse"/>
    <n v="100000"/>
    <m/>
    <m/>
    <m/>
    <s v="Feb-24"/>
    <n v="8"/>
    <s v="2024"/>
  </r>
  <r>
    <d v="2024-02-21T00:00:00"/>
    <s v="ARI"/>
    <s v="F2F"/>
    <s v="Corporate"/>
    <s v="IT"/>
    <s v="Priyanka "/>
    <s v="Introduction to team lunch and womens day party 8th March"/>
    <n v="20000"/>
    <n v="0"/>
    <x v="5"/>
    <x v="0"/>
    <x v="0"/>
    <s v="Cancelled"/>
    <s v="Cancelled due to pooja"/>
    <n v="4000"/>
    <m/>
    <m/>
    <m/>
    <s v="Feb-24"/>
    <n v="8"/>
    <s v="2024"/>
  </r>
  <r>
    <d v="2024-02-21T00:00:00"/>
    <s v="Delivery at Kondapur"/>
    <s v="Call"/>
    <s v="Events"/>
    <s v="Family Group"/>
    <s v="Mallikarjuna"/>
    <s v="Delivery of CB handi on 24 feb"/>
    <n v="10500"/>
    <n v="0"/>
    <x v="7"/>
    <x v="0"/>
    <x v="0"/>
    <s v="Cancelled"/>
    <s v="Low budget "/>
    <n v="2100"/>
    <m/>
    <m/>
    <m/>
    <s v="Feb-24"/>
    <n v="8"/>
    <s v="2024"/>
  </r>
  <r>
    <d v="2024-02-21T00:00:00"/>
    <s v="Delivery at Dell"/>
    <s v="Call"/>
    <s v="Corporate"/>
    <s v="Events"/>
    <s v="Murlidhar"/>
    <s v="Delivery of CB on 23 Feb 2024"/>
    <n v="8000"/>
    <n v="0"/>
    <x v="7"/>
    <x v="0"/>
    <x v="0"/>
    <s v="Cancelled"/>
    <s v="Event Cancelled"/>
    <n v="1600"/>
    <m/>
    <m/>
    <m/>
    <s v="Feb-24"/>
    <n v="8"/>
    <s v="2024"/>
  </r>
  <r>
    <d v="2024-02-22T00:00:00"/>
    <s v="MSS Law College"/>
    <s v="F2F"/>
    <s v="College"/>
    <s v="Education"/>
    <s v="Abhishekh"/>
    <s v="Introduction to Bulk order and Haleem"/>
    <n v="7000"/>
    <n v="0"/>
    <x v="0"/>
    <x v="0"/>
    <x v="0"/>
    <s v="Cancelled"/>
    <s v="Event not profitable"/>
    <n v="0"/>
    <m/>
    <m/>
    <m/>
    <s v="Feb-24"/>
    <n v="8"/>
    <s v="2024"/>
  </r>
  <r>
    <d v="2024-02-22T00:00:00"/>
    <s v="Perigord"/>
    <s v="F2F"/>
    <s v="Corporate"/>
    <s v="Pharma"/>
    <s v="Aanjan"/>
    <s v="Introduction to team lunch and corporate gifting"/>
    <n v="15000"/>
    <n v="0"/>
    <x v="9"/>
    <x v="0"/>
    <x v="0"/>
    <s v="Cancelled"/>
    <s v="No requirement"/>
    <n v="3000"/>
    <m/>
    <m/>
    <m/>
    <s v="Feb-24"/>
    <n v="8"/>
    <s v="2024"/>
  </r>
  <r>
    <d v="2024-02-23T00:00:00"/>
    <s v="Milan Expo/Naval Academy Vizag"/>
    <s v="Call"/>
    <s v="Events"/>
    <s v="Defence &amp; Aerospace"/>
    <s v="Renin"/>
    <s v="ODC at Naval academy Vizag"/>
    <n v="91389"/>
    <n v="91389"/>
    <x v="7"/>
    <x v="0"/>
    <x v="1"/>
    <s v="Closed"/>
    <m/>
    <n v="18277.8"/>
    <m/>
    <m/>
    <m/>
    <s v="Feb-24"/>
    <n v="8"/>
    <s v="2024"/>
  </r>
  <r>
    <d v="2024-02-23T00:00:00"/>
    <s v="Delivery at Hanmakonda"/>
    <s v="Call"/>
    <s v="Events"/>
    <s v="Family Group"/>
    <s v="Tanveer"/>
    <s v="MB at hanmokonda"/>
    <n v="5100"/>
    <n v="5100"/>
    <x v="7"/>
    <x v="0"/>
    <x v="1"/>
    <s v="Closed"/>
    <m/>
    <n v="1020"/>
    <m/>
    <m/>
    <m/>
    <s v="Feb-24"/>
    <n v="8"/>
    <s v="2024"/>
  </r>
  <r>
    <d v="2024-02-23T00:00:00"/>
    <s v="Astra Microwave"/>
    <s v="F2F"/>
    <s v="Corporate"/>
    <s v="Defence &amp; Aerospace"/>
    <s v="Raghu"/>
    <s v="Introduction to corporate gifting and Bulk delivery"/>
    <n v="12000"/>
    <n v="0"/>
    <x v="9"/>
    <x v="0"/>
    <x v="0"/>
    <s v="Cancelled"/>
    <s v="No requirement"/>
    <n v="2400"/>
    <m/>
    <m/>
    <m/>
    <s v="Feb-24"/>
    <n v="8"/>
    <s v="2024"/>
  </r>
  <r>
    <d v="2024-02-26T00:00:00"/>
    <s v="MSN LABS"/>
    <s v="Call"/>
    <s v="Corporate"/>
    <s v="Pharma"/>
    <s v="Satyanarayana"/>
    <s v="Delivery at Sanathnagar"/>
    <n v="2600000"/>
    <n v="2600000"/>
    <x v="6"/>
    <x v="0"/>
    <x v="1"/>
    <s v="Closed"/>
    <m/>
    <n v="0"/>
    <m/>
    <m/>
    <m/>
    <s v="Feb-24"/>
    <n v="9"/>
    <s v="2024"/>
  </r>
  <r>
    <d v="2024-02-26T00:00:00"/>
    <s v="Metro Rail Nagole"/>
    <s v="Call"/>
    <s v="Corporate"/>
    <s v="Transport"/>
    <s v="Udaya"/>
    <s v="Haleem counters at metro stations"/>
    <n v="0"/>
    <n v="0"/>
    <x v="5"/>
    <x v="0"/>
    <x v="1"/>
    <s v="Closed"/>
    <s v="To be mentioned in kiosk sales seperately"/>
    <n v="0"/>
    <m/>
    <m/>
    <m/>
    <s v="Feb-24"/>
    <n v="9"/>
    <s v="2024"/>
  </r>
  <r>
    <d v="2024-02-26T00:00:00"/>
    <s v="ICICI Bank T Hub"/>
    <s v="F2F"/>
    <s v="Corporate"/>
    <s v="Banking Finance &amp; Insurance"/>
    <s v="Susan"/>
    <s v="Haleem Counter at ICICI Bank"/>
    <n v="100000"/>
    <n v="0"/>
    <x v="5"/>
    <x v="0"/>
    <x v="0"/>
    <s v="Cancelled"/>
    <s v="Cant do directly without Hungerbox"/>
    <n v="20000"/>
    <m/>
    <m/>
    <m/>
    <s v="Feb-24"/>
    <n v="9"/>
    <s v="2024"/>
  </r>
  <r>
    <d v="2024-02-26T00:00:00"/>
    <s v="Renault"/>
    <s v="F2F"/>
    <s v="Corporate"/>
    <s v="Automobile"/>
    <s v="Sudheer"/>
    <s v="Introduction to gift vouchers and Bulk orders"/>
    <n v="20000"/>
    <n v="0"/>
    <x v="0"/>
    <x v="0"/>
    <x v="0"/>
    <s v="Cancelled"/>
    <s v="No requirement"/>
    <n v="4000"/>
    <m/>
    <m/>
    <m/>
    <s v="Feb-24"/>
    <n v="9"/>
    <s v="2024"/>
  </r>
  <r>
    <d v="2024-02-27T00:00:00"/>
    <s v="Take away at secundrabad "/>
    <s v="Call"/>
    <s v="Events"/>
    <s v="Family Group"/>
    <s v="Rajkumar"/>
    <s v="Take away at Secundrabad CB"/>
    <n v="9500"/>
    <n v="9500"/>
    <x v="7"/>
    <x v="0"/>
    <x v="1"/>
    <s v="Closed"/>
    <m/>
    <n v="1900"/>
    <m/>
    <m/>
    <m/>
    <s v="Feb-24"/>
    <n v="9"/>
    <s v="2024"/>
  </r>
  <r>
    <d v="2024-02-27T00:00:00"/>
    <s v="Delivery at Compass Group Bangalore"/>
    <s v="Call"/>
    <s v="Corporate"/>
    <s v="F&amp;B Agrigator"/>
    <s v="Pankaj"/>
    <s v="Delivery of Special CB &amp; MB Handi on 28 Feb 2024"/>
    <n v="42686"/>
    <n v="42686"/>
    <x v="7"/>
    <x v="1"/>
    <x v="1"/>
    <s v="Closed"/>
    <m/>
    <n v="0"/>
    <m/>
    <m/>
    <m/>
    <s v="Feb-24"/>
    <n v="9"/>
    <s v="2024"/>
  </r>
  <r>
    <d v="2024-02-28T00:00:00"/>
    <s v="Delivery at KPMG Banglore"/>
    <s v="Call"/>
    <s v="Corporate"/>
    <s v="IT"/>
    <s v="Sridhar"/>
    <s v="Delivery of CB at KPMG"/>
    <n v="17643"/>
    <n v="17643"/>
    <x v="7"/>
    <x v="1"/>
    <x v="1"/>
    <s v="Closed"/>
    <m/>
    <n v="3528.6000000000004"/>
    <m/>
    <m/>
    <m/>
    <s v="Feb-24"/>
    <n v="9"/>
    <s v="2024"/>
  </r>
  <r>
    <d v="2024-02-28T00:00:00"/>
    <s v="Delivery at Boaduppal"/>
    <s v="Call"/>
    <s v="Events"/>
    <s v="Family Group"/>
    <m/>
    <s v="Delivery of CB Handi on 10 March 2024"/>
    <n v="10500"/>
    <n v="0"/>
    <x v="5"/>
    <x v="0"/>
    <x v="0"/>
    <s v="Cancelled"/>
    <s v="Event Cancelled"/>
    <n v="2100"/>
    <m/>
    <m/>
    <m/>
    <s v="Feb-24"/>
    <n v="9"/>
    <s v="2024"/>
  </r>
  <r>
    <d v="2024-02-29T00:00:00"/>
    <s v="MSN Labs"/>
    <s v="F2F"/>
    <s v="Corporate"/>
    <s v="Pharma"/>
    <s v="Sumit"/>
    <s v="Introduction to Corporate Gifting and Buffet"/>
    <n v="30000"/>
    <n v="0"/>
    <x v="9"/>
    <x v="0"/>
    <x v="0"/>
    <s v="Cancelled"/>
    <s v="No requirement"/>
    <n v="6000"/>
    <m/>
    <m/>
    <m/>
    <s v="Feb-24"/>
    <n v="9"/>
    <s v="2024"/>
  </r>
  <r>
    <d v="2024-03-01T00:00:00"/>
    <s v="Delivery at As rao nagar"/>
    <s v="Call"/>
    <s v="Events"/>
    <s v="Family Group"/>
    <s v="Mallikarjuna"/>
    <s v="Delivery of Cb on 4 April 2024"/>
    <n v="21000"/>
    <n v="0"/>
    <x v="0"/>
    <x v="0"/>
    <x v="0"/>
    <s v="Cancelled"/>
    <s v="Postpond to 12/4/2024"/>
    <n v="4200"/>
    <m/>
    <m/>
    <m/>
    <s v="Mar-24"/>
    <n v="9"/>
    <s v="2024"/>
  </r>
  <r>
    <d v="2024-03-01T00:00:00"/>
    <s v="Delivery at Malkajgiri"/>
    <s v="Call"/>
    <s v="Events"/>
    <s v="Family Group"/>
    <s v="Bharath"/>
    <s v="Delivery of haleem on 11 March 2024"/>
    <n v="20000"/>
    <n v="0"/>
    <x v="5"/>
    <x v="0"/>
    <x v="0"/>
    <s v="Cancelled"/>
    <s v="Wasnnot profitable for him to re sale haleem"/>
    <n v="4000"/>
    <m/>
    <m/>
    <m/>
    <s v="Mar-24"/>
    <n v="9"/>
    <s v="2024"/>
  </r>
  <r>
    <d v="2024-03-01T00:00:00"/>
    <s v="Take away at Gachibowli"/>
    <s v="Call"/>
    <s v="School"/>
    <s v="Education"/>
    <s v="Usha"/>
    <s v="30 Packs of Sandy cake for little amigos school on 2 March 2024"/>
    <n v="1200"/>
    <n v="1200"/>
    <x v="5"/>
    <x v="0"/>
    <x v="1"/>
    <s v="Closed"/>
    <m/>
    <n v="240"/>
    <m/>
    <m/>
    <m/>
    <s v="Mar-24"/>
    <n v="9"/>
    <s v="2024"/>
  </r>
  <r>
    <d v="2024-03-01T00:00:00"/>
    <s v="Delivery at Compass Group Bangalore"/>
    <s v="Call"/>
    <s v="Corporate"/>
    <s v="F&amp;B Agrigator"/>
    <s v="Pankaj"/>
    <s v="Delivery of Special CB &amp; MB Handi on 6 March 2024"/>
    <n v="45112"/>
    <n v="45112"/>
    <x v="5"/>
    <x v="0"/>
    <x v="1"/>
    <s v="Closed"/>
    <m/>
    <n v="0"/>
    <m/>
    <m/>
    <m/>
    <s v="Mar-24"/>
    <n v="9"/>
    <s v="2024"/>
  </r>
  <r>
    <d v="2024-03-04T00:00:00"/>
    <s v="Delivery at Charminar"/>
    <s v="Call"/>
    <s v="Corporate"/>
    <s v="F&amp;B Agrigator"/>
    <s v="Rajesh"/>
    <s v="Delivery of MB on 5 March 2024"/>
    <n v="3500"/>
    <n v="3500"/>
    <x v="5"/>
    <x v="0"/>
    <x v="1"/>
    <s v="Closed"/>
    <m/>
    <n v="700"/>
    <m/>
    <m/>
    <m/>
    <s v="Mar-24"/>
    <n v="10"/>
    <s v="2024"/>
  </r>
  <r>
    <d v="2024-03-05T00:00:00"/>
    <s v="Archana Travels"/>
    <s v="Call"/>
    <s v="Corporate"/>
    <s v="Tourism"/>
    <s v="Abhilash Reddy"/>
    <s v="Introduction to Bulk order and Haleem"/>
    <n v="10000"/>
    <n v="0"/>
    <x v="6"/>
    <x v="0"/>
    <x v="0"/>
    <s v="Cancelled"/>
    <s v="Event Cancelled"/>
    <n v="2000"/>
    <m/>
    <m/>
    <m/>
    <s v="Mar-24"/>
    <n v="10"/>
    <s v="2024"/>
  </r>
  <r>
    <d v="2024-03-05T00:00:00"/>
    <s v="NIFT Craft Event 2024"/>
    <s v="F2F"/>
    <s v="College"/>
    <s v="Education"/>
    <s v="Aastha"/>
    <s v="Fest on 14,15, 16 March 2024"/>
    <n v="40000"/>
    <n v="0"/>
    <x v="5"/>
    <x v="0"/>
    <x v="0"/>
    <s v="Cancelled"/>
    <s v="Less Footfall"/>
    <n v="8000"/>
    <m/>
    <m/>
    <m/>
    <s v="Mar-24"/>
    <n v="10"/>
    <s v="2024"/>
  </r>
  <r>
    <d v="2024-03-05T00:00:00"/>
    <s v="MNR College"/>
    <s v="Call"/>
    <s v="College"/>
    <s v="Education"/>
    <s v="Chaitanya"/>
    <s v="Introduction to Bulk order and Haleem"/>
    <n v="10000"/>
    <n v="0"/>
    <x v="9"/>
    <x v="0"/>
    <x v="0"/>
    <s v="Cancelled"/>
    <s v="No requirement"/>
    <n v="2000"/>
    <m/>
    <m/>
    <m/>
    <s v="Mar-24"/>
    <n v="10"/>
    <s v="2024"/>
  </r>
  <r>
    <d v="2024-03-06T00:00:00"/>
    <s v="Delivery at Kachiguda"/>
    <s v="F2F"/>
    <s v="Events"/>
    <s v="Family Group"/>
    <s v="Ramesh"/>
    <s v="Delivery og 80 CB on 11March 2024"/>
    <n v="12500"/>
    <n v="12500"/>
    <x v="5"/>
    <x v="0"/>
    <x v="1"/>
    <s v="Closed"/>
    <m/>
    <n v="2500"/>
    <m/>
    <m/>
    <m/>
    <s v="Mar-24"/>
    <n v="10"/>
    <s v="2024"/>
  </r>
  <r>
    <d v="2024-03-06T00:00:00"/>
    <s v="Opentext"/>
    <s v="Call"/>
    <s v="Corporate"/>
    <s v="IT"/>
    <s v="Chaitnya"/>
    <s v="Introduction to Bulk order and Haleem"/>
    <n v="10000"/>
    <n v="0"/>
    <x v="9"/>
    <x v="0"/>
    <x v="0"/>
    <s v="Cancelled"/>
    <s v="No requirement"/>
    <n v="2000"/>
    <m/>
    <m/>
    <m/>
    <s v="Mar-24"/>
    <n v="10"/>
    <s v="2024"/>
  </r>
  <r>
    <d v="2024-03-06T00:00:00"/>
    <s v="Thrithi Event at ICFAI College"/>
    <s v="F2F"/>
    <s v="College"/>
    <s v="Education"/>
    <s v="Ramya"/>
    <s v="Duscussion of College event on 21,22 &amp; 23 March 2024"/>
    <n v="60000"/>
    <n v="0"/>
    <x v="5"/>
    <x v="0"/>
    <x v="0"/>
    <s v="Cancelled"/>
    <s v="Not Profitable, no exclusivity"/>
    <n v="12000"/>
    <m/>
    <m/>
    <m/>
    <s v="Mar-24"/>
    <n v="10"/>
    <s v="2024"/>
  </r>
  <r>
    <d v="2024-03-07T00:00:00"/>
    <s v="Thinci Semiconductors"/>
    <s v="F2F"/>
    <s v="Corporate"/>
    <s v="IT"/>
    <s v="Keshav"/>
    <s v="Introduction to Team lunch and Haleem"/>
    <n v="12000"/>
    <n v="0"/>
    <x v="9"/>
    <x v="0"/>
    <x v="0"/>
    <s v="Cancelled"/>
    <s v="No requirement"/>
    <n v="2400"/>
    <m/>
    <m/>
    <m/>
    <s v="Mar-24"/>
    <n v="10"/>
    <s v="2024"/>
  </r>
  <r>
    <d v="2024-03-07T00:00:00"/>
    <s v="LCGS Church"/>
    <s v="F2F"/>
    <s v="Events"/>
    <s v="Family Group"/>
    <s v="Daisy"/>
    <s v="Introduction to Bulk order and Haleem"/>
    <n v="10000"/>
    <n v="0"/>
    <x v="9"/>
    <x v="0"/>
    <x v="0"/>
    <s v="Cancelled"/>
    <s v="No requirement"/>
    <n v="2000"/>
    <m/>
    <m/>
    <m/>
    <s v="Mar-24"/>
    <n v="10"/>
    <s v="2024"/>
  </r>
  <r>
    <d v="2024-03-07T00:00:00"/>
    <s v="Relax Holidays"/>
    <s v="Call"/>
    <s v="Events"/>
    <s v="Tourism"/>
    <s v="Dastagir Khan"/>
    <s v="Introduction to bulk food delivery for tourist group"/>
    <n v="10000"/>
    <n v="0"/>
    <x v="0"/>
    <x v="0"/>
    <x v="0"/>
    <s v="Cancelled"/>
    <s v="No requirement"/>
    <n v="2000"/>
    <m/>
    <m/>
    <m/>
    <s v="Mar-24"/>
    <n v="10"/>
    <s v="2024"/>
  </r>
  <r>
    <d v="2024-03-07T00:00:00"/>
    <s v="Aneesh College of Commerce"/>
    <s v="F2F"/>
    <s v="College"/>
    <s v="Education"/>
    <s v="Gajanand"/>
    <s v="Introduction to bulk delivery and College Annual Day Celebration"/>
    <n v="12000"/>
    <n v="0"/>
    <x v="9"/>
    <x v="0"/>
    <x v="0"/>
    <s v="Cancelled"/>
    <s v="No requirement"/>
    <n v="2400"/>
    <m/>
    <m/>
    <m/>
    <s v="Mar-24"/>
    <n v="10"/>
    <s v="2024"/>
  </r>
  <r>
    <d v="2024-03-08T00:00:00"/>
    <s v="L&amp;T Finance"/>
    <s v="F2F"/>
    <s v="Corporate"/>
    <s v="Transport"/>
    <s v="Diurgaprasad"/>
    <s v="TeaM Lunch on 9 March 2024 (Advance collected in Bank)"/>
    <n v="13000"/>
    <n v="13000"/>
    <x v="5"/>
    <x v="0"/>
    <x v="1"/>
    <s v="Closed"/>
    <m/>
    <n v="0"/>
    <m/>
    <m/>
    <m/>
    <s v="Mar-24"/>
    <n v="10"/>
    <s v="2024"/>
  </r>
  <r>
    <d v="2024-03-08T00:00:00"/>
    <s v="IPL (UPPAL STADIUM)"/>
    <s v="Call"/>
    <s v="Corporate"/>
    <s v="Sports"/>
    <s v="Abhinav"/>
    <s v="Haleem and biryani counter, 27 March 2024"/>
    <n v="100000"/>
    <n v="0"/>
    <x v="5"/>
    <x v="0"/>
    <x v="0"/>
    <s v="Cancelled"/>
    <s v="Not Profitable"/>
    <n v="20000"/>
    <m/>
    <m/>
    <m/>
    <s v="Mar-24"/>
    <n v="10"/>
    <s v="2024"/>
  </r>
  <r>
    <d v="2024-03-08T00:00:00"/>
    <s v="Bhavans Vivekenand College"/>
    <s v="Call"/>
    <s v="School"/>
    <s v="Education"/>
    <s v="Shivani"/>
    <s v="Introduction to Haleem and Biryani"/>
    <n v="10000"/>
    <n v="0"/>
    <x v="9"/>
    <x v="0"/>
    <x v="0"/>
    <s v="Cancelled"/>
    <s v="No requirement"/>
    <n v="2000"/>
    <m/>
    <m/>
    <m/>
    <s v="Mar-24"/>
    <n v="10"/>
    <s v="2024"/>
  </r>
  <r>
    <d v="2024-03-08T00:00:00"/>
    <s v="Haleem Counter at Infosys"/>
    <s v="Call"/>
    <s v="Corporate "/>
    <s v="IT"/>
    <s v="Mahesh"/>
    <s v="Introduction to haleem counter on 10% discount Basis"/>
    <n v="0"/>
    <n v="0"/>
    <x v="5"/>
    <x v="0"/>
    <x v="1"/>
    <s v="Closed"/>
    <s v="Closed for entire season on weekdays"/>
    <n v="0"/>
    <m/>
    <m/>
    <m/>
    <s v="Mar-24"/>
    <n v="10"/>
    <s v="2024"/>
  </r>
  <r>
    <d v="2024-03-08T00:00:00"/>
    <s v="Pepsico"/>
    <s v="Call"/>
    <s v="Corporate"/>
    <s v="FMCG"/>
    <s v="Rinku"/>
    <s v="Introduction to haleem counter on 10% discount Basis"/>
    <n v="80000"/>
    <n v="0"/>
    <x v="5"/>
    <x v="0"/>
    <x v="0"/>
    <s v="Cancelled"/>
    <s v="Cant do directly without Hungerbox"/>
    <n v="16000"/>
    <m/>
    <m/>
    <m/>
    <s v="Mar-24"/>
    <n v="10"/>
    <s v="2024"/>
  </r>
  <r>
    <d v="2024-03-08T00:00:00"/>
    <s v="HCL "/>
    <s v="F2F"/>
    <s v="Corporate"/>
    <s v="IT"/>
    <s v="Deepthisree"/>
    <s v="Introduction to Teamlunch &amp; Haleem"/>
    <n v="12000"/>
    <n v="0"/>
    <x v="9"/>
    <x v="0"/>
    <x v="0"/>
    <s v="Cancelled"/>
    <s v="No requirement"/>
    <n v="2400"/>
    <m/>
    <m/>
    <m/>
    <s v="Mar-24"/>
    <n v="10"/>
    <s v="2024"/>
  </r>
  <r>
    <d v="2024-03-08T00:00:00"/>
    <s v="Parexel International"/>
    <s v="F2F"/>
    <s v="Corporate"/>
    <s v="IT"/>
    <s v="Gokul"/>
    <s v="Introduction to Teamlunch &amp; Haleem"/>
    <n v="10000"/>
    <n v="0"/>
    <x v="9"/>
    <x v="0"/>
    <x v="0"/>
    <s v="Cancelled"/>
    <s v="No requirement"/>
    <n v="2000"/>
    <m/>
    <m/>
    <m/>
    <s v="Mar-24"/>
    <n v="10"/>
    <s v="2024"/>
  </r>
  <r>
    <d v="2024-03-09T00:00:00"/>
    <s v="Tourist Group from Pune"/>
    <s v="Call"/>
    <s v="Corporate"/>
    <s v="Tourism"/>
    <s v="Deepak"/>
    <s v="42 PAX delivery at Nampally railway station"/>
    <n v="15000"/>
    <n v="15000"/>
    <x v="5"/>
    <x v="0"/>
    <x v="1"/>
    <s v="Closed"/>
    <m/>
    <n v="3000"/>
    <m/>
    <m/>
    <m/>
    <s v="Mar-24"/>
    <n v="10"/>
    <s v="2024"/>
  </r>
  <r>
    <d v="2024-03-11T00:00:00"/>
    <s v="Haleem Counter at L&amp;T Mall Moosarambag"/>
    <s v="F2F"/>
    <s v="Corporate"/>
    <s v="Retail"/>
    <s v="Ashok"/>
    <s v="Haleem counter at mall"/>
    <n v="120000"/>
    <n v="0"/>
    <x v="5"/>
    <x v="0"/>
    <x v="0"/>
    <s v="Cancelled"/>
    <s v="Cancelled due to less footfall"/>
    <n v="24000"/>
    <m/>
    <m/>
    <m/>
    <s v="Mar-24"/>
    <n v="11"/>
    <s v="2024"/>
  </r>
  <r>
    <d v="2024-03-11T00:00:00"/>
    <s v="Rounak A Ramzan, Malakpet"/>
    <s v="F2F"/>
    <s v="Events"/>
    <s v="Events"/>
    <s v="Aamir"/>
    <s v="Haleem Kiosk at the event"/>
    <n v="100000"/>
    <n v="0"/>
    <x v="5"/>
    <x v="0"/>
    <x v="0"/>
    <s v="Cancelled"/>
    <s v="No exclusivity"/>
    <n v="20000"/>
    <m/>
    <m/>
    <m/>
    <s v="Mar-24"/>
    <n v="11"/>
    <s v="2024"/>
  </r>
  <r>
    <d v="2024-03-11T00:00:00"/>
    <s v="Event Supply of Cooldrinks"/>
    <s v="Call"/>
    <s v="Events"/>
    <s v="Family Group"/>
    <s v="Vamshi"/>
    <s v="Cooldrinks Bulk take away at kukatpally"/>
    <n v="5400"/>
    <n v="5400"/>
    <x v="5"/>
    <x v="0"/>
    <x v="1"/>
    <s v="Closed"/>
    <m/>
    <n v="1080"/>
    <m/>
    <m/>
    <m/>
    <s v="Mar-24"/>
    <n v="11"/>
    <s v="2024"/>
  </r>
  <r>
    <d v="2024-03-11T00:00:00"/>
    <s v="Galleria Mall Moosarambag"/>
    <s v="F2F"/>
    <s v="Events"/>
    <s v="Events"/>
    <s v="Mahesh"/>
    <s v="Haleem Counter at Galleria Summer Expo"/>
    <n v="80000"/>
    <n v="0"/>
    <x v="5"/>
    <x v="0"/>
    <x v="0"/>
    <s v="Cancelled"/>
    <s v="No desired location"/>
    <n v="16000"/>
    <m/>
    <m/>
    <m/>
    <s v="Mar-24"/>
    <n v="11"/>
    <s v="2024"/>
  </r>
  <r>
    <d v="2024-03-11T00:00:00"/>
    <s v="Yashoda Hospital Malakpet"/>
    <s v="F2F"/>
    <s v="Corporate"/>
    <s v="Healthcare"/>
    <s v="Rekha"/>
    <s v="Introduction to Bulk delivery for Doctors"/>
    <n v="10000"/>
    <n v="0"/>
    <x v="9"/>
    <x v="0"/>
    <x v="0"/>
    <s v="Cancelled"/>
    <s v="No requirement"/>
    <n v="2000"/>
    <m/>
    <m/>
    <m/>
    <s v="Mar-24"/>
    <n v="11"/>
    <s v="2024"/>
  </r>
  <r>
    <d v="2024-03-12T00:00:00"/>
    <s v="IPL (UPPAL STADIUM)"/>
    <s v="F2F"/>
    <s v="Corporate"/>
    <s v="Sports"/>
    <s v="Gaurav"/>
    <s v="Discussion for 4 stalls of haleem at IPL"/>
    <n v="200000"/>
    <n v="0"/>
    <x v="5"/>
    <x v="0"/>
    <x v="0"/>
    <s v="Cancelled"/>
    <s v="P&amp;L not Profitable"/>
    <n v="40000"/>
    <m/>
    <m/>
    <m/>
    <s v="Mar-24"/>
    <n v="11"/>
    <s v="2024"/>
  </r>
  <r>
    <d v="2024-03-12T00:00:00"/>
    <s v="Kanha Shantivanam"/>
    <s v="Call"/>
    <s v="Corporate"/>
    <s v="Tourism"/>
    <s v="Srinivas"/>
    <s v="Proposal Shared"/>
    <n v="100000"/>
    <n v="0"/>
    <x v="5"/>
    <x v="0"/>
    <x v="0"/>
    <s v="Cancelled"/>
    <s v="Outside vendor not allowed"/>
    <n v="20000"/>
    <m/>
    <m/>
    <m/>
    <s v="Mar-24"/>
    <n v="11"/>
    <s v="2024"/>
  </r>
  <r>
    <d v="2024-03-12T00:00:00"/>
    <s v="Cyient LTD UPPAL"/>
    <s v="F2F"/>
    <s v="Corporate"/>
    <s v="IT"/>
    <s v="Sneha"/>
    <s v="Shared introduction to Haleem Counter for ramzan"/>
    <n v="12000"/>
    <n v="0"/>
    <x v="0"/>
    <x v="0"/>
    <x v="0"/>
    <s v="Cancelled"/>
    <s v="No requirement"/>
    <n v="2400"/>
    <m/>
    <m/>
    <m/>
    <s v="Mar-24"/>
    <n v="11"/>
    <s v="2024"/>
  </r>
  <r>
    <d v="2024-03-13T00:00:00"/>
    <s v="Infosys Campus PocharaM"/>
    <s v="F2F"/>
    <s v="Corporate"/>
    <s v="IT"/>
    <s v="Prasad"/>
    <s v="Discussion of Team lunch and ODC at campus, and sining the agreement for Haleem counter. And Location"/>
    <n v="0"/>
    <n v="0"/>
    <x v="5"/>
    <x v="0"/>
    <x v="1"/>
    <s v="Closed"/>
    <s v="Mentioned below date wise"/>
    <n v="0"/>
    <m/>
    <m/>
    <m/>
    <s v="Mar-24"/>
    <n v="11"/>
    <s v="2024"/>
  </r>
  <r>
    <d v="2024-03-13T00:00:00"/>
    <s v="Holy Event at Madhapur by Swiggy"/>
    <s v="Call"/>
    <s v="Events"/>
    <s v="Events"/>
    <s v="Arpita"/>
    <s v="Discussed about counter at Holy event 25 March"/>
    <n v="50000"/>
    <n v="0"/>
    <x v="5"/>
    <x v="0"/>
    <x v="0"/>
    <s v="Cancelled"/>
    <s v="Cancelled due to less footfall"/>
    <n v="10000"/>
    <m/>
    <m/>
    <m/>
    <s v="Mar-24"/>
    <n v="11"/>
    <s v="2024"/>
  </r>
  <r>
    <d v="2024-03-13T00:00:00"/>
    <s v="Kukdukoo Event in Bangalore"/>
    <s v="Call"/>
    <s v="Exhibition"/>
    <s v="Events"/>
    <s v="Shubham"/>
    <s v="food counter at event on 6th and 7 April 2024"/>
    <n v="100000"/>
    <n v="0"/>
    <x v="5"/>
    <x v="0"/>
    <x v="0"/>
    <s v="Cancelled"/>
    <s v="Cancelled as nonveg not allowed"/>
    <n v="20000"/>
    <m/>
    <m/>
    <m/>
    <s v="Mar-24"/>
    <n v="11"/>
    <s v="2024"/>
  </r>
  <r>
    <d v="2024-03-13T00:00:00"/>
    <s v="Delivery at Compass Group Bangalore"/>
    <s v="Call"/>
    <s v="Corporate"/>
    <s v="F&amp;B Agrigator"/>
    <s v="Pankaj"/>
    <s v="Delivery of 25 Special CB on 13 March 2024"/>
    <n v="11553"/>
    <n v="11553"/>
    <x v="5"/>
    <x v="1"/>
    <x v="1"/>
    <s v="Closed"/>
    <m/>
    <n v="0"/>
    <m/>
    <m/>
    <m/>
    <s v="Mar-24"/>
    <n v="11"/>
    <s v="2024"/>
  </r>
  <r>
    <d v="2024-03-13T00:00:00"/>
    <s v="Delivery at Electronic City Banglore"/>
    <s v="Call"/>
    <s v="Events"/>
    <s v="Family Group"/>
    <s v="Sarmila"/>
    <s v="Delivery of CB at Electronic city on 19 March 2024"/>
    <n v="8000"/>
    <n v="8000"/>
    <x v="5"/>
    <x v="1"/>
    <x v="1"/>
    <s v="Closed"/>
    <m/>
    <n v="0"/>
    <m/>
    <m/>
    <m/>
    <s v="Mar-24"/>
    <n v="11"/>
    <s v="2024"/>
  </r>
  <r>
    <d v="2024-03-13T00:00:00"/>
    <s v="Sage International School Medipally"/>
    <s v="F2F"/>
    <s v="School"/>
    <s v="Education"/>
    <s v="Rekha Reddy"/>
    <s v="Introduction to Bulk order and Bakery products"/>
    <n v="12000"/>
    <n v="0"/>
    <x v="0"/>
    <x v="0"/>
    <x v="0"/>
    <s v="Cancelled"/>
    <s v="No requirement"/>
    <n v="2400"/>
    <m/>
    <m/>
    <m/>
    <s v="Mar-24"/>
    <n v="11"/>
    <s v="2024"/>
  </r>
  <r>
    <d v="2024-03-13T00:00:00"/>
    <s v="Delivery at West Maradpally Orphanage"/>
    <s v="F2F"/>
    <s v="Orphanage"/>
    <s v="Orphanage &amp; NGO"/>
    <s v="Marvin "/>
    <s v="Advance received for 31 Mar 2024"/>
    <n v="15000"/>
    <n v="15000"/>
    <x v="5"/>
    <x v="0"/>
    <x v="1"/>
    <s v="Closed"/>
    <m/>
    <n v="0"/>
    <m/>
    <m/>
    <m/>
    <s v="Mar-24"/>
    <n v="11"/>
    <s v="2024"/>
  </r>
  <r>
    <d v="2024-03-14T00:00:00"/>
    <s v="Sanofi"/>
    <s v="F2F"/>
    <s v="Corporate"/>
    <s v="Pharma"/>
    <s v="Harish"/>
    <s v="Introduction to Haleem and Bulk delivery"/>
    <n v="20000"/>
    <n v="0"/>
    <x v="9"/>
    <x v="0"/>
    <x v="0"/>
    <s v="Cancelled"/>
    <s v="No requirement"/>
    <n v="4000"/>
    <m/>
    <m/>
    <m/>
    <s v="Mar-24"/>
    <n v="11"/>
    <s v="2024"/>
  </r>
  <r>
    <d v="2024-03-14T00:00:00"/>
    <s v="Dr Reddys"/>
    <s v="F2F"/>
    <s v="Corporate"/>
    <s v="Pharma"/>
    <s v="Arvind"/>
    <s v="Introduction to Haleem and Bulk delivery"/>
    <n v="15000"/>
    <n v="0"/>
    <x v="9"/>
    <x v="0"/>
    <x v="0"/>
    <s v="Cancelled"/>
    <s v="No requirement"/>
    <n v="3000"/>
    <m/>
    <m/>
    <m/>
    <s v="Mar-24"/>
    <n v="11"/>
    <s v="2024"/>
  </r>
  <r>
    <d v="2024-03-14T00:00:00"/>
    <s v="Ramtech"/>
    <s v="F2F"/>
    <s v="Corporate"/>
    <s v="IT"/>
    <s v="Venkat"/>
    <s v="Introduction to team lunch and corporate gifting"/>
    <n v="10000"/>
    <n v="0"/>
    <x v="0"/>
    <x v="0"/>
    <x v="0"/>
    <s v="Cancelled"/>
    <s v="No requirement"/>
    <n v="2000"/>
    <m/>
    <m/>
    <m/>
    <s v="Mar-24"/>
    <n v="11"/>
    <s v="2024"/>
  </r>
  <r>
    <d v="2024-03-15T00:00:00"/>
    <s v="ODC at JNC Masjid Bangalore"/>
    <s v="Call"/>
    <s v="Events"/>
    <s v="Community"/>
    <s v="Vinod"/>
    <s v="ODC at JCN Road on 13&amp; 14 March 2024"/>
    <n v="12427"/>
    <n v="12427"/>
    <x v="5"/>
    <x v="1"/>
    <x v="1"/>
    <s v="Closed"/>
    <m/>
    <n v="12420"/>
    <m/>
    <m/>
    <m/>
    <s v="Mar-24"/>
    <n v="11"/>
    <s v="2024"/>
  </r>
  <r>
    <d v="2024-03-15T00:00:00"/>
    <s v="ODC at JNC Masjid Bangalore"/>
    <s v="Call"/>
    <s v="Events"/>
    <s v="Community"/>
    <s v="Vinod"/>
    <s v="ODC at JCN Road on 15 March 2024"/>
    <n v="21372"/>
    <n v="21372"/>
    <x v="5"/>
    <x v="1"/>
    <x v="1"/>
    <s v="Closed"/>
    <m/>
    <n v="21372"/>
    <m/>
    <m/>
    <m/>
    <s v="Mar-24"/>
    <n v="11"/>
    <s v="2024"/>
  </r>
  <r>
    <d v="2024-03-15T00:00:00"/>
    <s v="Delivery at MGIT Gandipet"/>
    <s v="Call"/>
    <s v="College"/>
    <s v="Education"/>
    <s v="Shyam Sundar"/>
    <s v="CB Handi Delivery on 20 March 2024 for 600 People"/>
    <n v="127000"/>
    <n v="0"/>
    <x v="5"/>
    <x v="0"/>
    <x v="0"/>
    <s v="Cancelled"/>
    <s v="Procured from college canteen"/>
    <n v="0"/>
    <m/>
    <m/>
    <m/>
    <s v="Mar-24"/>
    <n v="11"/>
    <s v="2024"/>
  </r>
  <r>
    <d v="2024-03-16T00:00:00"/>
    <s v="ODC at JNC Masjid Bangalore"/>
    <s v="Call"/>
    <s v="Events"/>
    <s v="Community"/>
    <s v="Vinod"/>
    <s v="ODC at JCN Road on 16 March 2024"/>
    <n v="51930"/>
    <n v="51930"/>
    <x v="5"/>
    <x v="1"/>
    <x v="1"/>
    <s v="Closed"/>
    <m/>
    <n v="51930"/>
    <m/>
    <m/>
    <m/>
    <s v="Mar-24"/>
    <n v="11"/>
    <s v="2024"/>
  </r>
  <r>
    <d v="2024-03-16T00:00:00"/>
    <s v="Take away at Gachibowli"/>
    <s v="Call"/>
    <s v="Events"/>
    <s v="Family Group"/>
    <s v="Mytree"/>
    <s v="Take away for house party"/>
    <n v="3200"/>
    <n v="3200"/>
    <x v="5"/>
    <x v="0"/>
    <x v="1"/>
    <s v="Closed"/>
    <m/>
    <n v="640"/>
    <m/>
    <m/>
    <m/>
    <s v="Mar-24"/>
    <n v="11"/>
    <s v="2024"/>
  </r>
  <r>
    <d v="2024-03-16T00:00:00"/>
    <s v="NALSAR Univercity Fest"/>
    <s v="Call"/>
    <s v="College"/>
    <s v="Education"/>
    <s v="Hafsa"/>
    <s v="22nd to 24 March 2024"/>
    <n v="20000"/>
    <n v="0"/>
    <x v="5"/>
    <x v="0"/>
    <x v="0"/>
    <s v="Cancelled"/>
    <s v="Less students participating"/>
    <n v="4000"/>
    <m/>
    <m/>
    <m/>
    <s v="Mar-24"/>
    <n v="11"/>
    <s v="2024"/>
  </r>
  <r>
    <d v="2024-03-17T00:00:00"/>
    <s v="Delivery of CB at Secundrabad"/>
    <s v="Call"/>
    <s v="Events"/>
    <s v="Family Group"/>
    <s v="Shahan"/>
    <s v="Delivery of 30 PAX CB &amp; Starter"/>
    <n v="11000"/>
    <n v="0"/>
    <x v="5"/>
    <x v="0"/>
    <x v="0"/>
    <s v="Cancelled"/>
    <s v="Budget Issue"/>
    <n v="0"/>
    <m/>
    <m/>
    <m/>
    <s v="Mar-24"/>
    <n v="11"/>
    <s v="2024"/>
  </r>
  <r>
    <d v="2024-03-17T00:00:00"/>
    <s v="ODC at JNC Masjid Bangalore"/>
    <s v="Call"/>
    <s v="Events"/>
    <s v="Community"/>
    <s v="Vinod"/>
    <s v="ODC at JCN Road on 17 March 2024"/>
    <n v="82548"/>
    <n v="82548"/>
    <x v="5"/>
    <x v="1"/>
    <x v="1"/>
    <s v="Closed"/>
    <m/>
    <n v="82548"/>
    <m/>
    <m/>
    <m/>
    <s v="Mar-24"/>
    <n v="11"/>
    <s v="2024"/>
  </r>
  <r>
    <d v="2024-03-18T00:00:00"/>
    <s v="Delivery at Secundrabad"/>
    <s v="Call"/>
    <s v="Events"/>
    <s v="Family Group"/>
    <s v="Manish"/>
    <s v="Delivery on 22 March 2024"/>
    <n v="4000"/>
    <n v="4000"/>
    <x v="5"/>
    <x v="0"/>
    <x v="1"/>
    <s v="Closed"/>
    <m/>
    <n v="0"/>
    <m/>
    <m/>
    <m/>
    <s v="Mar-24"/>
    <n v="12"/>
    <s v="2024"/>
  </r>
  <r>
    <d v="2024-03-18T00:00:00"/>
    <s v="ODC at JNC Masjid Bangalore"/>
    <s v="Call"/>
    <s v="Events"/>
    <s v="Community"/>
    <s v="Vinod"/>
    <s v="ODC at JCN Road on 18 March"/>
    <n v="18552"/>
    <n v="18552"/>
    <x v="5"/>
    <x v="1"/>
    <x v="1"/>
    <s v="Closed"/>
    <m/>
    <n v="18552"/>
    <m/>
    <m/>
    <m/>
    <s v="Mar-24"/>
    <n v="12"/>
    <s v="2024"/>
  </r>
  <r>
    <d v="2024-03-18T00:00:00"/>
    <s v="Delivery at Charminar"/>
    <s v="Call"/>
    <s v="Events"/>
    <s v="Family Group"/>
    <s v="Syed"/>
    <s v="Delivery of MB and Haleem on 24 March 2024"/>
    <n v="20000"/>
    <n v="0"/>
    <x v="5"/>
    <x v="0"/>
    <x v="0"/>
    <s v="Cancelled"/>
    <s v="Budget Issue"/>
    <n v="4000"/>
    <m/>
    <m/>
    <m/>
    <s v="Mar-24"/>
    <n v="12"/>
    <s v="2024"/>
  </r>
  <r>
    <d v="2024-03-18T00:00:00"/>
    <s v="Delivery at whitefield banglore"/>
    <s v="Call"/>
    <s v="Events"/>
    <s v="Family Group"/>
    <s v="Shehabaz"/>
    <s v="Delivery at Whitefield 2"/>
    <n v="12000"/>
    <n v="12000"/>
    <x v="5"/>
    <x v="1"/>
    <x v="1"/>
    <s v="Closed"/>
    <m/>
    <n v="2400"/>
    <m/>
    <m/>
    <m/>
    <s v="Mar-24"/>
    <n v="12"/>
    <s v="2024"/>
  </r>
  <r>
    <d v="2024-03-18T00:00:00"/>
    <s v="Delivery at kalapakkam Chennai"/>
    <s v="Call"/>
    <s v="Events"/>
    <s v="Family Group"/>
    <s v="Rajan"/>
    <s v="Delivery of CB and starter"/>
    <n v="8000"/>
    <n v="8000"/>
    <x v="5"/>
    <x v="1"/>
    <x v="1"/>
    <s v="Closed"/>
    <m/>
    <n v="0"/>
    <m/>
    <m/>
    <m/>
    <s v="Mar-24"/>
    <n v="12"/>
    <s v="2024"/>
  </r>
  <r>
    <d v="2024-03-18T00:00:00"/>
    <s v="Delivery at Compass Group Banglore"/>
    <s v="Call"/>
    <s v="Corporate"/>
    <s v="F&amp;B Agrigator"/>
    <s v="Pankaj"/>
    <s v="CB and MB Delivery 20 March 2024"/>
    <n v="40491"/>
    <n v="40491"/>
    <x v="5"/>
    <x v="1"/>
    <x v="1"/>
    <s v="Closed"/>
    <m/>
    <n v="0"/>
    <m/>
    <m/>
    <m/>
    <s v="Mar-24"/>
    <n v="12"/>
    <s v="2024"/>
  </r>
  <r>
    <d v="2024-03-18T00:00:00"/>
    <s v="Haleem Counter at Airport"/>
    <s v="Call"/>
    <s v="Corporate"/>
    <s v="F&amp;B Agrigator"/>
    <s v="Venkat"/>
    <d v="2024-03-14T00:00:00"/>
    <n v="10080"/>
    <n v="10080"/>
    <x v="5"/>
    <x v="0"/>
    <x v="1"/>
    <s v="Closed"/>
    <m/>
    <n v="10080"/>
    <m/>
    <m/>
    <m/>
    <s v="Mar-24"/>
    <n v="12"/>
    <s v="2024"/>
  </r>
  <r>
    <d v="2024-03-18T00:00:00"/>
    <s v="Haleem Counter at Airport"/>
    <s v="Call"/>
    <s v="Corporate"/>
    <s v="F&amp;B Agrigator"/>
    <s v="Venkat"/>
    <d v="2024-03-15T00:00:00"/>
    <n v="28926"/>
    <n v="28926"/>
    <x v="5"/>
    <x v="0"/>
    <x v="1"/>
    <s v="Closed"/>
    <m/>
    <n v="28926"/>
    <m/>
    <m/>
    <m/>
    <s v="Mar-24"/>
    <n v="12"/>
    <s v="2024"/>
  </r>
  <r>
    <d v="2024-03-18T00:00:00"/>
    <s v="Haleem Counter at Airport"/>
    <s v="Call"/>
    <s v="Corporate"/>
    <s v="F&amp;B Agrigator"/>
    <s v="Venkat"/>
    <d v="2024-03-16T00:00:00"/>
    <n v="28517"/>
    <n v="28517"/>
    <x v="5"/>
    <x v="0"/>
    <x v="1"/>
    <s v="Closed"/>
    <m/>
    <n v="28517"/>
    <m/>
    <m/>
    <m/>
    <s v="Mar-24"/>
    <n v="12"/>
    <s v="2024"/>
  </r>
  <r>
    <d v="2024-03-18T00:00:00"/>
    <s v="Haleem Counter at Airport"/>
    <s v="Call"/>
    <s v="Corporate"/>
    <s v="F&amp;B Agrigator"/>
    <s v="Venkat"/>
    <d v="2024-03-17T00:00:00"/>
    <n v="4095"/>
    <n v="4095"/>
    <x v="5"/>
    <x v="0"/>
    <x v="1"/>
    <s v="Closed"/>
    <m/>
    <n v="4095"/>
    <m/>
    <m/>
    <m/>
    <s v="Mar-24"/>
    <n v="12"/>
    <s v="2024"/>
  </r>
  <r>
    <d v="2024-03-18T00:00:00"/>
    <s v="Haleem Counter at Airport"/>
    <s v="Call"/>
    <s v="Corporate"/>
    <s v="F&amp;B Agrigator"/>
    <s v="Venkat"/>
    <d v="2024-03-18T00:00:00"/>
    <n v="11939"/>
    <n v="11939"/>
    <x v="5"/>
    <x v="0"/>
    <x v="1"/>
    <s v="Closed"/>
    <m/>
    <n v="11939"/>
    <m/>
    <m/>
    <m/>
    <s v="Mar-24"/>
    <n v="12"/>
    <s v="2024"/>
  </r>
  <r>
    <d v="2024-03-19T00:00:00"/>
    <s v="Medha Railway Coach"/>
    <s v="F2F"/>
    <s v="Corporate"/>
    <s v="Manufacturing"/>
    <s v="Santosh"/>
    <s v="Introduction to employee gifting"/>
    <n v="20000"/>
    <n v="0"/>
    <x v="9"/>
    <x v="0"/>
    <x v="0"/>
    <s v="Cancelled"/>
    <s v="No requirement"/>
    <n v="2000"/>
    <m/>
    <m/>
    <m/>
    <s v="Mar-24"/>
    <n v="12"/>
    <s v="2024"/>
  </r>
  <r>
    <d v="2024-03-19T00:00:00"/>
    <s v="ODC at JNC Masjid Bangalore"/>
    <s v="Call"/>
    <s v="Events"/>
    <s v="Community"/>
    <s v="Vinod"/>
    <s v="ODC at JCN Road on 18 March 2024"/>
    <n v="16920"/>
    <n v="16920"/>
    <x v="5"/>
    <x v="1"/>
    <x v="1"/>
    <s v="Closed"/>
    <m/>
    <n v="16920"/>
    <m/>
    <m/>
    <m/>
    <s v="Mar-24"/>
    <n v="12"/>
    <s v="2024"/>
  </r>
  <r>
    <d v="2024-03-19T00:00:00"/>
    <s v="Haleem Counter at Airport"/>
    <s v="Call"/>
    <s v="Corporate"/>
    <s v="F&amp;B Agrigator"/>
    <s v="Venkat"/>
    <d v="2024-03-19T00:00:00"/>
    <n v="11257"/>
    <n v="11257"/>
    <x v="5"/>
    <x v="0"/>
    <x v="1"/>
    <s v="Closed"/>
    <m/>
    <n v="11257"/>
    <m/>
    <m/>
    <m/>
    <s v="Mar-24"/>
    <n v="12"/>
    <s v="2024"/>
  </r>
  <r>
    <d v="2024-03-19T00:00:00"/>
    <s v="Delivery at Miyapur"/>
    <s v="F2F"/>
    <s v="Events"/>
    <s v="Family Group"/>
    <s v="Raju"/>
    <s v="delivery on 24 March 2024"/>
    <n v="18000"/>
    <n v="18000"/>
    <x v="5"/>
    <x v="0"/>
    <x v="1"/>
    <s v="Closed"/>
    <m/>
    <n v="0"/>
    <m/>
    <m/>
    <m/>
    <s v="Mar-24"/>
    <n v="12"/>
    <s v="2024"/>
  </r>
  <r>
    <d v="2024-03-19T00:00:00"/>
    <s v="Delivery at Nellore"/>
    <s v="Call"/>
    <s v="Events"/>
    <s v="Family Group"/>
    <s v="Rajashekhar"/>
    <s v="Delivery on 23 March 2024"/>
    <n v="8000"/>
    <n v="8000"/>
    <x v="5"/>
    <x v="0"/>
    <x v="1"/>
    <s v="Closed"/>
    <m/>
    <n v="0"/>
    <m/>
    <m/>
    <m/>
    <s v="Mar-24"/>
    <n v="12"/>
    <s v="2024"/>
  </r>
  <r>
    <d v="2024-03-20T00:00:00"/>
    <s v="Delivery at Bachupally"/>
    <s v="Call"/>
    <s v="Events"/>
    <s v="Family Group"/>
    <s v="Anil"/>
    <s v="Delivery from Kukatpally, CB and VB"/>
    <n v="6340"/>
    <n v="6340"/>
    <x v="5"/>
    <x v="0"/>
    <x v="1"/>
    <s v="Closed"/>
    <m/>
    <n v="1268"/>
    <m/>
    <m/>
    <m/>
    <s v="Mar-24"/>
    <n v="12"/>
    <s v="2024"/>
  </r>
  <r>
    <d v="2024-03-20T00:00:00"/>
    <s v="ODC at JNC Masjid Bangalore"/>
    <s v="Call"/>
    <s v="Events"/>
    <s v="Community"/>
    <s v="Vinod"/>
    <s v="ODC at JCN Road on 19 March 2024"/>
    <n v="21534"/>
    <n v="21534"/>
    <x v="5"/>
    <x v="1"/>
    <x v="1"/>
    <s v="Closed"/>
    <m/>
    <n v="21534"/>
    <m/>
    <m/>
    <m/>
    <s v="Mar-24"/>
    <n v="12"/>
    <s v="2024"/>
  </r>
  <r>
    <d v="2024-03-20T00:00:00"/>
    <s v="Haleem Counter at Airport"/>
    <s v="Call"/>
    <s v="Corporate"/>
    <s v="F&amp;B Agrigator"/>
    <s v="Venkat"/>
    <d v="2024-03-20T00:00:00"/>
    <n v="11257"/>
    <n v="11257"/>
    <x v="5"/>
    <x v="0"/>
    <x v="1"/>
    <s v="Closed"/>
    <m/>
    <n v="11257"/>
    <m/>
    <m/>
    <m/>
    <s v="Mar-24"/>
    <n v="12"/>
    <s v="2024"/>
  </r>
  <r>
    <d v="2024-03-20T00:00:00"/>
    <s v="Tek Systems"/>
    <s v="F2F"/>
    <s v="Corporate"/>
    <s v="IT"/>
    <s v="Vigneshwar"/>
    <s v="Buffet at Tek systems office on 9th April"/>
    <n v="200000"/>
    <n v="0"/>
    <x v="0"/>
    <x v="0"/>
    <x v="0"/>
    <s v="Cancelled"/>
    <s v="Packed meal with less budget"/>
    <n v="40000"/>
    <m/>
    <m/>
    <m/>
    <s v="Mar-24"/>
    <n v="12"/>
    <s v="2024"/>
  </r>
  <r>
    <d v="2024-03-20T00:00:00"/>
    <s v="Kellton Tech Solutions"/>
    <s v="F2F"/>
    <s v="Corporate"/>
    <s v="IT"/>
    <s v="Prasad"/>
    <s v="Delivery at madhapur office"/>
    <n v="22000"/>
    <n v="0"/>
    <x v="10"/>
    <x v="0"/>
    <x v="0"/>
    <s v="Cancelled"/>
    <s v="Event postponded"/>
    <n v="0"/>
    <m/>
    <m/>
    <m/>
    <s v="Mar-24"/>
    <n v="12"/>
    <s v="2024"/>
  </r>
  <r>
    <d v="2024-03-20T00:00:00"/>
    <s v="Bits Pilani"/>
    <s v="F2F"/>
    <s v="College"/>
    <s v="Education"/>
    <s v="Afkham"/>
    <s v="Delivery of M Haleem on 11 April 2024 at Bits Pilani"/>
    <n v="46000"/>
    <n v="0"/>
    <x v="0"/>
    <x v="0"/>
    <x v="0"/>
    <s v="Cancelled"/>
    <s v="Postpond to 13/4/2024"/>
    <n v="9000"/>
    <m/>
    <m/>
    <m/>
    <s v="Mar-24"/>
    <n v="12"/>
    <s v="2024"/>
  </r>
  <r>
    <d v="2024-03-20T00:00:00"/>
    <s v="Just My Roots"/>
    <s v="Call"/>
    <s v="Corporate"/>
    <s v="F&amp;B Agrigator"/>
    <s v="Vaibhav"/>
    <s v="Takeaway of Haleem for Further Selling"/>
    <n v="50000"/>
    <n v="0"/>
    <x v="5"/>
    <x v="0"/>
    <x v="0"/>
    <s v="Cancelled"/>
    <s v="60 days payment term not fesable"/>
    <n v="50000"/>
    <m/>
    <m/>
    <m/>
    <s v="Mar-24"/>
    <n v="12"/>
    <s v="2024"/>
  </r>
  <r>
    <d v="2024-03-21T00:00:00"/>
    <s v="ODC at JNC Masjid Bangalore"/>
    <s v="Call"/>
    <s v="Events"/>
    <s v="Community"/>
    <s v="Vinod"/>
    <s v="ODC at JCN Road on 21 March 2024"/>
    <n v="22535"/>
    <n v="22535"/>
    <x v="5"/>
    <x v="1"/>
    <x v="1"/>
    <s v="Closed"/>
    <m/>
    <n v="22535"/>
    <m/>
    <m/>
    <m/>
    <s v="Mar-24"/>
    <n v="12"/>
    <s v="2024"/>
  </r>
  <r>
    <d v="2024-03-21T00:00:00"/>
    <s v="Haleem Counter at Airport"/>
    <s v="Call"/>
    <s v="Corporate"/>
    <s v="F&amp;B Agrigator"/>
    <s v="Venkat"/>
    <d v="2024-03-21T00:00:00"/>
    <n v="11275"/>
    <n v="11275"/>
    <x v="5"/>
    <x v="0"/>
    <x v="1"/>
    <s v="Closed"/>
    <m/>
    <n v="11275"/>
    <m/>
    <m/>
    <m/>
    <s v="Mar-24"/>
    <n v="12"/>
    <s v="2024"/>
  </r>
  <r>
    <d v="2024-03-21T00:00:00"/>
    <s v="Haleem Counter at Infosys Pocharam"/>
    <s v="F2F"/>
    <s v="Corporate"/>
    <s v="IT"/>
    <s v="Satya"/>
    <s v="Sold 70 Mutton Haleem and 50 CH Haleem on 21 March 2024"/>
    <n v="22740"/>
    <n v="22740"/>
    <x v="5"/>
    <x v="0"/>
    <x v="1"/>
    <s v="Closed"/>
    <m/>
    <n v="22740"/>
    <m/>
    <m/>
    <m/>
    <s v="Mar-24"/>
    <n v="12"/>
    <s v="2024"/>
  </r>
  <r>
    <d v="2024-03-21T00:00:00"/>
    <s v="Delivery at Electronic City Banglore"/>
    <s v="Call"/>
    <s v="Events"/>
    <s v="Family Group"/>
    <s v="Sai"/>
    <s v="Delivery at Electronic city"/>
    <n v="3000"/>
    <n v="3000"/>
    <x v="5"/>
    <x v="1"/>
    <x v="1"/>
    <s v="Closed"/>
    <m/>
    <n v="0"/>
    <m/>
    <m/>
    <m/>
    <s v="Mar-24"/>
    <n v="12"/>
    <s v="2024"/>
  </r>
  <r>
    <d v="2024-03-21T00:00:00"/>
    <s v="Hexagon"/>
    <s v="Call"/>
    <s v="Corporate"/>
    <s v="IT"/>
    <s v="Lakshmi"/>
    <s v="Bulk delivery of Haleem"/>
    <n v="30000"/>
    <n v="0"/>
    <x v="10"/>
    <x v="0"/>
    <x v="0"/>
    <s v="Cancelled"/>
    <s v="Less Budget"/>
    <n v="6000"/>
    <m/>
    <m/>
    <m/>
    <s v="Mar-24"/>
    <n v="12"/>
    <s v="2024"/>
  </r>
  <r>
    <d v="2024-03-21T00:00:00"/>
    <s v="Corteva Agriscience India"/>
    <s v="F2F"/>
    <s v="Corporate"/>
    <s v="IT"/>
    <s v="Sruthi"/>
    <s v="Buffet lunch at Madhapur for 200 employees"/>
    <n v="100000"/>
    <n v="0"/>
    <x v="0"/>
    <x v="0"/>
    <x v="0"/>
    <s v="Cancelled"/>
    <s v="Budget Issue"/>
    <n v="20000"/>
    <m/>
    <m/>
    <m/>
    <s v="Mar-24"/>
    <n v="12"/>
    <s v="2024"/>
  </r>
  <r>
    <d v="2024-03-22T00:00:00"/>
    <s v="ODC at JNC Masjid Bangalore"/>
    <s v="Call"/>
    <s v="Events"/>
    <s v="Community"/>
    <s v="Vinod"/>
    <s v="ODC at JCN Road on 22 March 2024"/>
    <n v="40368"/>
    <n v="40368"/>
    <x v="5"/>
    <x v="1"/>
    <x v="1"/>
    <s v="Closed"/>
    <m/>
    <n v="40368"/>
    <m/>
    <m/>
    <m/>
    <s v="Mar-24"/>
    <n v="12"/>
    <s v="2024"/>
  </r>
  <r>
    <d v="2024-03-22T00:00:00"/>
    <s v="Haleem Counter at Airport"/>
    <s v="Call"/>
    <s v="Corporate"/>
    <s v="F&amp;B Agrigator"/>
    <s v="Venkat"/>
    <d v="2024-03-22T00:00:00"/>
    <n v="9145"/>
    <n v="9145"/>
    <x v="5"/>
    <x v="0"/>
    <x v="1"/>
    <s v="Closed"/>
    <m/>
    <n v="9145"/>
    <m/>
    <m/>
    <m/>
    <s v="Mar-24"/>
    <n v="12"/>
    <s v="2024"/>
  </r>
  <r>
    <d v="2024-03-22T00:00:00"/>
    <s v="Haleem Counter at Infosys Pocharam"/>
    <s v="Call"/>
    <s v="Corporate"/>
    <s v="IT"/>
    <s v="Satya"/>
    <d v="2024-03-22T00:00:00"/>
    <n v="29500"/>
    <n v="29500"/>
    <x v="5"/>
    <x v="0"/>
    <x v="1"/>
    <s v="Closed"/>
    <m/>
    <n v="29500"/>
    <m/>
    <m/>
    <m/>
    <s v="Mar-24"/>
    <n v="12"/>
    <s v="2024"/>
  </r>
  <r>
    <d v="2024-03-22T00:00:00"/>
    <s v="Aditya Birla"/>
    <s v="F2F"/>
    <s v="Corporate"/>
    <s v="Banking Finance &amp; Insurance"/>
    <s v="Nilesh Sharma"/>
    <s v="Introduction about corporate gifting and bulk order"/>
    <n v="12000"/>
    <n v="0"/>
    <x v="9"/>
    <x v="0"/>
    <x v="0"/>
    <s v="Cancelled"/>
    <s v="No requirement"/>
    <n v="2400"/>
    <m/>
    <m/>
    <m/>
    <s v="Mar-24"/>
    <n v="12"/>
    <s v="2024"/>
  </r>
  <r>
    <d v="2024-03-22T00:00:00"/>
    <s v="Biological E Limited"/>
    <s v="F2F"/>
    <s v="Corporate"/>
    <s v="Pharma"/>
    <s v="Naveen Kumar"/>
    <s v="Introduction about corporate gifting and bulk order"/>
    <n v="20000"/>
    <n v="0"/>
    <x v="9"/>
    <x v="0"/>
    <x v="0"/>
    <s v="Cancelled"/>
    <s v="No requirement"/>
    <n v="4000"/>
    <m/>
    <m/>
    <m/>
    <s v="Mar-24"/>
    <n v="12"/>
    <s v="2024"/>
  </r>
  <r>
    <d v="2024-03-23T00:00:00"/>
    <s v="ODC at JNC Masjid Bangalore"/>
    <s v="Call"/>
    <s v="Events"/>
    <s v="Community"/>
    <s v="Vinod"/>
    <s v="ODC at JCN Road on 23/3/2024"/>
    <n v="57408"/>
    <n v="57408"/>
    <x v="5"/>
    <x v="1"/>
    <x v="1"/>
    <s v="Closed"/>
    <m/>
    <n v="57408"/>
    <m/>
    <m/>
    <m/>
    <s v="Mar-24"/>
    <n v="12"/>
    <s v="2024"/>
  </r>
  <r>
    <d v="2024-03-23T00:00:00"/>
    <s v="Haleem Counter at Airport"/>
    <s v="Call"/>
    <s v="Corporate"/>
    <s v="F&amp;B Agrigator"/>
    <s v="Venkat"/>
    <d v="2024-03-23T00:00:00"/>
    <n v="22513"/>
    <n v="22513"/>
    <x v="5"/>
    <x v="0"/>
    <x v="1"/>
    <s v="Closed"/>
    <m/>
    <n v="22513"/>
    <m/>
    <m/>
    <m/>
    <s v="Mar-24"/>
    <n v="12"/>
    <s v="2024"/>
  </r>
  <r>
    <d v="2024-03-23T00:00:00"/>
    <s v="Delivery at Mehdipatnam"/>
    <s v="Call"/>
    <s v="Events"/>
    <s v="Family Group"/>
    <s v="Malik"/>
    <s v="Delivery on 24 March 2024"/>
    <n v="5000"/>
    <n v="5000"/>
    <x v="5"/>
    <x v="0"/>
    <x v="1"/>
    <s v="Closed"/>
    <m/>
    <n v="1000"/>
    <m/>
    <m/>
    <m/>
    <s v="Mar-24"/>
    <n v="12"/>
    <s v="2024"/>
  </r>
  <r>
    <d v="2024-03-23T00:00:00"/>
    <s v="Delivery at Gudi Malkapur"/>
    <s v="Call"/>
    <s v="Events"/>
    <s v="Family Group"/>
    <s v="Nagraju"/>
    <s v="Delivery on 24 March 2024"/>
    <n v="8000"/>
    <n v="8000"/>
    <x v="5"/>
    <x v="0"/>
    <x v="1"/>
    <s v="Closed"/>
    <m/>
    <n v="0"/>
    <m/>
    <m/>
    <m/>
    <s v="Mar-24"/>
    <n v="12"/>
    <s v="2024"/>
  </r>
  <r>
    <d v="2024-03-24T00:00:00"/>
    <s v="ODC at JNC Masjid Bangalore"/>
    <s v="Call"/>
    <s v="Events"/>
    <s v="Community"/>
    <s v="Vinod"/>
    <s v="ODC at JCN Road on 24 March 2024"/>
    <n v="55092"/>
    <n v="55092"/>
    <x v="5"/>
    <x v="1"/>
    <x v="1"/>
    <s v="Closed"/>
    <m/>
    <n v="55092"/>
    <m/>
    <m/>
    <m/>
    <s v="Mar-24"/>
    <n v="12"/>
    <s v="2024"/>
  </r>
  <r>
    <d v="2024-03-24T00:00:00"/>
    <s v="Haleem Counter at Airport"/>
    <s v="Call"/>
    <s v="Corporate"/>
    <s v="F&amp;B Agrigator"/>
    <s v="Venkat"/>
    <d v="2024-03-24T00:00:00"/>
    <n v="13781"/>
    <n v="13781"/>
    <x v="5"/>
    <x v="0"/>
    <x v="1"/>
    <s v="Closed"/>
    <m/>
    <n v="13781"/>
    <m/>
    <m/>
    <m/>
    <s v="Mar-24"/>
    <n v="12"/>
    <s v="2024"/>
  </r>
  <r>
    <d v="2024-03-25T00:00:00"/>
    <s v="Delivery at Miyapur"/>
    <s v="Call"/>
    <s v="Events"/>
    <s v="Family Group"/>
    <s v="Danita"/>
    <d v="2024-03-28T00:00:00"/>
    <n v="8000"/>
    <n v="8000"/>
    <x v="5"/>
    <x v="0"/>
    <x v="1"/>
    <s v="Closed"/>
    <m/>
    <n v="0"/>
    <m/>
    <m/>
    <m/>
    <s v="Mar-24"/>
    <n v="13"/>
    <s v="2024"/>
  </r>
  <r>
    <d v="2024-03-25T00:00:00"/>
    <s v="ODC at JNC Masjid Bangalore"/>
    <s v="Call"/>
    <s v="Events"/>
    <s v="Community"/>
    <s v="Vinod"/>
    <s v="ODC at JCN Road on 25 March 2024"/>
    <n v="11784"/>
    <n v="11784"/>
    <x v="5"/>
    <x v="1"/>
    <x v="1"/>
    <s v="Closed"/>
    <m/>
    <n v="11784"/>
    <m/>
    <m/>
    <m/>
    <s v="Mar-24"/>
    <n v="13"/>
    <s v="2024"/>
  </r>
  <r>
    <d v="2024-03-25T00:00:00"/>
    <s v="Haleem Counter at Airport"/>
    <s v="Call"/>
    <s v="Corporate"/>
    <s v="F&amp;B Agrigator"/>
    <s v="Venkat"/>
    <d v="2024-03-25T00:00:00"/>
    <n v="5048"/>
    <n v="5048"/>
    <x v="5"/>
    <x v="0"/>
    <x v="1"/>
    <s v="Closed"/>
    <m/>
    <n v="5048"/>
    <m/>
    <m/>
    <m/>
    <s v="Mar-24"/>
    <n v="13"/>
    <s v="2024"/>
  </r>
  <r>
    <d v="2024-03-25T00:00:00"/>
    <s v="Haleem Counter at Infosys Pocharam"/>
    <s v="Call"/>
    <s v="Corporate"/>
    <s v="IT"/>
    <s v="Satya"/>
    <d v="2024-03-25T00:00:00"/>
    <n v="8350"/>
    <n v="8350"/>
    <x v="5"/>
    <x v="0"/>
    <x v="1"/>
    <s v="Closed"/>
    <m/>
    <n v="8350"/>
    <m/>
    <m/>
    <m/>
    <s v="Mar-24"/>
    <n v="13"/>
    <s v="2024"/>
  </r>
  <r>
    <d v="2024-03-25T00:00:00"/>
    <s v="Holi Party at Naval Academy Vizag"/>
    <s v="Call"/>
    <s v="Corporate"/>
    <s v="Defence &amp; Aerospace"/>
    <s v="Renin"/>
    <d v="2024-03-25T00:00:00"/>
    <n v="244000"/>
    <n v="244000"/>
    <x v="5"/>
    <x v="0"/>
    <x v="1"/>
    <s v="Closed"/>
    <m/>
    <n v="2400"/>
    <m/>
    <m/>
    <m/>
    <s v="Mar-24"/>
    <n v="13"/>
    <s v="2024"/>
  </r>
  <r>
    <d v="2024-03-26T00:00:00"/>
    <s v="Delivery at Compass Group Bangalore"/>
    <s v="Call"/>
    <s v="Corporate"/>
    <s v="F&amp;B Agrigator"/>
    <s v="Pankaj"/>
    <s v="Delivery of Special CB &amp; MB Handi on 27 March 2024"/>
    <n v="40000"/>
    <n v="40000"/>
    <x v="5"/>
    <x v="1"/>
    <x v="1"/>
    <s v="Closed"/>
    <m/>
    <n v="0"/>
    <m/>
    <m/>
    <m/>
    <s v="Mar-24"/>
    <n v="13"/>
    <s v="2024"/>
  </r>
  <r>
    <d v="2024-03-26T00:00:00"/>
    <s v="ODC at JNC Masjid Bangalore"/>
    <s v="Call"/>
    <s v="Events"/>
    <s v="Community"/>
    <s v="Vinod"/>
    <s v="ODC at JCN Road on 26 March 2024"/>
    <n v="15314"/>
    <n v="15314"/>
    <x v="5"/>
    <x v="1"/>
    <x v="1"/>
    <s v="Closed"/>
    <m/>
    <n v="15314"/>
    <m/>
    <m/>
    <m/>
    <s v="Mar-24"/>
    <n v="13"/>
    <s v="2024"/>
  </r>
  <r>
    <d v="2024-03-26T00:00:00"/>
    <s v="Haleem Counter at Infosys Pocharam"/>
    <s v="Call"/>
    <s v="Corporate"/>
    <s v="IT"/>
    <s v="Satya"/>
    <d v="2024-03-26T00:00:00"/>
    <n v="14060"/>
    <n v="14060"/>
    <x v="5"/>
    <x v="0"/>
    <x v="1"/>
    <s v="Closed"/>
    <m/>
    <n v="14060"/>
    <m/>
    <m/>
    <m/>
    <s v="Mar-24"/>
    <n v="13"/>
    <s v="2024"/>
  </r>
  <r>
    <d v="2024-03-26T00:00:00"/>
    <s v="Haleem Counter at Airport"/>
    <s v="Call"/>
    <s v="Corporate"/>
    <s v="F&amp;B Agrigator"/>
    <s v="Venkat"/>
    <d v="2024-03-26T00:00:00"/>
    <n v="6891"/>
    <n v="6891"/>
    <x v="5"/>
    <x v="0"/>
    <x v="1"/>
    <s v="Closed"/>
    <m/>
    <n v="6891"/>
    <m/>
    <m/>
    <m/>
    <s v="Mar-24"/>
    <n v="13"/>
    <s v="2024"/>
  </r>
  <r>
    <d v="2024-03-26T00:00:00"/>
    <s v="Karvy Investment Banking"/>
    <s v="F2F"/>
    <s v="Corporate"/>
    <s v="Banking Finance &amp; Insurance"/>
    <s v="Jaya"/>
    <s v="Introduction about corporate gifting and bulk order"/>
    <n v="10000"/>
    <n v="0"/>
    <x v="0"/>
    <x v="0"/>
    <x v="0"/>
    <s v="Cancelled"/>
    <s v="No requirement"/>
    <n v="2000"/>
    <m/>
    <m/>
    <m/>
    <s v="Mar-24"/>
    <n v="13"/>
    <s v="2024"/>
  </r>
  <r>
    <d v="2024-03-26T00:00:00"/>
    <s v="Birlasoft"/>
    <s v="F2F"/>
    <s v="Corporate"/>
    <s v="IT"/>
    <s v="Adinarayan"/>
    <s v="Introduction about corporate gifting and bulk order"/>
    <n v="12000"/>
    <n v="0"/>
    <x v="0"/>
    <x v="0"/>
    <x v="0"/>
    <s v="Cancelled"/>
    <s v="No requirement"/>
    <n v="2400"/>
    <m/>
    <m/>
    <m/>
    <s v="Mar-24"/>
    <n v="13"/>
    <s v="2024"/>
  </r>
  <r>
    <d v="2024-03-27T00:00:00"/>
    <s v="ODC at JNC Masjid Bangalore"/>
    <s v="Call"/>
    <s v="Events"/>
    <s v="Community"/>
    <s v="Vinod"/>
    <s v="ODC at JCN Road on 27 March 2024"/>
    <n v="13758"/>
    <n v="13758"/>
    <x v="5"/>
    <x v="1"/>
    <x v="1"/>
    <s v="Closed"/>
    <m/>
    <n v="13758"/>
    <m/>
    <m/>
    <m/>
    <s v="Mar-24"/>
    <n v="13"/>
    <s v="2024"/>
  </r>
  <r>
    <d v="2024-03-27T00:00:00"/>
    <s v="Haleem Counter at Infosys Pocharam"/>
    <s v="Call"/>
    <s v="Corporate"/>
    <s v="IT"/>
    <s v="Satya"/>
    <d v="2024-03-27T00:00:00"/>
    <n v="7810"/>
    <n v="7810"/>
    <x v="5"/>
    <x v="0"/>
    <x v="1"/>
    <s v="Closed"/>
    <m/>
    <n v="7810"/>
    <m/>
    <m/>
    <m/>
    <s v="Mar-24"/>
    <n v="13"/>
    <s v="2024"/>
  </r>
  <r>
    <d v="2024-03-27T00:00:00"/>
    <s v="Haleem Counter at Airport"/>
    <s v="Call"/>
    <s v="Corporate"/>
    <s v="F&amp;B Agrigator"/>
    <s v="Venkat"/>
    <d v="2024-03-27T00:00:00"/>
    <n v="6891"/>
    <n v="6891"/>
    <x v="5"/>
    <x v="0"/>
    <x v="1"/>
    <s v="Closed"/>
    <m/>
    <n v="6891"/>
    <m/>
    <m/>
    <m/>
    <s v="Mar-24"/>
    <n v="13"/>
    <s v="2024"/>
  </r>
  <r>
    <d v="2024-03-27T00:00:00"/>
    <s v="IT Convergence"/>
    <s v="F2F"/>
    <s v="Corporate"/>
    <s v="IT"/>
    <s v="Deepthi"/>
    <s v="Introduction about corporate gifting and bulk order"/>
    <n v="10000"/>
    <n v="0"/>
    <x v="0"/>
    <x v="0"/>
    <x v="0"/>
    <s v="Cancelled"/>
    <s v="No requirement"/>
    <n v="2000"/>
    <m/>
    <m/>
    <m/>
    <s v="Mar-24"/>
    <n v="13"/>
    <s v="2024"/>
  </r>
  <r>
    <d v="2024-03-27T00:00:00"/>
    <s v="Ispace Software pvt ltd"/>
    <s v="F2F"/>
    <s v="Corporate"/>
    <s v="IT"/>
    <s v="Nagaraju"/>
    <s v="Delivery on 4 April 2024"/>
    <n v="132500"/>
    <n v="0"/>
    <x v="0"/>
    <x v="0"/>
    <x v="0"/>
    <s v="Cancelled"/>
    <s v="Event Cancelled"/>
    <n v="59500"/>
    <m/>
    <m/>
    <m/>
    <s v="Mar-24"/>
    <n v="13"/>
    <s v="2024"/>
  </r>
  <r>
    <d v="2024-03-28T00:00:00"/>
    <s v="ODC at JNC Masjid Bangalore"/>
    <s v="Call"/>
    <s v="Events"/>
    <s v="Community"/>
    <s v="Vinod"/>
    <s v="ODC at JCN Road on 28 March 2024"/>
    <n v="12084"/>
    <n v="12084"/>
    <x v="5"/>
    <x v="1"/>
    <x v="1"/>
    <s v="Closed"/>
    <m/>
    <n v="12084"/>
    <m/>
    <m/>
    <m/>
    <s v="Mar-24"/>
    <n v="13"/>
    <s v="2024"/>
  </r>
  <r>
    <d v="2024-03-28T00:00:00"/>
    <s v="Haleem Counter at Infosys Pocharam"/>
    <s v="Call"/>
    <s v="Corporate"/>
    <s v="IT"/>
    <s v="Satya"/>
    <d v="2024-03-28T00:00:00"/>
    <n v="7520"/>
    <n v="7520"/>
    <x v="5"/>
    <x v="0"/>
    <x v="1"/>
    <s v="Closed"/>
    <m/>
    <n v="7520"/>
    <m/>
    <m/>
    <m/>
    <s v="Mar-24"/>
    <n v="13"/>
    <s v="2024"/>
  </r>
  <r>
    <d v="2024-03-28T00:00:00"/>
    <s v="Haleem Counter at Airport"/>
    <s v="Call"/>
    <s v="Corporate"/>
    <s v="F&amp;B Agrigator"/>
    <s v="Venkat"/>
    <d v="2024-03-28T00:00:00"/>
    <n v="8733"/>
    <n v="8733"/>
    <x v="5"/>
    <x v="0"/>
    <x v="1"/>
    <s v="Closed"/>
    <m/>
    <n v="8733"/>
    <m/>
    <m/>
    <m/>
    <s v="Mar-24"/>
    <n v="13"/>
    <s v="2024"/>
  </r>
  <r>
    <d v="2024-03-28T00:00:00"/>
    <s v="Option Matrix"/>
    <s v="Call"/>
    <s v="Corporate"/>
    <s v="IT"/>
    <s v="Nayeem"/>
    <s v="Introduction to haleem and bulk orders"/>
    <n v="10000"/>
    <n v="0"/>
    <x v="9"/>
    <x v="0"/>
    <x v="0"/>
    <s v="Cancelled"/>
    <s v="No requirement"/>
    <n v="2000"/>
    <m/>
    <m/>
    <m/>
    <s v="Mar-24"/>
    <n v="13"/>
    <s v="2024"/>
  </r>
  <r>
    <d v="2024-03-28T00:00:00"/>
    <s v="Arrtesyn"/>
    <s v="F2F"/>
    <s v="Corporate"/>
    <s v="IT"/>
    <s v="Venu Madhav"/>
    <s v="Introduction to team lunch and Haleem"/>
    <n v="8000"/>
    <n v="0"/>
    <x v="0"/>
    <x v="0"/>
    <x v="0"/>
    <s v="Cancelled"/>
    <s v="No requirement"/>
    <n v="1600"/>
    <m/>
    <m/>
    <m/>
    <s v="Mar-24"/>
    <n v="13"/>
    <s v="2024"/>
  </r>
  <r>
    <d v="2024-03-29T00:00:00"/>
    <s v="ODC at JNC Masjid Bangalore"/>
    <s v="Call"/>
    <s v="Events"/>
    <s v="Community"/>
    <s v="Vinod"/>
    <s v="ODC at JCN Road on 29 March 2024"/>
    <n v="27576"/>
    <n v="27576"/>
    <x v="5"/>
    <x v="1"/>
    <x v="1"/>
    <s v="Closed"/>
    <m/>
    <n v="27576"/>
    <m/>
    <m/>
    <m/>
    <s v="Mar-24"/>
    <n v="13"/>
    <s v="2024"/>
  </r>
  <r>
    <d v="2024-03-29T00:00:00"/>
    <s v="Haleem Counter at Infosys Pocharam"/>
    <s v="Call"/>
    <s v="Corporate"/>
    <s v="IT"/>
    <s v="Satya"/>
    <d v="2024-03-29T00:00:00"/>
    <n v="4010"/>
    <n v="4010"/>
    <x v="5"/>
    <x v="0"/>
    <x v="1"/>
    <s v="Closed"/>
    <m/>
    <n v="4010"/>
    <m/>
    <m/>
    <m/>
    <s v="Mar-24"/>
    <n v="13"/>
    <s v="2024"/>
  </r>
  <r>
    <d v="2024-03-29T00:00:00"/>
    <s v="Haleem Counter at Airport"/>
    <s v="Call"/>
    <s v="Corporate"/>
    <s v="F&amp;B Agrigator"/>
    <s v="Venkat"/>
    <d v="2024-03-29T00:00:00"/>
    <n v="10200"/>
    <n v="10200"/>
    <x v="5"/>
    <x v="0"/>
    <x v="1"/>
    <s v="Closed"/>
    <m/>
    <n v="10200"/>
    <m/>
    <m/>
    <m/>
    <s v="Mar-24"/>
    <n v="13"/>
    <s v="2024"/>
  </r>
  <r>
    <d v="2024-03-29T00:00:00"/>
    <s v="Delivery at Nacharam"/>
    <s v="Call"/>
    <s v="Events"/>
    <s v="Family Group"/>
    <s v="Philip"/>
    <s v="Delivery of Nizami CB on 31 March 2024"/>
    <n v="2700"/>
    <n v="2700"/>
    <x v="5"/>
    <x v="0"/>
    <x v="1"/>
    <s v="Closed"/>
    <m/>
    <n v="0"/>
    <m/>
    <m/>
    <m/>
    <s v="Mar-24"/>
    <n v="13"/>
    <s v="2024"/>
  </r>
  <r>
    <d v="2024-03-29T00:00:00"/>
    <s v="Delivery at Dimond Districts Bangalore"/>
    <s v="Call"/>
    <s v="Events"/>
    <s v="Family Group"/>
    <s v="Sanoj"/>
    <s v="Delivery of CB 30 March 2024"/>
    <n v="4600"/>
    <n v="4600"/>
    <x v="5"/>
    <x v="1"/>
    <x v="1"/>
    <s v="Closed"/>
    <m/>
    <n v="0"/>
    <m/>
    <m/>
    <m/>
    <s v="Mar-24"/>
    <n v="13"/>
    <s v="2024"/>
  </r>
  <r>
    <d v="2024-03-29T00:00:00"/>
    <s v="Hindustan Petrolium"/>
    <s v="F2F"/>
    <s v="Corporate"/>
    <s v="Manufacturing"/>
    <s v="Anand"/>
    <s v="Introduction to Bulk order and Team lunch"/>
    <n v="12000"/>
    <n v="0"/>
    <x v="9"/>
    <x v="0"/>
    <x v="0"/>
    <s v="Cancelled"/>
    <s v="No requirement"/>
    <n v="2400"/>
    <m/>
    <m/>
    <m/>
    <s v="Mar-24"/>
    <n v="13"/>
    <s v="2024"/>
  </r>
  <r>
    <d v="2024-03-30T00:00:00"/>
    <s v="Haleem Counter at Airport"/>
    <s v="Call"/>
    <s v="Corporate"/>
    <s v="F&amp;B Agrigator"/>
    <s v="Venkat"/>
    <d v="2024-03-30T00:00:00"/>
    <n v="13781"/>
    <n v="13781"/>
    <x v="5"/>
    <x v="0"/>
    <x v="1"/>
    <s v="Closed"/>
    <m/>
    <n v="13781"/>
    <m/>
    <m/>
    <m/>
    <s v="Mar-24"/>
    <n v="13"/>
    <s v="2024"/>
  </r>
  <r>
    <d v="2024-03-30T00:00:00"/>
    <s v="ODC at JNC Masjid Bangalore"/>
    <s v="Call"/>
    <s v="Events"/>
    <s v="Community"/>
    <s v="Vinod"/>
    <s v="ODC at JCN Road on 30 March 2024"/>
    <n v="34002"/>
    <n v="34002"/>
    <x v="5"/>
    <x v="1"/>
    <x v="1"/>
    <s v="Closed"/>
    <m/>
    <n v="34002"/>
    <m/>
    <m/>
    <m/>
    <s v="Mar-24"/>
    <n v="13"/>
    <s v="2024"/>
  </r>
  <r>
    <d v="2024-03-31T00:00:00"/>
    <s v="Haleem Counter at Airport"/>
    <s v="Call"/>
    <s v="Corporate"/>
    <s v="F&amp;B Agrigator"/>
    <s v="Venkat"/>
    <d v="2024-03-31T00:00:00"/>
    <n v="11939"/>
    <n v="11939"/>
    <x v="5"/>
    <x v="0"/>
    <x v="1"/>
    <s v="Closed"/>
    <m/>
    <n v="11939"/>
    <m/>
    <m/>
    <m/>
    <s v="Mar-24"/>
    <n v="13"/>
    <s v="2024"/>
  </r>
  <r>
    <d v="2024-03-31T00:00:00"/>
    <s v="Bulk Order at Nellore for TDP Party Meeting"/>
    <s v="Call"/>
    <s v="Events"/>
    <s v="Community"/>
    <s v="Sai Kumar"/>
    <s v="Delivery of Haleem Family Pack"/>
    <n v="111833"/>
    <n v="111833"/>
    <x v="5"/>
    <x v="0"/>
    <x v="1"/>
    <s v="Closed"/>
    <m/>
    <n v="111833"/>
    <m/>
    <m/>
    <m/>
    <s v="Mar-24"/>
    <n v="13"/>
    <s v="2024"/>
  </r>
  <r>
    <d v="2024-03-31T00:00:00"/>
    <s v="Dine In at Shamshabad"/>
    <s v="Call"/>
    <s v="Events"/>
    <s v="Family Group"/>
    <s v="Kazmi"/>
    <s v="Dine in at Shamshabad"/>
    <n v="5000"/>
    <n v="5000"/>
    <x v="5"/>
    <x v="0"/>
    <x v="1"/>
    <s v="Closed"/>
    <m/>
    <n v="1200"/>
    <m/>
    <m/>
    <m/>
    <s v="Mar-24"/>
    <n v="13"/>
    <s v="2024"/>
  </r>
  <r>
    <d v="2024-03-31T00:00:00"/>
    <s v="Delivery at Begumpet"/>
    <s v="Call"/>
    <s v="Events"/>
    <s v="Family Group"/>
    <s v="Harika"/>
    <s v="Delivery of CB Handi on 1 April 2024"/>
    <n v="7500"/>
    <n v="0"/>
    <x v="0"/>
    <x v="0"/>
    <x v="0"/>
    <s v="Cancelled"/>
    <m/>
    <n v="0"/>
    <m/>
    <m/>
    <m/>
    <s v="Mar-24"/>
    <n v="13"/>
    <s v="2024"/>
  </r>
  <r>
    <d v="2024-03-31T00:00:00"/>
    <s v="ODC at JNC Masjid Bangalore"/>
    <s v="Call"/>
    <s v="Events"/>
    <s v="Community"/>
    <s v="Vinod"/>
    <s v="ODC at JCN Road on 31 March 2024"/>
    <n v="29772"/>
    <n v="29772"/>
    <x v="5"/>
    <x v="1"/>
    <x v="1"/>
    <s v="Closed"/>
    <m/>
    <n v="29772"/>
    <m/>
    <m/>
    <m/>
    <s v="Mar-24"/>
    <n v="13"/>
    <s v="2024"/>
  </r>
  <r>
    <d v="2024-04-01T00:00:00"/>
    <s v="ODC at JNC Masjid Bangalore"/>
    <s v="Call"/>
    <s v="Events"/>
    <s v="Community"/>
    <s v="Vinod"/>
    <s v="ODC at JCN Road on 1 April 2024"/>
    <n v="16176"/>
    <n v="16176"/>
    <x v="0"/>
    <x v="1"/>
    <x v="1"/>
    <s v="Closed"/>
    <m/>
    <n v="16176"/>
    <m/>
    <m/>
    <m/>
    <s v="Apr-24"/>
    <n v="14"/>
    <s v="2024"/>
  </r>
  <r>
    <d v="2024-04-01T00:00:00"/>
    <s v="Haleem Counter at Airport"/>
    <s v="Call"/>
    <s v="Corporate"/>
    <s v="F&amp;B Agrigator"/>
    <s v="Venkat"/>
    <n v="45383"/>
    <n v="11939"/>
    <n v="11939"/>
    <x v="0"/>
    <x v="0"/>
    <x v="1"/>
    <s v="Closed"/>
    <m/>
    <n v="11939"/>
    <m/>
    <m/>
    <m/>
    <s v="Apr-24"/>
    <n v="14"/>
    <s v="2024"/>
  </r>
  <r>
    <d v="2024-04-01T00:00:00"/>
    <s v="Haleem Counter at Infosys Pocharam"/>
    <s v="Call"/>
    <s v="Corporate"/>
    <s v="IT"/>
    <s v="Satya"/>
    <n v="45383"/>
    <n v="7890"/>
    <n v="7890"/>
    <x v="0"/>
    <x v="0"/>
    <x v="1"/>
    <s v="Closed"/>
    <m/>
    <n v="7890"/>
    <m/>
    <m/>
    <m/>
    <s v="Apr-24"/>
    <n v="14"/>
    <s v="2024"/>
  </r>
  <r>
    <d v="2024-04-02T00:00:00"/>
    <s v="ODC at JNC Masjid Bangalore"/>
    <s v="Call"/>
    <s v="Events"/>
    <s v="Community"/>
    <s v="Vinod"/>
    <s v="ODC at JCN Road on 2/4/2024"/>
    <n v="7614"/>
    <n v="7614"/>
    <x v="0"/>
    <x v="1"/>
    <x v="1"/>
    <s v="Closed"/>
    <m/>
    <n v="7614"/>
    <m/>
    <m/>
    <m/>
    <s v="Apr-24"/>
    <n v="14"/>
    <s v="2024"/>
  </r>
  <r>
    <d v="2024-04-02T00:00:00"/>
    <s v="Haleem Counter at Airport"/>
    <s v="Call"/>
    <s v="Corporate"/>
    <s v="F&amp;B Agrigator"/>
    <s v="Venkat"/>
    <d v="2024-04-02T00:00:00"/>
    <n v="5048"/>
    <n v="5048"/>
    <x v="0"/>
    <x v="0"/>
    <x v="1"/>
    <s v="Closed"/>
    <m/>
    <n v="5048"/>
    <m/>
    <m/>
    <m/>
    <s v="Apr-24"/>
    <n v="14"/>
    <s v="2024"/>
  </r>
  <r>
    <d v="2024-04-02T00:00:00"/>
    <s v="Haleem Counter at Infosys Pocharam"/>
    <s v="Call"/>
    <s v="Corporate"/>
    <s v="IT"/>
    <s v="Satya"/>
    <d v="2024-04-02T00:00:00"/>
    <n v="7200"/>
    <n v="7200"/>
    <x v="0"/>
    <x v="0"/>
    <x v="1"/>
    <s v="Closed"/>
    <m/>
    <n v="7200"/>
    <m/>
    <m/>
    <m/>
    <s v="Apr-24"/>
    <n v="14"/>
    <s v="2024"/>
  </r>
  <r>
    <d v="2024-04-02T00:00:00"/>
    <s v="Delivery at Revolution Hitec City"/>
    <s v="F2F"/>
    <s v="Corporate"/>
    <s v="IT"/>
    <s v="Shankar"/>
    <s v="Delivery for team Lunch"/>
    <n v="6000"/>
    <n v="6000"/>
    <x v="0"/>
    <x v="0"/>
    <x v="1"/>
    <s v="Closed"/>
    <m/>
    <n v="0"/>
    <m/>
    <m/>
    <m/>
    <s v="Apr-24"/>
    <n v="14"/>
    <s v="2024"/>
  </r>
  <r>
    <d v="2024-04-02T00:00:00"/>
    <s v="Wipro SEZ"/>
    <s v="F2F"/>
    <s v="Corporate"/>
    <s v="IT"/>
    <s v="Mahendrakar"/>
    <s v="Haleem Counter on 3 April 2024"/>
    <n v="47308"/>
    <n v="47308"/>
    <x v="0"/>
    <x v="0"/>
    <x v="1"/>
    <s v="Closed"/>
    <m/>
    <n v="47308"/>
    <m/>
    <m/>
    <m/>
    <s v="Apr-24"/>
    <n v="14"/>
    <s v="2024"/>
  </r>
  <r>
    <d v="2024-04-02T00:00:00"/>
    <s v="Wipro Gopanpally"/>
    <s v="F2F"/>
    <s v="Corporate"/>
    <s v="IT"/>
    <s v="Sujeet"/>
    <s v="Haleem Counter on 3 April 2024"/>
    <n v="20000"/>
    <n v="20000"/>
    <x v="0"/>
    <x v="0"/>
    <x v="1"/>
    <s v="Closed"/>
    <m/>
    <n v="20000"/>
    <m/>
    <m/>
    <m/>
    <s v="Apr-24"/>
    <n v="14"/>
    <s v="2024"/>
  </r>
  <r>
    <d v="2024-04-02T00:00:00"/>
    <s v="Wipro Mindspace"/>
    <s v="F2F"/>
    <s v="Corporate"/>
    <s v="IT"/>
    <s v="Rajendra"/>
    <s v="Haleem Counter on 3 April 2024"/>
    <n v="4000"/>
    <n v="4000"/>
    <x v="0"/>
    <x v="0"/>
    <x v="1"/>
    <s v="Closed"/>
    <m/>
    <n v="4000"/>
    <m/>
    <m/>
    <m/>
    <s v="Apr-24"/>
    <n v="14"/>
    <s v="2024"/>
  </r>
  <r>
    <d v="2024-04-03T00:00:00"/>
    <s v="Delivery at Gudimalkapur"/>
    <s v="Call"/>
    <s v="Events"/>
    <s v="Family Group"/>
    <s v="Aditya"/>
    <s v="Delivery of MB Handi on 4 April 2024"/>
    <n v="10500"/>
    <n v="10500"/>
    <x v="0"/>
    <x v="0"/>
    <x v="1"/>
    <s v="Closed"/>
    <m/>
    <n v="0"/>
    <m/>
    <m/>
    <m/>
    <s v="Apr-24"/>
    <n v="14"/>
    <s v="2024"/>
  </r>
  <r>
    <d v="2024-04-03T00:00:00"/>
    <s v="Haleem Counter at Infosys Pocharam"/>
    <s v="Call"/>
    <s v="Corporate"/>
    <s v="IT"/>
    <s v="Satya"/>
    <d v="2024-04-03T00:00:00"/>
    <n v="6559"/>
    <n v="6559"/>
    <x v="0"/>
    <x v="0"/>
    <x v="1"/>
    <s v="Closed"/>
    <m/>
    <n v="6559"/>
    <m/>
    <m/>
    <m/>
    <s v="Apr-24"/>
    <n v="14"/>
    <s v="2024"/>
  </r>
  <r>
    <d v="2024-04-03T00:00:00"/>
    <s v="ODC at JNC Masjid Bangalore"/>
    <s v="Call"/>
    <s v="Events"/>
    <s v="Community"/>
    <s v="Vinod"/>
    <s v="ODC at JCN Road on 3 April 2024"/>
    <n v="9246"/>
    <n v="9246"/>
    <x v="0"/>
    <x v="1"/>
    <x v="1"/>
    <s v="Closed"/>
    <m/>
    <n v="9246"/>
    <m/>
    <m/>
    <m/>
    <s v="Apr-24"/>
    <n v="14"/>
    <s v="2024"/>
  </r>
  <r>
    <d v="2024-04-03T00:00:00"/>
    <s v="Haleem Counter at Airport"/>
    <s v="Call"/>
    <s v="Corporate"/>
    <s v="F&amp;B Agrigator"/>
    <s v="Venkat"/>
    <d v="2024-04-03T00:00:00"/>
    <n v="11257"/>
    <n v="11257"/>
    <x v="0"/>
    <x v="0"/>
    <x v="1"/>
    <s v="Closed"/>
    <m/>
    <n v="11257"/>
    <m/>
    <m/>
    <m/>
    <s v="Apr-24"/>
    <n v="14"/>
    <s v="2024"/>
  </r>
  <r>
    <d v="2024-04-03T00:00:00"/>
    <s v="Delivery at Compass Group Bangalore"/>
    <s v="Call"/>
    <s v="Corporate"/>
    <s v="F&amp;B Agrigator"/>
    <s v="Pankaj"/>
    <s v="Delivery of Special CB &amp; MB Handi on 3 April 2024"/>
    <n v="39567"/>
    <n v="39567"/>
    <x v="0"/>
    <x v="1"/>
    <x v="1"/>
    <s v="Closed"/>
    <m/>
    <n v="0"/>
    <m/>
    <m/>
    <m/>
    <s v="Apr-24"/>
    <n v="14"/>
    <s v="2024"/>
  </r>
  <r>
    <d v="2024-04-04T00:00:00"/>
    <s v="Haleem Counter at Infosys Pocharam"/>
    <s v="Call"/>
    <s v="Corporate"/>
    <s v="IT"/>
    <s v="Satya"/>
    <d v="2024-04-04T00:00:00"/>
    <n v="3669"/>
    <n v="3669"/>
    <x v="0"/>
    <x v="0"/>
    <x v="1"/>
    <s v="Closed"/>
    <m/>
    <n v="3669"/>
    <m/>
    <m/>
    <m/>
    <s v="Apr-24"/>
    <n v="14"/>
    <s v="2024"/>
  </r>
  <r>
    <d v="2024-04-04T00:00:00"/>
    <s v="ODC at JNC Masjid Bangalore"/>
    <s v="Call"/>
    <s v="Events"/>
    <s v="Community"/>
    <s v="Vinod"/>
    <s v="ODC at JCN Road on 4/4/2024"/>
    <n v="11280"/>
    <n v="11280"/>
    <x v="0"/>
    <x v="1"/>
    <x v="1"/>
    <s v="Closed"/>
    <m/>
    <n v="11280"/>
    <m/>
    <m/>
    <m/>
    <s v="Apr-24"/>
    <n v="14"/>
    <s v="2024"/>
  </r>
  <r>
    <d v="2024-04-04T00:00:00"/>
    <s v="Haleem Counter at Airport"/>
    <s v="Call"/>
    <s v="Corporate"/>
    <s v="F&amp;B Agrigator"/>
    <s v="Venkat"/>
    <d v="2024-04-04T00:00:00"/>
    <n v="13781"/>
    <n v="13781"/>
    <x v="0"/>
    <x v="0"/>
    <x v="1"/>
    <s v="Closed"/>
    <m/>
    <n v="13781"/>
    <m/>
    <m/>
    <m/>
    <s v="Apr-24"/>
    <n v="14"/>
    <s v="2024"/>
  </r>
  <r>
    <d v="2024-04-04T00:00:00"/>
    <s v="Delivery at Kachiguda"/>
    <s v="Call"/>
    <s v="Corporate"/>
    <s v="Tourism"/>
    <s v="Harish Patil"/>
    <s v="delivery of CB for Tourist group frpom maharashtra"/>
    <n v="5000"/>
    <n v="5000"/>
    <x v="0"/>
    <x v="0"/>
    <x v="1"/>
    <s v="Closed"/>
    <m/>
    <n v="0"/>
    <m/>
    <m/>
    <m/>
    <s v="Apr-24"/>
    <n v="14"/>
    <s v="2024"/>
  </r>
  <r>
    <d v="2024-04-05T00:00:00"/>
    <s v="Haleem Counter at Infosys Pocharam"/>
    <s v="Call"/>
    <s v="Corporate"/>
    <s v="IT"/>
    <s v="Satya"/>
    <d v="2024-04-05T00:00:00"/>
    <n v="4380"/>
    <n v="4380"/>
    <x v="0"/>
    <x v="0"/>
    <x v="1"/>
    <s v="Closed"/>
    <m/>
    <n v="4380"/>
    <m/>
    <m/>
    <m/>
    <s v="Apr-24"/>
    <n v="14"/>
    <s v="2024"/>
  </r>
  <r>
    <d v="2024-04-05T00:00:00"/>
    <s v="ODC at JNC Masjid Bangalore"/>
    <s v="Call"/>
    <s v="Events"/>
    <s v="Community"/>
    <s v="Vinod"/>
    <s v="ODC at JCN Road on 5/4/2024"/>
    <n v="19782"/>
    <n v="19782"/>
    <x v="0"/>
    <x v="1"/>
    <x v="1"/>
    <s v="Closed"/>
    <m/>
    <n v="19782"/>
    <m/>
    <m/>
    <m/>
    <s v="Apr-24"/>
    <n v="14"/>
    <s v="2024"/>
  </r>
  <r>
    <d v="2024-04-05T00:00:00"/>
    <s v="Haleem Counter at Airport"/>
    <s v="Call"/>
    <s v="Corporate"/>
    <s v="F&amp;B Agrigator"/>
    <s v="Venkat"/>
    <d v="2024-04-05T00:00:00"/>
    <n v="15624"/>
    <n v="15624"/>
    <x v="0"/>
    <x v="0"/>
    <x v="1"/>
    <s v="Closed"/>
    <m/>
    <n v="15624"/>
    <m/>
    <m/>
    <m/>
    <s v="Apr-24"/>
    <n v="14"/>
    <s v="2024"/>
  </r>
  <r>
    <d v="2024-04-05T00:00:00"/>
    <s v="Delivery at Nacharam"/>
    <s v="Call"/>
    <s v="Corporate"/>
    <s v="Manufacturing"/>
    <s v="Sudheer"/>
    <s v="Decivery of CB and VB 35 Pax on 5 April 2024"/>
    <n v="6500"/>
    <n v="6500"/>
    <x v="0"/>
    <x v="0"/>
    <x v="1"/>
    <s v="Closed"/>
    <m/>
    <n v="0"/>
    <m/>
    <m/>
    <m/>
    <s v="Apr-24"/>
    <n v="14"/>
    <s v="2024"/>
  </r>
  <r>
    <d v="2024-04-05T00:00:00"/>
    <s v="Delivery ar Hosur Road"/>
    <s v="Call"/>
    <s v="Events"/>
    <s v="Family Group"/>
    <s v="Shama"/>
    <s v="Delivery of CB on 05 April 2024"/>
    <n v="3500"/>
    <n v="3500"/>
    <x v="0"/>
    <x v="1"/>
    <x v="1"/>
    <s v="Closed"/>
    <m/>
    <n v="0"/>
    <m/>
    <m/>
    <m/>
    <s v="Apr-24"/>
    <n v="14"/>
    <s v="2024"/>
  </r>
  <r>
    <d v="2024-04-06T00:00:00"/>
    <s v="ODC at JNC Masjid Bangalore"/>
    <s v="Call"/>
    <s v="Events"/>
    <s v="Community"/>
    <s v="Vinod"/>
    <s v="ODC at JCN Road on 6 April 2024"/>
    <n v="16039"/>
    <n v="16039"/>
    <x v="0"/>
    <x v="1"/>
    <x v="1"/>
    <s v="Closed"/>
    <m/>
    <n v="16039"/>
    <m/>
    <m/>
    <m/>
    <s v="Apr-24"/>
    <n v="14"/>
    <s v="2024"/>
  </r>
  <r>
    <d v="2024-04-06T00:00:00"/>
    <s v="Haleem Counter at Airport"/>
    <s v="Call"/>
    <s v="Corporate"/>
    <s v="F&amp;B Agrigator"/>
    <s v="Venkat"/>
    <d v="2024-04-06T00:00:00"/>
    <n v="15624"/>
    <n v="15624"/>
    <x v="0"/>
    <x v="0"/>
    <x v="1"/>
    <s v="Closed"/>
    <m/>
    <n v="15624"/>
    <m/>
    <m/>
    <m/>
    <s v="Apr-24"/>
    <n v="14"/>
    <s v="2024"/>
  </r>
  <r>
    <d v="2024-04-06T00:00:00"/>
    <s v="Delivery at Nalagandla"/>
    <s v="Call"/>
    <s v="Events"/>
    <s v="Family Group"/>
    <s v="Udita"/>
    <s v="Deliverd CB from Gachibowli on 6 April 2024"/>
    <n v="3200"/>
    <n v="3200"/>
    <x v="0"/>
    <x v="0"/>
    <x v="1"/>
    <s v="Closed"/>
    <m/>
    <n v="0"/>
    <m/>
    <m/>
    <m/>
    <s v="Apr-24"/>
    <n v="14"/>
    <s v="2024"/>
  </r>
  <r>
    <d v="2024-04-06T00:00:00"/>
    <s v="Delivery at NTT Data"/>
    <s v="F2F"/>
    <s v="Corporate"/>
    <s v="IT"/>
    <s v="Sania Mirza"/>
    <s v="Delivery from Inorbit Packed lunch on 11 April 2024"/>
    <n v="73100"/>
    <n v="0"/>
    <x v="0"/>
    <x v="0"/>
    <x v="0"/>
    <s v="Cancelled"/>
    <s v="Event Cancelled"/>
    <n v="0"/>
    <m/>
    <m/>
    <m/>
    <s v="Apr-24"/>
    <n v="14"/>
    <s v="2024"/>
  </r>
  <r>
    <d v="2024-04-06T00:00:00"/>
    <s v="Delivery from Heritage"/>
    <s v="Call"/>
    <s v="School"/>
    <s v="Education"/>
    <s v="Sunita"/>
    <s v="Deliveryof 400 Mini CB on 11 April 2024"/>
    <n v="54900"/>
    <n v="54900"/>
    <x v="0"/>
    <x v="0"/>
    <x v="1"/>
    <s v="Closed"/>
    <m/>
    <n v="0"/>
    <m/>
    <m/>
    <m/>
    <s v="Apr-24"/>
    <n v="14"/>
    <s v="2024"/>
  </r>
  <r>
    <d v="2024-04-06T00:00:00"/>
    <s v="Delivery at Secundrabad"/>
    <s v="F2F"/>
    <s v="Corporate"/>
    <s v="Tourism"/>
    <s v="Wasim"/>
    <s v="Delivery of Mini CB"/>
    <n v="88000"/>
    <n v="0"/>
    <x v="0"/>
    <x v="0"/>
    <x v="0"/>
    <s v="Cancelled"/>
    <s v="Meals with sweets, less budget "/>
    <n v="0"/>
    <m/>
    <m/>
    <m/>
    <s v="Apr-24"/>
    <n v="14"/>
    <s v="2024"/>
  </r>
  <r>
    <d v="2024-04-07T00:00:00"/>
    <s v="PTW"/>
    <s v="Call"/>
    <s v="Corporate"/>
    <s v="IT"/>
    <s v="Mahesh"/>
    <s v="Delivery of 170 pax snacks on 10 April 2024"/>
    <n v="40000"/>
    <n v="0"/>
    <x v="0"/>
    <x v="0"/>
    <x v="0"/>
    <s v="Cancelled"/>
    <s v="Event Cancelled"/>
    <n v="0"/>
    <m/>
    <m/>
    <m/>
    <s v="Apr-24"/>
    <n v="14"/>
    <s v="2024"/>
  </r>
  <r>
    <d v="2024-04-07T00:00:00"/>
    <s v="ODC at JNC Masjid Bangalore"/>
    <s v="Call"/>
    <s v="Events"/>
    <s v="Community"/>
    <s v="Vinod"/>
    <s v="ODC at JCN Road on 7 April 2024"/>
    <n v="16039"/>
    <n v="16039"/>
    <x v="0"/>
    <x v="1"/>
    <x v="1"/>
    <s v="Closed"/>
    <m/>
    <n v="16039"/>
    <m/>
    <m/>
    <m/>
    <s v="Apr-24"/>
    <n v="14"/>
    <s v="2024"/>
  </r>
  <r>
    <d v="2024-04-07T00:00:00"/>
    <s v="Haleem Counter at Airport"/>
    <s v="Call"/>
    <s v="Corporate"/>
    <s v="F&amp;B Agrigator"/>
    <s v="Venkat"/>
    <d v="2024-04-07T00:00:00"/>
    <n v="17465"/>
    <n v="17465"/>
    <x v="0"/>
    <x v="0"/>
    <x v="1"/>
    <s v="Closed"/>
    <m/>
    <n v="17465"/>
    <m/>
    <m/>
    <m/>
    <s v="Apr-24"/>
    <n v="14"/>
    <s v="2024"/>
  </r>
  <r>
    <d v="2024-04-07T00:00:00"/>
    <s v="Delivery at Bomanhally"/>
    <s v="Call"/>
    <s v="Events"/>
    <s v="Family Group"/>
    <s v="Roopa"/>
    <s v="Delivery of CB on 12 April 2024"/>
    <n v="3500"/>
    <n v="3500"/>
    <x v="0"/>
    <x v="1"/>
    <x v="1"/>
    <s v="Closed"/>
    <m/>
    <n v="0"/>
    <m/>
    <m/>
    <m/>
    <s v="Apr-24"/>
    <n v="14"/>
    <s v="2024"/>
  </r>
  <r>
    <d v="2024-04-08T00:00:00"/>
    <s v="Haleem Counter at Infosys Pocharam"/>
    <s v="Call"/>
    <s v="Corporate"/>
    <s v="IT"/>
    <s v="Satya"/>
    <d v="2024-04-08T00:00:00"/>
    <n v="1500"/>
    <n v="1500"/>
    <x v="0"/>
    <x v="0"/>
    <x v="1"/>
    <s v="Closed"/>
    <m/>
    <n v="1500"/>
    <m/>
    <m/>
    <m/>
    <s v="Apr-24"/>
    <n v="15"/>
    <s v="2024"/>
  </r>
  <r>
    <d v="2024-04-08T00:00:00"/>
    <s v="ODC at JNC Masjid Bangalore"/>
    <s v="Call"/>
    <s v="Events"/>
    <s v="Community"/>
    <s v="Vinod"/>
    <s v="ODC at JCN Road on 8/4/2024"/>
    <n v="11160"/>
    <n v="11160"/>
    <x v="0"/>
    <x v="1"/>
    <x v="1"/>
    <s v="Closed"/>
    <m/>
    <n v="11160"/>
    <m/>
    <m/>
    <m/>
    <s v="Apr-24"/>
    <n v="15"/>
    <s v="2024"/>
  </r>
  <r>
    <d v="2024-04-08T00:00:00"/>
    <s v="Haleem Counter at Airport"/>
    <s v="Call"/>
    <s v="Corporate"/>
    <s v="F&amp;B Agrigator"/>
    <s v="Venkat"/>
    <d v="2024-04-08T00:00:00"/>
    <n v="17500"/>
    <n v="17500"/>
    <x v="0"/>
    <x v="0"/>
    <x v="1"/>
    <s v="Closed"/>
    <m/>
    <n v="17500"/>
    <m/>
    <m/>
    <m/>
    <s v="Apr-24"/>
    <n v="15"/>
    <s v="2024"/>
  </r>
  <r>
    <d v="2024-04-09T00:00:00"/>
    <s v="ODC at JNC Masjid Bangalore"/>
    <s v="Call"/>
    <s v="Events"/>
    <s v="Community"/>
    <s v="Vinod"/>
    <s v="ODC at JCN Road on 9/4/2024"/>
    <n v="18432"/>
    <n v="18432"/>
    <x v="0"/>
    <x v="1"/>
    <x v="1"/>
    <s v="Closed"/>
    <m/>
    <n v="18432"/>
    <m/>
    <m/>
    <m/>
    <s v="Apr-24"/>
    <n v="15"/>
    <s v="2024"/>
  </r>
  <r>
    <d v="2024-04-09T00:00:00"/>
    <s v="Haleem Counter at Airport"/>
    <s v="Call"/>
    <s v="Corporate"/>
    <s v="F&amp;B Agrigator"/>
    <s v="Venkat"/>
    <d v="2024-04-04T00:00:00"/>
    <n v="17465"/>
    <n v="17465"/>
    <x v="0"/>
    <x v="0"/>
    <x v="1"/>
    <s v="Closed"/>
    <m/>
    <n v="17465"/>
    <m/>
    <m/>
    <m/>
    <s v="Apr-24"/>
    <n v="15"/>
    <s v="2024"/>
  </r>
  <r>
    <d v="2024-04-09T00:00:00"/>
    <s v="Delivery at Pragati Nagar"/>
    <s v="Call"/>
    <s v="Events"/>
    <s v="Family Group"/>
    <s v="Sameer"/>
    <s v="Delivery of Mutton handi on 11 April 2024"/>
    <n v="10500"/>
    <n v="0"/>
    <x v="0"/>
    <x v="0"/>
    <x v="0"/>
    <s v="Cancelled"/>
    <s v="Procured Inhouse"/>
    <n v="0"/>
    <m/>
    <m/>
    <m/>
    <s v="Apr-24"/>
    <n v="15"/>
    <s v="2024"/>
  </r>
  <r>
    <d v="2024-04-09T00:00:00"/>
    <s v="Delivery at Compass Group Bangalore"/>
    <s v="Call"/>
    <s v="Corporate"/>
    <s v="F&amp;B Agrigator"/>
    <s v="Pankaj"/>
    <s v="Delivery of Special CB &amp; MB Handi on 10 April 2024"/>
    <n v="39622"/>
    <n v="39622"/>
    <x v="0"/>
    <x v="1"/>
    <x v="1"/>
    <s v="Closed"/>
    <m/>
    <n v="0"/>
    <m/>
    <m/>
    <m/>
    <s v="Apr-24"/>
    <n v="15"/>
    <s v="2024"/>
  </r>
  <r>
    <d v="2022-04-10T00:00:00"/>
    <s v="Haleem Counter at Airport"/>
    <s v="Call"/>
    <s v="Corporate"/>
    <s v="F&amp;B Agrigator"/>
    <s v="Venkat"/>
    <d v="2024-04-10T00:00:00"/>
    <n v="6800"/>
    <n v="6800"/>
    <x v="0"/>
    <x v="0"/>
    <x v="1"/>
    <s v="Closed"/>
    <m/>
    <n v="6800"/>
    <m/>
    <m/>
    <m/>
    <s v="Apr-22"/>
    <n v="14"/>
    <s v="2024"/>
  </r>
  <r>
    <d v="2022-04-10T00:00:00"/>
    <s v="ODC at JNC Masjid Bangalore"/>
    <s v="Call"/>
    <s v="Events"/>
    <s v="Community"/>
    <s v="Vinod"/>
    <s v="ODC at JCN Road on 10/4/2024"/>
    <n v="16039"/>
    <n v="16039"/>
    <x v="0"/>
    <x v="1"/>
    <x v="1"/>
    <s v="Closed"/>
    <m/>
    <n v="16039"/>
    <m/>
    <m/>
    <m/>
    <s v="Apr-22"/>
    <n v="14"/>
    <s v="2024"/>
  </r>
  <r>
    <d v="2024-04-10T00:00:00"/>
    <s v="Delivery at Sithapalmandi"/>
    <s v="Call"/>
    <s v="Events"/>
    <s v="Family Group"/>
    <s v="Kamal"/>
    <s v="MB and CB Delivery from RTC Branch on 11 April 2024"/>
    <n v="5900"/>
    <n v="5900"/>
    <x v="0"/>
    <x v="0"/>
    <x v="1"/>
    <s v="Closed"/>
    <m/>
    <n v="0"/>
    <m/>
    <m/>
    <m/>
    <s v="Apr-24"/>
    <n v="15"/>
    <s v="2024"/>
  </r>
  <r>
    <d v="2024-04-11T00:00:00"/>
    <s v="Haleem Counter at Airport"/>
    <s v="Call"/>
    <s v="Corporate"/>
    <s v="F&amp;B Agrigator"/>
    <s v="Venkat"/>
    <d v="2024-04-11T00:00:00"/>
    <n v="8733"/>
    <n v="8733"/>
    <x v="0"/>
    <x v="0"/>
    <x v="1"/>
    <s v="Closed"/>
    <m/>
    <n v="8733"/>
    <m/>
    <m/>
    <m/>
    <s v="Apr-24"/>
    <n v="15"/>
    <s v="2024"/>
  </r>
  <r>
    <d v="2024-04-12T00:00:00"/>
    <s v="Delivery from Malkajgiri Store"/>
    <s v="Call"/>
    <s v="Events"/>
    <s v="Family Group"/>
    <s v="Mallikarjun"/>
    <s v="Delivery of haleem on 12/4/2024 at AS Rao Nagar"/>
    <n v="27545"/>
    <n v="27545"/>
    <x v="0"/>
    <x v="0"/>
    <x v="1"/>
    <s v="Closed"/>
    <m/>
    <n v="0"/>
    <m/>
    <m/>
    <m/>
    <s v="Apr-24"/>
    <n v="15"/>
    <s v="2024"/>
  </r>
  <r>
    <d v="2024-04-12T00:00:00"/>
    <s v="Haleem Counter at Airport"/>
    <s v="Call"/>
    <s v="Corporate"/>
    <s v="F&amp;B Agrigator"/>
    <s v="Venkat"/>
    <d v="2024-04-12T00:00:00"/>
    <n v="7533"/>
    <n v="7533"/>
    <x v="0"/>
    <x v="0"/>
    <x v="1"/>
    <s v="Closed"/>
    <m/>
    <n v="7533"/>
    <m/>
    <m/>
    <m/>
    <s v="Apr-24"/>
    <n v="15"/>
    <s v="2024"/>
  </r>
  <r>
    <d v="2024-04-12T00:00:00"/>
    <s v="ST John Hospital Banglore"/>
    <s v="Call"/>
    <s v="Corporate"/>
    <s v="Healthcare"/>
    <s v="Rajshekhar"/>
    <s v="Delivery for 30 PAX on 18 April2024"/>
    <n v="12268"/>
    <n v="12268"/>
    <x v="0"/>
    <x v="1"/>
    <x v="1"/>
    <s v="Closed"/>
    <m/>
    <n v="0"/>
    <m/>
    <m/>
    <m/>
    <s v="Apr-24"/>
    <n v="15"/>
    <s v="2024"/>
  </r>
  <r>
    <d v="2024-04-12T00:00:00"/>
    <s v="Ray Business Solutions"/>
    <s v="F2F"/>
    <s v="Corporate"/>
    <s v="IT"/>
    <s v="Karthik Reddy"/>
    <s v="Introduction to Bulk order and Team lunch"/>
    <n v="10000"/>
    <n v="0"/>
    <x v="9"/>
    <x v="0"/>
    <x v="0"/>
    <s v="Cancelled"/>
    <s v="No requirement"/>
    <n v="0"/>
    <m/>
    <m/>
    <m/>
    <s v="Apr-24"/>
    <n v="15"/>
    <s v="2024"/>
  </r>
  <r>
    <d v="2024-04-13T00:00:00"/>
    <s v="Delivery at Miyapur"/>
    <s v="Call"/>
    <s v="Events"/>
    <s v="Family Group"/>
    <s v="Arvind Reddy"/>
    <s v="CB and VB Handi from BHEL on 13 April 2024"/>
    <n v="11800"/>
    <n v="11800"/>
    <x v="0"/>
    <x v="0"/>
    <x v="1"/>
    <s v="Closed"/>
    <m/>
    <n v="0"/>
    <m/>
    <m/>
    <m/>
    <s v="Apr-24"/>
    <n v="15"/>
    <s v="2024"/>
  </r>
  <r>
    <d v="2024-04-13T00:00:00"/>
    <s v="Bits Pilani"/>
    <s v="F2F"/>
    <s v="College"/>
    <s v="Education"/>
    <s v="Afkham"/>
    <s v="Delivery of M Haleem on 11 April 2024 at Bits Pilani"/>
    <n v="46271"/>
    <n v="46271"/>
    <x v="0"/>
    <x v="0"/>
    <x v="1"/>
    <s v="Closed"/>
    <m/>
    <n v="8000"/>
    <m/>
    <m/>
    <m/>
    <s v="Apr-24"/>
    <n v="15"/>
    <s v="2024"/>
  </r>
  <r>
    <d v="2024-04-13T00:00:00"/>
    <s v="Haleem Counter at Airport"/>
    <s v="Call"/>
    <s v="Corporate"/>
    <s v="F&amp;B Agrigator"/>
    <s v="Venkat"/>
    <d v="2024-04-13T00:00:00"/>
    <n v="9415"/>
    <n v="9415"/>
    <x v="0"/>
    <x v="0"/>
    <x v="1"/>
    <s v="Closed"/>
    <m/>
    <n v="9415"/>
    <m/>
    <m/>
    <m/>
    <s v="Apr-24"/>
    <n v="15"/>
    <s v="2024"/>
  </r>
  <r>
    <d v="2024-04-14T00:00:00"/>
    <s v="Haleem Counter at Airport"/>
    <s v="Call"/>
    <s v="Corporate"/>
    <s v="F&amp;B Agrigator"/>
    <s v="Venkat"/>
    <d v="2024-04-14T00:00:00"/>
    <n v="8733"/>
    <n v="8733"/>
    <x v="0"/>
    <x v="0"/>
    <x v="1"/>
    <s v="Closed"/>
    <m/>
    <n v="8733"/>
    <m/>
    <m/>
    <m/>
    <s v="Apr-24"/>
    <n v="15"/>
    <s v="2024"/>
  </r>
  <r>
    <d v="2024-04-15T00:00:00"/>
    <s v="ODC at Intel Bangalore Day 1"/>
    <s v="Call"/>
    <s v="Corporate"/>
    <s v="IT"/>
    <s v="Vijay"/>
    <s v="ODC On 15 April 2024"/>
    <n v="25784"/>
    <n v="25784"/>
    <x v="0"/>
    <x v="1"/>
    <x v="1"/>
    <s v="Closed"/>
    <m/>
    <n v="0"/>
    <m/>
    <m/>
    <m/>
    <s v="Apr-24"/>
    <n v="16"/>
    <s v="2024"/>
  </r>
  <r>
    <d v="2024-04-15T00:00:00"/>
    <s v="Haleem Counter at Airport"/>
    <s v="Call"/>
    <s v="Corporate"/>
    <s v="F&amp;B Agrigator"/>
    <s v="Venkat"/>
    <d v="2024-04-15T00:00:00"/>
    <n v="8733"/>
    <n v="8733"/>
    <x v="0"/>
    <x v="0"/>
    <x v="1"/>
    <s v="Closed"/>
    <m/>
    <n v="8733"/>
    <m/>
    <m/>
    <m/>
    <s v="Apr-24"/>
    <n v="16"/>
    <s v="2024"/>
  </r>
  <r>
    <d v="2024-04-15T00:00:00"/>
    <s v="JP Morgan"/>
    <s v="F2F"/>
    <s v="Corporate"/>
    <s v="IT"/>
    <s v="Ajay"/>
    <s v="Introduction and shared quote for upcoming event"/>
    <n v="12000"/>
    <n v="0"/>
    <x v="4"/>
    <x v="1"/>
    <x v="0"/>
    <s v="Cancelled"/>
    <s v="No requirement"/>
    <n v="0"/>
    <m/>
    <m/>
    <m/>
    <s v="Apr-24"/>
    <n v="16"/>
    <s v="2024"/>
  </r>
  <r>
    <d v="2024-04-15T00:00:00"/>
    <s v="Platos"/>
    <s v="F2F"/>
    <s v="Corporate"/>
    <s v="F&amp;B Agrigator"/>
    <s v="Rohan"/>
    <s v="Shared details for Take away and Delivery to Knowledge city"/>
    <n v="30000"/>
    <n v="0"/>
    <x v="8"/>
    <x v="0"/>
    <x v="0"/>
    <s v="Cancelled"/>
    <s v="No requirement"/>
    <n v="0"/>
    <m/>
    <m/>
    <m/>
    <s v="Apr-24"/>
    <n v="16"/>
    <s v="2024"/>
  </r>
  <r>
    <d v="2024-04-15T00:00:00"/>
    <s v="Delivery at Nad Vizag"/>
    <s v="Call"/>
    <s v="Events"/>
    <s v="Family Group"/>
    <s v="Ramesh"/>
    <s v="Deliverd CB on 15 April 2024"/>
    <n v="3500"/>
    <n v="3500"/>
    <x v="0"/>
    <x v="0"/>
    <x v="1"/>
    <s v="Closed"/>
    <m/>
    <n v="0"/>
    <m/>
    <m/>
    <m/>
    <s v="Apr-24"/>
    <n v="16"/>
    <s v="2024"/>
  </r>
  <r>
    <d v="2024-04-16T00:00:00"/>
    <s v="Haleem Counter at Airport"/>
    <s v="Call"/>
    <s v="Corporate"/>
    <s v="F&amp;B Agrigator"/>
    <s v="Venkat"/>
    <d v="2024-04-16T00:00:00"/>
    <n v="8733"/>
    <n v="8733"/>
    <x v="0"/>
    <x v="0"/>
    <x v="1"/>
    <s v="Closed"/>
    <m/>
    <n v="8733"/>
    <m/>
    <m/>
    <m/>
    <s v="Apr-24"/>
    <n v="16"/>
    <s v="2024"/>
  </r>
  <r>
    <d v="2024-04-16T00:00:00"/>
    <s v="Delivery at Arisan Gurgaon"/>
    <s v="Call"/>
    <s v="Corporate"/>
    <s v="IT"/>
    <s v="Vikas Sinha"/>
    <s v="Delivery of CB &amp; VB for team lunch from MG Road on 19 April 2024"/>
    <n v="28000"/>
    <n v="0"/>
    <x v="0"/>
    <x v="0"/>
    <x v="0"/>
    <s v="Cancelled"/>
    <s v="Event Cancelled"/>
    <n v="0"/>
    <m/>
    <m/>
    <m/>
    <s v="Apr-24"/>
    <n v="16"/>
    <s v="2024"/>
  </r>
  <r>
    <d v="2024-04-16T00:00:00"/>
    <s v="Delivery at Compass Group Bangalore"/>
    <s v="Call"/>
    <s v="Corporate"/>
    <s v="F&amp;B Agrigator"/>
    <s v="Pankaj"/>
    <s v="Delivery of Special CB &amp; MB Handi on 17 April 2024"/>
    <n v="40117"/>
    <n v="40117"/>
    <x v="0"/>
    <x v="1"/>
    <x v="1"/>
    <s v="Closed"/>
    <m/>
    <n v="0"/>
    <m/>
    <m/>
    <m/>
    <s v="Apr-24"/>
    <n v="16"/>
    <s v="2024"/>
  </r>
  <r>
    <d v="2024-04-16T00:00:00"/>
    <s v="ODC at Intel Bangalore Day 2"/>
    <s v="Call"/>
    <s v="Corporate"/>
    <s v="IT"/>
    <s v="Vijay"/>
    <s v="ODC On 16 April 2024"/>
    <n v="23173"/>
    <n v="23173"/>
    <x v="0"/>
    <x v="1"/>
    <x v="1"/>
    <s v="Closed"/>
    <m/>
    <n v="0"/>
    <m/>
    <m/>
    <m/>
    <s v="Apr-24"/>
    <n v="16"/>
    <s v="2024"/>
  </r>
  <r>
    <d v="2024-04-17T00:00:00"/>
    <s v="ODC at Intel Bangalore Day 3"/>
    <s v="Call"/>
    <s v="Corporate"/>
    <s v="IT"/>
    <s v="Vijay"/>
    <s v="ODC On 17 April 2024"/>
    <n v="6241"/>
    <n v="6241"/>
    <x v="0"/>
    <x v="1"/>
    <x v="1"/>
    <s v="Closed"/>
    <m/>
    <n v="0"/>
    <m/>
    <m/>
    <m/>
    <s v="Apr-24"/>
    <n v="16"/>
    <s v="2024"/>
  </r>
  <r>
    <d v="2024-04-17T00:00:00"/>
    <s v="Haleem Counter at Airport"/>
    <s v="Call"/>
    <s v="Corporate"/>
    <s v="F&amp;B Agrigator"/>
    <s v="Venkat"/>
    <d v="2024-04-17T00:00:00"/>
    <n v="6208"/>
    <n v="6208"/>
    <x v="0"/>
    <x v="0"/>
    <x v="1"/>
    <s v="Closed"/>
    <m/>
    <n v="6208"/>
    <m/>
    <m/>
    <m/>
    <s v="Apr-24"/>
    <n v="16"/>
    <s v="2024"/>
  </r>
  <r>
    <d v="2024-04-17T00:00:00"/>
    <s v="Nizam Club Hyderabad"/>
    <s v="F2F"/>
    <s v="Corporate"/>
    <s v="Community"/>
    <s v="Dr Mrudula"/>
    <s v="Delicery of CB on 23/4/2024"/>
    <n v="10000"/>
    <n v="0"/>
    <x v="0"/>
    <x v="0"/>
    <x v="0"/>
    <s v="Cancelled"/>
    <s v="Event Cancelled"/>
    <n v="0"/>
    <m/>
    <m/>
    <m/>
    <s v="Apr-24"/>
    <n v="16"/>
    <s v="2024"/>
  </r>
  <r>
    <d v="2024-04-17T00:00:00"/>
    <s v="ODC at Airforce Academy, Dundigal"/>
    <s v="Call"/>
    <s v="Corporate"/>
    <s v="Defence &amp; Aerospace"/>
    <s v="Aneesh Agarwal"/>
    <s v="ODC weekly 2-3 days based on survey order"/>
    <n v="30000"/>
    <n v="0"/>
    <x v="8"/>
    <x v="0"/>
    <x v="0"/>
    <s v="Cancelled"/>
    <s v="No requirement"/>
    <n v="0"/>
    <m/>
    <m/>
    <m/>
    <s v="Apr-24"/>
    <n v="16"/>
    <s v="2024"/>
  </r>
  <r>
    <d v="2024-04-17T00:00:00"/>
    <s v="Johndeer"/>
    <s v="F2F"/>
    <s v="Corporate"/>
    <s v="Automobile"/>
    <s v="Srinivas"/>
    <s v="Introduction to Bulk order and Team lunch"/>
    <n v="10000"/>
    <n v="0"/>
    <x v="9"/>
    <x v="0"/>
    <x v="0"/>
    <s v="Cancelled"/>
    <s v="No requirement"/>
    <n v="0"/>
    <m/>
    <m/>
    <m/>
    <s v="Apr-24"/>
    <n v="16"/>
    <s v="2024"/>
  </r>
  <r>
    <d v="2024-04-18T00:00:00"/>
    <s v="Haleem Counter at Airport"/>
    <s v="Call"/>
    <s v="Corporate"/>
    <s v="F&amp;B Agrigator"/>
    <s v="Venkat"/>
    <d v="2024-04-18T00:00:00"/>
    <n v="5526"/>
    <n v="5526"/>
    <x v="0"/>
    <x v="0"/>
    <x v="1"/>
    <s v="Closed"/>
    <m/>
    <n v="5526"/>
    <m/>
    <m/>
    <m/>
    <s v="Apr-24"/>
    <n v="16"/>
    <s v="2024"/>
  </r>
  <r>
    <d v="2024-04-18T00:00:00"/>
    <s v="Sumatra Infracon "/>
    <s v="F2F"/>
    <s v="Corporate"/>
    <s v="Realestate"/>
    <s v="Bhanu"/>
    <s v="Introduction to bulk order and Gifting"/>
    <n v="10000"/>
    <n v="0"/>
    <x v="9"/>
    <x v="0"/>
    <x v="0"/>
    <s v="Cancelled"/>
    <s v="No requirement"/>
    <n v="0"/>
    <m/>
    <m/>
    <m/>
    <s v="Apr-24"/>
    <n v="16"/>
    <s v="2024"/>
  </r>
  <r>
    <d v="2024-04-18T00:00:00"/>
    <s v="IMI Mobiles"/>
    <s v="F2F"/>
    <s v="Corporate"/>
    <s v="IT"/>
    <s v="Pavan"/>
    <s v="Introduction to team lunch "/>
    <n v="12000"/>
    <n v="0"/>
    <x v="9"/>
    <x v="0"/>
    <x v="0"/>
    <s v="Cancelled"/>
    <s v="No requirement"/>
    <n v="0"/>
    <m/>
    <m/>
    <m/>
    <s v="Apr-24"/>
    <n v="16"/>
    <s v="2024"/>
  </r>
  <r>
    <d v="2024-04-18T00:00:00"/>
    <s v="Apollo College of Pharmacy"/>
    <s v="Call"/>
    <s v="College"/>
    <s v="Education"/>
    <s v="Anwar"/>
    <s v="Introduction to bulk order"/>
    <n v="10000"/>
    <n v="0"/>
    <x v="9"/>
    <x v="0"/>
    <x v="0"/>
    <s v="Cancelled"/>
    <s v="No requirement"/>
    <n v="0"/>
    <m/>
    <m/>
    <m/>
    <s v="Apr-24"/>
    <n v="16"/>
    <s v="2024"/>
  </r>
  <r>
    <d v="2024-04-18T00:00:00"/>
    <s v="Tech Mahindra"/>
    <s v="Call"/>
    <s v="Corporate"/>
    <s v="IT"/>
    <s v="Mohsin"/>
    <s v="Introduction to bulk orders"/>
    <n v="15000"/>
    <n v="0"/>
    <x v="9"/>
    <x v="0"/>
    <x v="0"/>
    <s v="Cancelled"/>
    <s v="No requirement"/>
    <n v="0"/>
    <m/>
    <m/>
    <m/>
    <s v="Apr-24"/>
    <n v="16"/>
    <s v="2024"/>
  </r>
  <r>
    <d v="2024-04-18T00:00:00"/>
    <s v="ODC at Intel Bangalore Day 4"/>
    <s v="Call"/>
    <s v="Corporate"/>
    <s v="IT"/>
    <s v="Vijay"/>
    <s v="ODC On 18 April 2024"/>
    <n v="9350"/>
    <n v="9350"/>
    <x v="0"/>
    <x v="1"/>
    <x v="1"/>
    <s v="Closed"/>
    <m/>
    <n v="0"/>
    <m/>
    <m/>
    <m/>
    <s v="Apr-24"/>
    <n v="16"/>
    <s v="2024"/>
  </r>
  <r>
    <d v="2024-04-18T00:00:00"/>
    <s v="Delivery at Accenture Bangalore"/>
    <s v="Call"/>
    <s v="Corporate"/>
    <s v="IT"/>
    <s v="Shiva"/>
    <s v="Delivered 75CB and 25VB from HSR Branch"/>
    <n v="25656"/>
    <n v="25656"/>
    <x v="0"/>
    <x v="1"/>
    <x v="1"/>
    <s v="Closed"/>
    <m/>
    <n v="0"/>
    <m/>
    <m/>
    <m/>
    <s v="Apr-24"/>
    <n v="16"/>
    <s v="2024"/>
  </r>
  <r>
    <d v="2024-04-19T00:00:00"/>
    <s v="ODC at JP Morgan Bangalore"/>
    <s v="Call"/>
    <s v="Corporate"/>
    <s v="IT"/>
    <s v="Shiva"/>
    <s v="ODC on 19 April 2024"/>
    <n v="170000"/>
    <n v="170000"/>
    <x v="0"/>
    <x v="1"/>
    <x v="1"/>
    <s v="Closed"/>
    <m/>
    <n v="0"/>
    <m/>
    <m/>
    <m/>
    <s v="Apr-24"/>
    <n v="16"/>
    <s v="2024"/>
  </r>
  <r>
    <d v="2024-04-19T00:00:00"/>
    <s v="Wells Fargo"/>
    <s v="Call"/>
    <s v="Corporate"/>
    <s v="IT"/>
    <s v="Sailesh Kumar Dash"/>
    <s v="Introduction to Bulk Order at Bangalore"/>
    <n v="10000"/>
    <n v="0"/>
    <x v="9"/>
    <x v="1"/>
    <x v="0"/>
    <s v="Cancelled"/>
    <s v="No requirement"/>
    <n v="0"/>
    <m/>
    <m/>
    <m/>
    <s v="Apr-24"/>
    <n v="16"/>
    <s v="2024"/>
  </r>
  <r>
    <d v="2024-04-19T00:00:00"/>
    <s v="ODC at Intel Bangalore Day 5"/>
    <s v="Call"/>
    <s v="Corporate"/>
    <s v="IT"/>
    <s v="Vijay"/>
    <s v="ODC On 19 April 2024"/>
    <n v="14568"/>
    <n v="14568"/>
    <x v="0"/>
    <x v="1"/>
    <x v="1"/>
    <s v="Closed"/>
    <m/>
    <n v="0"/>
    <m/>
    <m/>
    <m/>
    <s v="Apr-24"/>
    <n v="16"/>
    <s v="2024"/>
  </r>
  <r>
    <d v="2024-04-19T00:00:00"/>
    <s v="Haleem Counter at Airport"/>
    <s v="Call"/>
    <s v="Corporate"/>
    <s v="F&amp;B Agrigator"/>
    <s v="Venkat"/>
    <d v="2024-04-19T00:00:00"/>
    <n v="7368"/>
    <n v="7368"/>
    <x v="0"/>
    <x v="0"/>
    <x v="1"/>
    <s v="Closed"/>
    <m/>
    <n v="7368"/>
    <m/>
    <m/>
    <m/>
    <s v="Apr-24"/>
    <n v="16"/>
    <s v="2024"/>
  </r>
  <r>
    <d v="2024-04-19T00:00:00"/>
    <s v="Brain Box Media Solutions"/>
    <s v="Call"/>
    <s v="Corporate"/>
    <s v="Events"/>
    <s v="Mr. Vivek"/>
    <s v="Introduction to bulk delivery in events"/>
    <n v="20000"/>
    <n v="0"/>
    <x v="9"/>
    <x v="1"/>
    <x v="0"/>
    <s v="Cancelled"/>
    <s v="No requirement"/>
    <n v="0"/>
    <m/>
    <m/>
    <m/>
    <s v="Apr-24"/>
    <n v="16"/>
    <s v="2024"/>
  </r>
  <r>
    <d v="2024-04-19T00:00:00"/>
    <s v="Crystal Events"/>
    <s v="Call"/>
    <s v="Corporate"/>
    <s v="Events"/>
    <s v="Mr. Shasha"/>
    <s v="Introduction to bulk delivery in events"/>
    <n v="12000"/>
    <n v="0"/>
    <x v="9"/>
    <x v="1"/>
    <x v="0"/>
    <s v="Cancelled"/>
    <s v="No requirement"/>
    <n v="0"/>
    <m/>
    <m/>
    <m/>
    <s v="Apr-24"/>
    <n v="16"/>
    <s v="2024"/>
  </r>
  <r>
    <d v="2024-04-19T00:00:00"/>
    <s v="Verni Events"/>
    <s v="Call"/>
    <s v="Corporate"/>
    <s v="Events"/>
    <s v="Mr. Rakesh Naidu"/>
    <s v="Introduction to bulk delivery in events"/>
    <n v="10000"/>
    <n v="0"/>
    <x v="9"/>
    <x v="1"/>
    <x v="0"/>
    <s v="Cancelled"/>
    <s v="No requirement"/>
    <n v="0"/>
    <m/>
    <m/>
    <m/>
    <s v="Apr-24"/>
    <n v="16"/>
    <s v="2024"/>
  </r>
  <r>
    <d v="2024-04-19T00:00:00"/>
    <s v="Pixemo Studios ( Wedding Event Organizer)"/>
    <s v="Call"/>
    <s v="Corporate"/>
    <s v="Events"/>
    <s v="Aswin Kumar."/>
    <s v="Introduction to bulk delivery in events"/>
    <n v="15000"/>
    <n v="0"/>
    <x v="9"/>
    <x v="1"/>
    <x v="0"/>
    <s v="Cancelled"/>
    <s v="No requirement"/>
    <n v="0"/>
    <m/>
    <m/>
    <m/>
    <s v="Apr-24"/>
    <n v="16"/>
    <s v="2024"/>
  </r>
  <r>
    <d v="2024-04-19T00:00:00"/>
    <s v="E'Blitz Events"/>
    <s v="Call"/>
    <s v="Corporate"/>
    <s v="Events"/>
    <s v="Amit Melven"/>
    <s v="Introduction to bulk delivery in events"/>
    <n v="18000"/>
    <n v="0"/>
    <x v="9"/>
    <x v="1"/>
    <x v="0"/>
    <s v="Cancelled"/>
    <s v="No requirement"/>
    <n v="0"/>
    <m/>
    <m/>
    <m/>
    <s v="Apr-24"/>
    <n v="16"/>
    <s v="2024"/>
  </r>
  <r>
    <d v="2024-04-19T00:00:00"/>
    <s v="Pipedipper Events"/>
    <s v="Call"/>
    <s v="Corporate"/>
    <s v="Events"/>
    <s v="Ms. Sara Lobo"/>
    <s v="Introduction to bulk delivery in events"/>
    <n v="11000"/>
    <n v="0"/>
    <x v="9"/>
    <x v="1"/>
    <x v="0"/>
    <s v="Cancelled"/>
    <s v="No requirement"/>
    <n v="0"/>
    <m/>
    <m/>
    <m/>
    <s v="Apr-24"/>
    <n v="16"/>
    <s v="2024"/>
  </r>
  <r>
    <d v="2024-04-20T00:00:00"/>
    <s v="Haleem Counter at Airport"/>
    <s v="Call"/>
    <s v="Corporate"/>
    <s v="F&amp;B Agrigator"/>
    <s v="Venkat"/>
    <d v="2024-04-20T00:00:00"/>
    <n v="8288"/>
    <n v="8288"/>
    <x v="0"/>
    <x v="0"/>
    <x v="1"/>
    <s v="Closed"/>
    <m/>
    <n v="8288"/>
    <m/>
    <m/>
    <m/>
    <s v="Apr-24"/>
    <n v="16"/>
    <s v="2024"/>
  </r>
  <r>
    <d v="2024-04-21T00:00:00"/>
    <s v="Haleem Counter at Airport"/>
    <s v="Call"/>
    <s v="Corporate"/>
    <s v="F&amp;B Agrigator"/>
    <s v="Venkat"/>
    <d v="2024-04-21T00:00:00"/>
    <n v="3684"/>
    <n v="3684"/>
    <x v="0"/>
    <x v="0"/>
    <x v="1"/>
    <s v="Closed"/>
    <m/>
    <n v="3484"/>
    <m/>
    <m/>
    <m/>
    <s v="Apr-24"/>
    <n v="16"/>
    <s v="2024"/>
  </r>
  <r>
    <d v="2024-04-22T00:00:00"/>
    <s v="Haleem Counter at Airport"/>
    <s v="Call"/>
    <s v="Corporate"/>
    <s v="F&amp;B Agrigator"/>
    <s v="Venkat"/>
    <d v="2024-04-22T00:00:00"/>
    <n v="5526"/>
    <n v="5526"/>
    <x v="0"/>
    <x v="0"/>
    <x v="1"/>
    <s v="Closed"/>
    <m/>
    <n v="5526"/>
    <m/>
    <m/>
    <m/>
    <s v="Apr-24"/>
    <n v="17"/>
    <s v="2024"/>
  </r>
  <r>
    <d v="2024-04-22T00:00:00"/>
    <s v="Intertrust Group"/>
    <s v="F2F"/>
    <s v="Corporate"/>
    <s v="Banking Finance &amp; Insurance"/>
    <s v="Gaurav"/>
    <s v="Discussion about stall in their cafateria and bulk delivery"/>
    <n v="30000"/>
    <n v="0"/>
    <x v="9"/>
    <x v="1"/>
    <x v="0"/>
    <s v="Cancelled"/>
    <s v="No requirement"/>
    <n v="0"/>
    <m/>
    <m/>
    <m/>
    <s v="Apr-24"/>
    <n v="17"/>
    <s v="2024"/>
  </r>
  <r>
    <d v="2024-04-22T00:00:00"/>
    <s v="BDO Rise Pvt LTD"/>
    <s v="F2F"/>
    <s v="Corporate"/>
    <s v="Banking Finance &amp; Insurance"/>
    <s v="Suman"/>
    <s v="Shared introduction about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2T00:00:00"/>
    <s v="Mphasis"/>
    <s v="F2F"/>
    <s v="Corporate"/>
    <s v="IT"/>
    <s v="Srinivas Gupta"/>
    <s v="Introduction to bulk delivery for team lunch"/>
    <n v="22000"/>
    <n v="0"/>
    <x v="9"/>
    <x v="1"/>
    <x v="0"/>
    <s v="Cancelled"/>
    <s v="No requirement"/>
    <n v="0"/>
    <m/>
    <m/>
    <m/>
    <s v="Apr-24"/>
    <n v="17"/>
    <s v="2024"/>
  </r>
  <r>
    <d v="2024-04-22T00:00:00"/>
    <s v="Show time events"/>
    <s v="F2F"/>
    <s v="Corporate"/>
    <s v="Events"/>
    <s v="Mr.Boris G.Felsinger"/>
    <s v="Introduction to bulk delivery in events"/>
    <n v="22000"/>
    <n v="0"/>
    <x v="9"/>
    <x v="1"/>
    <x v="0"/>
    <s v="Cancelled"/>
    <s v="No requirement"/>
    <n v="0"/>
    <m/>
    <m/>
    <m/>
    <s v="Apr-24"/>
    <n v="17"/>
    <s v="2024"/>
  </r>
  <r>
    <d v="2024-04-23T00:00:00"/>
    <s v="UM Freshworks(Compass Group)"/>
    <s v="F2F"/>
    <s v="Corporate"/>
    <s v="F&amp;B Agrigator"/>
    <s v="Pankaj"/>
    <s v="Relationship call"/>
    <n v="0"/>
    <n v="0"/>
    <x v="9"/>
    <x v="1"/>
    <x v="0"/>
    <s v="Cancelled"/>
    <s v="No requirement"/>
    <n v="0"/>
    <m/>
    <m/>
    <m/>
    <s v="Apr-24"/>
    <n v="17"/>
    <s v="2024"/>
  </r>
  <r>
    <d v="2024-04-23T00:00:00"/>
    <s v="Haleem Counter at Airport"/>
    <s v="Call"/>
    <s v="Corporate"/>
    <s v="F&amp;B Agrigator"/>
    <s v="Venkat"/>
    <d v="2024-04-23T00:00:00"/>
    <n v="5526"/>
    <n v="5526"/>
    <x v="0"/>
    <x v="0"/>
    <x v="1"/>
    <s v="Closed"/>
    <m/>
    <n v="5526"/>
    <m/>
    <m/>
    <m/>
    <s v="Apr-24"/>
    <n v="17"/>
    <s v="2024"/>
  </r>
  <r>
    <d v="2024-04-23T00:00:00"/>
    <s v="Whatfix"/>
    <s v="F2F"/>
    <s v="Corporate"/>
    <s v="IT"/>
    <s v="Manikandan"/>
    <s v="Introduction to Bulk order and ODC"/>
    <n v="28000"/>
    <n v="0"/>
    <x v="9"/>
    <x v="1"/>
    <x v="0"/>
    <s v="Cancelled"/>
    <s v="No requirement"/>
    <n v="0"/>
    <m/>
    <m/>
    <m/>
    <s v="Apr-24"/>
    <n v="17"/>
    <s v="2024"/>
  </r>
  <r>
    <d v="2024-04-23T00:00:00"/>
    <s v="Khatabook"/>
    <s v="F2F"/>
    <s v="Corporate"/>
    <s v="Banking Finance &amp; Insurance"/>
    <s v="Sanjeev"/>
    <s v="Introduction to Bulk order and ODC"/>
    <n v="18000"/>
    <n v="0"/>
    <x v="9"/>
    <x v="1"/>
    <x v="0"/>
    <s v="Cancelled"/>
    <s v="No requirement"/>
    <n v="0"/>
    <m/>
    <m/>
    <m/>
    <s v="Apr-24"/>
    <n v="17"/>
    <s v="2024"/>
  </r>
  <r>
    <d v="2024-04-23T00:00:00"/>
    <s v="ST John Hospital Banglore"/>
    <s v="F2F"/>
    <s v="Corporate"/>
    <s v="Healthcare"/>
    <s v="Rajshekhar"/>
    <s v="Relationship call"/>
    <n v="0"/>
    <n v="0"/>
    <x v="9"/>
    <x v="1"/>
    <x v="0"/>
    <s v="Cancelled"/>
    <s v="No requirement"/>
    <n v="0"/>
    <m/>
    <m/>
    <m/>
    <s v="Apr-24"/>
    <n v="17"/>
    <s v="2024"/>
  </r>
  <r>
    <d v="2024-04-23T00:00:00"/>
    <s v="E2 Technologies"/>
    <s v="F2F"/>
    <s v="Corporate"/>
    <s v="IT"/>
    <s v="Ravindra"/>
    <s v="Introduction to Bulk order and ODC"/>
    <n v="20000"/>
    <n v="0"/>
    <x v="9"/>
    <x v="1"/>
    <x v="0"/>
    <s v="Cancelled"/>
    <s v="No requirement"/>
    <n v="0"/>
    <m/>
    <m/>
    <m/>
    <s v="Apr-24"/>
    <n v="17"/>
    <s v="2024"/>
  </r>
  <r>
    <d v="2024-04-23T00:00:00"/>
    <s v="Techasoft"/>
    <s v="F2F"/>
    <s v="Corporate"/>
    <s v="IT"/>
    <s v="Ajay"/>
    <s v="Introduction to Bulk order and ODC"/>
    <n v="18000"/>
    <n v="0"/>
    <x v="9"/>
    <x v="1"/>
    <x v="0"/>
    <s v="Cancelled"/>
    <s v="No requirement"/>
    <n v="0"/>
    <m/>
    <m/>
    <m/>
    <s v="Apr-24"/>
    <n v="17"/>
    <s v="2024"/>
  </r>
  <r>
    <d v="2024-04-24T00:00:00"/>
    <s v="Haleem Counter at Airport"/>
    <s v="Call"/>
    <s v="Corporate"/>
    <s v="F&amp;B Agrigator"/>
    <s v="Venkat"/>
    <d v="2024-04-24T00:00:00"/>
    <n v="6447"/>
    <n v="6447"/>
    <x v="0"/>
    <x v="0"/>
    <x v="1"/>
    <s v="Closed"/>
    <m/>
    <n v="6447"/>
    <m/>
    <m/>
    <m/>
    <s v="Apr-24"/>
    <n v="17"/>
    <s v="2024"/>
  </r>
  <r>
    <d v="2024-04-24T00:00:00"/>
    <s v="KPMG"/>
    <s v="F2F"/>
    <s v="Corporate"/>
    <s v="Banking Finance &amp; Insurance"/>
    <s v="Santosh Kamath"/>
    <s v="ODC On 24 April 2024, Discussed for bulk order PAN India offices"/>
    <n v="17760"/>
    <n v="17760"/>
    <x v="0"/>
    <x v="1"/>
    <x v="1"/>
    <s v="Closed"/>
    <m/>
    <n v="0"/>
    <m/>
    <m/>
    <m/>
    <s v="Apr-24"/>
    <n v="17"/>
    <s v="2024"/>
  </r>
  <r>
    <d v="2024-04-24T00:00:00"/>
    <s v="Intel"/>
    <s v="F2F"/>
    <s v="Corporate"/>
    <s v="IT"/>
    <s v="Ratan"/>
    <s v="Introduction and follow up for further ODC, Relationship Call"/>
    <n v="35000"/>
    <n v="0"/>
    <x v="9"/>
    <x v="1"/>
    <x v="0"/>
    <s v="Cancelled"/>
    <s v="No requirement"/>
    <n v="0"/>
    <m/>
    <m/>
    <m/>
    <s v="Apr-24"/>
    <n v="17"/>
    <s v="2024"/>
  </r>
  <r>
    <d v="2024-04-24T00:00:00"/>
    <s v="Delivery at Compass Group Bangalore"/>
    <s v="F2F"/>
    <s v="Corporate"/>
    <s v="F&amp;B Agrigator"/>
    <s v="Pankaj"/>
    <s v="Delivery of Special CB &amp; MB Handi on 24 April 2024 and Relationship call"/>
    <n v="40311"/>
    <n v="40311"/>
    <x v="0"/>
    <x v="1"/>
    <x v="1"/>
    <s v="Closed"/>
    <m/>
    <n v="0"/>
    <m/>
    <m/>
    <m/>
    <s v="Apr-24"/>
    <n v="17"/>
    <s v="2024"/>
  </r>
  <r>
    <d v="2024-04-24T00:00:00"/>
    <s v="JP Morgan"/>
    <s v="F2F"/>
    <s v="Corporate"/>
    <s v="Banking Finance &amp; Insurance"/>
    <s v="Pramod"/>
    <s v="Relationship call and followup for upcoming ODC"/>
    <n v="40000"/>
    <n v="0"/>
    <x v="9"/>
    <x v="1"/>
    <x v="0"/>
    <s v="Cancelled"/>
    <s v="No requirement"/>
    <n v="0"/>
    <m/>
    <m/>
    <m/>
    <s v="Apr-24"/>
    <n v="17"/>
    <s v="2024"/>
  </r>
  <r>
    <d v="2024-04-25T00:00:00"/>
    <s v="Haleem Counter at Airport"/>
    <s v="Call"/>
    <s v="Corporate"/>
    <s v="F&amp;B Agrigator"/>
    <s v="Venkat"/>
    <d v="2024-04-25T00:00:00"/>
    <n v="4604"/>
    <n v="4604"/>
    <x v="0"/>
    <x v="0"/>
    <x v="1"/>
    <s v="Closed"/>
    <m/>
    <n v="4604"/>
    <m/>
    <m/>
    <m/>
    <s v="Apr-24"/>
    <n v="17"/>
    <s v="2024"/>
  </r>
  <r>
    <d v="2024-04-25T00:00:00"/>
    <s v="Delivery at Renova Soumya Hospital, Hyderabad"/>
    <s v="Call"/>
    <s v="Corporate"/>
    <s v="Healthcare"/>
    <s v="Rajshekhar"/>
    <s v="Delivery of CB and MB from Malkajgiri store on 30 April 2024"/>
    <n v="9700"/>
    <n v="9700"/>
    <x v="0"/>
    <x v="0"/>
    <x v="1"/>
    <s v="Closed"/>
    <m/>
    <n v="0"/>
    <m/>
    <m/>
    <m/>
    <s v="Apr-24"/>
    <n v="17"/>
    <s v="2024"/>
  </r>
  <r>
    <d v="2024-04-25T00:00:00"/>
    <s v="HP"/>
    <s v="F2F"/>
    <s v="Corporate"/>
    <s v="IT"/>
    <s v="Bala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5T00:00:00"/>
    <s v="Onsurity Technologies"/>
    <s v="F2F"/>
    <s v="Corporate"/>
    <s v="Banking Finance &amp; Insurance"/>
    <s v="Akshada"/>
    <s v="Introduction for Bulk delivery and team lunch"/>
    <n v="15000"/>
    <n v="0"/>
    <x v="9"/>
    <x v="1"/>
    <x v="0"/>
    <s v="Cancelled"/>
    <s v="No requirement"/>
    <n v="0"/>
    <m/>
    <m/>
    <m/>
    <s v="Apr-24"/>
    <n v="17"/>
    <s v="2024"/>
  </r>
  <r>
    <d v="2024-04-25T00:00:00"/>
    <s v="Accenture Services"/>
    <s v="F2F"/>
    <s v="Corporate"/>
    <s v="IT"/>
    <s v="Harsha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5T00:00:00"/>
    <s v="JNC Masjid stall"/>
    <s v="F2F"/>
    <s v="ODC"/>
    <s v="Community"/>
    <s v="Syed"/>
    <s v="Introduscion and discussion on Better location"/>
    <n v="30000"/>
    <n v="0"/>
    <x v="9"/>
    <x v="1"/>
    <x v="0"/>
    <s v="Cancelled"/>
    <s v="No requirement"/>
    <n v="0"/>
    <m/>
    <m/>
    <m/>
    <s v="Apr-24"/>
    <n v="17"/>
    <s v="2024"/>
  </r>
  <r>
    <d v="2024-04-25T00:00:00"/>
    <s v="IBM "/>
    <s v="F2F"/>
    <s v="Corporate"/>
    <s v="IT"/>
    <s v="Krunal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6T00:00:00"/>
    <s v="Haleem Counter at Airport"/>
    <s v="Call"/>
    <s v="Corporate"/>
    <s v="F&amp;B Agrigator"/>
    <s v="Venkat"/>
    <d v="2024-04-26T00:00:00"/>
    <n v="4604"/>
    <n v="4604"/>
    <x v="0"/>
    <x v="0"/>
    <x v="1"/>
    <s v="Closed"/>
    <m/>
    <n v="4604"/>
    <m/>
    <m/>
    <m/>
    <s v="Apr-24"/>
    <n v="17"/>
    <s v="2024"/>
  </r>
  <r>
    <d v="2024-04-26T00:00:00"/>
    <s v="Delivery at Secundrabad"/>
    <s v="Call"/>
    <s v="Events"/>
    <s v="Distributers"/>
    <s v="Vishal"/>
    <s v="Delivery Biryani kit on 5 May 2024"/>
    <n v="10000"/>
    <n v="0"/>
    <x v="10"/>
    <x v="0"/>
    <x v="0"/>
    <s v="Cancelled"/>
    <s v="Less Budget"/>
    <n v="0"/>
    <m/>
    <m/>
    <m/>
    <s v="Apr-24"/>
    <n v="17"/>
    <s v="2024"/>
  </r>
  <r>
    <d v="2024-04-26T00:00:00"/>
    <s v="inflow technologies"/>
    <s v="F2F"/>
    <s v="Corporate"/>
    <s v="IT"/>
    <s v="Najeebunnisa"/>
    <s v="Introduction for Bulk delivery and ODC"/>
    <n v="15000"/>
    <n v="0"/>
    <x v="9"/>
    <x v="1"/>
    <x v="0"/>
    <s v="Cancelled"/>
    <s v="No requirement"/>
    <n v="0"/>
    <m/>
    <m/>
    <m/>
    <s v="Apr-24"/>
    <n v="17"/>
    <s v="2024"/>
  </r>
  <r>
    <d v="2024-04-26T00:00:00"/>
    <s v="Nagaaro."/>
    <s v="F2F"/>
    <s v="Corporate"/>
    <s v="IT"/>
    <s v="Balesh Singh"/>
    <s v="Introduction for Bulk delivery and ODC"/>
    <n v="25000"/>
    <n v="0"/>
    <x v="9"/>
    <x v="1"/>
    <x v="0"/>
    <s v="Cancelled"/>
    <s v="No requirement"/>
    <n v="0"/>
    <m/>
    <m/>
    <m/>
    <s v="Apr-24"/>
    <n v="17"/>
    <s v="2024"/>
  </r>
  <r>
    <d v="2024-04-26T00:00:00"/>
    <s v="softtech solutions"/>
    <s v="F2F"/>
    <s v="Corporate"/>
    <s v="IT"/>
    <s v=" Pratap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7T00:00:00"/>
    <s v="Haleem Counter at Airport"/>
    <s v="Call"/>
    <s v="Corporate"/>
    <s v="F&amp;B Agrigator"/>
    <s v="Venkat"/>
    <d v="2024-04-27T00:00:00"/>
    <n v="6447"/>
    <n v="6447"/>
    <x v="0"/>
    <x v="0"/>
    <x v="1"/>
    <s v="Closed"/>
    <m/>
    <n v="6447"/>
    <m/>
    <m/>
    <m/>
    <s v="Apr-24"/>
    <n v="17"/>
    <s v="2024"/>
  </r>
  <r>
    <d v="2024-04-27T00:00:00"/>
    <s v="Delivery at Nampally"/>
    <s v="Call"/>
    <s v="Events"/>
    <s v="Family Group"/>
    <s v="Ekbal"/>
    <s v="MB and CB Delivery from Masabtank Branch on 29 April 2024"/>
    <n v="23000"/>
    <n v="0"/>
    <x v="0"/>
    <x v="0"/>
    <x v="0"/>
    <s v="Cancelled"/>
    <s v="No requirement"/>
    <n v="0"/>
    <m/>
    <m/>
    <m/>
    <s v="Apr-24"/>
    <n v="17"/>
    <s v="2024"/>
  </r>
  <r>
    <d v="2024-04-28T00:00:00"/>
    <s v="Haleem Counter at Airport"/>
    <s v="Call"/>
    <s v="Corporate"/>
    <s v="F&amp;B Agrigator"/>
    <s v="Venkat"/>
    <d v="2024-04-28T00:00:00"/>
    <n v="6447"/>
    <n v="6447"/>
    <x v="0"/>
    <x v="0"/>
    <x v="1"/>
    <s v="Closed"/>
    <m/>
    <n v="6447"/>
    <m/>
    <m/>
    <m/>
    <s v="Apr-24"/>
    <n v="17"/>
    <s v="2024"/>
  </r>
  <r>
    <d v="2024-04-28T00:00:00"/>
    <s v="Delivery at Maradpally"/>
    <s v="Call"/>
    <s v="Events"/>
    <s v="Family Group"/>
    <s v="Sharmila"/>
    <s v="Delivery of CB on 1 May 2024"/>
    <n v="12500"/>
    <n v="12500"/>
    <x v="10"/>
    <x v="0"/>
    <x v="1"/>
    <s v="Closed"/>
    <m/>
    <n v="0"/>
    <m/>
    <m/>
    <m/>
    <s v="Apr-24"/>
    <n v="17"/>
    <s v="2024"/>
  </r>
  <r>
    <d v="2024-04-29T00:00:00"/>
    <s v="Haleem Counter at Airport"/>
    <s v="Call"/>
    <s v="Corporate"/>
    <s v="F&amp;B Agrigator"/>
    <s v="Venkat"/>
    <d v="2024-04-29T00:00:00"/>
    <n v="3684"/>
    <n v="3684"/>
    <x v="0"/>
    <x v="0"/>
    <x v="1"/>
    <s v="Closed"/>
    <m/>
    <n v="3684"/>
    <m/>
    <m/>
    <m/>
    <s v="Apr-24"/>
    <n v="18"/>
    <s v="2024"/>
  </r>
  <r>
    <d v="2024-04-29T00:00:00"/>
    <s v="KPMG"/>
    <s v="Call"/>
    <s v="Corporate"/>
    <s v="Banking Finance &amp; Insurance"/>
    <s v="Santosh Kamath"/>
    <s v="ODC On 29 April 2024,"/>
    <n v="17769"/>
    <n v="17769"/>
    <x v="0"/>
    <x v="1"/>
    <x v="1"/>
    <s v="Closed"/>
    <m/>
    <n v="0"/>
    <m/>
    <m/>
    <m/>
    <s v="Apr-24"/>
    <n v="18"/>
    <s v="2024"/>
  </r>
  <r>
    <d v="2024-04-29T00:00:00"/>
    <s v="SS&amp;C Fintech Services"/>
    <s v="F2F"/>
    <s v="Corporate"/>
    <s v="Banking Finance &amp; Insurance"/>
    <s v="Rupesh"/>
    <s v="Discussion for corporate ID Card offer and bulk order"/>
    <n v="15000"/>
    <n v="0"/>
    <x v="4"/>
    <x v="0"/>
    <x v="0"/>
    <s v="Cancelled"/>
    <s v="Less Budget"/>
    <n v="0"/>
    <m/>
    <m/>
    <m/>
    <s v="Apr-24"/>
    <n v="18"/>
    <s v="2024"/>
  </r>
  <r>
    <d v="2024-04-29T00:00:00"/>
    <s v="Dilevery at BHEL"/>
    <s v="Call"/>
    <s v="Events"/>
    <s v="Family Group"/>
    <s v="Suresh"/>
    <s v="Delivery of CB on 1 May 2024"/>
    <n v="12000"/>
    <n v="0"/>
    <x v="10"/>
    <x v="0"/>
    <x v="0"/>
    <s v="Cancelled"/>
    <s v="Event Cancelled"/>
    <n v="0"/>
    <m/>
    <m/>
    <m/>
    <s v="Apr-24"/>
    <n v="18"/>
    <s v="2024"/>
  </r>
  <r>
    <d v="2024-04-29T00:00:00"/>
    <s v="Hyundai Motors"/>
    <s v="F2F"/>
    <s v="Corporate"/>
    <s v="Automobile"/>
    <s v="Ajay "/>
    <s v="Introduction to gifting and bulk order"/>
    <n v="15000"/>
    <n v="0"/>
    <x v="9"/>
    <x v="0"/>
    <x v="0"/>
    <s v="Cancelled"/>
    <s v="No requirement"/>
    <n v="0"/>
    <m/>
    <m/>
    <m/>
    <s v="Apr-24"/>
    <n v="18"/>
    <s v="2024"/>
  </r>
  <r>
    <d v="2024-04-29T00:00:00"/>
    <s v="Revolution"/>
    <s v="F2F"/>
    <s v="Corporate"/>
    <s v="IT"/>
    <s v="Shankar"/>
    <s v="Follow up for bulk orders"/>
    <n v="14000"/>
    <n v="0"/>
    <x v="9"/>
    <x v="0"/>
    <x v="0"/>
    <s v="Cancelled"/>
    <s v="No requirement"/>
    <n v="0"/>
    <m/>
    <m/>
    <m/>
    <s v="Apr-24"/>
    <n v="18"/>
    <s v="2024"/>
  </r>
  <r>
    <d v="2024-04-30T00:00:00"/>
    <s v="Haleem Counter at Airport"/>
    <s v="Call"/>
    <s v="Corporate"/>
    <s v="F&amp;B Agrigator"/>
    <s v="Venkat"/>
    <d v="2024-04-30T00:00:00"/>
    <n v="3684"/>
    <n v="3684"/>
    <x v="0"/>
    <x v="0"/>
    <x v="1"/>
    <s v="Closed"/>
    <m/>
    <n v="3684"/>
    <m/>
    <m/>
    <m/>
    <s v="Apr-24"/>
    <n v="18"/>
    <s v="2024"/>
  </r>
  <r>
    <d v="2024-04-30T00:00:00"/>
    <s v="Sears"/>
    <s v="F2F"/>
    <s v="Corporate"/>
    <s v="IT"/>
    <s v="Anurag"/>
    <s v="Introduction to team lunch"/>
    <n v="12000"/>
    <n v="0"/>
    <x v="9"/>
    <x v="0"/>
    <x v="0"/>
    <s v="Cancelled"/>
    <s v="No requirement"/>
    <n v="0"/>
    <m/>
    <m/>
    <m/>
    <s v="Apr-24"/>
    <n v="18"/>
    <s v="2024"/>
  </r>
  <r>
    <d v="2024-04-30T00:00:00"/>
    <s v="Xylinx"/>
    <s v="F2F"/>
    <s v="Corporate"/>
    <s v="IT"/>
    <s v="Haripriya"/>
    <s v="Introduction to bulk orders"/>
    <n v="15000"/>
    <n v="0"/>
    <x v="9"/>
    <x v="0"/>
    <x v="0"/>
    <s v="Cancelled"/>
    <s v="No requirement"/>
    <n v="0"/>
    <m/>
    <m/>
    <m/>
    <s v="Apr-24"/>
    <n v="18"/>
    <s v="2024"/>
  </r>
  <r>
    <d v="2024-05-01T00:00:00"/>
    <s v="Delivery at Omega  Hospitals Gachibowli"/>
    <s v="Call"/>
    <s v="Corporate"/>
    <s v="Healthcare"/>
    <s v="Arijit"/>
    <s v="Delivery of CB on 3 May 2024"/>
    <n v="10000"/>
    <n v="10000"/>
    <x v="10"/>
    <x v="0"/>
    <x v="1"/>
    <s v="Closed"/>
    <m/>
    <n v="0"/>
    <m/>
    <m/>
    <m/>
    <s v="May-24"/>
    <n v="18"/>
    <s v="2024"/>
  </r>
  <r>
    <d v="2024-05-02T00:00:00"/>
    <s v="Delivery at west Maradpally"/>
    <s v="Call"/>
    <s v="Events"/>
    <s v="Family Group"/>
    <s v="Sharmila"/>
    <s v="Delivery of CB Handi on 3 May 2024"/>
    <n v="9000"/>
    <n v="9000"/>
    <x v="10"/>
    <x v="0"/>
    <x v="1"/>
    <s v="Closed"/>
    <m/>
    <n v="0"/>
    <m/>
    <m/>
    <m/>
    <s v="May-24"/>
    <n v="18"/>
    <s v="2024"/>
  </r>
  <r>
    <d v="2024-05-02T00:00:00"/>
    <s v="Advanta Seeds"/>
    <s v="F2F"/>
    <s v="Corporate"/>
    <s v="Agritech"/>
    <s v="Minna Rao"/>
    <s v="food delivery at farmers meet"/>
    <n v="18000"/>
    <n v="0"/>
    <x v="9"/>
    <x v="0"/>
    <x v="0"/>
    <s v="Cancelled"/>
    <s v="No requirement"/>
    <n v="0"/>
    <m/>
    <m/>
    <m/>
    <s v="May-24"/>
    <n v="18"/>
    <s v="2024"/>
  </r>
  <r>
    <d v="2024-05-02T00:00:00"/>
    <s v="Naveena School"/>
    <s v="F2F"/>
    <s v="School"/>
    <s v="Education"/>
    <s v="Aparna"/>
    <s v="Introduction to bulk order"/>
    <n v="12000"/>
    <n v="0"/>
    <x v="9"/>
    <x v="0"/>
    <x v="0"/>
    <s v="Cancelled"/>
    <s v="No requirement"/>
    <n v="0"/>
    <m/>
    <m/>
    <m/>
    <s v="May-24"/>
    <n v="18"/>
    <s v="2024"/>
  </r>
  <r>
    <d v="2024-05-02T00:00:00"/>
    <s v="Model N "/>
    <s v="F2F"/>
    <s v="Corporate"/>
    <s v="IT"/>
    <s v="Karthik Reddy"/>
    <s v="Introduction to bulk order"/>
    <n v="15000"/>
    <n v="0"/>
    <x v="9"/>
    <x v="0"/>
    <x v="0"/>
    <s v="Cancelled"/>
    <s v="No requirement"/>
    <n v="0"/>
    <m/>
    <m/>
    <m/>
    <s v="May-24"/>
    <n v="18"/>
    <s v="2024"/>
  </r>
  <r>
    <d v="2024-05-03T00:00:00"/>
    <s v="Delivery from Electronic City"/>
    <s v="Call"/>
    <s v="Events"/>
    <s v="Family Group"/>
    <s v="Mahesh"/>
    <s v="Shared quote for CB for 5 May 2024"/>
    <n v="5000"/>
    <n v="5000"/>
    <x v="10"/>
    <x v="1"/>
    <x v="1"/>
    <s v="Closed"/>
    <m/>
    <n v="0"/>
    <m/>
    <m/>
    <m/>
    <s v="May-24"/>
    <n v="18"/>
    <s v="2024"/>
  </r>
  <r>
    <d v="2024-05-03T00:00:00"/>
    <s v="Quadrangle"/>
    <s v="F2F"/>
    <s v="Corporate"/>
    <s v="IT"/>
    <s v="Preeti"/>
    <s v="Introduction to bulk order"/>
    <n v="10000"/>
    <n v="0"/>
    <x v="9"/>
    <x v="0"/>
    <x v="0"/>
    <s v="Cancelled"/>
    <s v="No requirement"/>
    <n v="0"/>
    <m/>
    <m/>
    <m/>
    <s v="May-24"/>
    <n v="18"/>
    <s v="2024"/>
  </r>
  <r>
    <d v="2024-05-03T00:00:00"/>
    <s v="Lords School"/>
    <s v="F2F"/>
    <s v="School"/>
    <s v="Education"/>
    <s v="Kondarao"/>
    <s v="Introduction to bulk order and ODC"/>
    <n v="12000"/>
    <n v="0"/>
    <x v="9"/>
    <x v="0"/>
    <x v="0"/>
    <s v="Cancelled"/>
    <s v="No requirement"/>
    <n v="0"/>
    <m/>
    <m/>
    <m/>
    <s v="May-24"/>
    <n v="18"/>
    <s v="2024"/>
  </r>
  <r>
    <d v="2024-05-03T00:00:00"/>
    <s v="Maharshi School"/>
    <s v="F2F"/>
    <s v="School"/>
    <s v="Education"/>
    <s v="Mahesh"/>
    <s v="Introduction to bulk order and ODC"/>
    <n v="15000"/>
    <n v="0"/>
    <x v="9"/>
    <x v="0"/>
    <x v="0"/>
    <s v="Cancelled"/>
    <s v="No requirement"/>
    <n v="0"/>
    <m/>
    <m/>
    <m/>
    <s v="May-24"/>
    <n v="18"/>
    <s v="2024"/>
  </r>
  <r>
    <d v="2024-05-03T00:00:00"/>
    <s v="TATA Communications"/>
    <s v="F2F"/>
    <s v="Corporate"/>
    <s v="IT"/>
    <s v="Srinivas"/>
    <s v="Introduction to bulk orders"/>
    <n v="15000"/>
    <n v="0"/>
    <x v="9"/>
    <x v="0"/>
    <x v="0"/>
    <s v="Cancelled"/>
    <s v="No requirement"/>
    <n v="0"/>
    <m/>
    <m/>
    <m/>
    <s v="May-24"/>
    <n v="18"/>
    <s v="2024"/>
  </r>
  <r>
    <d v="2024-05-04T00:00:00"/>
    <s v="Delivery at Miyapur"/>
    <s v="Call"/>
    <s v="Events"/>
    <s v="Family Group"/>
    <s v="Aravind"/>
    <s v="Delivery of MB on 5 May 2024 from BHEL Branch"/>
    <n v="33000"/>
    <n v="33000"/>
    <x v="10"/>
    <x v="0"/>
    <x v="1"/>
    <s v="Closed"/>
    <m/>
    <n v="0"/>
    <m/>
    <m/>
    <m/>
    <s v="May-24"/>
    <n v="18"/>
    <s v="2024"/>
  </r>
  <r>
    <d v="2024-05-05T00:00:00"/>
    <s v="Delivery of CB at Malkajgiri"/>
    <s v="Call"/>
    <s v="Events"/>
    <s v="Family Group"/>
    <s v="Brahma"/>
    <s v="Delivery of CB on 5 May 2024"/>
    <n v="5500"/>
    <n v="5500"/>
    <x v="10"/>
    <x v="0"/>
    <x v="1"/>
    <s v="Closed"/>
    <m/>
    <n v="0"/>
    <m/>
    <m/>
    <m/>
    <s v="May-24"/>
    <n v="18"/>
    <s v="2024"/>
  </r>
  <r>
    <d v="2024-05-06T00:00:00"/>
    <s v="Kamineni Hospitals"/>
    <s v="F2F"/>
    <s v="Corporate"/>
    <s v="Healthcare"/>
    <s v="Priyabatra"/>
    <s v="Delivery of CB for doctors meet on 9-5-2024"/>
    <n v="9000"/>
    <n v="9000"/>
    <x v="10"/>
    <x v="0"/>
    <x v="1"/>
    <s v="Closed"/>
    <m/>
    <n v="0"/>
    <m/>
    <m/>
    <m/>
    <s v="May-24"/>
    <n v="19"/>
    <s v="2024"/>
  </r>
  <r>
    <d v="2024-05-06T00:00:00"/>
    <s v="Delivery at Electronic City"/>
    <s v="Call"/>
    <s v="Events"/>
    <s v="Family Group"/>
    <s v="Edwin"/>
    <s v="Delivery On 7 May 2024"/>
    <n v="7000"/>
    <n v="7000"/>
    <x v="10"/>
    <x v="1"/>
    <x v="1"/>
    <s v="Closed"/>
    <m/>
    <n v="0"/>
    <m/>
    <m/>
    <m/>
    <s v="May-24"/>
    <n v="19"/>
    <s v="2024"/>
  </r>
  <r>
    <d v="2024-05-06T00:00:00"/>
    <s v="Delivery at KPHB"/>
    <s v="Call"/>
    <s v="Events"/>
    <s v="Family Group"/>
    <s v="Naresh"/>
    <s v="Delivery of CB on 7 May 2024"/>
    <n v="12500"/>
    <n v="0"/>
    <x v="10"/>
    <x v="0"/>
    <x v="0"/>
    <s v="Cancelled"/>
    <s v="Less Budget"/>
    <n v="0"/>
    <m/>
    <m/>
    <m/>
    <s v="May-24"/>
    <n v="19"/>
    <s v="2024"/>
  </r>
  <r>
    <d v="2024-05-06T00:00:00"/>
    <s v="Kapil Chit funds"/>
    <s v="F2F"/>
    <s v="Corporate"/>
    <s v="Banking Finance &amp; Insurance"/>
    <s v="Yusuf"/>
    <s v="Introduction to bulk order for sales meet"/>
    <n v="20000"/>
    <n v="0"/>
    <x v="9"/>
    <x v="0"/>
    <x v="0"/>
    <s v="Cancelled"/>
    <s v="No requirement"/>
    <n v="0"/>
    <m/>
    <m/>
    <m/>
    <s v="May-24"/>
    <n v="19"/>
    <s v="2024"/>
  </r>
  <r>
    <d v="2024-05-06T00:00:00"/>
    <s v="Omni Hospitals"/>
    <s v="F2F"/>
    <s v="Corporate"/>
    <s v="Healthcare"/>
    <s v="Bindu"/>
    <s v="Introduction to bulk order for Doctors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Delivery at Compass Group Bangalore"/>
    <s v="Call"/>
    <s v="Corporate"/>
    <s v="F&amp;B Agrigator"/>
    <s v="Pankaj"/>
    <s v="Delivery of Special CB &amp; MB Handi on 8 May 2024"/>
    <n v="39567"/>
    <n v="39567"/>
    <x v="10"/>
    <x v="1"/>
    <x v="1"/>
    <s v="Closed"/>
    <m/>
    <n v="0"/>
    <m/>
    <m/>
    <m/>
    <s v="May-24"/>
    <n v="19"/>
    <s v="2024"/>
  </r>
  <r>
    <d v="2024-05-07T00:00:00"/>
    <s v="Vision Degree College"/>
    <s v="Call"/>
    <s v="College"/>
    <s v="Education"/>
    <s v="Danaiah"/>
    <s v="Introduction to bulk orders"/>
    <n v="12000"/>
    <n v="0"/>
    <x v="9"/>
    <x v="0"/>
    <x v="0"/>
    <s v="Cancelled"/>
    <s v="No requirement"/>
    <n v="0"/>
    <m/>
    <m/>
    <m/>
    <s v="May-24"/>
    <n v="19"/>
    <s v="2024"/>
  </r>
  <r>
    <d v="2024-05-07T00:00:00"/>
    <s v="HDFC BanK Ltd"/>
    <s v="F2F"/>
    <s v="Corporate"/>
    <s v="Banking Finance &amp; Insurance"/>
    <s v="Bala Showry"/>
    <s v="Intoroduction to team lunch and bulk food delivery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JB Infra Group"/>
    <s v="Call"/>
    <s v="Corporate"/>
    <s v="Realestate"/>
    <s v="Anil"/>
    <s v="Introduction to client lunch and gifting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I20 Fever"/>
    <s v="Call"/>
    <s v="Corporate"/>
    <s v="Education"/>
    <s v="Archana Kancharla"/>
    <s v="Introduction to team lunch and corporate gifting"/>
    <n v="20000"/>
    <n v="0"/>
    <x v="9"/>
    <x v="0"/>
    <x v="0"/>
    <s v="Cancelled"/>
    <s v="No requirement"/>
    <n v="0"/>
    <m/>
    <m/>
    <m/>
    <s v="May-24"/>
    <n v="19"/>
    <s v="2024"/>
  </r>
  <r>
    <d v="2024-05-07T00:00:00"/>
    <s v="Vision Degree College"/>
    <s v="Call"/>
    <s v="College"/>
    <s v="Education"/>
    <s v="Danaiah"/>
    <s v="Introduction to bulk orders"/>
    <n v="12000"/>
    <n v="0"/>
    <x v="9"/>
    <x v="0"/>
    <x v="0"/>
    <s v="Cancelled"/>
    <s v="No requirement"/>
    <n v="0"/>
    <m/>
    <m/>
    <m/>
    <s v="May-24"/>
    <n v="19"/>
    <s v="2024"/>
  </r>
  <r>
    <d v="2024-05-07T00:00:00"/>
    <s v="HDFC BanK Ltd"/>
    <s v="F2F"/>
    <s v="Corporate"/>
    <s v="Banking Finance &amp; Insurance"/>
    <s v="Bala Showry"/>
    <s v="Intoroduction to team lunch and bulk food delivery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JB Infra Group"/>
    <s v="Call"/>
    <s v="Corporate"/>
    <s v="Realestate"/>
    <s v="Anil"/>
    <s v="Introduction to client lunch and gifting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I20 Fever"/>
    <s v="Call"/>
    <s v="Corporate"/>
    <s v="Education"/>
    <s v="Archana Kancharla"/>
    <s v="Introduction to team lunch and corporate gifting"/>
    <n v="20000"/>
    <n v="0"/>
    <x v="9"/>
    <x v="0"/>
    <x v="0"/>
    <s v="Cancelled"/>
    <s v="No requirement"/>
    <n v="0"/>
    <m/>
    <m/>
    <m/>
    <s v="May-24"/>
    <n v="19"/>
    <s v="2024"/>
  </r>
  <r>
    <d v="2024-05-08T00:00:00"/>
    <s v="SBI Card"/>
    <s v="F2F"/>
    <s v="Corporate"/>
    <s v="Banking Finance &amp; Insurance"/>
    <s v="Poulami"/>
    <s v="Discussion regarding team lunch on 18 May 2024"/>
    <n v="50000"/>
    <n v="0"/>
    <x v="10"/>
    <x v="0"/>
    <x v="0"/>
    <s v="Cancelled"/>
    <s v="Event Cancelled"/>
    <n v="0"/>
    <m/>
    <m/>
    <m/>
    <s v="May-24"/>
    <n v="19"/>
    <s v="2024"/>
  </r>
  <r>
    <d v="2024-05-08T00:00:00"/>
    <s v="Pride Motors"/>
    <s v="F2F"/>
    <s v="Corporate"/>
    <s v="Automobile"/>
    <s v="Shivshankar"/>
    <s v="Introduction to team lunch and bulk orders"/>
    <n v="12000"/>
    <n v="0"/>
    <x v="9"/>
    <x v="0"/>
    <x v="0"/>
    <s v="Cancelled"/>
    <s v="No requirement"/>
    <n v="0"/>
    <m/>
    <m/>
    <m/>
    <s v="May-24"/>
    <n v="19"/>
    <s v="2024"/>
  </r>
  <r>
    <d v="2024-05-08T00:00:00"/>
    <s v="Reliance Trends"/>
    <s v="F2F"/>
    <s v="Corporate"/>
    <s v="Retail"/>
    <s v="Durga Reddy"/>
    <s v="Introduction to team lunch and bulk orders"/>
    <n v="15000"/>
    <n v="0"/>
    <x v="9"/>
    <x v="0"/>
    <x v="0"/>
    <s v="Cancelled"/>
    <s v="No requirement"/>
    <n v="0"/>
    <m/>
    <m/>
    <m/>
    <s v="May-24"/>
    <n v="19"/>
    <s v="2024"/>
  </r>
  <r>
    <d v="2024-05-08T00:00:00"/>
    <s v="Chandramouli Electricals"/>
    <s v="F2F"/>
    <s v="Corporate"/>
    <s v="Retail"/>
    <s v="Raju"/>
    <s v="Followup for further orders"/>
    <n v="20000"/>
    <n v="0"/>
    <x v="9"/>
    <x v="0"/>
    <x v="0"/>
    <s v="Cancelled"/>
    <s v="No requirement"/>
    <n v="0"/>
    <m/>
    <m/>
    <m/>
    <s v="May-24"/>
    <n v="19"/>
    <s v="2024"/>
  </r>
  <r>
    <d v="2024-05-09T00:00:00"/>
    <s v="Wipro FMCG"/>
    <s v="F2F"/>
    <s v="Corporate"/>
    <s v="FMCG"/>
    <s v="Harshita"/>
    <s v="Shared quote for employee benefit gift vouchers for their Dealers"/>
    <n v="50000"/>
    <n v="0"/>
    <x v="9"/>
    <x v="0"/>
    <x v="0"/>
    <s v="Cancelled"/>
    <s v="No requirement"/>
    <n v="0"/>
    <m/>
    <m/>
    <m/>
    <s v="May-24"/>
    <n v="19"/>
    <s v="2024"/>
  </r>
  <r>
    <d v="2024-05-09T00:00:00"/>
    <s v="Delivery at Gachibowli"/>
    <s v="Call"/>
    <s v="Corporate"/>
    <s v="IT"/>
    <s v="Sohail"/>
    <s v="Shared quote for CB Handi"/>
    <n v="8400"/>
    <n v="0"/>
    <x v="10"/>
    <x v="0"/>
    <x v="0"/>
    <s v="Cancelled"/>
    <s v="Less Budget"/>
    <n v="0"/>
    <m/>
    <m/>
    <m/>
    <s v="May-24"/>
    <n v="19"/>
    <s v="2024"/>
  </r>
  <r>
    <d v="2024-05-09T00:00:00"/>
    <s v="Astral Pipes"/>
    <s v="F2F"/>
    <s v="Corporate"/>
    <s v="FMCG"/>
    <s v="Srini"/>
    <s v="Shared details about gifting coupons"/>
    <n v="12000"/>
    <n v="0"/>
    <x v="9"/>
    <x v="0"/>
    <x v="0"/>
    <s v="Cancelled"/>
    <s v="No requirement"/>
    <n v="0"/>
    <m/>
    <m/>
    <m/>
    <s v="May-24"/>
    <n v="19"/>
    <s v="2024"/>
  </r>
  <r>
    <d v="2024-05-09T00:00:00"/>
    <s v="Siemens "/>
    <s v="Call"/>
    <s v="Corporate"/>
    <s v="IT"/>
    <s v="Abhishek"/>
    <s v="Introduction to bulk orders"/>
    <n v="10000"/>
    <n v="0"/>
    <x v="9"/>
    <x v="0"/>
    <x v="0"/>
    <s v="Cancelled"/>
    <s v="No requirement"/>
    <n v="0"/>
    <m/>
    <m/>
    <m/>
    <s v="May-24"/>
    <n v="19"/>
    <s v="2024"/>
  </r>
  <r>
    <d v="2024-05-09T00:00:00"/>
    <s v="Omnimed"/>
    <s v="F2F"/>
    <s v="Corporate"/>
    <s v="Pharma"/>
    <s v="Isha "/>
    <s v="Introduction to bulk orders"/>
    <n v="15000"/>
    <n v="0"/>
    <x v="9"/>
    <x v="0"/>
    <x v="0"/>
    <s v="Cancelled"/>
    <s v="No requirement"/>
    <n v="0"/>
    <m/>
    <m/>
    <m/>
    <s v="May-24"/>
    <n v="19"/>
    <s v="2024"/>
  </r>
  <r>
    <d v="2024-05-10T00:00:00"/>
    <s v="Chepyala Publication"/>
    <s v="F2F"/>
    <s v="Corporate"/>
    <s v="Retail"/>
    <s v="Chari"/>
    <s v="CB delivery on 13 May 2024 from Masabtank"/>
    <n v="10000"/>
    <n v="10000"/>
    <x v="10"/>
    <x v="0"/>
    <x v="1"/>
    <s v="Closed"/>
    <m/>
    <n v="0"/>
    <m/>
    <m/>
    <m/>
    <s v="May-24"/>
    <n v="19"/>
    <s v="2024"/>
  </r>
  <r>
    <d v="2024-05-10T00:00:00"/>
    <s v="Infosys"/>
    <s v="F2F"/>
    <s v="Corporate"/>
    <s v="IT"/>
    <s v="Prasad"/>
    <s v="CB delivery on 31 May 2024"/>
    <n v="29000"/>
    <n v="29000"/>
    <x v="10"/>
    <x v="0"/>
    <x v="1"/>
    <s v="Closed"/>
    <m/>
    <n v="0"/>
    <m/>
    <m/>
    <m/>
    <s v="May-24"/>
    <n v="19"/>
    <s v="2024"/>
  </r>
  <r>
    <d v="2024-05-10T00:00:00"/>
    <s v="MSN Labs "/>
    <s v="Call"/>
    <s v="Corporate"/>
    <s v="Pharma"/>
    <s v="Satya"/>
    <s v="50% Advance Received"/>
    <n v="2590000"/>
    <n v="2590000"/>
    <x v="10"/>
    <x v="0"/>
    <x v="1"/>
    <s v="Closed"/>
    <m/>
    <n v="0"/>
    <m/>
    <m/>
    <m/>
    <s v="May-24"/>
    <n v="19"/>
    <s v="2024"/>
  </r>
  <r>
    <d v="2024-05-10T00:00:00"/>
    <s v="Gati Logistics"/>
    <s v="F2F"/>
    <s v="Corporate"/>
    <s v="Automobile"/>
    <s v="Fayaz"/>
    <s v="Shared details of team lunch"/>
    <n v="12000"/>
    <n v="0"/>
    <x v="9"/>
    <x v="0"/>
    <x v="0"/>
    <s v="Cancelled"/>
    <s v="No requirement"/>
    <n v="0"/>
    <m/>
    <m/>
    <m/>
    <s v="May-24"/>
    <n v="19"/>
    <s v="2024"/>
  </r>
  <r>
    <d v="2024-05-12T00:00:00"/>
    <s v="Delivery at Miyapur"/>
    <s v="Call"/>
    <s v="Events"/>
    <s v="Family Group"/>
    <s v="Arvind"/>
    <s v="Delivery of CB &amp; VB  on 13 May 2024"/>
    <n v="7000"/>
    <n v="7000"/>
    <x v="10"/>
    <x v="0"/>
    <x v="1"/>
    <s v="Closed"/>
    <m/>
    <n v="0"/>
    <m/>
    <m/>
    <m/>
    <s v="May-24"/>
    <n v="19"/>
    <s v="2024"/>
  </r>
  <r>
    <d v="2024-05-12T00:00:00"/>
    <s v="Jainam Events"/>
    <s v="Call"/>
    <s v="Events"/>
    <s v="Events"/>
    <s v="Arun"/>
    <s v="Introduction to bulk order and ODC"/>
    <n v="15000"/>
    <n v="0"/>
    <x v="9"/>
    <x v="0"/>
    <x v="0"/>
    <s v="Cancelled"/>
    <s v="No requirement"/>
    <n v="0"/>
    <m/>
    <m/>
    <m/>
    <s v="May-24"/>
    <n v="19"/>
    <s v="2024"/>
  </r>
  <r>
    <d v="2024-05-12T00:00:00"/>
    <s v="Nexus Solutions"/>
    <s v="Call"/>
    <s v="Events"/>
    <s v="Events"/>
    <s v="Naveen Kumar"/>
    <s v="Introduction to bulk order and ODC"/>
    <n v="18000"/>
    <n v="0"/>
    <x v="9"/>
    <x v="0"/>
    <x v="0"/>
    <s v="Cancelled"/>
    <s v="No requirement"/>
    <n v="0"/>
    <m/>
    <m/>
    <m/>
    <s v="May-24"/>
    <n v="19"/>
    <s v="2024"/>
  </r>
  <r>
    <d v="2024-05-13T00:00:00"/>
    <s v="Lakshmi Enterprice Ahmedabad"/>
    <s v="Call"/>
    <s v="Corporate"/>
    <s v="Distributers"/>
    <s v="Ravindar"/>
    <s v="Shared Quotation for biryani kit "/>
    <n v="200000"/>
    <n v="0"/>
    <x v="4"/>
    <x v="0"/>
    <x v="0"/>
    <s v="Cancelled"/>
    <s v="Event Cancelled"/>
    <n v="0"/>
    <m/>
    <m/>
    <m/>
    <s v="May-24"/>
    <n v="20"/>
    <s v="2024"/>
  </r>
  <r>
    <d v="2024-05-13T00:00:00"/>
    <s v="NIT Warangal"/>
    <s v="Call"/>
    <s v="College"/>
    <s v="Education"/>
    <s v="Rohit Guna"/>
    <s v="Introduction to bulk orders"/>
    <n v="20000"/>
    <n v="0"/>
    <x v="9"/>
    <x v="0"/>
    <x v="0"/>
    <s v="Cancelled"/>
    <s v="No requirement"/>
    <n v="0"/>
    <m/>
    <m/>
    <m/>
    <s v="May-24"/>
    <n v="20"/>
    <s v="2024"/>
  </r>
  <r>
    <d v="2024-05-13T00:00:00"/>
    <s v="Big C Hanmakonda"/>
    <s v="Call"/>
    <s v="Corporate"/>
    <s v="Retail"/>
    <s v="Raju"/>
    <s v="Introduction to bulk orders and gifting"/>
    <n v="10000"/>
    <n v="0"/>
    <x v="9"/>
    <x v="0"/>
    <x v="0"/>
    <s v="Cancelled"/>
    <s v="No requirement"/>
    <n v="0"/>
    <m/>
    <m/>
    <m/>
    <s v="May-24"/>
    <n v="20"/>
    <s v="2024"/>
  </r>
  <r>
    <d v="2024-05-13T00:00:00"/>
    <s v="Airtel Warangal"/>
    <s v="Call"/>
    <s v="Corporate"/>
    <s v="Retail"/>
    <s v="Babji Rao"/>
    <s v="Introduction to bulk order and Gifting"/>
    <n v="12000"/>
    <n v="0"/>
    <x v="9"/>
    <x v="0"/>
    <x v="0"/>
    <s v="Cancelled"/>
    <s v="No requirement"/>
    <n v="0"/>
    <m/>
    <m/>
    <m/>
    <s v="May-24"/>
    <n v="20"/>
    <s v="2024"/>
  </r>
  <r>
    <d v="2024-05-13T00:00:00"/>
    <s v="HDFC Life"/>
    <s v="Call"/>
    <s v="Corporate"/>
    <s v="Banking Finance &amp; Insurance"/>
    <s v="Ganesh"/>
    <s v="Introduction to team lunch and gifting"/>
    <n v="10000"/>
    <n v="0"/>
    <x v="9"/>
    <x v="0"/>
    <x v="0"/>
    <s v="Cancelled"/>
    <s v="No requirement"/>
    <n v="0"/>
    <m/>
    <m/>
    <m/>
    <s v="May-24"/>
    <n v="20"/>
    <s v="2024"/>
  </r>
  <r>
    <d v="2024-05-14T00:00:00"/>
    <s v="ODC at SRM Univercity Vizag"/>
    <s v="Call"/>
    <s v="College"/>
    <s v="Education"/>
    <s v="Vijay"/>
    <s v="Shared quote for Biryani"/>
    <n v="30000"/>
    <n v="0"/>
    <x v="8"/>
    <x v="0"/>
    <x v="0"/>
    <s v="Cancelled"/>
    <s v="No requirement"/>
    <n v="0"/>
    <m/>
    <m/>
    <m/>
    <s v="May-24"/>
    <n v="20"/>
    <s v="2024"/>
  </r>
  <r>
    <d v="2024-05-14T00:00:00"/>
    <s v="Delivery at Compass Group Bangalore"/>
    <s v="Call"/>
    <s v="Corporate"/>
    <s v="F&amp;B Agrigator"/>
    <s v="Pankaj"/>
    <s v="Delivery of Special CB &amp; MB Handi on 15 May 2024"/>
    <n v="44198"/>
    <n v="44198"/>
    <x v="10"/>
    <x v="1"/>
    <x v="1"/>
    <s v="Closed"/>
    <m/>
    <n v="0"/>
    <m/>
    <m/>
    <m/>
    <s v="May-24"/>
    <n v="20"/>
    <s v="2024"/>
  </r>
  <r>
    <d v="2024-05-14T00:00:00"/>
    <s v="Yathapu Consulting"/>
    <s v="F2F"/>
    <s v="Corporate"/>
    <s v="Education"/>
    <s v="Pradeep Reddy"/>
    <s v="Introduction to team lunch"/>
    <n v="20000"/>
    <n v="0"/>
    <x v="9"/>
    <x v="0"/>
    <x v="0"/>
    <s v="Cancelled"/>
    <s v="No requirement"/>
    <n v="0"/>
    <m/>
    <m/>
    <m/>
    <s v="May-24"/>
    <n v="20"/>
    <s v="2024"/>
  </r>
  <r>
    <d v="2024-05-14T00:00:00"/>
    <s v="Ratna Globaltech Solutions"/>
    <s v="F2F"/>
    <s v="Corporate"/>
    <s v="IT"/>
    <s v="Elisha"/>
    <s v="Introduction to team lunch"/>
    <n v="10000"/>
    <n v="0"/>
    <x v="9"/>
    <x v="0"/>
    <x v="0"/>
    <s v="Cancelled"/>
    <s v="No requirement"/>
    <n v="0"/>
    <m/>
    <m/>
    <m/>
    <s v="May-24"/>
    <n v="20"/>
    <s v="2024"/>
  </r>
  <r>
    <d v="2024-05-14T00:00:00"/>
    <s v="Shivashakti"/>
    <s v="F2F"/>
    <s v="Corporate"/>
    <s v="Agritech"/>
    <s v="Firoz"/>
    <s v="Introduction to bulk order and Gifting"/>
    <n v="15000"/>
    <n v="0"/>
    <x v="9"/>
    <x v="0"/>
    <x v="0"/>
    <s v="Cancelled"/>
    <s v="No requirement"/>
    <n v="0"/>
    <m/>
    <m/>
    <m/>
    <s v="May-24"/>
    <n v="20"/>
    <s v="2024"/>
  </r>
  <r>
    <d v="2024-05-14T00:00:00"/>
    <s v="KCM Petrotech"/>
    <s v="F2F"/>
    <s v="Corporate"/>
    <s v="Distributers"/>
    <s v="K Srinivas"/>
    <s v="Introduction to gifting and bulk order"/>
    <n v="15000"/>
    <n v="0"/>
    <x v="9"/>
    <x v="0"/>
    <x v="0"/>
    <s v="Cancelled"/>
    <s v="No requirement"/>
    <n v="0"/>
    <m/>
    <m/>
    <m/>
    <s v="May-24"/>
    <n v="20"/>
    <s v="2024"/>
  </r>
  <r>
    <d v="2024-05-15T00:00:00"/>
    <s v="Delivery at Charminar"/>
    <s v="Call"/>
    <s v="Events"/>
    <s v="Family Group"/>
    <s v="Padmavathi"/>
    <s v="Delivery on 17 May 2024"/>
    <n v="12000"/>
    <n v="12000"/>
    <x v="10"/>
    <x v="0"/>
    <x v="1"/>
    <s v="Closed"/>
    <m/>
    <n v="0"/>
    <m/>
    <m/>
    <m/>
    <s v="May-24"/>
    <n v="20"/>
    <s v="2024"/>
  </r>
  <r>
    <d v="2024-05-15T00:00:00"/>
    <s v="Delivery at Bowenpally"/>
    <s v="Call"/>
    <s v="Events"/>
    <s v="Family Group"/>
    <s v="Sahel"/>
    <s v="Delivery of MB on 15 May 2024"/>
    <n v="7000"/>
    <n v="7000"/>
    <x v="10"/>
    <x v="0"/>
    <x v="1"/>
    <s v="Closed"/>
    <m/>
    <n v="0"/>
    <m/>
    <m/>
    <m/>
    <s v="May-24"/>
    <n v="20"/>
    <s v="2024"/>
  </r>
  <r>
    <d v="2024-05-15T00:00:00"/>
    <s v="Delivery at Electronic City"/>
    <s v="Call"/>
    <s v="Events"/>
    <s v="Family Group"/>
    <s v="Edvin"/>
    <s v="Delivery of CB on 15 May 2024"/>
    <n v="6000"/>
    <n v="6000"/>
    <x v="10"/>
    <x v="1"/>
    <x v="1"/>
    <s v="Closed"/>
    <m/>
    <n v="0"/>
    <m/>
    <m/>
    <m/>
    <s v="May-24"/>
    <n v="20"/>
    <s v="2024"/>
  </r>
  <r>
    <d v="2024-05-15T00:00:00"/>
    <s v="Cosmol Energy"/>
    <s v="F2F"/>
    <s v="Corporate"/>
    <s v="IT"/>
    <s v="Kaleem"/>
    <s v="Introduction to bulk orders"/>
    <n v="10000"/>
    <n v="0"/>
    <x v="9"/>
    <x v="0"/>
    <x v="0"/>
    <s v="Cancelled"/>
    <s v="No requirement"/>
    <n v="0"/>
    <m/>
    <m/>
    <m/>
    <s v="May-24"/>
    <n v="20"/>
    <s v="2024"/>
  </r>
  <r>
    <d v="2024-05-15T00:00:00"/>
    <s v="Param Info"/>
    <s v="F2F"/>
    <s v="Corporate"/>
    <s v="IT"/>
    <s v="Kalyan"/>
    <s v="Introduction to team lunch and bulk orders"/>
    <n v="12000"/>
    <n v="0"/>
    <x v="9"/>
    <x v="0"/>
    <x v="0"/>
    <s v="Cancelled"/>
    <s v="No requirement"/>
    <n v="0"/>
    <m/>
    <m/>
    <m/>
    <s v="May-24"/>
    <n v="20"/>
    <s v="2024"/>
  </r>
  <r>
    <d v="2024-05-16T00:00:00"/>
    <s v="Franklin Templeton"/>
    <s v="F2F"/>
    <s v="Corporate"/>
    <s v="Banking Finance &amp; Insurance"/>
    <s v="Anil"/>
    <s v="Introduction to team lunch &amp; ODC"/>
    <n v="15000"/>
    <n v="0"/>
    <x v="9"/>
    <x v="0"/>
    <x v="0"/>
    <s v="Cancelled"/>
    <s v="No requirement"/>
    <n v="0"/>
    <m/>
    <m/>
    <m/>
    <s v="May-24"/>
    <n v="20"/>
    <s v="2024"/>
  </r>
  <r>
    <d v="2024-05-16T00:00:00"/>
    <s v="ICICI Lombard"/>
    <s v="F2F"/>
    <s v="Corporate"/>
    <s v="Banking Finance &amp; Insurance"/>
    <s v="Fatima"/>
    <s v="Introduction to bulk orders"/>
    <n v="12000"/>
    <n v="0"/>
    <x v="9"/>
    <x v="0"/>
    <x v="0"/>
    <s v="Cancelled"/>
    <s v="No requirement"/>
    <n v="0"/>
    <m/>
    <m/>
    <m/>
    <s v="May-24"/>
    <n v="20"/>
    <s v="2024"/>
  </r>
  <r>
    <d v="2024-05-16T00:00:00"/>
    <s v="JP Morgan"/>
    <s v="F2F"/>
    <s v="Corporate"/>
    <s v="Banking Finance &amp; Insurance"/>
    <s v="Jazeel"/>
    <s v="Introduction to bulk orders"/>
    <n v="15000"/>
    <n v="0"/>
    <x v="9"/>
    <x v="0"/>
    <x v="0"/>
    <s v="Cancelled"/>
    <s v="No requirement"/>
    <n v="0"/>
    <m/>
    <m/>
    <m/>
    <s v="May-24"/>
    <n v="20"/>
    <s v="2024"/>
  </r>
  <r>
    <d v="2024-05-16T00:00:00"/>
    <s v="Genpact"/>
    <s v="Call"/>
    <s v="Corporate"/>
    <s v="IT"/>
    <s v="Manish Mittal"/>
    <s v="Introduction to bulk food delivery "/>
    <n v="10000"/>
    <n v="0"/>
    <x v="9"/>
    <x v="0"/>
    <x v="0"/>
    <s v="Cancelled"/>
    <s v="No requirement"/>
    <n v="0"/>
    <m/>
    <m/>
    <m/>
    <s v="May-24"/>
    <n v="20"/>
    <s v="2024"/>
  </r>
  <r>
    <d v="2024-05-16T00:00:00"/>
    <s v="Columbus Logo Solutions "/>
    <s v="Call"/>
    <s v="Corporate"/>
    <s v="IT"/>
    <s v="Pavan"/>
    <s v="Introduction to team lunch"/>
    <n v="12000"/>
    <n v="0"/>
    <x v="9"/>
    <x v="0"/>
    <x v="0"/>
    <s v="Cancelled"/>
    <s v="No requirement"/>
    <n v="0"/>
    <m/>
    <m/>
    <m/>
    <s v="May-24"/>
    <n v="20"/>
    <s v="2024"/>
  </r>
  <r>
    <d v="2024-05-17T00:00:00"/>
    <s v="Renicare Pharma"/>
    <s v="F2F"/>
    <s v="Corporate"/>
    <s v="Pharma"/>
    <s v="Lakshmi Gatla"/>
    <s v="Introduction to bulk orders and team lunch"/>
    <n v="30000"/>
    <n v="0"/>
    <x v="9"/>
    <x v="0"/>
    <x v="0"/>
    <s v="Cancelled"/>
    <s v="No requirement"/>
    <n v="0"/>
    <m/>
    <m/>
    <m/>
    <s v="May-24"/>
    <n v="20"/>
    <s v="2024"/>
  </r>
  <r>
    <d v="2024-05-17T00:00:00"/>
    <s v="Celkon"/>
    <s v="F2F"/>
    <s v="Corporate"/>
    <s v="Retail"/>
    <s v="Lalith"/>
    <s v="Introduction to bulk order and Gifting"/>
    <n v="38000"/>
    <n v="0"/>
    <x v="9"/>
    <x v="0"/>
    <x v="0"/>
    <s v="Cancelled"/>
    <s v="No requirement"/>
    <n v="0"/>
    <m/>
    <m/>
    <m/>
    <s v="May-24"/>
    <n v="20"/>
    <s v="2024"/>
  </r>
  <r>
    <d v="2024-05-17T00:00:00"/>
    <s v="Maha Technologies"/>
    <s v="Call"/>
    <s v="Corporate"/>
    <s v="IT"/>
    <s v="Latiff"/>
    <s v="Introduction to team lunch"/>
    <n v="10000"/>
    <n v="0"/>
    <x v="9"/>
    <x v="0"/>
    <x v="0"/>
    <s v="Cancelled"/>
    <s v="No requirement"/>
    <n v="0"/>
    <m/>
    <m/>
    <m/>
    <s v="May-24"/>
    <n v="20"/>
    <s v="2024"/>
  </r>
  <r>
    <d v="2024-05-17T00:00:00"/>
    <s v="Masterminds School"/>
    <s v="Call"/>
    <s v="School"/>
    <s v="Education"/>
    <s v="Madhava"/>
    <s v="Introductoion to bulk delivery in "/>
    <n v="12000"/>
    <n v="0"/>
    <x v="9"/>
    <x v="0"/>
    <x v="0"/>
    <s v="Cancelled"/>
    <s v="No requirement"/>
    <n v="0"/>
    <m/>
    <m/>
    <m/>
    <s v="May-24"/>
    <n v="20"/>
    <s v="2024"/>
  </r>
  <r>
    <d v="2024-05-18T00:00:00"/>
    <s v="Delivery at Gandhi Hospital"/>
    <s v="Call"/>
    <s v="Hospital"/>
    <s v="Healthcare"/>
    <s v="Ramesh"/>
    <s v="Delivery on 30 May 2024"/>
    <n v="8000"/>
    <n v="8000"/>
    <x v="10"/>
    <x v="0"/>
    <x v="1"/>
    <s v="Closed"/>
    <m/>
    <n v="0"/>
    <m/>
    <m/>
    <m/>
    <s v="May-24"/>
    <n v="20"/>
    <s v="2024"/>
  </r>
  <r>
    <d v="2024-05-19T00:00:00"/>
    <s v="Take away from Masab Tank"/>
    <s v="Call"/>
    <s v="Events"/>
    <s v="Family Group"/>
    <s v="Trevor Gonsalves"/>
    <s v="Take away of Mutton Biryani &amp; Haleem"/>
    <n v="5000"/>
    <n v="5000"/>
    <x v="10"/>
    <x v="0"/>
    <x v="1"/>
    <s v="Closed"/>
    <m/>
    <n v="800"/>
    <m/>
    <m/>
    <m/>
    <s v="May-24"/>
    <n v="20"/>
    <s v="2024"/>
  </r>
  <r>
    <d v="2024-05-20T00:00:00"/>
    <s v="Freakuts Adventure Club"/>
    <s v="F2F"/>
    <s v="Corporate"/>
    <s v="Tourism"/>
    <s v="Harish Negi"/>
    <s v="discussion of food delivery to adventure camps and touring groups"/>
    <n v="20000"/>
    <n v="0"/>
    <x v="9"/>
    <x v="0"/>
    <x v="0"/>
    <s v="Cancelled"/>
    <s v="No requirement"/>
    <n v="0"/>
    <m/>
    <m/>
    <m/>
    <s v="May-24"/>
    <n v="21"/>
    <s v="2024"/>
  </r>
  <r>
    <d v="2024-05-20T00:00:00"/>
    <s v="Soundlines Consultency"/>
    <s v="F2F"/>
    <s v="Corporate"/>
    <s v="IT"/>
    <s v="Yusufzau"/>
    <s v="Introduction to bulk food delivery"/>
    <n v="10000"/>
    <n v="0"/>
    <x v="9"/>
    <x v="0"/>
    <x v="0"/>
    <s v="Cancelled"/>
    <s v="No requirement"/>
    <n v="0"/>
    <m/>
    <m/>
    <m/>
    <s v="May-24"/>
    <n v="21"/>
    <s v="2024"/>
  </r>
  <r>
    <d v="2024-05-20T00:00:00"/>
    <s v="Factset"/>
    <s v="Call"/>
    <s v="Corporate"/>
    <s v="IT"/>
    <s v="Yogesh"/>
    <s v="Introduction to bulk delivery of food and snacks"/>
    <n v="12000"/>
    <n v="0"/>
    <x v="9"/>
    <x v="0"/>
    <x v="0"/>
    <s v="Cancelled"/>
    <s v="No requirement"/>
    <n v="0"/>
    <m/>
    <m/>
    <m/>
    <s v="May-24"/>
    <n v="21"/>
    <s v="2024"/>
  </r>
  <r>
    <d v="2024-05-20T00:00:00"/>
    <s v="Realvision Infra Projects"/>
    <s v="F2F"/>
    <s v="Corporate"/>
    <s v="Realestate"/>
    <s v="Yella Krishna"/>
    <s v="Introduction to bulk order and gifting"/>
    <n v="15000"/>
    <n v="0"/>
    <x v="9"/>
    <x v="0"/>
    <x v="0"/>
    <s v="Cancelled"/>
    <s v="No requirement"/>
    <n v="0"/>
    <m/>
    <m/>
    <m/>
    <s v="May-24"/>
    <n v="21"/>
    <s v="2024"/>
  </r>
  <r>
    <d v="2024-05-21T00:00:00"/>
    <s v="Delivery at Compass Group Bangalore"/>
    <s v="Call"/>
    <s v="Corporate"/>
    <s v="F&amp;B Agrigator"/>
    <s v="Pankaj"/>
    <s v="Delivery of Special CB &amp; MB Handi on 22 May 2024"/>
    <n v="42000"/>
    <n v="42000"/>
    <x v="10"/>
    <x v="1"/>
    <x v="1"/>
    <s v="Closed"/>
    <m/>
    <n v="0"/>
    <m/>
    <m/>
    <m/>
    <s v="May-24"/>
    <n v="21"/>
    <s v="2024"/>
  </r>
  <r>
    <d v="2024-05-21T00:00:00"/>
    <s v="RC Oxygen Valley"/>
    <s v="F2F"/>
    <s v="Corporate"/>
    <s v="Realestate"/>
    <s v="Sasntosh"/>
    <s v="Shared information about bulk foold delivery at property sights"/>
    <n v="15000"/>
    <n v="0"/>
    <x v="9"/>
    <x v="0"/>
    <x v="0"/>
    <s v="Cancelled"/>
    <s v="No requirement"/>
    <n v="0"/>
    <m/>
    <m/>
    <m/>
    <s v="May-24"/>
    <n v="21"/>
    <s v="2024"/>
  </r>
  <r>
    <d v="2024-05-21T00:00:00"/>
    <s v="Lotus LAP Academy"/>
    <s v="F2F"/>
    <s v="College"/>
    <s v="Education"/>
    <s v="Ramprasad"/>
    <s v="Introduction to bulk food orders"/>
    <n v="12000"/>
    <n v="0"/>
    <x v="9"/>
    <x v="0"/>
    <x v="0"/>
    <s v="Cancelled"/>
    <s v="No requirement"/>
    <n v="0"/>
    <m/>
    <m/>
    <m/>
    <s v="May-24"/>
    <n v="21"/>
    <s v="2024"/>
  </r>
  <r>
    <d v="2024-05-21T00:00:00"/>
    <s v="Insuraksha"/>
    <s v="F2F"/>
    <s v="Corporate"/>
    <s v="Banking Finance &amp; Insurance"/>
    <s v="Bharath Anand"/>
    <s v="Introduction to bulk orders"/>
    <n v="15000"/>
    <n v="0"/>
    <x v="9"/>
    <x v="0"/>
    <x v="0"/>
    <s v="Cancelled"/>
    <s v="No requirement"/>
    <n v="0"/>
    <m/>
    <m/>
    <m/>
    <s v="May-24"/>
    <n v="21"/>
    <s v="2024"/>
  </r>
  <r>
    <d v="2024-05-22T00:00:00"/>
    <s v="Delivery at Himayathnagar"/>
    <s v="Call"/>
    <s v="Events"/>
    <s v="Family Group"/>
    <s v="Habeeb"/>
    <s v="Shared quote for delivery of MB on 26 May 2024"/>
    <n v="15000"/>
    <n v="0"/>
    <x v="10"/>
    <x v="0"/>
    <x v="0"/>
    <s v="Cancelled"/>
    <s v="No Budget"/>
    <n v="0"/>
    <m/>
    <m/>
    <m/>
    <s v="May-24"/>
    <n v="21"/>
    <s v="2024"/>
  </r>
  <r>
    <d v="2024-05-22T00:00:00"/>
    <s v="Crescent IT Solutions"/>
    <s v="F2F"/>
    <s v="Corporate"/>
    <s v="IT"/>
    <s v="Kalpana"/>
    <s v="Introduction to bulk order"/>
    <n v="12000"/>
    <n v="0"/>
    <x v="9"/>
    <x v="0"/>
    <x v="0"/>
    <s v="Cancelled"/>
    <s v="No requirement"/>
    <n v="0"/>
    <m/>
    <m/>
    <m/>
    <s v="May-24"/>
    <n v="21"/>
    <s v="2024"/>
  </r>
  <r>
    <d v="2024-05-22T00:00:00"/>
    <s v="Delivery at Motinagar"/>
    <s v="Call"/>
    <s v="Events"/>
    <s v="Family Group"/>
    <s v="Meghana"/>
    <s v="Delivery of CB on 23 May 2024"/>
    <n v="10000"/>
    <n v="0"/>
    <x v="10"/>
    <x v="0"/>
    <x v="0"/>
    <s v="Cancelled"/>
    <s v="Budget Constrain"/>
    <n v="0"/>
    <m/>
    <m/>
    <m/>
    <s v="May-24"/>
    <n v="21"/>
    <s v="2024"/>
  </r>
  <r>
    <d v="2024-05-22T00:00:00"/>
    <s v="St Pauls School, Nadergul"/>
    <s v="Call"/>
    <s v="School"/>
    <s v="Education"/>
    <s v="Joseph"/>
    <s v="Introduction to bulk orders"/>
    <n v="12000"/>
    <n v="0"/>
    <x v="9"/>
    <x v="0"/>
    <x v="0"/>
    <s v="Cancelled"/>
    <s v="No requirement"/>
    <n v="0"/>
    <m/>
    <m/>
    <m/>
    <s v="May-24"/>
    <n v="21"/>
    <s v="2024"/>
  </r>
  <r>
    <d v="2024-05-22T00:00:00"/>
    <s v="Arcsine"/>
    <s v="F2F"/>
    <s v="Corporate"/>
    <s v="IT"/>
    <s v="Nagaraju"/>
    <s v="Introduction to bulk orders"/>
    <n v="10000"/>
    <n v="0"/>
    <x v="9"/>
    <x v="0"/>
    <x v="0"/>
    <s v="Cancelled"/>
    <s v="No requirement"/>
    <n v="0"/>
    <m/>
    <m/>
    <m/>
    <s v="May-24"/>
    <n v="21"/>
    <s v="2024"/>
  </r>
  <r>
    <d v="2024-05-23T00:00:00"/>
    <s v="Tata Advance Systems Bangalore"/>
    <s v="Call"/>
    <s v="Corporate"/>
    <s v="Defence &amp; Aerospace"/>
    <s v="Swaminathan"/>
    <s v="Introduction to bulk delivery"/>
    <n v="10000"/>
    <n v="0"/>
    <x v="11"/>
    <x v="1"/>
    <x v="0"/>
    <s v="Cancelled"/>
    <s v="No plans as of now"/>
    <n v="0"/>
    <m/>
    <m/>
    <m/>
    <s v="May-24"/>
    <n v="21"/>
    <s v="2024"/>
  </r>
  <r>
    <d v="2024-05-23T00:00:00"/>
    <s v="Moog Inc Bangalore"/>
    <s v="Call"/>
    <s v="Corporate"/>
    <s v="Defence &amp; Aerospace"/>
    <s v="Rajkumar"/>
    <s v="Introduction to bulk orders"/>
    <n v="8000"/>
    <n v="0"/>
    <x v="11"/>
    <x v="1"/>
    <x v="0"/>
    <s v="Cancelled"/>
    <s v="No plans as of now"/>
    <n v="0"/>
    <m/>
    <m/>
    <m/>
    <s v="May-24"/>
    <n v="21"/>
    <s v="2024"/>
  </r>
  <r>
    <d v="2024-05-23T00:00:00"/>
    <s v="Dilevery at West Maradpally"/>
    <s v="Call"/>
    <s v="Events"/>
    <s v="Family Group"/>
    <s v="Alekhya"/>
    <s v="Delivery on 25 May 2024"/>
    <n v="12000"/>
    <n v="12000"/>
    <x v="10"/>
    <x v="0"/>
    <x v="1"/>
    <s v="Closed"/>
    <m/>
    <n v="0"/>
    <m/>
    <m/>
    <m/>
    <s v="May-24"/>
    <n v="21"/>
    <s v="2024"/>
  </r>
  <r>
    <d v="2024-05-23T00:00:00"/>
    <s v="New Edge Consultancy"/>
    <s v="F2F"/>
    <s v="Corporate"/>
    <s v="IT"/>
    <s v="Aarthi"/>
    <s v="Delivery on 31 May 2024"/>
    <n v="10000"/>
    <n v="0"/>
    <x v="10"/>
    <x v="0"/>
    <x v="0"/>
    <s v="Cancelled"/>
    <s v="Event Cancelled"/>
    <n v="0"/>
    <m/>
    <m/>
    <m/>
    <s v="May-24"/>
    <n v="21"/>
    <s v="2024"/>
  </r>
  <r>
    <d v="2024-05-23T00:00:00"/>
    <s v="American Pathology"/>
    <s v="Call"/>
    <s v="Corporate"/>
    <s v="Healthcare"/>
    <s v="Abdul"/>
    <s v="Introduction to bulk orders"/>
    <n v="12000"/>
    <n v="0"/>
    <x v="11"/>
    <x v="0"/>
    <x v="0"/>
    <s v="Cancelled"/>
    <m/>
    <n v="0"/>
    <m/>
    <m/>
    <m/>
    <s v="May-24"/>
    <n v="21"/>
    <s v="2024"/>
  </r>
  <r>
    <d v="2024-05-23T00:00:00"/>
    <s v="TRS Future Green"/>
    <s v="Call"/>
    <s v="Corporate"/>
    <s v="Realestate"/>
    <s v="Kaleem"/>
    <s v="Introduction to corporate Gifting"/>
    <n v="15000"/>
    <n v="0"/>
    <x v="11"/>
    <x v="0"/>
    <x v="0"/>
    <s v="Cancelled"/>
    <m/>
    <n v="0"/>
    <m/>
    <m/>
    <m/>
    <s v="May-24"/>
    <n v="21"/>
    <s v="2024"/>
  </r>
  <r>
    <d v="2024-05-24T00:00:00"/>
    <s v="ODC at KPMG Bangalore"/>
    <s v="Call"/>
    <s v="Corporate"/>
    <s v="IT"/>
    <s v="Arun"/>
    <s v="ODC on 29 May 2024"/>
    <n v="23000"/>
    <n v="23000"/>
    <x v="10"/>
    <x v="1"/>
    <x v="1"/>
    <s v="Closed"/>
    <m/>
    <n v="0"/>
    <m/>
    <m/>
    <m/>
    <s v="May-24"/>
    <n v="21"/>
    <s v="2024"/>
  </r>
  <r>
    <d v="2024-05-24T00:00:00"/>
    <s v="Satguru Management"/>
    <s v="F2F"/>
    <s v="Corporate"/>
    <s v="IT"/>
    <s v="Lakshman"/>
    <s v="Introduction to team outing"/>
    <n v="12000"/>
    <n v="0"/>
    <x v="11"/>
    <x v="0"/>
    <x v="0"/>
    <s v="Cancelled"/>
    <m/>
    <n v="0"/>
    <m/>
    <m/>
    <m/>
    <s v="May-24"/>
    <n v="21"/>
    <s v="2024"/>
  </r>
  <r>
    <d v="2024-05-24T00:00:00"/>
    <s v="CH2M"/>
    <s v="F2F"/>
    <s v="Corporate"/>
    <s v="IT"/>
    <s v="Lakshmi Pillai"/>
    <s v="Introduction to bulk order"/>
    <n v="10000"/>
    <n v="0"/>
    <x v="11"/>
    <x v="0"/>
    <x v="0"/>
    <s v="Cancelled"/>
    <m/>
    <n v="0"/>
    <m/>
    <m/>
    <m/>
    <s v="May-24"/>
    <n v="21"/>
    <s v="2024"/>
  </r>
  <r>
    <d v="2024-05-24T00:00:00"/>
    <s v="Brihaspati Technologies"/>
    <s v="F2F"/>
    <s v="Corporate"/>
    <s v="IT"/>
    <s v="Madhavi"/>
    <s v="Introduction to bulk orders"/>
    <n v="15000"/>
    <n v="0"/>
    <x v="4"/>
    <x v="0"/>
    <x v="0"/>
    <s v="Cancelled"/>
    <s v="No requirement"/>
    <n v="0"/>
    <m/>
    <m/>
    <m/>
    <s v="May-24"/>
    <n v="21"/>
    <s v="2024"/>
  </r>
  <r>
    <d v="2024-05-24T00:00:00"/>
    <s v="Cipla Vitals"/>
    <s v="F2F"/>
    <s v="Corporate"/>
    <s v="Pharma"/>
    <s v="Madhu"/>
    <s v="Introduction to bulk orders and gifting"/>
    <n v="12000"/>
    <n v="0"/>
    <x v="4"/>
    <x v="0"/>
    <x v="0"/>
    <s v="Cancelled"/>
    <s v="No requirement"/>
    <n v="0"/>
    <m/>
    <m/>
    <m/>
    <s v="May-24"/>
    <n v="21"/>
    <s v="2024"/>
  </r>
  <r>
    <d v="2024-05-25T00:00:00"/>
    <s v="G Pullareddy Group"/>
    <s v="Call"/>
    <s v="Corporate"/>
    <s v="FMCG"/>
    <s v="Nagaraju"/>
    <s v="Delivery of Veg Biryani on 25 May 2024"/>
    <n v="224000"/>
    <n v="0"/>
    <x v="10"/>
    <x v="0"/>
    <x v="0"/>
    <s v="Cancelled"/>
    <s v="they require 1000 VB on a very short notice"/>
    <n v="0"/>
    <m/>
    <m/>
    <m/>
    <s v="May-24"/>
    <n v="21"/>
    <s v="2024"/>
  </r>
  <r>
    <d v="2004-05-26T00:00:00"/>
    <s v="Aurobindo Realty"/>
    <s v="Call"/>
    <s v="Corporate"/>
    <s v="Realestate"/>
    <s v="Prakash "/>
    <s v="Take away of CB from Muthangi"/>
    <n v="9000"/>
    <n v="9000"/>
    <x v="10"/>
    <x v="0"/>
    <x v="1"/>
    <s v="Closed"/>
    <m/>
    <n v="0"/>
    <m/>
    <m/>
    <m/>
    <s v="May-04"/>
    <n v="22"/>
    <s v="2024"/>
  </r>
  <r>
    <d v="2024-05-26T00:00:00"/>
    <s v="Delivery at Saroornagar "/>
    <s v="Call"/>
    <s v="Events"/>
    <s v="Family Group"/>
    <s v="Swati"/>
    <s v="Delivery of CB on 27 May 2024"/>
    <n v="10000"/>
    <n v="10000"/>
    <x v="10"/>
    <x v="0"/>
    <x v="1"/>
    <s v="Closed"/>
    <m/>
    <n v="0"/>
    <m/>
    <m/>
    <m/>
    <s v="May-24"/>
    <n v="21"/>
    <s v="2024"/>
  </r>
  <r>
    <d v="2024-05-27T00:00:00"/>
    <s v="Genpact"/>
    <s v="F2F"/>
    <s v="Corporate"/>
    <s v="IT"/>
    <s v="Sai"/>
    <s v="Delivery of CB on 28 May 2024"/>
    <n v="8000"/>
    <n v="8000"/>
    <x v="10"/>
    <x v="0"/>
    <x v="1"/>
    <s v="Closed"/>
    <m/>
    <n v="0"/>
    <m/>
    <m/>
    <m/>
    <s v="May-24"/>
    <n v="22"/>
    <s v="2024"/>
  </r>
  <r>
    <d v="2024-05-27T00:00:00"/>
    <s v="Delivery at Compass Group Bangalore"/>
    <s v="Call"/>
    <s v="Corporate"/>
    <s v="F&amp;B Agrigator"/>
    <s v="Pankaj"/>
    <s v="Delivery of Special CB &amp; MB Handi on 29 May 2024"/>
    <n v="48358"/>
    <n v="48358"/>
    <x v="10"/>
    <x v="1"/>
    <x v="1"/>
    <s v="Closed"/>
    <m/>
    <n v="0"/>
    <m/>
    <m/>
    <m/>
    <s v="May-24"/>
    <n v="22"/>
    <s v="2024"/>
  </r>
  <r>
    <d v="2024-05-27T00:00:00"/>
    <s v="Delivery at Bachupally"/>
    <s v="Call"/>
    <s v="Events"/>
    <s v="Family Group"/>
    <s v="Himaja"/>
    <s v="Delivery of  Biryani on 1 June 2024"/>
    <n v="9000"/>
    <n v="9000"/>
    <x v="6"/>
    <x v="0"/>
    <x v="1"/>
    <s v="Closed"/>
    <m/>
    <n v="0"/>
    <m/>
    <m/>
    <m/>
    <s v="May-24"/>
    <n v="22"/>
    <s v="2024"/>
  </r>
  <r>
    <d v="2024-05-27T00:00:00"/>
    <s v="Delhi Public School"/>
    <s v="F2F"/>
    <s v="School"/>
    <s v="Education"/>
    <s v="Venkatesh"/>
    <s v="Delivery of bulk food "/>
    <n v="20000"/>
    <n v="0"/>
    <x v="4"/>
    <x v="0"/>
    <x v="0"/>
    <s v="Cancelled"/>
    <s v="No requirement"/>
    <n v="0"/>
    <m/>
    <m/>
    <m/>
    <s v="May-24"/>
    <n v="22"/>
    <s v="2024"/>
  </r>
  <r>
    <d v="2024-05-27T00:00:00"/>
    <s v="Tekfriday"/>
    <s v="F2F"/>
    <s v="Corporate"/>
    <s v="IT"/>
    <s v="Lakshmi"/>
    <s v="Introduction to Bulk order"/>
    <n v="22000"/>
    <n v="0"/>
    <x v="4"/>
    <x v="0"/>
    <x v="0"/>
    <s v="Cancelled"/>
    <s v="No requirement"/>
    <n v="0"/>
    <m/>
    <m/>
    <m/>
    <s v="May-24"/>
    <n v="22"/>
    <s v="2024"/>
  </r>
  <r>
    <d v="2024-05-28T00:00:00"/>
    <s v="Delivery at Gandhi Hospital"/>
    <s v="Call"/>
    <s v="Corporate"/>
    <s v="Healthcare"/>
    <s v="Pavan"/>
    <s v="Delivery of CB on 3 June 2024"/>
    <n v="10000"/>
    <n v="10000"/>
    <x v="6"/>
    <x v="0"/>
    <x v="1"/>
    <s v="Closed"/>
    <m/>
    <n v="0"/>
    <m/>
    <m/>
    <m/>
    <s v="May-24"/>
    <n v="22"/>
    <s v="2024"/>
  </r>
  <r>
    <d v="2024-05-28T00:00:00"/>
    <s v="Quomatic Solutions"/>
    <s v="F2F"/>
    <s v="Corporate"/>
    <s v="IT"/>
    <s v="Chaitanya"/>
    <s v="Introduction to bulk delivery of food and snacks"/>
    <n v="12000"/>
    <n v="0"/>
    <x v="9"/>
    <x v="0"/>
    <x v="0"/>
    <s v="Cancelled"/>
    <s v="No requirement"/>
    <n v="0"/>
    <m/>
    <m/>
    <m/>
    <s v="May-24"/>
    <n v="22"/>
    <s v="2024"/>
  </r>
  <r>
    <d v="2024-05-28T00:00:00"/>
    <s v="24 By 7"/>
    <s v="F2F"/>
    <s v="Corporate"/>
    <s v="IT"/>
    <s v="Chakravarti"/>
    <s v="Introduction to Bulk order and Team lunch"/>
    <n v="15000"/>
    <n v="0"/>
    <x v="4"/>
    <x v="0"/>
    <x v="0"/>
    <s v="Cancelled"/>
    <s v="No requirement"/>
    <n v="0"/>
    <m/>
    <m/>
    <m/>
    <s v="May-24"/>
    <n v="22"/>
    <s v="2024"/>
  </r>
  <r>
    <d v="2024-05-28T00:00:00"/>
    <s v="Ace Online"/>
    <s v="F2F"/>
    <s v="Corporate"/>
    <s v="IT"/>
    <s v="Chandana"/>
    <s v="Introduction to bulk orders"/>
    <n v="10000"/>
    <n v="0"/>
    <x v="4"/>
    <x v="0"/>
    <x v="0"/>
    <s v="Cancelled"/>
    <s v="No requirement"/>
    <n v="0"/>
    <m/>
    <m/>
    <m/>
    <s v="May-24"/>
    <n v="22"/>
    <s v="2024"/>
  </r>
  <r>
    <d v="2024-05-28T00:00:00"/>
    <s v="Deccan Trails"/>
    <s v="F2F"/>
    <s v="Corporate"/>
    <s v="Tourism"/>
    <s v="Cyril Richards"/>
    <s v="supply of food at adventure camps"/>
    <n v="20000"/>
    <n v="0"/>
    <x v="9"/>
    <x v="0"/>
    <x v="0"/>
    <s v="Cancelled"/>
    <s v="No requirement"/>
    <n v="0"/>
    <m/>
    <m/>
    <m/>
    <s v="May-24"/>
    <n v="22"/>
    <s v="2024"/>
  </r>
  <r>
    <d v="2024-05-29T00:00:00"/>
    <s v="Lotus Lap Group of Schools"/>
    <s v="F2F"/>
    <s v="School"/>
    <s v="Education"/>
    <s v="Srinivas Reddy"/>
    <s v="Shared details of bulk orders"/>
    <n v="18000"/>
    <n v="0"/>
    <x v="4"/>
    <x v="0"/>
    <x v="0"/>
    <s v="Cancelled"/>
    <s v="No requirement"/>
    <n v="0"/>
    <m/>
    <m/>
    <m/>
    <s v="May-24"/>
    <n v="22"/>
    <s v="2024"/>
  </r>
  <r>
    <d v="2024-05-29T00:00:00"/>
    <s v="Narayana Academy"/>
    <s v="F2F"/>
    <s v="School"/>
    <s v="Education"/>
    <s v="Yadagiri"/>
    <s v="Bulk delivery of food in their functions"/>
    <n v="15000"/>
    <n v="0"/>
    <x v="6"/>
    <x v="0"/>
    <x v="0"/>
    <s v="Cancelled"/>
    <s v="Event Cancelled"/>
    <n v="0"/>
    <m/>
    <m/>
    <m/>
    <s v="May-24"/>
    <n v="22"/>
    <s v="2024"/>
  </r>
  <r>
    <d v="2024-05-29T00:00:00"/>
    <s v="Avinash College of Commerce"/>
    <s v="F2F"/>
    <s v="College"/>
    <s v="Education"/>
    <s v="Mahesh"/>
    <s v="Bulk delivery at college functions"/>
    <n v="15000"/>
    <n v="0"/>
    <x v="9"/>
    <x v="0"/>
    <x v="0"/>
    <s v="Cancelled"/>
    <s v="No requirement"/>
    <n v="0"/>
    <m/>
    <m/>
    <m/>
    <s v="May-24"/>
    <n v="22"/>
    <s v="2024"/>
  </r>
  <r>
    <d v="2024-05-29T00:00:00"/>
    <s v="Delivery at Yapral"/>
    <s v="Call"/>
    <s v="Events"/>
    <s v="Family Group"/>
    <s v="Sushanta"/>
    <s v="Delivery of CB and VB on 18 June 2024"/>
    <n v="12000"/>
    <n v="0"/>
    <x v="6"/>
    <x v="0"/>
    <x v="0"/>
    <s v="Cancelled"/>
    <s v="No Budget"/>
    <n v="0"/>
    <m/>
    <m/>
    <m/>
    <s v="May-24"/>
    <n v="22"/>
    <s v="2024"/>
  </r>
  <r>
    <d v="2024-05-29T00:00:00"/>
    <s v="L&amp;T Finance"/>
    <s v="F2F"/>
    <s v="Corporate"/>
    <s v="Transport"/>
    <s v="Shailesh"/>
    <s v="Follow up for bulk orders"/>
    <n v="12000"/>
    <n v="0"/>
    <x v="4"/>
    <x v="0"/>
    <x v="0"/>
    <s v="Cancelled"/>
    <s v="No requirement"/>
    <n v="0"/>
    <m/>
    <m/>
    <m/>
    <s v="May-24"/>
    <n v="22"/>
    <s v="2024"/>
  </r>
  <r>
    <d v="2024-05-30T00:00:00"/>
    <s v="B4S"/>
    <s v="F2F"/>
    <s v="Corporate"/>
    <s v="IT"/>
    <s v="Surendra"/>
    <s v="Introduction to team lunch"/>
    <n v="10000"/>
    <n v="0"/>
    <x v="4"/>
    <x v="0"/>
    <x v="0"/>
    <s v="Cancelled"/>
    <s v="No requirement"/>
    <n v="0"/>
    <m/>
    <m/>
    <m/>
    <s v="May-24"/>
    <n v="22"/>
    <s v="2024"/>
  </r>
  <r>
    <d v="2024-05-30T00:00:00"/>
    <s v="Citizen Cooperative Society Funds"/>
    <s v="F2F"/>
    <s v="Corporate"/>
    <s v="Banking Finance &amp; Insurance"/>
    <s v="Avinash"/>
    <s v="Followup for further orders"/>
    <n v="15000"/>
    <n v="0"/>
    <x v="4"/>
    <x v="0"/>
    <x v="0"/>
    <s v="Cancelled"/>
    <s v="No requirement"/>
    <n v="0"/>
    <m/>
    <m/>
    <m/>
    <s v="May-24"/>
    <n v="22"/>
    <s v="2024"/>
  </r>
  <r>
    <d v="2024-05-30T00:00:00"/>
    <s v="Rishi Jr College"/>
    <s v="F2F"/>
    <s v="College"/>
    <s v="Education"/>
    <s v="Babul Reddy"/>
    <s v="Introduction to bulk orders"/>
    <n v="20000"/>
    <n v="0"/>
    <x v="9"/>
    <x v="0"/>
    <x v="0"/>
    <s v="Cancelled"/>
    <s v="No requirement"/>
    <n v="0"/>
    <m/>
    <m/>
    <m/>
    <s v="May-24"/>
    <n v="22"/>
    <s v="2024"/>
  </r>
  <r>
    <d v="2024-05-30T00:00:00"/>
    <s v="PTNSU Biotech "/>
    <s v="F2F"/>
    <s v="Corporate"/>
    <s v="Pharma"/>
    <s v="Bala Prasad"/>
    <s v="Followup for further orders"/>
    <n v="15000"/>
    <n v="0"/>
    <x v="9"/>
    <x v="0"/>
    <x v="0"/>
    <s v="Cancelled"/>
    <s v="No requirement"/>
    <n v="0"/>
    <m/>
    <m/>
    <m/>
    <s v="May-24"/>
    <n v="22"/>
    <s v="2024"/>
  </r>
  <r>
    <d v="2024-05-30T00:00:00"/>
    <s v="PATYM"/>
    <s v="F2F"/>
    <s v="Corporate"/>
    <s v="Banking Finance &amp; Insurance"/>
    <s v="Subramanyam"/>
    <s v="Introduction to team lunch"/>
    <n v="20000"/>
    <n v="0"/>
    <x v="4"/>
    <x v="0"/>
    <x v="0"/>
    <s v="Cancelled"/>
    <s v="No requirement"/>
    <n v="0"/>
    <m/>
    <m/>
    <m/>
    <s v="May-24"/>
    <n v="22"/>
    <s v="2024"/>
  </r>
  <r>
    <d v="2024-05-31T00:00:00"/>
    <s v="HP "/>
    <s v="Call"/>
    <s v="Corporate"/>
    <s v="IT"/>
    <s v="Sanjana"/>
    <s v="Delivery from Electronic City"/>
    <n v="9500"/>
    <n v="9500"/>
    <x v="10"/>
    <x v="1"/>
    <x v="1"/>
    <s v="Closed"/>
    <m/>
    <n v="0"/>
    <m/>
    <m/>
    <m/>
    <s v="May-24"/>
    <n v="22"/>
    <s v="2024"/>
  </r>
  <r>
    <d v="2024-05-31T00:00:00"/>
    <s v="Enjoy Travels"/>
    <s v="F2F"/>
    <s v="Corporate"/>
    <s v="Tourism"/>
    <s v="Syed"/>
    <s v="Introduction to bulk delivery for travallers"/>
    <n v="1200"/>
    <n v="0"/>
    <x v="9"/>
    <x v="0"/>
    <x v="0"/>
    <s v="Cancelled"/>
    <s v="No requirement"/>
    <n v="0"/>
    <m/>
    <m/>
    <m/>
    <s v="May-24"/>
    <n v="22"/>
    <s v="2024"/>
  </r>
  <r>
    <d v="2024-05-31T00:00:00"/>
    <s v=" Travelkhana"/>
    <s v="Call"/>
    <s v="Corporate"/>
    <s v="Tourism"/>
    <s v="Desraj Singh"/>
    <s v="Delivery at Secundrabad on 2 June 2024"/>
    <n v="7000"/>
    <n v="7000"/>
    <x v="6"/>
    <x v="0"/>
    <x v="1"/>
    <s v="Closed"/>
    <m/>
    <n v="0"/>
    <m/>
    <m/>
    <m/>
    <s v="May-24"/>
    <n v="22"/>
    <s v="2024"/>
  </r>
  <r>
    <d v="2024-05-31T00:00:00"/>
    <s v="Osmania Univercity"/>
    <s v="F2F"/>
    <s v="College"/>
    <s v="Education"/>
    <s v="Naveen Kumar"/>
    <s v="Delivery of CB on 3 June 2024"/>
    <n v="6000"/>
    <n v="0"/>
    <x v="6"/>
    <x v="0"/>
    <x v="0"/>
    <s v="Cancelled"/>
    <m/>
    <n v="0"/>
    <m/>
    <m/>
    <m/>
    <s v="May-24"/>
    <n v="22"/>
    <s v="2024"/>
  </r>
  <r>
    <d v="2024-05-31T00:00:00"/>
    <s v="Alacriti"/>
    <s v="F2F"/>
    <s v="Corporate"/>
    <s v="Pharma"/>
    <s v="Padmaja"/>
    <s v="Introduction to bulk orders"/>
    <n v="12000"/>
    <n v="0"/>
    <x v="11"/>
    <x v="0"/>
    <x v="0"/>
    <s v="Cancelled"/>
    <m/>
    <n v="0"/>
    <m/>
    <m/>
    <m/>
    <s v="May-24"/>
    <n v="22"/>
    <s v="2024"/>
  </r>
  <r>
    <d v="2024-06-02T00:00:00"/>
    <s v="Delivery at Bachupally"/>
    <s v="Call"/>
    <s v="Events"/>
    <s v="Family Group"/>
    <s v="Himani"/>
    <s v="delivery of CB on 5 June 2024"/>
    <n v="10000"/>
    <n v="10000"/>
    <x v="6"/>
    <x v="0"/>
    <x v="1"/>
    <s v="Closed"/>
    <m/>
    <n v="0"/>
    <m/>
    <m/>
    <m/>
    <s v="Jun-24"/>
    <n v="22"/>
    <s v="2024"/>
  </r>
  <r>
    <d v="2024-06-03T00:00:00"/>
    <s v="Delivery at RTC"/>
    <s v="Call"/>
    <s v="Events"/>
    <s v="Family Group"/>
    <s v="Narayan"/>
    <s v="Delivery on 6 June 2024"/>
    <n v="12000"/>
    <n v="12000"/>
    <x v="6"/>
    <x v="0"/>
    <x v="1"/>
    <s v="Closed"/>
    <m/>
    <n v="0"/>
    <m/>
    <m/>
    <m/>
    <s v="Jun-24"/>
    <n v="23"/>
    <s v="2024"/>
  </r>
  <r>
    <d v="2024-06-03T00:00:00"/>
    <s v="Rockwell"/>
    <s v="F2F"/>
    <s v="Corporate"/>
    <s v="IT"/>
    <s v="Damodar"/>
    <s v="Introduction to bulk orders"/>
    <n v="15000"/>
    <n v="0"/>
    <x v="4"/>
    <x v="0"/>
    <x v="0"/>
    <s v="Cancelled"/>
    <s v="No requirement"/>
    <n v="0"/>
    <m/>
    <m/>
    <m/>
    <s v="Jun-24"/>
    <n v="23"/>
    <s v="2024"/>
  </r>
  <r>
    <d v="2024-06-03T00:00:00"/>
    <s v="Cyient LTD"/>
    <s v="F2F"/>
    <s v="Corporate"/>
    <s v="IT"/>
    <s v="Vardachary"/>
    <s v="Introduction to team lunch"/>
    <n v="20000"/>
    <n v="0"/>
    <x v="4"/>
    <x v="0"/>
    <x v="0"/>
    <s v="Cancelled"/>
    <s v="No requirement"/>
    <n v="0"/>
    <m/>
    <m/>
    <m/>
    <s v="Jun-24"/>
    <n v="23"/>
    <s v="2024"/>
  </r>
  <r>
    <d v="2024-06-03T00:00:00"/>
    <s v="Annie Basant JR college"/>
    <s v="F2F"/>
    <s v="College"/>
    <s v="Education"/>
    <s v="Dayakar"/>
    <s v="Bulk delivery of food in college fest"/>
    <n v="15000"/>
    <n v="0"/>
    <x v="4"/>
    <x v="0"/>
    <x v="0"/>
    <s v="Cancelled"/>
    <s v="No requirement"/>
    <n v="0"/>
    <m/>
    <m/>
    <m/>
    <s v="Jun-24"/>
    <n v="23"/>
    <s v="2024"/>
  </r>
  <r>
    <d v="2024-06-03T00:00:00"/>
    <s v="Jeevanjor"/>
    <s v="F2F"/>
    <s v="Corporate"/>
    <s v="FMCG"/>
    <s v="Hanumaprasads"/>
    <s v="Gifting of food coupons for dealers"/>
    <n v="15000"/>
    <n v="0"/>
    <x v="4"/>
    <x v="0"/>
    <x v="0"/>
    <s v="Cancelled"/>
    <s v="No requirement"/>
    <n v="0"/>
    <m/>
    <m/>
    <m/>
    <s v="Jun-24"/>
    <n v="23"/>
    <s v="2024"/>
  </r>
  <r>
    <d v="2024-06-04T00:00:00"/>
    <s v="Delivery at electronic city"/>
    <s v="Call"/>
    <s v="Events"/>
    <s v="Family Group"/>
    <s v="Sindhu"/>
    <s v="Take away CB on 4 June 2024"/>
    <n v="6000"/>
    <n v="6000"/>
    <x v="6"/>
    <x v="0"/>
    <x v="1"/>
    <s v="Closed"/>
    <m/>
    <n v="0"/>
    <m/>
    <m/>
    <m/>
    <s v="Jun-24"/>
    <n v="23"/>
    <s v="2024"/>
  </r>
  <r>
    <d v="2024-06-04T00:00:00"/>
    <s v="MSN LABS"/>
    <s v="F2F"/>
    <s v="Corporate"/>
    <s v="Pharma"/>
    <s v="Sandeep"/>
    <s v="Followup and relationship call"/>
    <n v="0"/>
    <n v="0"/>
    <x v="6"/>
    <x v="0"/>
    <x v="1"/>
    <s v="Closed"/>
    <m/>
    <n v="0"/>
    <m/>
    <m/>
    <m/>
    <s v="Jun-24"/>
    <n v="23"/>
    <s v="2024"/>
  </r>
  <r>
    <d v="2024-06-04T00:00:00"/>
    <s v="Sakshi TV"/>
    <s v="Call"/>
    <s v="Corporate"/>
    <s v="Media &amp; TV"/>
    <s v="Ramesh"/>
    <s v="Delivery of CB on 4 june 2024 at Sakshi TV "/>
    <n v="80000"/>
    <n v="80000"/>
    <x v="6"/>
    <x v="0"/>
    <x v="1"/>
    <s v="Closed"/>
    <m/>
    <n v="0"/>
    <m/>
    <m/>
    <m/>
    <s v="Jun-24"/>
    <n v="23"/>
    <s v="2024"/>
  </r>
  <r>
    <d v="2024-06-04T00:00:00"/>
    <s v="Fybros"/>
    <s v="F2F"/>
    <s v="Corporate"/>
    <s v="FMCG"/>
    <s v="Kallol"/>
    <s v="Introduction to corporate gifting"/>
    <n v="12000"/>
    <n v="0"/>
    <x v="4"/>
    <x v="0"/>
    <x v="0"/>
    <s v="Cancelled"/>
    <s v="No requirement"/>
    <n v="0"/>
    <m/>
    <m/>
    <m/>
    <s v="Jun-24"/>
    <n v="23"/>
    <s v="2024"/>
  </r>
  <r>
    <d v="2024-06-04T00:00:00"/>
    <s v="Planit Testing India"/>
    <s v="Call"/>
    <s v="Corporate"/>
    <s v="IT"/>
    <s v="Kranthi"/>
    <s v="Introduction to bulk delivery of food and snacks"/>
    <n v="15000"/>
    <n v="0"/>
    <x v="11"/>
    <x v="0"/>
    <x v="0"/>
    <s v="Cancelled"/>
    <m/>
    <n v="0"/>
    <m/>
    <m/>
    <m/>
    <s v="Jun-24"/>
    <n v="23"/>
    <s v="2024"/>
  </r>
  <r>
    <d v="2024-06-05T00:00:00"/>
    <s v="ICICI Towers"/>
    <s v="F2F"/>
    <s v="Corporate"/>
    <s v="IT"/>
    <s v="Sandeep"/>
    <s v="Planning 500 pax HI Tea on 12 June 2024"/>
    <n v="94329"/>
    <n v="94329"/>
    <x v="6"/>
    <x v="0"/>
    <x v="1"/>
    <s v="Closed"/>
    <m/>
    <n v="0"/>
    <m/>
    <m/>
    <m/>
    <s v="Jun-24"/>
    <n v="23"/>
    <s v="2024"/>
  </r>
  <r>
    <d v="2024-06-05T00:00:00"/>
    <s v="Delivery at Compass Group Bangalore"/>
    <s v="Call"/>
    <s v="Corporate"/>
    <s v="F&amp;B Agrigator"/>
    <s v="Pankaj"/>
    <s v="Delivery of Special CB &amp; MB Handi on 5 June 2024"/>
    <n v="42000"/>
    <n v="42000"/>
    <x v="6"/>
    <x v="1"/>
    <x v="1"/>
    <s v="Closed"/>
    <m/>
    <n v="0"/>
    <m/>
    <m/>
    <m/>
    <s v="Jun-24"/>
    <n v="23"/>
    <s v="2024"/>
  </r>
  <r>
    <d v="2024-06-05T00:00:00"/>
    <s v="Take away from Malkajgiri"/>
    <s v="Call"/>
    <s v="Events"/>
    <s v="Family Group"/>
    <s v="Pavan Reddy"/>
    <s v="Take away of CB from Malkajgiri on 4th June"/>
    <n v="5000"/>
    <n v="5000"/>
    <x v="6"/>
    <x v="0"/>
    <x v="1"/>
    <s v="Closed"/>
    <m/>
    <n v="0"/>
    <m/>
    <m/>
    <m/>
    <s v="Jun-24"/>
    <n v="23"/>
    <s v="2024"/>
  </r>
  <r>
    <d v="2024-06-05T00:00:00"/>
    <s v="Saga Events &amp; Holidays"/>
    <s v="F2F"/>
    <s v="Events"/>
    <s v="Tourism"/>
    <s v="Vikram"/>
    <s v="Dine in at Heritage on 6 June 2024"/>
    <n v="48000"/>
    <n v="48000"/>
    <x v="6"/>
    <x v="0"/>
    <x v="1"/>
    <s v="Closed"/>
    <m/>
    <n v="0"/>
    <m/>
    <m/>
    <m/>
    <s v="Jun-24"/>
    <n v="23"/>
    <s v="2024"/>
  </r>
  <r>
    <d v="2024-06-05T00:00:00"/>
    <s v="Delivery at Peerzadiguda"/>
    <s v="Call"/>
    <s v="Events"/>
    <s v="Family Group"/>
    <s v="Shahnaz"/>
    <s v="Delivery of CB on 6 June 2024"/>
    <n v="8500"/>
    <n v="8500"/>
    <x v="6"/>
    <x v="0"/>
    <x v="1"/>
    <s v="Closed"/>
    <m/>
    <n v="0"/>
    <m/>
    <m/>
    <m/>
    <s v="Jun-24"/>
    <n v="23"/>
    <s v="2024"/>
  </r>
  <r>
    <d v="2024-06-06T00:00:00"/>
    <s v="Shadan College"/>
    <s v="F2F"/>
    <s v="College"/>
    <s v="Education"/>
    <s v="Ahmed"/>
    <s v="Introduction to bulk order"/>
    <n v="120009"/>
    <n v="0"/>
    <x v="4"/>
    <x v="0"/>
    <x v="0"/>
    <s v="Cancelled"/>
    <s v="No requirement"/>
    <n v="0"/>
    <m/>
    <m/>
    <m/>
    <s v="Jun-24"/>
    <n v="23"/>
    <s v="2024"/>
  </r>
  <r>
    <d v="2024-06-06T00:00:00"/>
    <s v="Brodridge"/>
    <s v="F2F"/>
    <s v="Corporate"/>
    <s v="IT"/>
    <s v="Zaheda"/>
    <s v="Introduction to team lunch"/>
    <n v="10000"/>
    <n v="0"/>
    <x v="4"/>
    <x v="0"/>
    <x v="0"/>
    <s v="Cancelled"/>
    <s v="No requirement"/>
    <n v="0"/>
    <m/>
    <m/>
    <m/>
    <s v="Jun-24"/>
    <n v="23"/>
    <s v="2024"/>
  </r>
  <r>
    <d v="2024-06-06T00:00:00"/>
    <s v="Qualcomm"/>
    <s v="F2F"/>
    <s v="Corporate"/>
    <s v="IT"/>
    <s v="Yugandhar"/>
    <s v="Introduction to bulk delivery "/>
    <n v="20000"/>
    <n v="0"/>
    <x v="11"/>
    <x v="0"/>
    <x v="0"/>
    <s v="Cancelled"/>
    <m/>
    <n v="0"/>
    <m/>
    <m/>
    <m/>
    <s v="Jun-24"/>
    <n v="23"/>
    <s v="2024"/>
  </r>
  <r>
    <d v="2024-06-06T00:00:00"/>
    <s v="Yukta Entertainment"/>
    <s v="F2F"/>
    <s v="Corporate"/>
    <s v="Events"/>
    <s v="Saradhi Babu"/>
    <s v="Delivery for events"/>
    <n v="15000"/>
    <n v="0"/>
    <x v="11"/>
    <x v="0"/>
    <x v="0"/>
    <s v="Cancelled"/>
    <m/>
    <n v="0"/>
    <m/>
    <m/>
    <m/>
    <s v="Jun-24"/>
    <n v="23"/>
    <s v="2024"/>
  </r>
  <r>
    <d v="2024-06-06T00:00:00"/>
    <s v="Celio Labs"/>
    <s v="Call"/>
    <s v="Corporate"/>
    <s v="Pharma"/>
    <s v="Yojna"/>
    <s v="Corporate gifting and Bulk orders"/>
    <n v="20000"/>
    <n v="0"/>
    <x v="11"/>
    <x v="0"/>
    <x v="0"/>
    <s v="Cancelled"/>
    <m/>
    <n v="0"/>
    <m/>
    <m/>
    <m/>
    <s v="Jun-24"/>
    <n v="23"/>
    <s v="2024"/>
  </r>
  <r>
    <d v="2024-06-07T00:00:00"/>
    <s v="Ultratech Group"/>
    <s v="F2F"/>
    <s v="Corporate"/>
    <s v="FMCG"/>
    <s v="Arun"/>
    <s v="Dine in of 1200 pax on 14 July 2024"/>
    <n v="236900"/>
    <n v="236900"/>
    <x v="4"/>
    <x v="0"/>
    <x v="1"/>
    <s v="Closed"/>
    <m/>
    <n v="0"/>
    <m/>
    <m/>
    <m/>
    <s v="Jun-24"/>
    <n v="23"/>
    <s v="2024"/>
  </r>
  <r>
    <d v="2024-06-07T00:00:00"/>
    <s v="MSN Lab"/>
    <s v="F2F"/>
    <s v="Corporate"/>
    <s v="Pharma"/>
    <s v="Satya"/>
    <s v="Relationship call"/>
    <n v="0"/>
    <n v="0"/>
    <x v="6"/>
    <x v="0"/>
    <x v="1"/>
    <s v="Closed"/>
    <m/>
    <n v="0"/>
    <m/>
    <m/>
    <m/>
    <s v="Jun-24"/>
    <n v="23"/>
    <s v="2024"/>
  </r>
  <r>
    <d v="2024-06-07T00:00:00"/>
    <s v="Zen Travels"/>
    <s v="F2F"/>
    <s v="Corporate"/>
    <s v="Tourism"/>
    <s v="Fahim"/>
    <s v="Introduction to bulk delivery"/>
    <n v="12000"/>
    <n v="0"/>
    <x v="11"/>
    <x v="0"/>
    <x v="0"/>
    <s v="Cancelled"/>
    <m/>
    <n v="0"/>
    <m/>
    <m/>
    <m/>
    <s v="Jun-24"/>
    <n v="23"/>
    <s v="2024"/>
  </r>
  <r>
    <d v="2024-06-07T00:00:00"/>
    <s v="Global Junior Collehe"/>
    <s v="Call"/>
    <s v="Corporate"/>
    <s v="college"/>
    <s v="Farhan"/>
    <s v="Introduction to bulk food delivery"/>
    <n v="10000"/>
    <n v="0"/>
    <x v="11"/>
    <x v="0"/>
    <x v="0"/>
    <s v="Cancelled"/>
    <m/>
    <n v="0"/>
    <m/>
    <m/>
    <m/>
    <s v="Jun-24"/>
    <n v="23"/>
    <s v="2024"/>
  </r>
  <r>
    <d v="2024-06-07T00:00:00"/>
    <s v="Mindtree"/>
    <s v="Call "/>
    <s v="Corporate"/>
    <s v="IT"/>
    <s v="Udaya"/>
    <s v="Introduction to bulk food delivery"/>
    <n v="20000"/>
    <n v="0"/>
    <x v="11"/>
    <x v="0"/>
    <x v="0"/>
    <s v="Cancelled"/>
    <m/>
    <n v="0"/>
    <m/>
    <m/>
    <m/>
    <s v="Jun-24"/>
    <n v="23"/>
    <s v="2024"/>
  </r>
  <r>
    <d v="2024-06-09T00:00:00"/>
    <s v="Delivery at Manikonda"/>
    <s v="Call"/>
    <s v="Events"/>
    <s v="Family Group"/>
    <s v="Maroof"/>
    <s v="delivery of CB on 15 June 2024"/>
    <n v="12000"/>
    <n v="0"/>
    <x v="6"/>
    <x v="0"/>
    <x v="0"/>
    <s v="Cancelled"/>
    <s v="No response from client "/>
    <n v="0"/>
    <m/>
    <m/>
    <m/>
    <s v="Jun-24"/>
    <n v="23"/>
    <s v="2024"/>
  </r>
  <r>
    <d v="2024-06-10T00:00:00"/>
    <s v="IBM Mindspace"/>
    <s v="Call"/>
    <s v="Corporate"/>
    <s v="IT"/>
    <s v="Srinivas"/>
    <s v="Delivery of CB on 14 June 2024"/>
    <n v="11500"/>
    <n v="11500"/>
    <x v="6"/>
    <x v="0"/>
    <x v="1"/>
    <s v="Closed"/>
    <m/>
    <n v="0"/>
    <m/>
    <m/>
    <m/>
    <s v="Jun-24"/>
    <n v="24"/>
    <s v="2024"/>
  </r>
  <r>
    <d v="2024-06-10T00:00:00"/>
    <s v="CGHS Hospital"/>
    <s v="Call"/>
    <s v="Corporate"/>
    <s v="Healthcare"/>
    <s v="Durga Prasad"/>
    <s v="Delivery of CB on 13 June 2024"/>
    <n v="12000"/>
    <n v="12000"/>
    <x v="6"/>
    <x v="0"/>
    <x v="1"/>
    <s v="Closed"/>
    <m/>
    <n v="0"/>
    <m/>
    <m/>
    <m/>
    <s v="Jun-24"/>
    <n v="24"/>
    <s v="2024"/>
  </r>
  <r>
    <d v="2024-06-11T00:00:00"/>
    <s v="Mankind Pharma"/>
    <s v="Call"/>
    <s v="Corporate"/>
    <s v="Pharma"/>
    <s v="Venkat"/>
    <s v="Deliovery of CB on 14 June 2024"/>
    <n v="13000"/>
    <n v="13000"/>
    <x v="6"/>
    <x v="0"/>
    <x v="1"/>
    <s v="Closed"/>
    <m/>
    <n v="0"/>
    <m/>
    <m/>
    <m/>
    <s v="Jun-24"/>
    <n v="24"/>
    <s v="2024"/>
  </r>
  <r>
    <d v="2024-06-12T00:00:00"/>
    <s v="Delivery at Compass Group Bangalore"/>
    <s v="Call"/>
    <s v="Corporate"/>
    <s v="F&amp;B Agrigator"/>
    <s v="Pankaj"/>
    <s v="Delivery of Special CB &amp; MB Handi on 12 June 2024"/>
    <n v="45953"/>
    <n v="45953"/>
    <x v="6"/>
    <x v="1"/>
    <x v="1"/>
    <s v="Closed"/>
    <m/>
    <n v="0"/>
    <m/>
    <m/>
    <m/>
    <s v="Jun-24"/>
    <n v="24"/>
    <s v="2024"/>
  </r>
  <r>
    <d v="2024-06-13T00:00:00"/>
    <s v="Hive Space"/>
    <s v="Call"/>
    <s v="Corporate"/>
    <s v="IT"/>
    <s v="Mallikarjuna"/>
    <s v="Delivery on 14 June 2024 from Silparamam"/>
    <n v="12000"/>
    <n v="12000"/>
    <x v="6"/>
    <x v="0"/>
    <x v="1"/>
    <s v="Closed"/>
    <m/>
    <n v="0"/>
    <m/>
    <m/>
    <m/>
    <s v="Jun-24"/>
    <n v="24"/>
    <s v="2024"/>
  </r>
  <r>
    <d v="2024-06-16T00:00:00"/>
    <s v="Take away fron RTC"/>
    <s v="Call"/>
    <s v="Events"/>
    <s v="Family Group"/>
    <s v="Hadassah"/>
    <s v="Take away MB from RTC on 16 June 2024"/>
    <n v="15000"/>
    <n v="15000"/>
    <x v="6"/>
    <x v="0"/>
    <x v="1"/>
    <s v="Closed"/>
    <m/>
    <n v="0"/>
    <m/>
    <m/>
    <m/>
    <s v="Jun-24"/>
    <n v="24"/>
    <s v="2024"/>
  </r>
  <r>
    <d v="2024-06-16T00:00:00"/>
    <s v="Delivery at Rasoolpura"/>
    <s v="Call"/>
    <s v="Events"/>
    <s v="Family Group"/>
    <s v="Babu"/>
    <s v="Delivery of CB on 16 June 2024"/>
    <n v="12000"/>
    <n v="12000"/>
    <x v="6"/>
    <x v="0"/>
    <x v="1"/>
    <s v="Closed"/>
    <m/>
    <n v="0"/>
    <m/>
    <m/>
    <m/>
    <s v="Jun-24"/>
    <n v="24"/>
    <s v="2024"/>
  </r>
  <r>
    <d v="2024-06-17T00:00:00"/>
    <s v="Compass Group"/>
    <s v="Call"/>
    <s v="Corporate"/>
    <s v="F&amp;B Agrigator"/>
    <s v="Vikram"/>
    <s v="Discussion regarding ODC and Food Counter"/>
    <n v="30000"/>
    <n v="0"/>
    <x v="4"/>
    <x v="0"/>
    <x v="0"/>
    <s v="Cancelled"/>
    <s v="No requirement"/>
    <n v="0"/>
    <m/>
    <m/>
    <m/>
    <s v="Jun-24"/>
    <n v="25"/>
    <s v="2024"/>
  </r>
  <r>
    <d v="2024-06-17T00:00:00"/>
    <s v="Quislex Legal Services"/>
    <s v="F2F"/>
    <s v="Corporate"/>
    <s v="IT"/>
    <s v="Prakrita"/>
    <s v="Introduction to Bulk Orders"/>
    <n v="25000"/>
    <n v="0"/>
    <x v="11"/>
    <x v="0"/>
    <x v="0"/>
    <s v="Cancelled"/>
    <m/>
    <n v="0"/>
    <m/>
    <m/>
    <m/>
    <s v="Jun-24"/>
    <n v="25"/>
    <s v="2024"/>
  </r>
  <r>
    <d v="2024-06-17T00:00:00"/>
    <s v="Tech Mahindra"/>
    <s v="F2F"/>
    <s v="Corporate"/>
    <s v="IT"/>
    <s v="Vidya"/>
    <s v="Introduction to team lunch"/>
    <n v="20000"/>
    <n v="0"/>
    <x v="11"/>
    <x v="0"/>
    <x v="0"/>
    <s v="Cancelled"/>
    <m/>
    <n v="0"/>
    <m/>
    <m/>
    <m/>
    <s v="Jun-24"/>
    <n v="25"/>
    <s v="2024"/>
  </r>
  <r>
    <d v="2024-06-17T00:00:00"/>
    <s v="KPMG"/>
    <s v="Call"/>
    <s v="Corporate"/>
    <s v="IT"/>
    <s v="Arun kumar"/>
    <s v="ODC at KPMG Bangalore"/>
    <n v="25000"/>
    <n v="0"/>
    <x v="6"/>
    <x v="0"/>
    <x v="0"/>
    <s v="Cancelled"/>
    <s v="Not Profitable"/>
    <n v="0"/>
    <m/>
    <m/>
    <m/>
    <s v="Jun-24"/>
    <n v="25"/>
    <s v="2024"/>
  </r>
  <r>
    <d v="2024-06-17T00:00:00"/>
    <s v="Adanui Willmar"/>
    <s v="F2F"/>
    <s v="Corporate"/>
    <s v="IT"/>
    <s v="Hanumanth"/>
    <s v="Introduction to Bulk orders"/>
    <n v="15000"/>
    <n v="0"/>
    <x v="11"/>
    <x v="0"/>
    <x v="0"/>
    <s v="Cancelled"/>
    <m/>
    <n v="0"/>
    <m/>
    <m/>
    <m/>
    <s v="Jun-24"/>
    <n v="25"/>
    <s v="2024"/>
  </r>
  <r>
    <d v="2024-06-18T00:00:00"/>
    <s v="Delivery at KPHB"/>
    <s v="Call"/>
    <s v="Events"/>
    <s v="Family Group"/>
    <s v="Praveen"/>
    <s v="Delivery of CB on 19 June 202"/>
    <n v="10000"/>
    <n v="10000"/>
    <x v="6"/>
    <x v="0"/>
    <x v="1"/>
    <s v="Closed"/>
    <m/>
    <n v="0"/>
    <m/>
    <m/>
    <m/>
    <s v="Jun-24"/>
    <n v="25"/>
    <s v="2024"/>
  </r>
  <r>
    <d v="2024-06-18T00:00:00"/>
    <s v="Delivery at Narsingi"/>
    <s v="Call"/>
    <s v="Events"/>
    <s v="Family Group"/>
    <s v="Kishore"/>
    <s v="Delivery of CB on 19 June 2024"/>
    <n v="7000"/>
    <n v="7000"/>
    <x v="6"/>
    <x v="0"/>
    <x v="1"/>
    <s v="Closed"/>
    <m/>
    <n v="0"/>
    <m/>
    <m/>
    <m/>
    <s v="Jun-24"/>
    <n v="25"/>
    <s v="2024"/>
  </r>
  <r>
    <d v="2024-06-18T00:00:00"/>
    <s v="Legend Chimes"/>
    <s v="Call"/>
    <s v="Corporate"/>
    <s v="IT"/>
    <s v="Venkat"/>
    <s v="Delivery from from Gachibowl 18 June 2024"/>
    <n v="8000"/>
    <n v="8000"/>
    <x v="6"/>
    <x v="0"/>
    <x v="1"/>
    <s v="Closed"/>
    <m/>
    <n v="0"/>
    <m/>
    <m/>
    <m/>
    <s v="Jun-24"/>
    <n v="25"/>
    <s v="2024"/>
  </r>
  <r>
    <d v="2024-06-18T00:00:00"/>
    <s v="Dine in at Secundrabad"/>
    <s v="Call"/>
    <s v="Events"/>
    <s v="Family Group"/>
    <s v="Rekha"/>
    <s v="Dine in at secundrabad in July"/>
    <n v="20000"/>
    <n v="0"/>
    <x v="11"/>
    <x v="0"/>
    <x v="0"/>
    <s v="Cancelled"/>
    <s v="Less Budget"/>
    <n v="0"/>
    <m/>
    <m/>
    <m/>
    <s v="Jun-24"/>
    <n v="25"/>
    <s v="2024"/>
  </r>
  <r>
    <d v="2024-06-18T00:00:00"/>
    <s v="Adarsh Foundation "/>
    <s v="F2F"/>
    <s v="Corporate"/>
    <s v="Education"/>
    <s v="Zakia"/>
    <s v="Introduction to Team Lunch for students."/>
    <n v="15000"/>
    <n v="0"/>
    <x v="11"/>
    <x v="0"/>
    <x v="0"/>
    <s v="Cancelled"/>
    <m/>
    <n v="0"/>
    <m/>
    <m/>
    <m/>
    <s v="Jun-24"/>
    <n v="25"/>
    <s v="2024"/>
  </r>
  <r>
    <d v="2024-06-18T00:00:00"/>
    <s v="Capital IQ"/>
    <s v="F2F"/>
    <s v="Corporate"/>
    <s v="Banking Finance &amp; Insurance"/>
    <s v="Prasad"/>
    <s v="Introduction to team lunch"/>
    <n v="18000"/>
    <n v="0"/>
    <x v="11"/>
    <x v="0"/>
    <x v="0"/>
    <s v="Cancelled"/>
    <m/>
    <n v="0"/>
    <m/>
    <m/>
    <m/>
    <s v="Jun-24"/>
    <n v="25"/>
    <s v="2024"/>
  </r>
  <r>
    <d v="2024-06-19T00:00:00"/>
    <s v="Delivery at Compass Group Bangalore"/>
    <s v="Call"/>
    <s v="Corporate"/>
    <s v="F&amp;B Agrigator"/>
    <s v="Pankaj"/>
    <s v="Delivery of Special CB &amp; MB Handi on 19 June 2024"/>
    <n v="45000"/>
    <n v="45000"/>
    <x v="6"/>
    <x v="1"/>
    <x v="1"/>
    <s v="Closed"/>
    <m/>
    <n v="0"/>
    <m/>
    <m/>
    <m/>
    <s v="Jun-24"/>
    <n v="25"/>
    <s v="2024"/>
  </r>
  <r>
    <d v="2024-06-19T00:00:00"/>
    <s v="Shloka Group"/>
    <s v="F2F"/>
    <s v="School"/>
    <s v="Education"/>
    <s v="Arun"/>
    <s v="Introduction to bulk orders"/>
    <n v="14000"/>
    <n v="0"/>
    <x v="11"/>
    <x v="0"/>
    <x v="0"/>
    <s v="Cancelled"/>
    <m/>
    <n v="0"/>
    <m/>
    <m/>
    <m/>
    <s v="Jun-24"/>
    <n v="25"/>
    <s v="2024"/>
  </r>
  <r>
    <d v="2024-06-19T00:00:00"/>
    <s v="Don Bosco"/>
    <s v="F2F"/>
    <s v="Orphanage"/>
    <s v="Education"/>
    <s v="Thomas"/>
    <s v="Introduction of bulk delivery in events"/>
    <n v="25000"/>
    <n v="0"/>
    <x v="11"/>
    <x v="0"/>
    <x v="0"/>
    <s v="Cancelled"/>
    <m/>
    <n v="0"/>
    <m/>
    <m/>
    <m/>
    <s v="Jun-24"/>
    <n v="25"/>
    <s v="2024"/>
  </r>
  <r>
    <d v="2024-06-19T00:00:00"/>
    <s v="CA Technologies"/>
    <s v="F2F"/>
    <s v="Corporate"/>
    <s v="IT"/>
    <s v="Fatima"/>
    <s v="Introduction to team Lunch"/>
    <n v="18000"/>
    <n v="0"/>
    <x v="11"/>
    <x v="0"/>
    <x v="0"/>
    <s v="Cancelled"/>
    <m/>
    <n v="0"/>
    <m/>
    <m/>
    <m/>
    <s v="Jun-24"/>
    <n v="25"/>
    <s v="2024"/>
  </r>
  <r>
    <d v="2024-06-19T00:00:00"/>
    <s v="Reliance Trends"/>
    <s v="F2F"/>
    <s v="Corporate"/>
    <s v="Retail"/>
    <s v="Fiyaz"/>
    <s v="Follow up for bulk orders"/>
    <n v="20000"/>
    <n v="0"/>
    <x v="11"/>
    <x v="0"/>
    <x v="0"/>
    <s v="Cancelled"/>
    <m/>
    <n v="0"/>
    <m/>
    <m/>
    <m/>
    <s v="Jun-24"/>
    <n v="25"/>
    <s v="2024"/>
  </r>
  <r>
    <d v="2024-06-20T00:00:00"/>
    <s v="Delivery at Sun City"/>
    <s v="Call"/>
    <s v="Events"/>
    <s v="Family Group"/>
    <s v="Rajani"/>
    <s v="CB on 21 June 2024"/>
    <n v="12000"/>
    <n v="0"/>
    <x v="6"/>
    <x v="0"/>
    <x v="0"/>
    <s v="Cancelled"/>
    <s v="Event Cancelled"/>
    <n v="0"/>
    <m/>
    <m/>
    <m/>
    <s v="Jun-24"/>
    <n v="25"/>
    <s v="2024"/>
  </r>
  <r>
    <d v="2024-06-20T00:00:00"/>
    <s v="Hyperlink"/>
    <s v="F2F"/>
    <s v="Events"/>
    <s v="Events"/>
    <s v="Anuja"/>
    <s v="Delivery of cb on 24 June 2024"/>
    <n v="350000"/>
    <n v="0"/>
    <x v="6"/>
    <x v="0"/>
    <x v="0"/>
    <s v="Cancelled"/>
    <s v="Event Cancelled"/>
    <n v="0"/>
    <m/>
    <m/>
    <m/>
    <s v="Jun-24"/>
    <n v="25"/>
    <s v="2024"/>
  </r>
  <r>
    <d v="2024-06-20T00:00:00"/>
    <s v="Medha Research"/>
    <s v="Call"/>
    <s v="Corporate"/>
    <s v="Manufacturing"/>
    <s v="Habeeb"/>
    <s v="Introduction to Bulk order"/>
    <n v="15000"/>
    <n v="0"/>
    <x v="11"/>
    <x v="0"/>
    <x v="0"/>
    <s v="Cancelled"/>
    <m/>
    <n v="0"/>
    <m/>
    <m/>
    <m/>
    <s v="Jun-24"/>
    <n v="25"/>
    <s v="2024"/>
  </r>
  <r>
    <d v="2024-06-20T00:00:00"/>
    <s v="LIC"/>
    <s v="F2F"/>
    <s v="Corporate"/>
    <s v="Banking Finance &amp; Insurance"/>
    <s v="Hanumanthulu"/>
    <s v="Introduction to bulk food delivery"/>
    <n v="20000"/>
    <n v="0"/>
    <x v="11"/>
    <x v="0"/>
    <x v="0"/>
    <s v="Cancelled"/>
    <m/>
    <n v="0"/>
    <m/>
    <m/>
    <m/>
    <s v="Jun-24"/>
    <n v="25"/>
    <s v="2024"/>
  </r>
  <r>
    <d v="2024-06-20T00:00:00"/>
    <s v="Hitachi Consulting"/>
    <s v="Call"/>
    <s v="Corporate"/>
    <s v="IT"/>
    <s v="Hari"/>
    <s v="Introduction to team lunch"/>
    <n v="18000"/>
    <n v="0"/>
    <x v="11"/>
    <x v="0"/>
    <x v="0"/>
    <s v="Cancelled"/>
    <m/>
    <n v="0"/>
    <m/>
    <m/>
    <m/>
    <s v="Jun-24"/>
    <n v="25"/>
    <s v="2024"/>
  </r>
  <r>
    <d v="2024-06-20T00:00:00"/>
    <s v="Delivery at ICICI Towers"/>
    <s v="Call"/>
    <s v="Corporate"/>
    <s v="Banking Finance &amp; Insurance"/>
    <s v="Sandeep"/>
    <s v="Delivery of CB on 20 June 2024"/>
    <n v="10335"/>
    <n v="10335"/>
    <x v="6"/>
    <x v="0"/>
    <x v="1"/>
    <s v="Closed"/>
    <m/>
    <n v="0"/>
    <m/>
    <m/>
    <m/>
    <s v="Jun-24"/>
    <n v="25"/>
    <s v="2024"/>
  </r>
  <r>
    <d v="2024-06-21T00:00:00"/>
    <s v="ICICI Towers"/>
    <s v="F2F"/>
    <s v="Corporate"/>
    <s v="Banking Finance &amp; Insurance"/>
    <s v="Madhu"/>
    <s v="collected details about permanent counter "/>
    <n v="0"/>
    <n v="0"/>
    <x v="8"/>
    <x v="0"/>
    <x v="0"/>
    <s v="Cancelled"/>
    <s v="No requirement"/>
    <n v="0"/>
    <m/>
    <m/>
    <m/>
    <s v="Jun-24"/>
    <n v="25"/>
    <s v="2024"/>
  </r>
  <r>
    <d v="2024-06-21T00:00:00"/>
    <s v="Gandhi Hospital"/>
    <s v="F2F"/>
    <s v="Corporate"/>
    <s v="Healthcare"/>
    <s v="Bhanu "/>
    <s v="Delivered CB 26 June 2024"/>
    <n v="13000"/>
    <n v="13000"/>
    <x v="6"/>
    <x v="0"/>
    <x v="1"/>
    <s v="Closed"/>
    <m/>
    <n v="0"/>
    <m/>
    <m/>
    <m/>
    <s v="Jun-24"/>
    <n v="25"/>
    <s v="2024"/>
  </r>
  <r>
    <d v="2024-06-21T00:00:00"/>
    <s v="Agarwal Eye Hospital"/>
    <s v="F2F"/>
    <s v="Corporate"/>
    <s v="Healthcare"/>
    <s v="Jyoti"/>
    <s v="Introduction to team lunch and bulk orders"/>
    <n v="10000"/>
    <n v="0"/>
    <x v="11"/>
    <x v="0"/>
    <x v="0"/>
    <s v="Cancelled"/>
    <m/>
    <n v="0"/>
    <m/>
    <m/>
    <m/>
    <s v="Jun-24"/>
    <n v="25"/>
    <s v="2024"/>
  </r>
  <r>
    <d v="2024-06-21T00:00:00"/>
    <s v="AMD"/>
    <s v="F2F"/>
    <s v="Corporate"/>
    <s v="IT"/>
    <s v="Babulal"/>
    <s v="Introduction to bulk orders and ODC"/>
    <n v="20000"/>
    <n v="0"/>
    <x v="11"/>
    <x v="0"/>
    <x v="0"/>
    <s v="Cancelled"/>
    <m/>
    <n v="0"/>
    <m/>
    <m/>
    <m/>
    <s v="Jun-24"/>
    <n v="25"/>
    <s v="2024"/>
  </r>
  <r>
    <d v="2024-06-21T00:00:00"/>
    <s v="Cogniti"/>
    <s v="Call"/>
    <s v="Corporate"/>
    <s v="IT"/>
    <s v="Balakishore"/>
    <s v="Introduction to team lunch"/>
    <n v="12000"/>
    <n v="0"/>
    <x v="11"/>
    <x v="0"/>
    <x v="0"/>
    <s v="Cancelled"/>
    <m/>
    <n v="0"/>
    <m/>
    <m/>
    <m/>
    <s v="Jun-24"/>
    <n v="25"/>
    <s v="2024"/>
  </r>
  <r>
    <d v="2024-06-23T00:00:00"/>
    <s v="Academic Heights"/>
    <s v="Call"/>
    <s v="School"/>
    <s v="Education"/>
    <s v="Deepa"/>
    <s v="Bulk order on 9th July"/>
    <n v="22000"/>
    <n v="0"/>
    <x v="4"/>
    <x v="0"/>
    <x v="0"/>
    <s v="Cancelled"/>
    <s v="No requirement"/>
    <n v="0"/>
    <m/>
    <m/>
    <m/>
    <s v="Jun-24"/>
    <n v="25"/>
    <s v="2024"/>
  </r>
  <r>
    <d v="2024-06-24T00:00:00"/>
    <s v="Nagarjuna Cements"/>
    <s v="F2F"/>
    <s v="Corporate"/>
    <s v="FMCG"/>
    <s v="Ashok"/>
    <s v="Introduction to bulk order and Gifting"/>
    <n v="20000"/>
    <n v="0"/>
    <x v="11"/>
    <x v="0"/>
    <x v="0"/>
    <s v="Cancelled"/>
    <m/>
    <n v="0"/>
    <m/>
    <m/>
    <m/>
    <s v="Jun-24"/>
    <n v="26"/>
    <s v="2024"/>
  </r>
  <r>
    <d v="2024-06-24T00:00:00"/>
    <s v="Ramco Cement"/>
    <s v="F2F"/>
    <s v="Corporate"/>
    <s v="FMCG"/>
    <s v="Sriram"/>
    <s v="Introduction to bulk order and Gifting"/>
    <n v="20000"/>
    <n v="0"/>
    <x v="11"/>
    <x v="0"/>
    <x v="0"/>
    <s v="Cancelled"/>
    <m/>
    <n v="0"/>
    <m/>
    <m/>
    <m/>
    <s v="Jun-24"/>
    <n v="26"/>
    <s v="2024"/>
  </r>
  <r>
    <d v="2024-06-24T00:00:00"/>
    <s v="Amazon "/>
    <s v="F2F"/>
    <s v="Corporate"/>
    <s v="IT"/>
    <s v="Karthik"/>
    <s v="Introduction to Bulk orders"/>
    <n v="12000"/>
    <n v="0"/>
    <x v="11"/>
    <x v="0"/>
    <x v="0"/>
    <s v="Cancelled"/>
    <m/>
    <n v="0"/>
    <m/>
    <m/>
    <m/>
    <s v="Jun-24"/>
    <n v="26"/>
    <s v="2024"/>
  </r>
  <r>
    <d v="2024-06-24T00:00:00"/>
    <s v="L&amp;T Cement"/>
    <s v="F2F"/>
    <s v="Corporate"/>
    <s v="FMCG"/>
    <s v="Hanumanth Rao"/>
    <s v="Introduction to bulk order and corporate gifting"/>
    <n v="22000"/>
    <n v="0"/>
    <x v="11"/>
    <x v="0"/>
    <x v="0"/>
    <s v="Cancelled"/>
    <m/>
    <n v="0"/>
    <m/>
    <m/>
    <m/>
    <s v="Jun-24"/>
    <n v="26"/>
    <s v="2024"/>
  </r>
  <r>
    <d v="2024-06-24T00:00:00"/>
    <s v="Sudarshan Labs"/>
    <s v="F2F"/>
    <s v="Corporate"/>
    <s v="Pharma"/>
    <s v="Hanuman Reddy"/>
    <s v="Introduction to bulk orders"/>
    <n v="10000"/>
    <n v="0"/>
    <x v="11"/>
    <x v="0"/>
    <x v="0"/>
    <s v="Cancelled"/>
    <m/>
    <n v="0"/>
    <m/>
    <m/>
    <m/>
    <s v="Jun-24"/>
    <n v="26"/>
    <s v="2024"/>
  </r>
  <r>
    <d v="2024-06-25T00:00:00"/>
    <s v="Sagarsoft"/>
    <s v="F2F"/>
    <s v="Corporate"/>
    <s v="IT"/>
    <s v="Bheem"/>
    <s v="Follow up and delivery of CB for team lunch"/>
    <n v="6000"/>
    <n v="6000"/>
    <x v="6"/>
    <x v="0"/>
    <x v="1"/>
    <s v="Closed"/>
    <m/>
    <n v="0"/>
    <m/>
    <m/>
    <m/>
    <s v="Jun-24"/>
    <n v="26"/>
    <s v="2024"/>
  </r>
  <r>
    <d v="2024-06-25T00:00:00"/>
    <s v="MSN LABS"/>
    <s v="F2F"/>
    <s v="Corporate"/>
    <s v="Pharma"/>
    <s v="Satyanarayana"/>
    <s v="Followup for payment and further orders"/>
    <n v="0"/>
    <n v="0"/>
    <x v="6"/>
    <x v="0"/>
    <x v="1"/>
    <s v="Closed"/>
    <m/>
    <n v="0"/>
    <m/>
    <m/>
    <m/>
    <s v="Jun-24"/>
    <n v="26"/>
    <s v="2024"/>
  </r>
  <r>
    <d v="2024-06-25T00:00:00"/>
    <s v="K2K Holidays Bhopal"/>
    <s v="Call"/>
    <s v="Corporate"/>
    <s v="Tourism"/>
    <s v="Vikas"/>
    <s v="Introduction to bulk orders"/>
    <n v="15000"/>
    <n v="0"/>
    <x v="11"/>
    <x v="0"/>
    <x v="0"/>
    <s v="Cancelled"/>
    <m/>
    <n v="0"/>
    <m/>
    <m/>
    <m/>
    <s v="Jun-24"/>
    <n v="26"/>
    <s v="2024"/>
  </r>
  <r>
    <d v="2024-06-25T00:00:00"/>
    <s v="Exclusive Holidays"/>
    <s v="Call"/>
    <s v="Corporate"/>
    <s v="Tourism"/>
    <s v="Ashish"/>
    <s v="Introduction to bulk delivery for travel group"/>
    <n v="12000"/>
    <n v="0"/>
    <x v="11"/>
    <x v="0"/>
    <x v="0"/>
    <s v="Cancelled"/>
    <m/>
    <n v="0"/>
    <m/>
    <m/>
    <m/>
    <s v="Jun-24"/>
    <n v="26"/>
    <s v="2024"/>
  </r>
  <r>
    <d v="2024-06-25T00:00:00"/>
    <s v="Gem Events"/>
    <s v="Call"/>
    <s v="Corporate"/>
    <s v="Events"/>
    <s v="Aatif Salman"/>
    <s v="Introduction for bulk delivery in Events "/>
    <n v="20000"/>
    <n v="0"/>
    <x v="11"/>
    <x v="0"/>
    <x v="0"/>
    <s v="Cancelled"/>
    <m/>
    <n v="0"/>
    <m/>
    <m/>
    <m/>
    <s v="Jun-24"/>
    <n v="26"/>
    <s v="2024"/>
  </r>
  <r>
    <d v="2024-06-26T00:00:00"/>
    <s v="MSN LABS"/>
    <s v="F2F"/>
    <s v="Corporate"/>
    <s v="Pharma"/>
    <s v="Satyanarayana"/>
    <s v="Followup for payment and further orders"/>
    <n v="0"/>
    <n v="0"/>
    <x v="6"/>
    <x v="0"/>
    <x v="1"/>
    <s v="Closed"/>
    <m/>
    <n v="0"/>
    <m/>
    <m/>
    <m/>
    <s v="Jun-24"/>
    <n v="26"/>
    <s v="2024"/>
  </r>
  <r>
    <d v="2024-06-26T00:00:00"/>
    <s v="Delivery at Compass Group Bangalore"/>
    <s v="Call"/>
    <s v="Corporate"/>
    <s v="F&amp;B Agrigator"/>
    <s v="Pankaj"/>
    <s v="Delivery of Special CB &amp; MB Handi on 26 June 2024"/>
    <n v="44198"/>
    <n v="44198"/>
    <x v="6"/>
    <x v="1"/>
    <x v="1"/>
    <s v="Closed"/>
    <m/>
    <n v="0"/>
    <m/>
    <m/>
    <m/>
    <s v="Jun-24"/>
    <n v="26"/>
    <s v="2024"/>
  </r>
  <r>
    <d v="2024-06-26T00:00:00"/>
    <s v="Vishwa Vishwani College"/>
    <s v="F2F"/>
    <s v="College"/>
    <s v="Education"/>
    <s v="Madhvi"/>
    <s v="bulk delivery in events"/>
    <n v="20000"/>
    <n v="0"/>
    <x v="11"/>
    <x v="0"/>
    <x v="0"/>
    <s v="Cancelled"/>
    <m/>
    <n v="0"/>
    <m/>
    <m/>
    <m/>
    <s v="Jun-24"/>
    <n v="26"/>
    <s v="2024"/>
  </r>
  <r>
    <d v="2024-06-26T00:00:00"/>
    <s v="Reliance Sceurities"/>
    <s v="F2F"/>
    <s v="Corporate"/>
    <s v="Banking Finance &amp; Insurance"/>
    <s v="Madhu"/>
    <s v="Team lunch and bulk orders"/>
    <n v="15000"/>
    <n v="0"/>
    <x v="11"/>
    <x v="0"/>
    <x v="0"/>
    <s v="Cancelled"/>
    <m/>
    <n v="0"/>
    <m/>
    <m/>
    <m/>
    <s v="Jun-24"/>
    <n v="26"/>
    <s v="2024"/>
  </r>
  <r>
    <d v="2024-06-26T00:00:00"/>
    <s v="Rocksalt HR"/>
    <s v="F2F"/>
    <s v="Corporate"/>
    <s v="IT"/>
    <s v="Lakshmi"/>
    <s v="Introduction to bulk orders"/>
    <n v="20000"/>
    <n v="0"/>
    <x v="11"/>
    <x v="0"/>
    <x v="0"/>
    <s v="Cancelled"/>
    <m/>
    <n v="0"/>
    <m/>
    <m/>
    <m/>
    <s v="Jun-24"/>
    <n v="26"/>
    <s v="2024"/>
  </r>
  <r>
    <d v="2024-06-27T00:00:00"/>
    <s v="St Maries Engg College Deshmukhi"/>
    <s v="Call"/>
    <s v="College"/>
    <s v="Education"/>
    <s v="Carolina"/>
    <s v="Introduction to bulk delivery"/>
    <n v="18000"/>
    <n v="0"/>
    <x v="11"/>
    <x v="0"/>
    <x v="0"/>
    <s v="Cancelled"/>
    <m/>
    <n v="0"/>
    <m/>
    <m/>
    <m/>
    <s v="Jun-24"/>
    <n v="26"/>
    <s v="2024"/>
  </r>
  <r>
    <d v="2024-06-27T00:00:00"/>
    <s v="Aurbindo Pharma"/>
    <s v="F2F"/>
    <s v="Corporate"/>
    <s v="Pharma"/>
    <s v="Bapiraju"/>
    <s v="Followup for bulk orders"/>
    <n v="25000"/>
    <n v="0"/>
    <x v="11"/>
    <x v="0"/>
    <x v="0"/>
    <s v="Cancelled"/>
    <m/>
    <n v="0"/>
    <m/>
    <m/>
    <m/>
    <s v="Jun-24"/>
    <n v="26"/>
    <s v="2024"/>
  </r>
  <r>
    <d v="2024-06-27T00:00:00"/>
    <s v="Reliance Trends"/>
    <s v="F2F"/>
    <s v="Corporate"/>
    <s v="Retail"/>
    <s v="Chakravarti"/>
    <s v="Follow up for bulk orders"/>
    <n v="20000"/>
    <n v="0"/>
    <x v="11"/>
    <x v="0"/>
    <x v="0"/>
    <s v="Cancelled"/>
    <m/>
    <n v="0"/>
    <m/>
    <m/>
    <m/>
    <s v="Jun-24"/>
    <n v="26"/>
    <s v="2024"/>
  </r>
  <r>
    <d v="2024-06-27T00:00:00"/>
    <s v="Alliancepro"/>
    <s v="F2F"/>
    <s v="Corporate"/>
    <s v="IT"/>
    <s v="Chamundeshwari"/>
    <s v="Introduction to team lunch"/>
    <n v="22000"/>
    <n v="0"/>
    <x v="11"/>
    <x v="0"/>
    <x v="0"/>
    <s v="Cancelled"/>
    <m/>
    <n v="0"/>
    <m/>
    <m/>
    <m/>
    <s v="Jun-24"/>
    <n v="26"/>
    <s v="2024"/>
  </r>
  <r>
    <d v="2024-06-27T00:00:00"/>
    <s v="Sumtotal Solutions"/>
    <s v="F2F"/>
    <s v="Corporate"/>
    <s v="IT"/>
    <s v="Chandramouli"/>
    <s v="Introduction to team lunch &amp; Bulk delivery"/>
    <n v="30000"/>
    <n v="0"/>
    <x v="11"/>
    <x v="0"/>
    <x v="0"/>
    <s v="Cancelled"/>
    <m/>
    <n v="0"/>
    <m/>
    <m/>
    <m/>
    <s v="Jun-24"/>
    <n v="26"/>
    <s v="2024"/>
  </r>
  <r>
    <d v="2024-06-28T00:00:00"/>
    <s v="K Fintech"/>
    <s v="F2F"/>
    <s v="Corporate"/>
    <s v="Banking Finance &amp; Insurance"/>
    <s v="Mahesh"/>
    <s v="Introduction to team lunch"/>
    <n v="15000"/>
    <n v="0"/>
    <x v="11"/>
    <x v="0"/>
    <x v="0"/>
    <s v="Cancelled"/>
    <m/>
    <n v="0"/>
    <m/>
    <m/>
    <m/>
    <s v="Jun-24"/>
    <n v="26"/>
    <s v="2024"/>
  </r>
  <r>
    <d v="2024-06-28T00:00:00"/>
    <s v="Delivery at Muthangi"/>
    <s v="Call"/>
    <s v="Events"/>
    <s v="Family Group"/>
    <s v="Sai Kiran"/>
    <s v="Delivery of CB on 30 June 2024"/>
    <n v="14000"/>
    <n v="14000"/>
    <x v="6"/>
    <x v="0"/>
    <x v="1"/>
    <s v="Closed"/>
    <m/>
    <n v="0"/>
    <m/>
    <m/>
    <m/>
    <s v="Jun-24"/>
    <n v="26"/>
    <s v="2024"/>
  </r>
  <r>
    <d v="2024-06-28T00:00:00"/>
    <s v="Coca-Cola"/>
    <s v="F2F"/>
    <s v="Corporate"/>
    <s v="FMCG"/>
    <s v="Gautham Devineni"/>
    <s v="Introduction to team lunch and bulk orders"/>
    <n v="20000"/>
    <n v="0"/>
    <x v="11"/>
    <x v="0"/>
    <x v="0"/>
    <s v="Cancelled"/>
    <m/>
    <n v="0"/>
    <m/>
    <m/>
    <m/>
    <s v="Jun-24"/>
    <n v="26"/>
    <s v="2024"/>
  </r>
  <r>
    <d v="2024-06-28T00:00:00"/>
    <s v="Ozone Hospital"/>
    <s v="F2F"/>
    <s v="Corporate"/>
    <s v="Healthcare"/>
    <s v="Mahendra"/>
    <s v="Follow up for bulk orders"/>
    <n v="20000"/>
    <n v="0"/>
    <x v="11"/>
    <x v="0"/>
    <x v="0"/>
    <s v="Cancelled"/>
    <m/>
    <n v="0"/>
    <m/>
    <m/>
    <m/>
    <s v="Jun-24"/>
    <n v="26"/>
    <s v="2024"/>
  </r>
  <r>
    <d v="2024-06-28T00:00:00"/>
    <s v="Take away at shamshabad"/>
    <s v="Call"/>
    <s v="Events"/>
    <s v="Family Group"/>
    <s v="Gopal"/>
    <s v="Take away fron shamshabad on 30 June 2024"/>
    <n v="3000"/>
    <n v="3000"/>
    <x v="6"/>
    <x v="0"/>
    <x v="1"/>
    <s v="Closed"/>
    <m/>
    <n v="0"/>
    <m/>
    <m/>
    <m/>
    <s v="Jun-24"/>
    <n v="26"/>
    <s v="2024"/>
  </r>
  <r>
    <d v="2024-06-29T00:00:00"/>
    <s v="Take Away from Secundrabad"/>
    <s v="Call"/>
    <s v="Events"/>
    <s v="Family Group"/>
    <s v="Amar"/>
    <s v="Take away of CB on 29 June 2024"/>
    <n v="12000"/>
    <n v="12000"/>
    <x v="6"/>
    <x v="0"/>
    <x v="1"/>
    <s v="Closed"/>
    <m/>
    <n v="0"/>
    <m/>
    <m/>
    <m/>
    <s v="Jun-24"/>
    <n v="26"/>
    <s v="2024"/>
  </r>
  <r>
    <d v="2024-07-01T00:00:00"/>
    <s v="Joy Foundation Orphanage"/>
    <s v="Call"/>
    <s v="NGO"/>
    <s v="Orphanage &amp; NGO"/>
    <s v="Siju Thomas"/>
    <s v="Take away plum cake from Secbad on 1 July 2024"/>
    <n v="8000"/>
    <n v="8000"/>
    <x v="4"/>
    <x v="0"/>
    <x v="1"/>
    <s v="Closed"/>
    <m/>
    <n v="0"/>
    <m/>
    <m/>
    <m/>
    <s v="Jul-24"/>
    <n v="27"/>
    <s v="2024"/>
  </r>
  <r>
    <d v="2024-07-01T00:00:00"/>
    <s v="Akruthi School"/>
    <s v="F2F"/>
    <s v="School"/>
    <s v="Education"/>
    <s v="Abbas"/>
    <s v="Introduction to Bulk delivery at events"/>
    <n v="12000"/>
    <n v="0"/>
    <x v="11"/>
    <x v="0"/>
    <x v="0"/>
    <s v="Cancelled"/>
    <m/>
    <n v="0"/>
    <m/>
    <m/>
    <m/>
    <s v="Jul-24"/>
    <n v="27"/>
    <s v="2024"/>
  </r>
  <r>
    <d v="2024-07-01T00:00:00"/>
    <s v="Sai Vidyanikethan School"/>
    <s v="F2F"/>
    <s v="School"/>
    <s v="Education"/>
    <s v="Ekambarnath"/>
    <s v="Introduction to bulk food delivery"/>
    <n v="15000"/>
    <n v="0"/>
    <x v="11"/>
    <x v="0"/>
    <x v="0"/>
    <s v="Cancelled"/>
    <m/>
    <n v="0"/>
    <m/>
    <m/>
    <m/>
    <s v="Jul-24"/>
    <n v="27"/>
    <s v="2024"/>
  </r>
  <r>
    <d v="2024-07-01T00:00:00"/>
    <s v="E Pam"/>
    <s v="F2F"/>
    <s v="Corporate"/>
    <s v="IT"/>
    <s v="Emanuel"/>
    <s v="Introduction to team lunch and bulk orders"/>
    <n v="18000"/>
    <n v="0"/>
    <x v="11"/>
    <x v="0"/>
    <x v="0"/>
    <s v="Cancelled"/>
    <m/>
    <n v="0"/>
    <m/>
    <m/>
    <m/>
    <s v="Jul-24"/>
    <n v="27"/>
    <s v="2024"/>
  </r>
  <r>
    <d v="2024-07-01T00:00:00"/>
    <s v="Pedilite"/>
    <s v="F2F"/>
    <s v="Corporate"/>
    <s v="FMCG"/>
    <s v="Eshwar"/>
    <s v="Introduction to team lunch and bulk orders"/>
    <n v="20000"/>
    <n v="0"/>
    <x v="11"/>
    <x v="0"/>
    <x v="0"/>
    <s v="Cancelled"/>
    <m/>
    <n v="0"/>
    <m/>
    <m/>
    <m/>
    <s v="Jul-24"/>
    <n v="27"/>
    <s v="2024"/>
  </r>
  <r>
    <d v="2024-07-02T00:00:00"/>
    <s v="Appian"/>
    <s v="Call"/>
    <s v="Corporate"/>
    <s v="IT"/>
    <s v="Appian"/>
    <s v="200 peoples lunch in chennai on 24 July 2024"/>
    <n v="60000"/>
    <n v="0"/>
    <x v="4"/>
    <x v="1"/>
    <x v="0"/>
    <s v="Cancelled"/>
    <s v="Event Cancelled"/>
    <n v="0"/>
    <m/>
    <m/>
    <m/>
    <s v="Jul-24"/>
    <n v="27"/>
    <s v="2024"/>
  </r>
  <r>
    <d v="2024-07-02T00:00:00"/>
    <s v="Delivery at Kothapet"/>
    <s v="Call"/>
    <s v="Events"/>
    <s v="Family Group"/>
    <s v="Binoy"/>
    <s v="Delivery of MB From Kothapet"/>
    <n v="8000"/>
    <n v="8000"/>
    <x v="4"/>
    <x v="0"/>
    <x v="1"/>
    <s v="Closed"/>
    <m/>
    <n v="0"/>
    <m/>
    <m/>
    <m/>
    <s v="Jul-24"/>
    <n v="27"/>
    <s v="2024"/>
  </r>
  <r>
    <d v="2024-07-02T00:00:00"/>
    <s v="Dine in at Secundrabad"/>
    <s v="Call"/>
    <s v="Tourism"/>
    <s v="Tourism"/>
    <s v="Lourd Xaviour"/>
    <s v="Dine in at Secundrabad in August"/>
    <n v="45000"/>
    <n v="0"/>
    <x v="8"/>
    <x v="0"/>
    <x v="0"/>
    <s v="Cancelled"/>
    <s v="No requirement"/>
    <n v="0"/>
    <m/>
    <m/>
    <m/>
    <s v="Jul-24"/>
    <n v="27"/>
    <s v="2024"/>
  </r>
  <r>
    <d v="2024-07-02T00:00:00"/>
    <s v="Prime Hospital"/>
    <s v="F2F"/>
    <s v="Hospital"/>
    <s v="Healthcare"/>
    <s v="Ashok"/>
    <s v="Bukl orders and delivery"/>
    <n v="15000"/>
    <n v="0"/>
    <x v="11"/>
    <x v="0"/>
    <x v="0"/>
    <s v="Cancelled"/>
    <m/>
    <n v="0"/>
    <m/>
    <m/>
    <m/>
    <s v="Jul-24"/>
    <n v="27"/>
    <s v="2024"/>
  </r>
  <r>
    <d v="2024-07-02T00:00:00"/>
    <s v="Vaishnavi Olympiad school"/>
    <s v="F2F"/>
    <s v="School"/>
    <s v="Education"/>
    <s v="Kabeer"/>
    <s v="Introduction to bulk orders"/>
    <n v="20000"/>
    <n v="0"/>
    <x v="8"/>
    <x v="0"/>
    <x v="0"/>
    <s v="Cancelled"/>
    <s v="No requirement"/>
    <n v="0"/>
    <m/>
    <m/>
    <m/>
    <s v="Jul-24"/>
    <n v="27"/>
    <s v="2024"/>
  </r>
  <r>
    <d v="2024-07-03T00:00:00"/>
    <s v="VIT"/>
    <s v="Call"/>
    <s v="College"/>
    <s v="Education"/>
    <s v="Sudhan"/>
    <s v="Shared details of 3000 pax ODC on 31 July 2024"/>
    <n v="1896308"/>
    <n v="1896308"/>
    <x v="9"/>
    <x v="0"/>
    <x v="1"/>
    <s v="Closed"/>
    <m/>
    <n v="0"/>
    <m/>
    <m/>
    <m/>
    <s v="Jul-24"/>
    <n v="27"/>
    <s v="2024"/>
  </r>
  <r>
    <d v="2024-07-03T00:00:00"/>
    <s v="Delivery at Compass Group Bangalore"/>
    <s v="Call"/>
    <s v="Corporate"/>
    <s v="F&amp;B Agrigator"/>
    <s v="Pankaj"/>
    <s v="Delivery of Special CB &amp; MB Handi on 3 July 2024"/>
    <n v="41079"/>
    <n v="41079"/>
    <x v="4"/>
    <x v="1"/>
    <x v="1"/>
    <s v="Closed"/>
    <m/>
    <n v="0"/>
    <m/>
    <m/>
    <m/>
    <s v="Jul-24"/>
    <n v="27"/>
    <s v="2024"/>
  </r>
  <r>
    <d v="2024-07-03T00:00:00"/>
    <s v="Narayana Academy"/>
    <s v="Call"/>
    <s v="College"/>
    <s v="Education"/>
    <s v="Yadagiri"/>
    <s v="Follow up for bulk orders"/>
    <n v="15000"/>
    <n v="0"/>
    <x v="8"/>
    <x v="0"/>
    <x v="0"/>
    <s v="Cancelled"/>
    <s v="No requirement"/>
    <n v="0"/>
    <m/>
    <m/>
    <m/>
    <s v="Jul-24"/>
    <n v="27"/>
    <s v="2024"/>
  </r>
  <r>
    <d v="2024-07-03T00:00:00"/>
    <s v="Walking Tree"/>
    <s v="F2F"/>
    <s v="Corporate"/>
    <s v="IT"/>
    <s v="Vinay"/>
    <s v="Introduction to team lunch"/>
    <n v="20000"/>
    <n v="0"/>
    <x v="8"/>
    <x v="0"/>
    <x v="0"/>
    <s v="Cancelled"/>
    <s v="No requirement"/>
    <n v="0"/>
    <m/>
    <m/>
    <m/>
    <s v="Jul-24"/>
    <n v="27"/>
    <s v="2024"/>
  </r>
  <r>
    <d v="2024-07-03T00:00:00"/>
    <s v="Shapoorji"/>
    <s v="F2F"/>
    <s v="Corporate"/>
    <s v="Realestate"/>
    <s v="Vishwa"/>
    <s v="Introduction to bulk order"/>
    <n v="20000"/>
    <n v="0"/>
    <x v="8"/>
    <x v="0"/>
    <x v="0"/>
    <s v="Cancelled"/>
    <s v="No requirement"/>
    <n v="0"/>
    <m/>
    <m/>
    <m/>
    <s v="Jul-24"/>
    <n v="27"/>
    <s v="2024"/>
  </r>
  <r>
    <d v="2024-07-04T00:00:00"/>
    <s v="Magoi Events"/>
    <s v="F2F"/>
    <s v="Corporate"/>
    <s v="Events"/>
    <s v="Rakesh"/>
    <s v="Shared quote for 240 PAX in August"/>
    <n v="85000"/>
    <n v="0"/>
    <x v="11"/>
    <x v="0"/>
    <x v="0"/>
    <s v="Cancelled"/>
    <s v="Event Cancelled"/>
    <n v="0"/>
    <m/>
    <m/>
    <m/>
    <s v="Jul-24"/>
    <n v="27"/>
    <s v="2024"/>
  </r>
  <r>
    <d v="2024-07-04T00:00:00"/>
    <s v="PNB"/>
    <s v="F2F"/>
    <s v="Corporate"/>
    <s v="Banking Finance &amp; Insurance"/>
    <s v="Pradeep"/>
    <s v="Shared Details for team lunch"/>
    <n v="12000"/>
    <n v="0"/>
    <x v="8"/>
    <x v="0"/>
    <x v="0"/>
    <s v="Cancelled"/>
    <s v="No requirement"/>
    <n v="0"/>
    <m/>
    <m/>
    <m/>
    <s v="Jul-24"/>
    <n v="27"/>
    <s v="2024"/>
  </r>
  <r>
    <d v="2024-07-04T00:00:00"/>
    <s v="NABARD"/>
    <s v="F2F"/>
    <s v="Corporate"/>
    <s v="Banking Finance &amp; Insurance"/>
    <s v="N Prabhakar"/>
    <s v="Shared deyails for team lunch"/>
    <n v="20000"/>
    <n v="0"/>
    <x v="12"/>
    <x v="0"/>
    <x v="0"/>
    <s v="Cancelled"/>
    <m/>
    <n v="0"/>
    <m/>
    <m/>
    <m/>
    <s v="Jul-24"/>
    <n v="27"/>
    <s v="2024"/>
  </r>
  <r>
    <d v="2024-07-04T00:00:00"/>
    <s v="HDFC"/>
    <s v="F2F"/>
    <s v="Corporate"/>
    <s v="Banking Finance &amp; Insurance"/>
    <s v="Arun"/>
    <s v="Shared Details for team lunch"/>
    <n v="30000"/>
    <n v="0"/>
    <x v="2"/>
    <x v="0"/>
    <x v="0"/>
    <s v="Cancelled"/>
    <s v="No requirement"/>
    <n v="0"/>
    <m/>
    <m/>
    <m/>
    <s v="Jul-24"/>
    <n v="27"/>
    <s v="2023"/>
  </r>
  <r>
    <d v="2024-07-04T00:00:00"/>
    <s v="Rainbow Hospitals"/>
    <s v="F2F"/>
    <s v="Corporate"/>
    <s v="Healthcare"/>
    <s v="Uday"/>
    <s v="Shared details regarding bulk supply of foods"/>
    <n v="15000"/>
    <n v="0"/>
    <x v="2"/>
    <x v="0"/>
    <x v="0"/>
    <s v="Cancelled"/>
    <s v="No requirement"/>
    <n v="0"/>
    <m/>
    <m/>
    <m/>
    <s v="Jul-24"/>
    <n v="27"/>
    <s v="2023"/>
  </r>
  <r>
    <d v="2024-07-05T00:00:00"/>
    <s v="Standard Chartard Bank"/>
    <s v="Call"/>
    <s v="Corporate"/>
    <s v="Banking Finance &amp; Insurance"/>
    <s v="Biswa"/>
    <s v="Delivered cb on 5 july 2024"/>
    <n v="13000"/>
    <n v="13000"/>
    <x v="4"/>
    <x v="1"/>
    <x v="1"/>
    <s v="Closed"/>
    <m/>
    <n v="0"/>
    <m/>
    <m/>
    <m/>
    <s v="Jul-24"/>
    <n v="27"/>
    <s v="2024"/>
  </r>
  <r>
    <d v="2024-07-05T00:00:00"/>
    <s v="Granules India"/>
    <s v="F2F"/>
    <s v="Corporate"/>
    <s v="Pharma"/>
    <s v="B Sravan Kumar"/>
    <s v="Follow up for bulk orders"/>
    <n v="15000"/>
    <n v="0"/>
    <x v="2"/>
    <x v="0"/>
    <x v="0"/>
    <s v="Cancelled"/>
    <s v="No requirement"/>
    <n v="0"/>
    <m/>
    <m/>
    <m/>
    <s v="Jul-24"/>
    <n v="27"/>
    <s v="2023"/>
  </r>
  <r>
    <d v="2024-07-05T00:00:00"/>
    <s v="Verizon"/>
    <s v="F2F"/>
    <s v="Corporate"/>
    <s v="IT"/>
    <s v="Bala Srinivas"/>
    <s v="Introduction to team lunch"/>
    <n v="18000"/>
    <n v="0"/>
    <x v="2"/>
    <x v="0"/>
    <x v="0"/>
    <s v="Cancelled"/>
    <s v="No requirement"/>
    <n v="0"/>
    <m/>
    <m/>
    <m/>
    <s v="Jul-24"/>
    <n v="27"/>
    <s v="2023"/>
  </r>
  <r>
    <d v="2024-07-05T00:00:00"/>
    <s v="Sresta Naturals"/>
    <s v="F2F"/>
    <s v="Corporate"/>
    <s v="Agritech"/>
    <s v="Subramanyam"/>
    <s v="Introduction to bulk orders"/>
    <n v="20000"/>
    <n v="0"/>
    <x v="12"/>
    <x v="0"/>
    <x v="0"/>
    <s v="Cancelled"/>
    <m/>
    <n v="0"/>
    <m/>
    <m/>
    <m/>
    <s v="Jul-24"/>
    <n v="27"/>
    <s v="2024"/>
  </r>
  <r>
    <d v="2024-07-05T00:00:00"/>
    <s v="Byjus"/>
    <s v="F2F"/>
    <s v="Corporate"/>
    <s v="Education"/>
    <s v="Balraj"/>
    <s v="Introduction to team lunch and bulk orders"/>
    <n v="18000"/>
    <n v="0"/>
    <x v="12"/>
    <x v="0"/>
    <x v="0"/>
    <s v="Cancelled"/>
    <m/>
    <n v="0"/>
    <m/>
    <m/>
    <m/>
    <s v="Jul-24"/>
    <n v="27"/>
    <s v="2024"/>
  </r>
  <r>
    <d v="2024-07-09T00:00:00"/>
    <s v="Delivery at Bangalore Airport"/>
    <s v="Call"/>
    <s v="Corporate"/>
    <s v="Transport"/>
    <s v="Sridhar"/>
    <s v="Delivery of CB &amp; MB on 10 July 2024"/>
    <n v="16000"/>
    <n v="16000"/>
    <x v="4"/>
    <x v="1"/>
    <x v="1"/>
    <s v="Closed"/>
    <m/>
    <n v="0"/>
    <m/>
    <m/>
    <m/>
    <s v="Jul-24"/>
    <n v="28"/>
    <s v="2024"/>
  </r>
  <r>
    <d v="2024-07-10T00:00:00"/>
    <s v="Delivery at Compass Group Bangalore"/>
    <s v="Call"/>
    <s v="Corporate"/>
    <s v="F&amp;B Agrigator"/>
    <s v="Pankaj"/>
    <s v="Delivery of Special CB &amp; MB Handi on 10 July 2024"/>
    <n v="44198"/>
    <n v="44198"/>
    <x v="4"/>
    <x v="1"/>
    <x v="1"/>
    <s v="Closed"/>
    <m/>
    <n v="0"/>
    <m/>
    <m/>
    <m/>
    <s v="Jul-24"/>
    <n v="28"/>
    <s v="2024"/>
  </r>
  <r>
    <d v="2024-07-10T00:00:00"/>
    <s v="Physicswallah"/>
    <s v="Call"/>
    <s v="Corporate"/>
    <s v="Education"/>
    <s v="Ramesh"/>
    <s v="Shared quote for CB and VB for 500 PAX"/>
    <n v="30000"/>
    <n v="0"/>
    <x v="13"/>
    <x v="0"/>
    <x v="0"/>
    <s v="Cancelled"/>
    <s v="Less Budget"/>
    <n v="0"/>
    <m/>
    <m/>
    <m/>
    <s v="Jul-24"/>
    <n v="28"/>
    <s v="2025"/>
  </r>
  <r>
    <d v="2024-07-11T00:00:00"/>
    <s v="Delivery at Patancheru"/>
    <s v="Call"/>
    <s v="Corporate"/>
    <s v="Orphanage &amp; NGO"/>
    <s v="Sagarika"/>
    <s v="Delivery of CB Handi on 14 July 2024"/>
    <n v="9000"/>
    <n v="0"/>
    <x v="4"/>
    <x v="0"/>
    <x v="0"/>
    <s v="Cancelled"/>
    <s v="Event Cancelled"/>
    <n v="0"/>
    <m/>
    <m/>
    <m/>
    <s v="Jul-24"/>
    <n v="28"/>
    <s v="2024"/>
  </r>
  <r>
    <d v="2024-07-11T00:00:00"/>
    <s v="Delivery at Himayathnagar"/>
    <s v="Call"/>
    <s v="Events"/>
    <s v="Family Group"/>
    <s v="Sanjay"/>
    <s v="Delivery of VB and Starters"/>
    <n v="16900"/>
    <n v="0"/>
    <x v="11"/>
    <x v="0"/>
    <x v="0"/>
    <s v="Cancelled"/>
    <s v="Event Cancelled"/>
    <n v="0"/>
    <m/>
    <m/>
    <m/>
    <s v="Jul-24"/>
    <n v="28"/>
    <s v="2024"/>
  </r>
  <r>
    <d v="2024-07-12T00:00:00"/>
    <s v="MSN LABS"/>
    <s v="F2F"/>
    <s v="Corporate"/>
    <s v="Pharma"/>
    <s v="Satya"/>
    <s v="Follow up call"/>
    <n v="0"/>
    <n v="0"/>
    <x v="4"/>
    <x v="0"/>
    <x v="1"/>
    <s v="Closed"/>
    <m/>
    <n v="0"/>
    <m/>
    <m/>
    <m/>
    <s v="Jul-24"/>
    <n v="28"/>
    <s v="2024"/>
  </r>
  <r>
    <d v="2024-07-12T00:00:00"/>
    <s v="Delivery at Moosarambag"/>
    <s v="Call"/>
    <s v="Corporate"/>
    <s v="Retail"/>
    <s v="Deva"/>
    <s v="Buffet lunch for 600 people"/>
    <n v="200000"/>
    <n v="0"/>
    <x v="12"/>
    <x v="0"/>
    <x v="0"/>
    <s v="Cancelled"/>
    <s v="Event Cancelled"/>
    <n v="0"/>
    <m/>
    <m/>
    <m/>
    <s v="Jul-24"/>
    <n v="28"/>
    <s v="2024"/>
  </r>
  <r>
    <d v="2024-07-12T00:00:00"/>
    <s v="Delivery at rampally"/>
    <s v="Call"/>
    <s v="Events"/>
    <s v="Family Group"/>
    <s v="Suresh"/>
    <s v="Delivery of Veg Chicken handi on 15 July 2024"/>
    <n v="16900"/>
    <n v="16900"/>
    <x v="4"/>
    <x v="0"/>
    <x v="1"/>
    <s v="Closed"/>
    <m/>
    <n v="0"/>
    <m/>
    <m/>
    <m/>
    <s v="Jul-24"/>
    <n v="28"/>
    <s v="2024"/>
  </r>
  <r>
    <d v="2024-07-12T00:00:00"/>
    <s v="Fibros"/>
    <s v="F2F"/>
    <s v="Corporate"/>
    <s v="Retail"/>
    <s v="Kallol"/>
    <s v="Introduction to bulk orders"/>
    <n v="20000"/>
    <n v="0"/>
    <x v="12"/>
    <x v="0"/>
    <x v="0"/>
    <s v="Cancelled"/>
    <m/>
    <n v="0"/>
    <m/>
    <m/>
    <m/>
    <s v="Jul-24"/>
    <n v="28"/>
    <s v="2024"/>
  </r>
  <r>
    <d v="2024-07-13T00:00:00"/>
    <s v="Take away at electronic city"/>
    <s v="Call"/>
    <s v="Events"/>
    <s v="Family Group"/>
    <s v="Umakant"/>
    <s v="Take away of CB on 13 July 2024"/>
    <n v="6000"/>
    <n v="6000"/>
    <x v="4"/>
    <x v="1"/>
    <x v="1"/>
    <s v="Closed"/>
    <m/>
    <n v="0"/>
    <m/>
    <m/>
    <m/>
    <s v="Jul-24"/>
    <n v="28"/>
    <s v="2024"/>
  </r>
  <r>
    <d v="2024-07-13T00:00:00"/>
    <s v="Kaushik Enterprise"/>
    <s v="F2F"/>
    <s v="Corporate"/>
    <s v="F&amp;B Agrigator"/>
    <s v="Suresh"/>
    <s v="CB &amp; VB at Sky View &amp; Waverock on 18 July 2024"/>
    <n v="183680"/>
    <n v="183680"/>
    <x v="4"/>
    <x v="0"/>
    <x v="1"/>
    <s v="Closed"/>
    <m/>
    <n v="0"/>
    <m/>
    <m/>
    <m/>
    <s v="Jul-24"/>
    <n v="28"/>
    <s v="2024"/>
  </r>
  <r>
    <d v="2024-07-15T00:00:00"/>
    <s v="Ultratech Group"/>
    <s v="Call"/>
    <s v="Corporate"/>
    <s v="Tourism"/>
    <s v="Arun"/>
    <s v="Dine in at Secundrabad on 15 July"/>
    <n v="117000"/>
    <n v="117000"/>
    <x v="4"/>
    <x v="0"/>
    <x v="1"/>
    <s v="Closed"/>
    <m/>
    <n v="0"/>
    <m/>
    <m/>
    <m/>
    <s v="Jul-24"/>
    <n v="29"/>
    <s v="2024"/>
  </r>
  <r>
    <d v="2024-07-16T00:00:00"/>
    <s v="Alliance Real Estate"/>
    <s v="F2F"/>
    <s v="Corporate"/>
    <s v="Realestate"/>
    <s v="Udaykiran"/>
    <s v="Delivery of CB at Tellapur on 20 &amp; 21 July 2024"/>
    <n v="32000"/>
    <n v="0"/>
    <x v="4"/>
    <x v="0"/>
    <x v="0"/>
    <s v="Cancelled"/>
    <s v="Budget Constrain"/>
    <n v="0"/>
    <m/>
    <m/>
    <m/>
    <s v="Jul-24"/>
    <n v="29"/>
    <s v="2024"/>
  </r>
  <r>
    <d v="2024-07-16T00:00:00"/>
    <s v="Elecrronic Arts"/>
    <s v="F2F"/>
    <s v="Corporate"/>
    <s v="IT"/>
    <s v="Murali"/>
    <s v="Dine in at Shilparaman on 19 July 2023 "/>
    <n v="15000"/>
    <n v="0"/>
    <x v="4"/>
    <x v="0"/>
    <x v="0"/>
    <s v="Cancelled"/>
    <s v="Event Cancelled"/>
    <n v="0"/>
    <m/>
    <m/>
    <m/>
    <s v="Jul-24"/>
    <n v="29"/>
    <s v="2024"/>
  </r>
  <r>
    <d v="2024-07-16T00:00:00"/>
    <s v="Sriram Bio Seeds"/>
    <s v="F2F"/>
    <s v="Corporate"/>
    <s v="Pharma"/>
    <s v="Pradeep"/>
    <s v="Introduction to corporate gifting and Bulk delivery"/>
    <n v="25000"/>
    <n v="0"/>
    <x v="12"/>
    <x v="0"/>
    <x v="0"/>
    <s v="Cancelled"/>
    <m/>
    <n v="0"/>
    <m/>
    <m/>
    <m/>
    <s v="Jul-24"/>
    <n v="29"/>
    <s v="2024"/>
  </r>
  <r>
    <d v="2024-07-16T00:00:00"/>
    <s v="Concentrix"/>
    <s v="F2F"/>
    <s v="Corporate"/>
    <s v="IT"/>
    <s v="Yusuf"/>
    <s v="Introduction to bulk order"/>
    <n v="15000"/>
    <n v="0"/>
    <x v="12"/>
    <x v="0"/>
    <x v="0"/>
    <s v="Cancelled"/>
    <m/>
    <n v="0"/>
    <m/>
    <m/>
    <m/>
    <s v="Jul-24"/>
    <n v="29"/>
    <s v="2024"/>
  </r>
  <r>
    <d v="2024-07-16T00:00:00"/>
    <s v="Hitachi Consulting"/>
    <s v="Call"/>
    <s v="Corporate"/>
    <s v="IT"/>
    <s v="Yogesh"/>
    <s v="Follow up for bulk orders"/>
    <n v="20000"/>
    <n v="0"/>
    <x v="12"/>
    <x v="0"/>
    <x v="0"/>
    <s v="Cancelled"/>
    <m/>
    <n v="0"/>
    <m/>
    <m/>
    <m/>
    <s v="Jul-24"/>
    <n v="29"/>
    <s v="2024"/>
  </r>
  <r>
    <d v="2024-07-17T00:00:00"/>
    <s v="Delivery at Compass Group Bangalore"/>
    <s v="Call"/>
    <s v="Corporate"/>
    <s v="F&amp;B Agrigator"/>
    <s v="Pankaj"/>
    <s v="Delivery of Special CB &amp; MB Handi on 17 July 2024"/>
    <n v="40117"/>
    <n v="40117"/>
    <x v="4"/>
    <x v="1"/>
    <x v="1"/>
    <s v="Closed"/>
    <m/>
    <n v="0"/>
    <m/>
    <m/>
    <m/>
    <s v="Jul-24"/>
    <n v="29"/>
    <s v="2024"/>
  </r>
  <r>
    <d v="2024-07-17T00:00:00"/>
    <s v="Saga Events &amp; Holidays"/>
    <s v="F2F"/>
    <s v="Corporate"/>
    <s v="Events"/>
    <s v="Bishal"/>
    <s v="Shared quote for dine in at secbad"/>
    <n v="12000"/>
    <n v="0"/>
    <x v="12"/>
    <x v="0"/>
    <x v="0"/>
    <s v="Cancelled"/>
    <s v="Cancelled"/>
    <n v="0"/>
    <m/>
    <m/>
    <m/>
    <s v="Jul-24"/>
    <n v="29"/>
    <s v="2024"/>
  </r>
  <r>
    <d v="2024-07-17T00:00:00"/>
    <s v="My Holidays"/>
    <s v="Call"/>
    <s v="Corporate"/>
    <s v="Tourism"/>
    <s v="Vijay"/>
    <s v="Shared details of dine in and delivery for travellers"/>
    <n v="15000"/>
    <n v="0"/>
    <x v="12"/>
    <x v="0"/>
    <x v="0"/>
    <s v="Cancelled"/>
    <m/>
    <n v="0"/>
    <m/>
    <m/>
    <m/>
    <s v="Jul-24"/>
    <n v="29"/>
    <s v="2024"/>
  </r>
  <r>
    <d v="2024-07-17T00:00:00"/>
    <s v="JP Morgan Argus"/>
    <s v="Call"/>
    <s v="Corporate"/>
    <s v="IT"/>
    <s v="Murthy"/>
    <s v="Intro to bulk order"/>
    <n v="18000"/>
    <n v="0"/>
    <x v="12"/>
    <x v="0"/>
    <x v="0"/>
    <s v="Cancelled"/>
    <m/>
    <n v="0"/>
    <m/>
    <m/>
    <m/>
    <s v="Jul-24"/>
    <n v="29"/>
    <s v="2024"/>
  </r>
  <r>
    <d v="2024-07-17T00:00:00"/>
    <s v="Sutherland Global Solutions"/>
    <s v="Call"/>
    <s v="Corporate"/>
    <s v="IT"/>
    <s v="Murali"/>
    <s v="Follow up for bulk orders"/>
    <n v="15000"/>
    <n v="0"/>
    <x v="12"/>
    <x v="0"/>
    <x v="0"/>
    <s v="Cancelled"/>
    <m/>
    <n v="0"/>
    <m/>
    <m/>
    <m/>
    <s v="Jul-24"/>
    <n v="29"/>
    <s v="2024"/>
  </r>
  <r>
    <d v="2024-07-18T00:00:00"/>
    <s v="Biological E Limited"/>
    <s v="F2F"/>
    <s v="Corporate"/>
    <s v="Pharma"/>
    <s v="Chandrasekhar"/>
    <s v="Delivery of CB on 19 July 2024"/>
    <n v="8000"/>
    <n v="8000"/>
    <x v="4"/>
    <x v="0"/>
    <x v="1"/>
    <s v="Closed"/>
    <m/>
    <n v="0"/>
    <m/>
    <m/>
    <m/>
    <s v="Jul-24"/>
    <n v="29"/>
    <s v="2024"/>
  </r>
  <r>
    <d v="2024-07-18T00:00:00"/>
    <s v="Delivery at Gachibowli GAAR Building"/>
    <s v="Call"/>
    <s v="Corporate"/>
    <s v="IT"/>
    <s v="Pravin"/>
    <s v="Delivery of CB handi on 19 July 2024"/>
    <n v="13000"/>
    <n v="13000"/>
    <x v="4"/>
    <x v="0"/>
    <x v="1"/>
    <s v="Closed"/>
    <m/>
    <n v="0"/>
    <m/>
    <m/>
    <m/>
    <s v="Jul-24"/>
    <n v="29"/>
    <s v="2024"/>
  </r>
  <r>
    <d v="2024-07-18T00:00:00"/>
    <s v="Page School"/>
    <s v="F2F"/>
    <s v="School"/>
    <s v="Education"/>
    <s v="kalpana"/>
    <s v="Introduction to Bulk orders"/>
    <n v="15000"/>
    <n v="0"/>
    <x v="12"/>
    <x v="0"/>
    <x v="0"/>
    <s v="Cancelled"/>
    <m/>
    <n v="0"/>
    <m/>
    <m/>
    <m/>
    <s v="Jul-24"/>
    <n v="29"/>
    <s v="2024"/>
  </r>
  <r>
    <d v="2024-07-19T00:00:00"/>
    <s v="Platos"/>
    <s v="F2F"/>
    <s v="Corporate"/>
    <s v="F&amp;B Agrigator"/>
    <s v="Rohan"/>
    <s v="Delivery of CB and VB on October 2024"/>
    <n v="20000"/>
    <n v="0"/>
    <x v="14"/>
    <x v="0"/>
    <x v="0"/>
    <s v="Cancelled"/>
    <s v="No requirement"/>
    <n v="0"/>
    <m/>
    <m/>
    <m/>
    <s v="Jul-24"/>
    <n v="29"/>
    <s v="2025"/>
  </r>
  <r>
    <d v="2024-07-19T00:00:00"/>
    <s v="Kapil Chit funds, Vanasthalipuram"/>
    <s v="F2F"/>
    <s v="Corporate"/>
    <s v="Banking Finance &amp; Insurance"/>
    <s v="Chakrhi"/>
    <s v="Introduction to bulk orders"/>
    <n v="25000"/>
    <n v="0"/>
    <x v="12"/>
    <x v="0"/>
    <x v="0"/>
    <s v="Cancelled"/>
    <m/>
    <n v="0"/>
    <m/>
    <m/>
    <m/>
    <s v="Jul-24"/>
    <n v="29"/>
    <s v="2024"/>
  </r>
  <r>
    <d v="2024-07-19T00:00:00"/>
    <s v="Siddhartha Grammar school"/>
    <s v="F2F"/>
    <s v="School"/>
    <s v="Education"/>
    <s v="Krishna Rao"/>
    <s v="Introduction to bulk delivery"/>
    <n v="28000"/>
    <n v="0"/>
    <x v="12"/>
    <x v="0"/>
    <x v="0"/>
    <s v="Cancelled"/>
    <m/>
    <n v="0"/>
    <m/>
    <m/>
    <m/>
    <s v="Jul-24"/>
    <n v="29"/>
    <s v="2024"/>
  </r>
  <r>
    <d v="2024-07-22T00:00:00"/>
    <s v="Tata Advance System Adibatla"/>
    <s v="F2F"/>
    <s v="Corporate"/>
    <s v="Defence &amp; Aerospace"/>
    <s v="Simon"/>
    <s v="Introduction to bulk delivery"/>
    <n v="35000"/>
    <n v="0"/>
    <x v="12"/>
    <x v="0"/>
    <x v="0"/>
    <s v="Cancelled"/>
    <m/>
    <n v="0"/>
    <m/>
    <m/>
    <m/>
    <s v="Jul-24"/>
    <n v="30"/>
    <s v="2024"/>
  </r>
  <r>
    <d v="2024-07-22T00:00:00"/>
    <s v="Delivery at Secundrabad"/>
    <s v="Call"/>
    <s v="Events"/>
    <s v="Family Group"/>
    <s v="Fauza"/>
    <s v="Delivery of CB on 22 July 2024"/>
    <n v="17000"/>
    <n v="0"/>
    <x v="4"/>
    <x v="0"/>
    <x v="0"/>
    <s v="Cancelled"/>
    <s v="Budget Constrain"/>
    <n v="0"/>
    <m/>
    <m/>
    <m/>
    <s v="Jul-24"/>
    <n v="30"/>
    <s v="2024"/>
  </r>
  <r>
    <d v="2024-07-22T00:00:00"/>
    <s v="Delivery at Madhapur"/>
    <s v="Call"/>
    <s v="Events"/>
    <s v="Family Group"/>
    <s v="Rajendra "/>
    <s v="Delivery of cb on 24 July 2024"/>
    <n v="18000"/>
    <n v="0"/>
    <x v="4"/>
    <x v="0"/>
    <x v="0"/>
    <s v="Cancelled"/>
    <s v="Event Cancelled"/>
    <n v="0"/>
    <m/>
    <m/>
    <m/>
    <s v="Jul-24"/>
    <n v="30"/>
    <s v="2024"/>
  </r>
  <r>
    <d v="2024-07-23T00:00:00"/>
    <s v="V Guard"/>
    <s v="F2F"/>
    <s v="Corporate"/>
    <s v="Distributers"/>
    <s v="Bala"/>
    <s v="Follow up for bulk orders"/>
    <n v="20000"/>
    <n v="0"/>
    <x v="12"/>
    <x v="0"/>
    <x v="0"/>
    <s v="Cancelled"/>
    <m/>
    <n v="0"/>
    <m/>
    <m/>
    <m/>
    <s v="Jul-24"/>
    <n v="30"/>
    <s v="2024"/>
  </r>
  <r>
    <d v="2024-07-23T00:00:00"/>
    <s v="Jeevanjor"/>
    <s v="F2F"/>
    <s v="Corporate"/>
    <s v="Distributers"/>
    <s v="Hanuma Prasad"/>
    <s v="Follow up for bulk orders"/>
    <n v="22000"/>
    <n v="0"/>
    <x v="12"/>
    <x v="0"/>
    <x v="0"/>
    <s v="Cancelled"/>
    <m/>
    <n v="0"/>
    <m/>
    <m/>
    <m/>
    <s v="Jul-24"/>
    <n v="30"/>
    <s v="2024"/>
  </r>
  <r>
    <d v="2024-07-23T00:00:00"/>
    <s v="Vivekananda High School"/>
    <s v="Call"/>
    <s v="School"/>
    <s v="Education"/>
    <s v="Gajanand"/>
    <s v="Introduction to bulk orders"/>
    <n v="15000"/>
    <n v="0"/>
    <x v="2"/>
    <x v="0"/>
    <x v="0"/>
    <s v="Cancelled"/>
    <s v="No requirement"/>
    <n v="0"/>
    <m/>
    <m/>
    <m/>
    <s v="Jul-24"/>
    <n v="30"/>
    <s v="2023"/>
  </r>
  <r>
    <d v="2024-07-23T00:00:00"/>
    <s v="Servo Oils"/>
    <s v="Call"/>
    <s v="Corporate"/>
    <s v="Distributers"/>
    <s v="Ganesh"/>
    <s v="Introduction to bulk delivery and gifting"/>
    <n v="12000"/>
    <n v="0"/>
    <x v="2"/>
    <x v="0"/>
    <x v="0"/>
    <s v="Cancelled"/>
    <s v="No requirement"/>
    <n v="0"/>
    <m/>
    <m/>
    <m/>
    <s v="Jul-24"/>
    <n v="30"/>
    <s v="2023"/>
  </r>
  <r>
    <d v="2024-07-23T00:00:00"/>
    <s v="JSR Group"/>
    <s v="Call"/>
    <s v="Corporate"/>
    <s v="Realestate"/>
    <s v="Gangaram"/>
    <s v="Introduction to bulk order"/>
    <n v="15000"/>
    <n v="0"/>
    <x v="2"/>
    <x v="0"/>
    <x v="0"/>
    <s v="Cancelled"/>
    <s v="No requirement"/>
    <n v="0"/>
    <m/>
    <m/>
    <m/>
    <s v="Jul-24"/>
    <n v="30"/>
    <s v="2023"/>
  </r>
  <r>
    <d v="2024-07-24T00:00:00"/>
    <s v="Delivery at Compass Group Bangalore"/>
    <s v="Call"/>
    <s v="Corporate"/>
    <s v="F&amp;B Agrigator"/>
    <s v="Pankaj"/>
    <s v="Delivery of Special CB &amp; MB Handi on 24 July 2024"/>
    <n v="43028"/>
    <n v="43028"/>
    <x v="4"/>
    <x v="1"/>
    <x v="1"/>
    <s v="Closed"/>
    <m/>
    <n v="0"/>
    <m/>
    <m/>
    <m/>
    <s v="Jul-24"/>
    <n v="30"/>
    <s v="2024"/>
  </r>
  <r>
    <d v="2024-07-24T00:00:00"/>
    <s v="Roush Pharma"/>
    <s v="F2F"/>
    <s v="Corporate"/>
    <s v="Pharma"/>
    <s v="Shivendu"/>
    <s v="CB &amp; DKM from Begumpet on 25 July 2024"/>
    <n v="6360"/>
    <n v="6360"/>
    <x v="4"/>
    <x v="0"/>
    <x v="1"/>
    <s v="Closed"/>
    <m/>
    <n v="0"/>
    <m/>
    <m/>
    <m/>
    <s v="Jul-24"/>
    <n v="30"/>
    <s v="2024"/>
  </r>
  <r>
    <d v="2024-07-29T00:00:00"/>
    <s v="GPR Solutions"/>
    <s v="Call"/>
    <s v="Corporate"/>
    <s v="IT"/>
    <s v="Vinod"/>
    <s v="Delivery from Marathalli on 29 July 2024"/>
    <n v="112323"/>
    <n v="112323"/>
    <x v="4"/>
    <x v="1"/>
    <x v="1"/>
    <s v="Closed"/>
    <m/>
    <n v="0"/>
    <m/>
    <m/>
    <m/>
    <s v="Jul-24"/>
    <n v="31"/>
    <s v="2024"/>
  </r>
  <r>
    <d v="2024-07-31T00:00:00"/>
    <s v="Delivery at Compass Group Bangalore"/>
    <s v="Call"/>
    <s v="Corporate"/>
    <s v="F&amp;B Agrigator"/>
    <s v="Pankaj"/>
    <s v="Delivery of Special CB &amp; MB Handi on 31 July 2024"/>
    <n v="41560"/>
    <n v="41560"/>
    <x v="4"/>
    <x v="1"/>
    <x v="1"/>
    <s v="Closed"/>
    <m/>
    <n v="0"/>
    <m/>
    <m/>
    <m/>
    <s v="Jul-24"/>
    <n v="31"/>
    <s v="2024"/>
  </r>
  <r>
    <d v="2024-08-01T00:00:00"/>
    <s v="Delivery at Tolichowki"/>
    <s v="Call"/>
    <s v="Events"/>
    <s v="Family Group"/>
    <s v="Samiuddin"/>
    <s v="Delivery oc CB on 4 August  2024"/>
    <n v="14000"/>
    <n v="14000"/>
    <x v="9"/>
    <x v="0"/>
    <x v="1"/>
    <s v="Closed"/>
    <m/>
    <n v="0"/>
    <m/>
    <m/>
    <m/>
    <s v="Aug-24"/>
    <n v="31"/>
    <s v="2024"/>
  </r>
  <r>
    <d v="2024-08-02T00:00:00"/>
    <s v="Samsung Semiconductors"/>
    <s v="Call"/>
    <s v="Corporate"/>
    <s v="IT"/>
    <s v="Rupesh"/>
    <s v="ODC at Samsung Bangalore"/>
    <n v="100000"/>
    <n v="0"/>
    <x v="11"/>
    <x v="1"/>
    <x v="0"/>
    <s v="Cancelled"/>
    <s v="Event Cancelled"/>
    <n v="0"/>
    <m/>
    <m/>
    <m/>
    <s v="Aug-24"/>
    <n v="31"/>
    <s v="2024"/>
  </r>
  <r>
    <d v="2024-08-02T00:00:00"/>
    <s v="Delivery at Tarnaka"/>
    <s v="Call"/>
    <s v="Events"/>
    <s v="Family Group"/>
    <s v="Melvin"/>
    <s v="Delivery of CB and VB on 3 August 2024"/>
    <n v="18000"/>
    <n v="18000"/>
    <x v="9"/>
    <x v="0"/>
    <x v="1"/>
    <s v="Closed"/>
    <m/>
    <n v="0"/>
    <m/>
    <m/>
    <m/>
    <s v="Aug-24"/>
    <n v="31"/>
    <s v="2024"/>
  </r>
  <r>
    <d v="2024-08-02T00:00:00"/>
    <s v="Mount opera"/>
    <s v="F2F"/>
    <s v="Corporate"/>
    <s v="Tourism"/>
    <s v="Bhavya"/>
    <s v="Supply of Biryani for students"/>
    <n v="0"/>
    <n v="0"/>
    <x v="12"/>
    <x v="0"/>
    <x v="1"/>
    <s v="Closed"/>
    <m/>
    <n v="0"/>
    <m/>
    <m/>
    <m/>
    <s v="Aug-24"/>
    <n v="31"/>
    <s v="2024"/>
  </r>
  <r>
    <d v="2024-08-02T00:00:00"/>
    <s v="Delivery at Sithaphal Mandi"/>
    <s v="Call"/>
    <s v="Events"/>
    <s v="Family Group"/>
    <s v="Shashank"/>
    <s v="Delivery of CB on 4 August 2024"/>
    <n v="10000"/>
    <n v="10000"/>
    <x v="9"/>
    <x v="0"/>
    <x v="1"/>
    <s v="Closed"/>
    <m/>
    <n v="0"/>
    <m/>
    <m/>
    <m/>
    <s v="Aug-24"/>
    <n v="31"/>
    <s v="2024"/>
  </r>
  <r>
    <d v="2024-08-04T00:00:00"/>
    <s v="Delivery near Gandhi Hospital"/>
    <s v="Call"/>
    <s v="Orphanage"/>
    <s v="Orphanage &amp; NGO"/>
    <s v="Venky"/>
    <s v="Delivery of CB on 10 August 2024"/>
    <n v="12000"/>
    <n v="12000"/>
    <x v="9"/>
    <x v="0"/>
    <x v="1"/>
    <s v="Closed"/>
    <m/>
    <n v="0"/>
    <m/>
    <m/>
    <m/>
    <s v="Aug-24"/>
    <n v="31"/>
    <s v="2024"/>
  </r>
  <r>
    <d v="2024-08-05T00:00:00"/>
    <s v="Mount opera"/>
    <s v="F2F"/>
    <s v="Corporate"/>
    <s v="Tourism"/>
    <s v="Bhavya"/>
    <s v="Proposal Discussion , food package for students"/>
    <n v="0"/>
    <n v="0"/>
    <x v="12"/>
    <x v="0"/>
    <x v="1"/>
    <s v="Closed"/>
    <m/>
    <n v="0"/>
    <m/>
    <m/>
    <m/>
    <s v="Aug-24"/>
    <n v="32"/>
    <s v="2024"/>
  </r>
  <r>
    <d v="2024-08-05T00:00:00"/>
    <s v="ICICI Towers"/>
    <s v="F2F"/>
    <s v="Corporate"/>
    <s v="Banking Finance &amp; Insurance"/>
    <s v="Susan"/>
    <s v="Discussed the pricing of food "/>
    <n v="100000"/>
    <n v="0"/>
    <x v="8"/>
    <x v="0"/>
    <x v="0"/>
    <s v="Cancelled"/>
    <s v="Not profitable for permanent counter"/>
    <n v="0"/>
    <m/>
    <m/>
    <m/>
    <s v="Aug-24"/>
    <n v="32"/>
    <s v="2024"/>
  </r>
  <r>
    <d v="2024-08-05T00:00:00"/>
    <s v="Delivery at Gaddinaram"/>
    <s v="Call"/>
    <s v="Events"/>
    <s v="Family Group"/>
    <s v="Natraj"/>
    <s v="Delivery at Gaddiannaram on 4 August 2024"/>
    <n v="10000"/>
    <n v="10000"/>
    <x v="9"/>
    <x v="0"/>
    <x v="1"/>
    <s v="Closed"/>
    <m/>
    <n v="0"/>
    <m/>
    <m/>
    <m/>
    <s v="Aug-24"/>
    <n v="32"/>
    <s v="2024"/>
  </r>
  <r>
    <d v="2024-08-05T00:00:00"/>
    <s v="Masterminds School"/>
    <s v="F2F"/>
    <s v="School"/>
    <s v="Education"/>
    <s v="Madhava"/>
    <s v="Introduction to bulk orders"/>
    <n v="28000"/>
    <n v="0"/>
    <x v="2"/>
    <x v="0"/>
    <x v="0"/>
    <s v="Cancelled"/>
    <s v="No requirement"/>
    <n v="0"/>
    <m/>
    <m/>
    <m/>
    <s v="Aug-24"/>
    <n v="32"/>
    <s v="2023"/>
  </r>
  <r>
    <d v="2024-08-05T00:00:00"/>
    <s v="Sankalp JR College"/>
    <s v="F2F"/>
    <s v="College"/>
    <s v="Education"/>
    <s v="Madhukar"/>
    <s v="Introduction to bulk orders"/>
    <n v="30000"/>
    <n v="0"/>
    <x v="12"/>
    <x v="0"/>
    <x v="0"/>
    <s v="Cancelled"/>
    <m/>
    <n v="0"/>
    <m/>
    <m/>
    <m/>
    <s v="Aug-24"/>
    <n v="32"/>
    <s v="2024"/>
  </r>
  <r>
    <d v="2024-08-06T00:00:00"/>
    <s v="Take away from BHEL"/>
    <s v="Call"/>
    <s v="Events"/>
    <s v="Family Group"/>
    <s v="Raghuveer"/>
    <s v="Take away of VB on 7 August 2024"/>
    <n v="8000"/>
    <n v="8000"/>
    <x v="9"/>
    <x v="0"/>
    <x v="1"/>
    <s v="Closed"/>
    <m/>
    <n v="0"/>
    <m/>
    <m/>
    <m/>
    <s v="Aug-24"/>
    <n v="32"/>
    <s v="2024"/>
  </r>
  <r>
    <d v="2024-08-06T00:00:00"/>
    <s v="Buffet Lunch ODC at Madhapur"/>
    <s v="F2F"/>
    <s v="Events"/>
    <s v="Family Group"/>
    <s v="Hrishi"/>
    <s v="ODC at Madhapur on 12 October 2024"/>
    <n v="0"/>
    <n v="0"/>
    <x v="8"/>
    <x v="0"/>
    <x v="1"/>
    <s v="Closed"/>
    <m/>
    <n v="0"/>
    <m/>
    <m/>
    <m/>
    <s v="Aug-24"/>
    <n v="32"/>
    <s v="2024"/>
  </r>
  <r>
    <d v="2024-08-06T00:00:00"/>
    <s v="Alliance Pro IT"/>
    <s v="F2F"/>
    <s v="Corporate"/>
    <s v="IT"/>
    <s v="Anchal"/>
    <s v="Introduction to Food delivery"/>
    <n v="25000"/>
    <n v="0"/>
    <x v="12"/>
    <x v="0"/>
    <x v="0"/>
    <s v="Cancelled"/>
    <m/>
    <n v="0"/>
    <m/>
    <m/>
    <m/>
    <s v="Aug-24"/>
    <n v="32"/>
    <s v="2024"/>
  </r>
  <r>
    <d v="2024-08-06T00:00:00"/>
    <s v="Wells Fargo"/>
    <s v="Call"/>
    <s v="Corporate"/>
    <s v="Banking Finance &amp; Insurance"/>
    <s v="Ashutosh Goyal"/>
    <s v="Introduction to bulk food delivery"/>
    <n v="30000"/>
    <n v="0"/>
    <x v="12"/>
    <x v="0"/>
    <x v="0"/>
    <s v="Cancelled"/>
    <m/>
    <n v="0"/>
    <m/>
    <m/>
    <m/>
    <s v="Aug-24"/>
    <n v="32"/>
    <s v="2024"/>
  </r>
  <r>
    <d v="2024-08-06T00:00:00"/>
    <s v="Deloitte"/>
    <s v="Call"/>
    <s v="Corporate"/>
    <s v="IT"/>
    <s v="Abhishek"/>
    <s v="Introduction to bulk orders"/>
    <n v="20000"/>
    <n v="0"/>
    <x v="12"/>
    <x v="0"/>
    <x v="0"/>
    <s v="Cancelled"/>
    <m/>
    <n v="0"/>
    <m/>
    <m/>
    <m/>
    <s v="Aug-24"/>
    <n v="32"/>
    <s v="2024"/>
  </r>
  <r>
    <d v="2024-08-07T00:00:00"/>
    <s v="Paradise Manikonda"/>
    <s v="F2F"/>
    <s v="Corporate"/>
    <s v="Education"/>
    <s v="Bhavya"/>
    <s v="Deiscuuion with MD of Mount opera for supply of Biryani"/>
    <n v="0"/>
    <n v="0"/>
    <x v="11"/>
    <x v="0"/>
    <x v="0"/>
    <s v="Cancelled"/>
    <s v="No response from client "/>
    <n v="0"/>
    <m/>
    <m/>
    <m/>
    <s v="Aug-24"/>
    <n v="32"/>
    <s v="2024"/>
  </r>
  <r>
    <d v="2024-08-07T00:00:00"/>
    <s v="CR Fabric"/>
    <s v="F2F"/>
    <s v="Corporate"/>
    <s v="Retail"/>
    <s v="Raj"/>
    <s v="Discussion of delivery and take away"/>
    <n v="20000"/>
    <n v="0"/>
    <x v="12"/>
    <x v="0"/>
    <x v="0"/>
    <s v="Cancelled"/>
    <m/>
    <n v="0"/>
    <m/>
    <m/>
    <m/>
    <s v="Aug-24"/>
    <n v="32"/>
    <s v="2024"/>
  </r>
  <r>
    <d v="2024-08-07T00:00:00"/>
    <s v="CA Academy Nanded"/>
    <s v="Call"/>
    <s v="College"/>
    <s v="Education"/>
    <s v="Dinesh"/>
    <s v="Shared details of dine in and delivery for travellers"/>
    <n v="25000"/>
    <n v="0"/>
    <x v="12"/>
    <x v="0"/>
    <x v="0"/>
    <s v="Cancelled"/>
    <m/>
    <n v="0"/>
    <m/>
    <m/>
    <m/>
    <s v="Aug-24"/>
    <n v="32"/>
    <s v="2024"/>
  </r>
  <r>
    <d v="2024-08-07T00:00:00"/>
    <s v="Aurobindo Prarma"/>
    <s v="F2F"/>
    <s v="Corporate"/>
    <s v="Pharma"/>
    <s v="Bapiraju"/>
    <s v="Follow up for bulk orders"/>
    <n v="50000"/>
    <n v="0"/>
    <x v="12"/>
    <x v="0"/>
    <x v="0"/>
    <s v="Cancelled"/>
    <m/>
    <n v="0"/>
    <m/>
    <m/>
    <m/>
    <s v="Aug-24"/>
    <n v="32"/>
    <s v="2024"/>
  </r>
  <r>
    <d v="2024-08-07T00:00:00"/>
    <s v="Word and Deed School"/>
    <s v="Call"/>
    <s v="School"/>
    <s v="Education"/>
    <s v="Venkat Ramana"/>
    <s v="Introduction to bulk food delivery"/>
    <n v="18000"/>
    <n v="0"/>
    <x v="12"/>
    <x v="0"/>
    <x v="0"/>
    <s v="Cancelled"/>
    <m/>
    <n v="0"/>
    <m/>
    <m/>
    <m/>
    <s v="Aug-24"/>
    <n v="32"/>
    <s v="2024"/>
  </r>
  <r>
    <d v="2024-08-07T00:00:00"/>
    <s v="Delivery at Compass Group Bangalore"/>
    <s v="Call"/>
    <s v="Corporate"/>
    <s v="F&amp;B Agrigator"/>
    <s v="Pankaj"/>
    <s v="Delivery of Special CB &amp; MB Handi on 7 August 2024"/>
    <n v="41560"/>
    <n v="41560"/>
    <x v="9"/>
    <x v="1"/>
    <x v="1"/>
    <s v="Closed"/>
    <m/>
    <n v="0"/>
    <m/>
    <m/>
    <m/>
    <s v="Aug-24"/>
    <n v="32"/>
    <s v="2024"/>
  </r>
  <r>
    <d v="2024-08-08T00:00:00"/>
    <s v="NMRIT College Ghatkesar"/>
    <s v="F2F"/>
    <s v="College"/>
    <s v="Education"/>
    <s v="Sneha"/>
    <s v="Discussion for food supply in student fest"/>
    <n v="60000"/>
    <n v="0"/>
    <x v="12"/>
    <x v="0"/>
    <x v="0"/>
    <s v="Cancelled"/>
    <m/>
    <n v="0"/>
    <m/>
    <m/>
    <m/>
    <s v="Aug-24"/>
    <n v="32"/>
    <s v="2024"/>
  </r>
  <r>
    <d v="2024-08-08T00:00:00"/>
    <s v="Radha Krishna Toyota"/>
    <s v="F2F"/>
    <s v="Corporate"/>
    <s v="Automobile"/>
    <s v="Naresh"/>
    <s v="Follow up for bulk orders"/>
    <n v="30000"/>
    <n v="0"/>
    <x v="12"/>
    <x v="0"/>
    <x v="0"/>
    <s v="Cancelled"/>
    <m/>
    <n v="0"/>
    <m/>
    <m/>
    <m/>
    <s v="Aug-24"/>
    <n v="32"/>
    <s v="2024"/>
  </r>
  <r>
    <d v="2024-08-08T00:00:00"/>
    <s v="Aurora Engg College"/>
    <s v="F2F"/>
    <s v="College"/>
    <s v="Education"/>
    <s v="Balakrishna"/>
    <s v="Introduction to bulk delivery"/>
    <n v="40000"/>
    <n v="0"/>
    <x v="12"/>
    <x v="0"/>
    <x v="0"/>
    <s v="Cancelled"/>
    <m/>
    <n v="0"/>
    <m/>
    <m/>
    <m/>
    <s v="Aug-24"/>
    <n v="32"/>
    <s v="2024"/>
  </r>
  <r>
    <d v="2024-08-08T00:00:00"/>
    <s v="Infosys Campus Pocharam"/>
    <s v="F2F"/>
    <s v="Corporate"/>
    <s v="IT"/>
    <s v="Prasad"/>
    <s v="Follow up for bulk orders"/>
    <n v="0"/>
    <n v="0"/>
    <x v="15"/>
    <x v="0"/>
    <x v="1"/>
    <s v="Closed"/>
    <m/>
    <n v="0"/>
    <m/>
    <m/>
    <m/>
    <s v="Aug-24"/>
    <n v="32"/>
    <s v="2025"/>
  </r>
  <r>
    <d v="2024-08-09T00:00:00"/>
    <s v="Qualcomm"/>
    <s v="F2F"/>
    <s v="Corporate"/>
    <s v="IT"/>
    <s v="Abhay"/>
    <s v="Introduction to bulk delivery"/>
    <n v="30000"/>
    <n v="0"/>
    <x v="12"/>
    <x v="0"/>
    <x v="0"/>
    <s v="Cancelled"/>
    <m/>
    <n v="0"/>
    <m/>
    <m/>
    <m/>
    <s v="Aug-24"/>
    <n v="32"/>
    <s v="2024"/>
  </r>
  <r>
    <d v="2024-08-09T00:00:00"/>
    <s v="Zenoti"/>
    <s v="F2F"/>
    <s v="Corporate"/>
    <s v="IT"/>
    <s v="Abhishek"/>
    <s v="Follow up for bulk orders"/>
    <n v="12000"/>
    <n v="0"/>
    <x v="2"/>
    <x v="0"/>
    <x v="0"/>
    <s v="Cancelled"/>
    <s v="No requirement"/>
    <n v="0"/>
    <m/>
    <m/>
    <m/>
    <s v="Aug-24"/>
    <n v="32"/>
    <s v="2023"/>
  </r>
  <r>
    <d v="2024-08-09T00:00:00"/>
    <s v="Synergies"/>
    <s v="F2F"/>
    <s v="Corporate"/>
    <s v="IT"/>
    <s v="Jami"/>
    <s v="Introduction to bulk delivery"/>
    <n v="15000"/>
    <n v="0"/>
    <x v="2"/>
    <x v="0"/>
    <x v="0"/>
    <s v="Cancelled"/>
    <s v="No requirement"/>
    <n v="0"/>
    <m/>
    <m/>
    <m/>
    <s v="Aug-24"/>
    <n v="32"/>
    <s v="2023"/>
  </r>
  <r>
    <d v="2024-08-09T00:00:00"/>
    <s v="UHG"/>
    <s v="F2F"/>
    <s v="Corporate"/>
    <s v="IT"/>
    <s v="Aadi"/>
    <s v="Introduction to team lunch"/>
    <n v="20000"/>
    <n v="0"/>
    <x v="2"/>
    <x v="0"/>
    <x v="0"/>
    <s v="Cancelled"/>
    <s v="No requirement"/>
    <n v="0"/>
    <m/>
    <m/>
    <m/>
    <s v="Aug-24"/>
    <n v="32"/>
    <s v="2023"/>
  </r>
  <r>
    <d v="2024-08-12T00:00:00"/>
    <s v="Platos"/>
    <s v="F2F"/>
    <s v="Corporate"/>
    <s v="F&amp;B Agrigator"/>
    <s v="Hyder"/>
    <s v="Shared quote for 20 CB Handi in September"/>
    <n v="160000"/>
    <n v="0"/>
    <x v="12"/>
    <x v="0"/>
    <x v="0"/>
    <s v="Cancelled"/>
    <m/>
    <n v="0"/>
    <m/>
    <m/>
    <m/>
    <s v="Aug-24"/>
    <n v="33"/>
    <s v="2024"/>
  </r>
  <r>
    <d v="2024-08-12T00:00:00"/>
    <s v="Fuddo"/>
    <s v="Call"/>
    <s v="Corporate"/>
    <s v="F&amp;B Agrigator"/>
    <s v="Gaurav"/>
    <s v="Discussion on onboarding resturants on Fuddo"/>
    <n v="100000"/>
    <n v="0"/>
    <x v="11"/>
    <x v="0"/>
    <x v="0"/>
    <s v="Cancelled"/>
    <s v="Delivery not yet started"/>
    <n v="0"/>
    <m/>
    <m/>
    <m/>
    <s v="Aug-24"/>
    <n v="33"/>
    <s v="2024"/>
  </r>
  <r>
    <d v="2024-08-12T00:00:00"/>
    <s v="Kaushik Enterprise"/>
    <s v="F2F"/>
    <s v="Corporate"/>
    <s v="F&amp;B Agrigator"/>
    <s v="Suresh"/>
    <s v="Shared details of Bakery and Gifting items"/>
    <n v="50000"/>
    <n v="0"/>
    <x v="12"/>
    <x v="0"/>
    <x v="0"/>
    <s v="Cancelled"/>
    <m/>
    <n v="0"/>
    <m/>
    <m/>
    <m/>
    <s v="Aug-24"/>
    <n v="33"/>
    <s v="2024"/>
  </r>
  <r>
    <d v="2024-08-12T00:00:00"/>
    <s v="Akruthi School"/>
    <s v="F2F"/>
    <s v="School"/>
    <s v="Education"/>
    <s v="Abbas"/>
    <s v="Follow up for bulk orders"/>
    <n v="20000"/>
    <n v="0"/>
    <x v="2"/>
    <x v="0"/>
    <x v="0"/>
    <s v="Cancelled"/>
    <s v="No requirement"/>
    <n v="0"/>
    <m/>
    <m/>
    <m/>
    <s v="Aug-24"/>
    <n v="33"/>
    <s v="2023"/>
  </r>
  <r>
    <d v="2024-08-13T00:00:00"/>
    <s v="Royal Enfield"/>
    <s v="F2F"/>
    <s v="Corporate"/>
    <s v="Automobile"/>
    <s v="Srikanth"/>
    <s v="Dollow up for Bulk order"/>
    <n v="12000"/>
    <n v="0"/>
    <x v="12"/>
    <x v="0"/>
    <x v="0"/>
    <s v="Cancelled"/>
    <m/>
    <n v="0"/>
    <m/>
    <m/>
    <m/>
    <s v="Aug-24"/>
    <n v="33"/>
    <s v="2024"/>
  </r>
  <r>
    <d v="2024-08-13T00:00:00"/>
    <s v="Lancesoft"/>
    <s v="F2F"/>
    <s v="Corporate"/>
    <s v="IT"/>
    <s v="Suresh"/>
    <s v="110 Pax dinner on 30 August 2024"/>
    <n v="20955"/>
    <n v="20955"/>
    <x v="9"/>
    <x v="0"/>
    <x v="1"/>
    <s v="Closed"/>
    <m/>
    <n v="0"/>
    <m/>
    <m/>
    <m/>
    <s v="Aug-24"/>
    <n v="33"/>
    <s v="2024"/>
  </r>
  <r>
    <d v="2024-08-13T00:00:00"/>
    <s v="Delivery at Kapra"/>
    <s v="F2F"/>
    <s v="Corporate"/>
    <s v="Retail"/>
    <s v="Karan"/>
    <s v="Delivery of CB on 14 August 2024"/>
    <n v="8000"/>
    <n v="8000"/>
    <x v="9"/>
    <x v="0"/>
    <x v="1"/>
    <s v="Closed"/>
    <m/>
    <n v="0"/>
    <m/>
    <m/>
    <m/>
    <s v="Aug-24"/>
    <n v="33"/>
    <s v="2024"/>
  </r>
  <r>
    <d v="2024-08-13T00:00:00"/>
    <s v="Kamineni Hospitals"/>
    <s v="F2F"/>
    <s v="Corporate"/>
    <s v="Healthcare"/>
    <s v="Priyabatra"/>
    <s v="Delivery of MB and KKM on 14 August 2024"/>
    <n v="17000"/>
    <n v="17000"/>
    <x v="9"/>
    <x v="0"/>
    <x v="1"/>
    <s v="Closed"/>
    <m/>
    <n v="0"/>
    <m/>
    <m/>
    <m/>
    <s v="Aug-24"/>
    <n v="33"/>
    <s v="2024"/>
  </r>
  <r>
    <d v="2024-08-13T00:00:00"/>
    <s v="Heavels India"/>
    <s v="F2F"/>
    <s v="Corporate"/>
    <s v="Retail"/>
    <s v="Gabbar"/>
    <s v="Introduction to bulk ordwer"/>
    <n v="20000"/>
    <n v="0"/>
    <x v="8"/>
    <x v="0"/>
    <x v="0"/>
    <s v="Cancelled"/>
    <s v="No requirement"/>
    <n v="0"/>
    <m/>
    <m/>
    <m/>
    <s v="Aug-24"/>
    <n v="33"/>
    <s v="2024"/>
  </r>
  <r>
    <d v="2024-08-14T00:00:00"/>
    <s v="Delivery at Compass Group Bangalore"/>
    <s v="Call"/>
    <s v="Corporate"/>
    <s v="F&amp;B Agrigator"/>
    <s v="Pankaj"/>
    <s v="Delivery of Special CB &amp; MB Handi on 14 August 2024"/>
    <n v="43500"/>
    <n v="43500"/>
    <x v="9"/>
    <x v="1"/>
    <x v="1"/>
    <s v="Closed"/>
    <m/>
    <n v="0"/>
    <m/>
    <m/>
    <m/>
    <s v="Aug-24"/>
    <n v="33"/>
    <s v="2024"/>
  </r>
  <r>
    <d v="2024-08-14T00:00:00"/>
    <s v="Capgemini"/>
    <s v="F2F"/>
    <s v="Corporate"/>
    <s v="IT"/>
    <s v="Bhargav"/>
    <s v="Introduction to Team lunch and dilivery"/>
    <n v="25000"/>
    <n v="0"/>
    <x v="12"/>
    <x v="0"/>
    <x v="0"/>
    <s v="Cancelled"/>
    <m/>
    <n v="0"/>
    <m/>
    <m/>
    <m/>
    <s v="Aug-24"/>
    <n v="33"/>
    <s v="2024"/>
  </r>
  <r>
    <d v="2024-08-14T00:00:00"/>
    <s v="Franklin Templeton"/>
    <s v="F2F"/>
    <s v="Corporate"/>
    <s v="Banking Finance &amp; Insurance"/>
    <s v="Anil"/>
    <s v="Follow up for bulk orders"/>
    <n v="20000"/>
    <n v="0"/>
    <x v="12"/>
    <x v="0"/>
    <x v="0"/>
    <s v="Cancelled"/>
    <m/>
    <n v="0"/>
    <m/>
    <m/>
    <m/>
    <s v="Aug-24"/>
    <n v="33"/>
    <s v="2024"/>
  </r>
  <r>
    <d v="2024-08-14T00:00:00"/>
    <s v="Gurudutta Travels"/>
    <s v="F2F"/>
    <s v="Corporate"/>
    <s v="Tourism"/>
    <s v="Gopal"/>
    <s v="Shared proposal for dine in for tourist"/>
    <n v="60000"/>
    <n v="0"/>
    <x v="12"/>
    <x v="0"/>
    <x v="0"/>
    <s v="Cancelled"/>
    <s v="No requoirement"/>
    <n v="0"/>
    <m/>
    <m/>
    <m/>
    <s v="Aug-24"/>
    <n v="33"/>
    <s v="2024"/>
  </r>
  <r>
    <d v="2024-08-14T00:00:00"/>
    <s v="Titan"/>
    <s v="F2F"/>
    <s v="Corporate"/>
    <s v="Retail"/>
    <s v="Biju"/>
    <s v="Shared details of Gifting for dealers"/>
    <n v="50000"/>
    <n v="0"/>
    <x v="12"/>
    <x v="0"/>
    <x v="0"/>
    <s v="Cancelled"/>
    <m/>
    <n v="0"/>
    <m/>
    <m/>
    <m/>
    <s v="Aug-24"/>
    <n v="33"/>
    <s v="2024"/>
  </r>
  <r>
    <d v="2024-08-17T00:00:00"/>
    <s v="ODC at Bharatnagar"/>
    <s v="Call"/>
    <s v="Events"/>
    <s v="Family Group"/>
    <s v="Vijay Kumar"/>
    <s v="CB and MB in August"/>
    <n v="50000"/>
    <n v="0"/>
    <x v="8"/>
    <x v="0"/>
    <x v="0"/>
    <s v="Cancelled"/>
    <m/>
    <n v="0"/>
    <m/>
    <m/>
    <m/>
    <s v="Aug-24"/>
    <n v="33"/>
    <s v="2024"/>
  </r>
  <r>
    <d v="2024-08-19T00:00:00"/>
    <s v="Care Hospital Malakpet"/>
    <s v="F2F"/>
    <s v="Corporate"/>
    <s v="Healthcare"/>
    <s v="Kirmani"/>
    <s v="Delivery of CB and VB on 21 August"/>
    <n v="10000"/>
    <n v="10000"/>
    <x v="9"/>
    <x v="0"/>
    <x v="1"/>
    <s v="Closed"/>
    <m/>
    <n v="0"/>
    <m/>
    <m/>
    <m/>
    <s v="Aug-24"/>
    <n v="34"/>
    <s v="2024"/>
  </r>
  <r>
    <d v="2024-08-19T00:00:00"/>
    <s v="Marino Foods"/>
    <s v="F2F"/>
    <s v="Corporate"/>
    <s v="F&amp;B Agrigator"/>
    <s v="Abhishek"/>
    <s v="Introduction to Bulk Orders"/>
    <n v="20000"/>
    <n v="0"/>
    <x v="12"/>
    <x v="0"/>
    <x v="0"/>
    <s v="Cancelled"/>
    <m/>
    <n v="0"/>
    <m/>
    <m/>
    <m/>
    <s v="Aug-24"/>
    <n v="34"/>
    <s v="2024"/>
  </r>
  <r>
    <d v="2024-08-19T00:00:00"/>
    <s v="Masterminds School"/>
    <s v="F2F"/>
    <s v="School"/>
    <s v="Education"/>
    <s v="Adarsh Reddy"/>
    <s v="Introduction for bulk orders"/>
    <n v="22000"/>
    <n v="0"/>
    <x v="12"/>
    <x v="0"/>
    <x v="0"/>
    <s v="Cancelled"/>
    <m/>
    <n v="0"/>
    <m/>
    <m/>
    <m/>
    <s v="Aug-24"/>
    <n v="34"/>
    <s v="2024"/>
  </r>
  <r>
    <d v="2024-08-19T00:00:00"/>
    <s v="Birlasoft"/>
    <s v="F2F"/>
    <s v="Corporate"/>
    <s v="IT"/>
    <s v="Adinarayan"/>
    <s v="Introduction to bulk order"/>
    <n v="20000"/>
    <n v="0"/>
    <x v="12"/>
    <x v="0"/>
    <x v="0"/>
    <s v="Cancelled"/>
    <m/>
    <n v="0"/>
    <m/>
    <m/>
    <m/>
    <s v="Aug-24"/>
    <n v="34"/>
    <s v="2024"/>
  </r>
  <r>
    <d v="2024-08-19T00:00:00"/>
    <s v="KPMG"/>
    <s v="F2F"/>
    <s v="Corporate"/>
    <s v="IT"/>
    <s v="Aditya"/>
    <s v="Introduction to bulk order"/>
    <n v="25000"/>
    <n v="0"/>
    <x v="12"/>
    <x v="0"/>
    <x v="0"/>
    <s v="Cancelled"/>
    <m/>
    <n v="0"/>
    <m/>
    <m/>
    <m/>
    <s v="Aug-24"/>
    <n v="34"/>
    <s v="2024"/>
  </r>
  <r>
    <d v="2024-08-20T00:00:00"/>
    <s v="Vardhaman Engg College"/>
    <s v="Call"/>
    <s v="College"/>
    <s v="Education"/>
    <s v="Rahul"/>
    <s v="Planning ODC on 23 August , E Summit Event"/>
    <n v="50000"/>
    <n v="0"/>
    <x v="9"/>
    <x v="0"/>
    <x v="0"/>
    <s v="Cancelled"/>
    <s v="Cancelled due to less crowd"/>
    <n v="0"/>
    <m/>
    <m/>
    <m/>
    <s v="Aug-24"/>
    <n v="34"/>
    <s v="2024"/>
  </r>
  <r>
    <d v="2024-08-20T00:00:00"/>
    <s v="Bangia Durga pooja , Gachibowli"/>
    <s v="F2F"/>
    <s v="Corporate"/>
    <s v="Events"/>
    <s v="Tarun"/>
    <s v="ODC Event in Durga Pooja"/>
    <n v="0"/>
    <n v="0"/>
    <x v="8"/>
    <x v="0"/>
    <x v="1"/>
    <s v="Closed"/>
    <m/>
    <n v="0"/>
    <m/>
    <m/>
    <m/>
    <s v="Aug-24"/>
    <n v="34"/>
    <s v="2024"/>
  </r>
  <r>
    <d v="2024-08-20T00:00:00"/>
    <s v="Socio Cultural Association"/>
    <s v="Call"/>
    <s v="Corporate"/>
    <s v="Events"/>
    <s v="Somick"/>
    <s v="ODC Event in Durga Pooja"/>
    <n v="250000"/>
    <n v="0"/>
    <x v="8"/>
    <x v="0"/>
    <x v="0"/>
    <s v="Cancelled"/>
    <s v="Not Profitable"/>
    <n v="0"/>
    <m/>
    <m/>
    <m/>
    <s v="Aug-24"/>
    <n v="34"/>
    <s v="2024"/>
  </r>
  <r>
    <d v="2024-08-20T00:00:00"/>
    <s v="BDO Rise Pvt LTD"/>
    <s v="F2F"/>
    <s v="Corporate"/>
    <s v="Banking Finance &amp; Insurance"/>
    <s v="Vishal Jain"/>
    <s v="Introduction to team lunch and bulk delivery"/>
    <n v="30000"/>
    <n v="0"/>
    <x v="12"/>
    <x v="0"/>
    <x v="0"/>
    <s v="Cancelled"/>
    <m/>
    <n v="0"/>
    <m/>
    <m/>
    <m/>
    <s v="Aug-24"/>
    <n v="34"/>
    <s v="2024"/>
  </r>
  <r>
    <d v="2024-08-20T00:00:00"/>
    <s v="Infosys Campus Pocharam"/>
    <s v="Call"/>
    <s v="Corporate"/>
    <s v="IT"/>
    <s v="Upanna"/>
    <s v="Take away of CM on 21 August 2024"/>
    <n v="7000"/>
    <n v="7000"/>
    <x v="9"/>
    <x v="0"/>
    <x v="1"/>
    <s v="Closed"/>
    <m/>
    <n v="0"/>
    <m/>
    <m/>
    <m/>
    <s v="Aug-24"/>
    <n v="34"/>
    <s v="2024"/>
  </r>
  <r>
    <d v="2024-08-21T00:00:00"/>
    <s v="Vardhaman Engg College, Shamshabad"/>
    <s v="F2F"/>
    <s v="College"/>
    <s v="Education"/>
    <s v="Aron"/>
    <s v="Planning ODC on 23 August , E Summit Eventy"/>
    <n v="50000"/>
    <n v="0"/>
    <x v="9"/>
    <x v="0"/>
    <x v="0"/>
    <s v="Cancelled"/>
    <s v="Event was not profitable due to less crowd"/>
    <n v="0"/>
    <m/>
    <m/>
    <m/>
    <s v="Aug-24"/>
    <n v="34"/>
    <s v="2024"/>
  </r>
  <r>
    <d v="2024-08-21T00:00:00"/>
    <s v="Lancesoft"/>
    <s v="F2F"/>
    <s v="Corporate"/>
    <s v="IT"/>
    <s v="Seshu"/>
    <s v="Planning for 70 pax team lunch in August"/>
    <n v="22000"/>
    <n v="22000"/>
    <x v="9"/>
    <x v="0"/>
    <x v="1"/>
    <s v="Closed"/>
    <m/>
    <n v="0"/>
    <m/>
    <m/>
    <m/>
    <s v="Aug-24"/>
    <n v="34"/>
    <s v="2024"/>
  </r>
  <r>
    <d v="2024-08-21T00:00:00"/>
    <s v="MIT Hyderabad"/>
    <s v="F2F"/>
    <s v="College"/>
    <s v="Education"/>
    <s v="Rahul"/>
    <s v="Planning for fest in August"/>
    <n v="40000"/>
    <n v="0"/>
    <x v="11"/>
    <x v="0"/>
    <x v="0"/>
    <s v="Cancelled"/>
    <s v="Less Participants"/>
    <n v="0"/>
    <m/>
    <m/>
    <m/>
    <s v="Aug-24"/>
    <n v="34"/>
    <s v="2024"/>
  </r>
  <r>
    <d v="2024-08-21T00:00:00"/>
    <s v="Johnson Grammer School"/>
    <s v="F2F"/>
    <s v="School"/>
    <s v="Education"/>
    <s v="Pradeep"/>
    <s v="Shared details regarding bulk supply of foods"/>
    <n v="18000"/>
    <n v="0"/>
    <x v="12"/>
    <x v="0"/>
    <x v="0"/>
    <s v="Cancelled"/>
    <m/>
    <n v="0"/>
    <m/>
    <m/>
    <m/>
    <s v="Aug-24"/>
    <n v="34"/>
    <s v="2024"/>
  </r>
  <r>
    <d v="2024-08-21T00:00:00"/>
    <s v="Citizen Cooperative Society "/>
    <s v="F2F"/>
    <s v="Corporate"/>
    <s v="Banking Finance &amp; Insurance"/>
    <s v="Babita"/>
    <s v="Follow up for bulk orders"/>
    <n v="25000"/>
    <n v="0"/>
    <x v="12"/>
    <x v="0"/>
    <x v="0"/>
    <s v="Cancelled"/>
    <m/>
    <n v="0"/>
    <m/>
    <m/>
    <m/>
    <s v="Aug-24"/>
    <n v="34"/>
    <s v="2024"/>
  </r>
  <r>
    <d v="2024-08-21T00:00:00"/>
    <s v="Delivery at Compass Group Bangalore"/>
    <s v="Call"/>
    <s v="Corporate"/>
    <s v="F&amp;B Agrigator"/>
    <s v="Pankaj"/>
    <s v="Delivery of Special CB &amp; MB Handi on 21 August 2024"/>
    <n v="43500"/>
    <n v="43500"/>
    <x v="9"/>
    <x v="1"/>
    <x v="1"/>
    <s v="Closed"/>
    <m/>
    <n v="0"/>
    <m/>
    <m/>
    <m/>
    <s v="Aug-24"/>
    <n v="34"/>
    <s v="2024"/>
  </r>
  <r>
    <d v="2024-08-22T00:00:00"/>
    <s v="Take away from Secundrabad"/>
    <s v="Call"/>
    <s v="Events"/>
    <s v="Family Group"/>
    <s v="Kruthik"/>
    <s v="Take away of MB and starters on 22 August 2024"/>
    <n v="12000"/>
    <n v="12000"/>
    <x v="9"/>
    <x v="0"/>
    <x v="1"/>
    <s v="Closed"/>
    <m/>
    <n v="0"/>
    <m/>
    <m/>
    <m/>
    <s v="Aug-24"/>
    <n v="34"/>
    <s v="2024"/>
  </r>
  <r>
    <d v="2024-08-22T00:00:00"/>
    <s v="Narayana Academy"/>
    <s v="F2F"/>
    <s v="College"/>
    <s v="Education"/>
    <s v="Yadagiri"/>
    <s v="Follow up for bulk orders"/>
    <n v="18000"/>
    <n v="0"/>
    <x v="12"/>
    <x v="0"/>
    <x v="0"/>
    <s v="Cancelled"/>
    <m/>
    <n v="0"/>
    <m/>
    <m/>
    <m/>
    <s v="Aug-24"/>
    <n v="34"/>
    <s v="2024"/>
  </r>
  <r>
    <d v="2002-08-22T00:00:00"/>
    <s v="Wud Lam Gallery"/>
    <s v="F2F"/>
    <s v="Corporate"/>
    <s v="Retail"/>
    <s v="Laxman"/>
    <s v="Introduction for gifting"/>
    <n v="200000"/>
    <n v="0"/>
    <x v="12"/>
    <x v="0"/>
    <x v="0"/>
    <s v="Cancelled"/>
    <m/>
    <n v="0"/>
    <m/>
    <m/>
    <m/>
    <s v="Aug-02"/>
    <n v="34"/>
    <s v="2024"/>
  </r>
  <r>
    <d v="2024-08-22T00:00:00"/>
    <s v="Wison Infotech"/>
    <s v="F2F"/>
    <s v="Corporate"/>
    <s v="IT"/>
    <s v="Arvind"/>
    <s v="Introduction to bulk delivery"/>
    <n v="15000"/>
    <n v="0"/>
    <x v="12"/>
    <x v="0"/>
    <x v="0"/>
    <s v="Cancelled"/>
    <m/>
    <n v="0"/>
    <m/>
    <m/>
    <m/>
    <s v="Aug-24"/>
    <n v="34"/>
    <s v="2024"/>
  </r>
  <r>
    <d v="2024-08-22T00:00:00"/>
    <s v="Deloitte"/>
    <s v="F2F"/>
    <s v="Corporate"/>
    <s v="IT"/>
    <s v="Wasim"/>
    <s v="Introduction to team lunch"/>
    <n v="25000"/>
    <n v="0"/>
    <x v="12"/>
    <x v="0"/>
    <x v="0"/>
    <s v="Cancelled"/>
    <m/>
    <n v="0"/>
    <m/>
    <m/>
    <m/>
    <s v="Aug-24"/>
    <n v="34"/>
    <s v="2024"/>
  </r>
  <r>
    <d v="2024-08-23T00:00:00"/>
    <s v="Friends Jim"/>
    <s v="F2F"/>
    <s v="Corporate"/>
    <s v="Healthcare"/>
    <s v="Kaleem"/>
    <s v="Shared quote for CB on 25 August 2024"/>
    <n v="8000"/>
    <n v="8000"/>
    <x v="9"/>
    <x v="0"/>
    <x v="1"/>
    <s v="Closed"/>
    <m/>
    <n v="0"/>
    <m/>
    <m/>
    <m/>
    <s v="Aug-24"/>
    <n v="34"/>
    <s v="2024"/>
  </r>
  <r>
    <d v="2024-08-23T00:00:00"/>
    <s v="JPMC"/>
    <s v="Call"/>
    <s v="Corporate"/>
    <s v="Banking Finance &amp; Insurance"/>
    <s v="Praveen"/>
    <s v="2700 people bulk delivery in september"/>
    <n v="600000"/>
    <n v="0"/>
    <x v="11"/>
    <x v="0"/>
    <x v="0"/>
    <s v="Cancelled"/>
    <s v="Unable to deliver in Mumbai"/>
    <n v="0"/>
    <m/>
    <m/>
    <m/>
    <s v="Aug-24"/>
    <n v="34"/>
    <s v="2024"/>
  </r>
  <r>
    <d v="2024-08-23T00:00:00"/>
    <s v="Bangia Durga pooja Association"/>
    <s v="F2F"/>
    <s v="Corporate"/>
    <s v="Events"/>
    <s v="Jiban"/>
    <s v="discussion regarding food counters in durga pandal"/>
    <n v="0"/>
    <n v="0"/>
    <x v="8"/>
    <x v="0"/>
    <x v="1"/>
    <s v="Closed"/>
    <m/>
    <n v="0"/>
    <m/>
    <m/>
    <m/>
    <s v="Aug-24"/>
    <n v="34"/>
    <s v="2024"/>
  </r>
  <r>
    <d v="2024-08-23T00:00:00"/>
    <s v="Spectrum Biosides"/>
    <s v="F2F"/>
    <s v="Corporate"/>
    <s v="Pharma"/>
    <s v="Jagdish"/>
    <s v="Introduction to gifting and bulk order"/>
    <n v="25000"/>
    <n v="0"/>
    <x v="12"/>
    <x v="0"/>
    <x v="0"/>
    <s v="Cancelled"/>
    <m/>
    <n v="0"/>
    <m/>
    <m/>
    <m/>
    <s v="Aug-24"/>
    <n v="34"/>
    <s v="2024"/>
  </r>
  <r>
    <d v="2024-08-23T00:00:00"/>
    <s v="MTAR"/>
    <s v="F2F"/>
    <s v="Corporate"/>
    <s v="Manufacturing"/>
    <s v="Jagan"/>
    <s v="Introduction to bulk order"/>
    <n v="30000"/>
    <n v="0"/>
    <x v="12"/>
    <x v="0"/>
    <x v="0"/>
    <s v="Cancelled"/>
    <m/>
    <n v="0"/>
    <m/>
    <m/>
    <m/>
    <s v="Aug-24"/>
    <n v="34"/>
    <s v="2024"/>
  </r>
  <r>
    <d v="2024-08-26T00:00:00"/>
    <s v="MSN Labs"/>
    <s v="F2F"/>
    <s v="Corporate"/>
    <s v="Pharma"/>
    <s v="Satya"/>
    <s v="Discussion about next PO to be raised for Nov"/>
    <n v="0"/>
    <n v="0"/>
    <x v="16"/>
    <x v="0"/>
    <x v="1"/>
    <s v="Closed"/>
    <m/>
    <n v="0"/>
    <m/>
    <m/>
    <m/>
    <s v="Aug-24"/>
    <n v="35"/>
    <s v="2024"/>
  </r>
  <r>
    <d v="2024-08-26T00:00:00"/>
    <s v="JPMC"/>
    <s v="Call"/>
    <s v="Corporate"/>
    <s v="Banking Finance &amp; Insurance"/>
    <s v="Praveen"/>
    <s v="Discussion about 2700 biryani, followup"/>
    <n v="0"/>
    <n v="0"/>
    <x v="11"/>
    <x v="0"/>
    <x v="0"/>
    <s v="Cancelled"/>
    <m/>
    <n v="0"/>
    <m/>
    <m/>
    <m/>
    <s v="Aug-24"/>
    <n v="35"/>
    <s v="2024"/>
  </r>
  <r>
    <d v="2024-08-26T00:00:00"/>
    <s v="Take away from jublee hills"/>
    <s v="Call"/>
    <s v="Corporate"/>
    <s v="IT"/>
    <s v="Sowmya"/>
    <s v="Take away of CB from jublee hills on 27 August 2024"/>
    <n v="12000"/>
    <n v="12000"/>
    <x v="9"/>
    <x v="0"/>
    <x v="1"/>
    <s v="Closed"/>
    <m/>
    <n v="0"/>
    <m/>
    <m/>
    <m/>
    <s v="Aug-24"/>
    <n v="35"/>
    <s v="2024"/>
  </r>
  <r>
    <d v="2024-08-26T00:00:00"/>
    <s v="Narayana Academy"/>
    <s v="Call"/>
    <s v="School"/>
    <s v="Education"/>
    <s v="Yadagiri"/>
    <s v="Followup"/>
    <n v="20000"/>
    <n v="0"/>
    <x v="2"/>
    <x v="0"/>
    <x v="0"/>
    <s v="Cancelled"/>
    <s v="No requirement"/>
    <n v="0"/>
    <m/>
    <m/>
    <m/>
    <s v="Aug-24"/>
    <n v="35"/>
    <s v="2023"/>
  </r>
  <r>
    <d v="2024-08-26T00:00:00"/>
    <s v="Carmel School"/>
    <s v="Call"/>
    <s v="School"/>
    <s v="Education"/>
    <s v="Wilson"/>
    <s v="Follow up fpr bulk order"/>
    <n v="15000"/>
    <n v="0"/>
    <x v="12"/>
    <x v="0"/>
    <x v="0"/>
    <s v="Cancelled"/>
    <m/>
    <n v="0"/>
    <m/>
    <m/>
    <m/>
    <s v="Aug-24"/>
    <n v="35"/>
    <s v="2024"/>
  </r>
  <r>
    <d v="2024-08-27T00:00:00"/>
    <s v="SrestaOrganics"/>
    <s v="F2F"/>
    <s v="Corporate"/>
    <s v="Agritech"/>
    <s v="Rajshree"/>
    <s v="SN"/>
    <n v="30000"/>
    <n v="0"/>
    <x v="12"/>
    <x v="0"/>
    <x v="0"/>
    <s v="Cancelled"/>
    <m/>
    <n v="0"/>
    <m/>
    <m/>
    <m/>
    <s v="Aug-24"/>
    <n v="35"/>
    <s v="2024"/>
  </r>
  <r>
    <d v="2024-08-27T00:00:00"/>
    <s v="Prime Era"/>
    <s v="F2F"/>
    <s v="Corporate"/>
    <s v="IT"/>
    <s v="Mohan"/>
    <s v="Shared details of team lunch and delivery"/>
    <n v="20000"/>
    <n v="0"/>
    <x v="8"/>
    <x v="0"/>
    <x v="0"/>
    <s v="Cancelled"/>
    <s v="No requirements as of now"/>
    <n v="0"/>
    <m/>
    <m/>
    <m/>
    <s v="Aug-24"/>
    <n v="35"/>
    <s v="2024"/>
  </r>
  <r>
    <d v="2024-08-27T00:00:00"/>
    <s v="Xponential AI"/>
    <s v="F2F"/>
    <s v="Corporate"/>
    <s v="IT"/>
    <s v="Jasmin"/>
    <s v="Shared details of bulk orders and gifting"/>
    <n v="15000"/>
    <n v="0"/>
    <x v="12"/>
    <x v="0"/>
    <x v="0"/>
    <s v="Cancelled"/>
    <m/>
    <n v="0"/>
    <m/>
    <m/>
    <m/>
    <s v="Aug-24"/>
    <n v="35"/>
    <s v="2024"/>
  </r>
  <r>
    <d v="2024-08-27T00:00:00"/>
    <s v="Delivery at Ameerpet"/>
    <s v="Call"/>
    <s v="Corporate"/>
    <s v="IT"/>
    <s v="Shiva"/>
    <s v="Delivery of VB Handi on 1 September 2024"/>
    <n v="8000"/>
    <n v="8000"/>
    <x v="11"/>
    <x v="0"/>
    <x v="1"/>
    <s v="Closed"/>
    <m/>
    <n v="0"/>
    <m/>
    <m/>
    <m/>
    <s v="Aug-24"/>
    <n v="35"/>
    <s v="2024"/>
  </r>
  <r>
    <d v="2024-08-27T00:00:00"/>
    <s v="Akrivaia"/>
    <s v="F2F"/>
    <s v="Corporate"/>
    <s v="IT"/>
    <s v="Krishna "/>
    <s v="Shared details of team lunch and daily food"/>
    <n v="20000"/>
    <n v="0"/>
    <x v="12"/>
    <x v="0"/>
    <x v="0"/>
    <s v="Cancelled"/>
    <m/>
    <n v="0"/>
    <m/>
    <m/>
    <m/>
    <s v="Aug-24"/>
    <n v="35"/>
    <s v="2024"/>
  </r>
  <r>
    <d v="2024-08-28T00:00:00"/>
    <s v="Biological E Limited"/>
    <s v="F2F"/>
    <s v="Corporate"/>
    <s v="Pharma"/>
    <s v="Naveen Kumar"/>
    <s v="Discussion about id card offer and Gifting"/>
    <n v="40000"/>
    <n v="0"/>
    <x v="8"/>
    <x v="0"/>
    <x v="0"/>
    <s v="Cancelled"/>
    <s v="No requirements"/>
    <n v="0"/>
    <m/>
    <m/>
    <m/>
    <s v="Aug-24"/>
    <n v="35"/>
    <s v="2024"/>
  </r>
  <r>
    <d v="2024-08-28T00:00:00"/>
    <s v="Hungerbox"/>
    <s v="F2F"/>
    <s v="Corporate"/>
    <s v="F&amp;B Agrigator"/>
    <s v="Santosh G"/>
    <s v="Shared details of ODC , Snacks &amp; Gifting"/>
    <n v="50000"/>
    <n v="0"/>
    <x v="12"/>
    <x v="0"/>
    <x v="0"/>
    <s v="Cancelled"/>
    <m/>
    <n v="0"/>
    <m/>
    <m/>
    <m/>
    <s v="Aug-24"/>
    <n v="35"/>
    <s v="2024"/>
  </r>
  <r>
    <d v="2024-08-28T00:00:00"/>
    <s v="Isthara "/>
    <s v="F2F"/>
    <s v="Corporate"/>
    <s v="F&amp;B Agrigator"/>
    <s v="Sumit"/>
    <s v="Shared details of Popup and events"/>
    <n v="40000"/>
    <n v="0"/>
    <x v="12"/>
    <x v="0"/>
    <x v="0"/>
    <s v="Cancelled"/>
    <m/>
    <n v="0"/>
    <m/>
    <m/>
    <m/>
    <s v="Aug-24"/>
    <n v="35"/>
    <s v="2024"/>
  </r>
  <r>
    <d v="2024-08-28T00:00:00"/>
    <s v="The Headquarters"/>
    <s v="F2F"/>
    <s v="Corporate"/>
    <s v="Realestate"/>
    <s v="Yashvant"/>
    <s v="Shared details of Popup and daily lunch"/>
    <n v="30000"/>
    <n v="0"/>
    <x v="12"/>
    <x v="0"/>
    <x v="0"/>
    <s v="Cancelled"/>
    <m/>
    <n v="0"/>
    <m/>
    <m/>
    <m/>
    <s v="Aug-24"/>
    <n v="35"/>
    <s v="2024"/>
  </r>
  <r>
    <d v="2024-08-28T00:00:00"/>
    <s v="Delivery at Compass Group Bangalore"/>
    <s v="Call"/>
    <s v="Corporate"/>
    <s v="F&amp;B Agrigator"/>
    <s v="Pankaj"/>
    <s v="Delivery of Special CB &amp; MB Handi on 28 August 2024"/>
    <n v="43500"/>
    <n v="43500"/>
    <x v="9"/>
    <x v="1"/>
    <x v="1"/>
    <s v="Closed"/>
    <m/>
    <n v="0"/>
    <m/>
    <m/>
    <m/>
    <s v="Aug-24"/>
    <n v="35"/>
    <s v="2024"/>
  </r>
  <r>
    <d v="2024-08-29T00:00:00"/>
    <s v="Dine in at Secundrabad"/>
    <s v="F2F"/>
    <s v="Corporate"/>
    <s v="Tourism"/>
    <s v="Madhu"/>
    <s v="Lunch Bethney School 104 students 30 August 2024"/>
    <n v="27300"/>
    <n v="27300"/>
    <x v="9"/>
    <x v="0"/>
    <x v="1"/>
    <s v="Closed"/>
    <m/>
    <n v="0"/>
    <m/>
    <m/>
    <m/>
    <s v="Aug-24"/>
    <n v="35"/>
    <s v="2024"/>
  </r>
  <r>
    <d v="2024-08-29T00:00:00"/>
    <s v="Hungerbox"/>
    <s v="Call"/>
    <s v="Corporate"/>
    <s v="F&amp;B Agrigator"/>
    <s v="Santosh"/>
    <s v="Shared quote for snacks "/>
    <n v="17000"/>
    <n v="0"/>
    <x v="12"/>
    <x v="0"/>
    <x v="0"/>
    <s v="Cancelled"/>
    <s v="No requirement"/>
    <n v="0"/>
    <m/>
    <m/>
    <m/>
    <s v="Aug-24"/>
    <n v="35"/>
    <s v="2024"/>
  </r>
  <r>
    <d v="2024-08-29T00:00:00"/>
    <s v="Dine in at Shamshabad"/>
    <s v="F2F"/>
    <s v="Corporate"/>
    <s v="Tourism"/>
    <s v="Madhu"/>
    <s v="Dinner Bethney School 104 students 31 August 2024"/>
    <n v="28000"/>
    <n v="28000"/>
    <x v="9"/>
    <x v="0"/>
    <x v="1"/>
    <s v="Closed"/>
    <m/>
    <n v="0"/>
    <m/>
    <m/>
    <m/>
    <s v="Aug-24"/>
    <n v="35"/>
    <s v="2024"/>
  </r>
  <r>
    <d v="2024-08-29T00:00:00"/>
    <s v="New Edge Consultancy"/>
    <s v="F2F"/>
    <s v="Corporate"/>
    <s v="IT"/>
    <s v="Arthi"/>
    <s v="Follow up for bulk order"/>
    <n v="18000"/>
    <n v="0"/>
    <x v="11"/>
    <x v="0"/>
    <x v="0"/>
    <s v="Cancelled"/>
    <m/>
    <n v="0"/>
    <m/>
    <m/>
    <m/>
    <s v="Aug-24"/>
    <n v="35"/>
    <s v="2024"/>
  </r>
  <r>
    <d v="2024-08-30T00:00:00"/>
    <s v="Annie Basant JR college"/>
    <s v="F2F"/>
    <s v="College"/>
    <s v="Education"/>
    <s v="Sai"/>
    <s v="Follow up for food requirement"/>
    <n v="20000"/>
    <n v="0"/>
    <x v="12"/>
    <x v="0"/>
    <x v="0"/>
    <s v="Cancelled"/>
    <m/>
    <n v="0"/>
    <m/>
    <m/>
    <m/>
    <s v="Aug-24"/>
    <n v="35"/>
    <s v="2024"/>
  </r>
  <r>
    <d v="2024-08-30T00:00:00"/>
    <s v="Param Info"/>
    <s v="F2F"/>
    <s v="Corporate"/>
    <s v="IT"/>
    <s v="Kalyan"/>
    <s v="Introduction to bulk order"/>
    <n v="15000"/>
    <n v="0"/>
    <x v="8"/>
    <x v="0"/>
    <x v="0"/>
    <s v="Cancelled"/>
    <s v="No requirements as of now"/>
    <n v="0"/>
    <m/>
    <m/>
    <m/>
    <s v="Aug-24"/>
    <n v="35"/>
    <s v="2024"/>
  </r>
  <r>
    <d v="2024-09-01T00:00:00"/>
    <s v="Take away from Secundrabad"/>
    <s v="Call"/>
    <s v="Events"/>
    <s v="Family Group"/>
    <s v="Ambka"/>
    <s v="Take Away fron charminar in September"/>
    <n v="12000"/>
    <n v="0"/>
    <x v="11"/>
    <x v="0"/>
    <x v="0"/>
    <s v="Cancelled"/>
    <s v="Low budget "/>
    <n v="0"/>
    <m/>
    <m/>
    <m/>
    <s v="Sep-24"/>
    <n v="35"/>
    <s v="2024"/>
  </r>
  <r>
    <d v="2024-09-01T00:00:00"/>
    <s v="Take away from Malkajgiri"/>
    <s v="Call"/>
    <s v="Events"/>
    <s v="Family Group"/>
    <s v="Chandar"/>
    <s v="Take away from Malkajgiri"/>
    <n v="22000"/>
    <n v="0"/>
    <x v="11"/>
    <x v="0"/>
    <x v="0"/>
    <s v="Cancelled"/>
    <s v="Cancelled due to rain"/>
    <n v="0"/>
    <m/>
    <m/>
    <m/>
    <s v="Sep-24"/>
    <n v="35"/>
    <s v="2024"/>
  </r>
  <r>
    <d v="2024-09-02T00:00:00"/>
    <s v="Naval Academy Vyzag"/>
    <s v="Call"/>
    <s v="Corporate"/>
    <s v="Defence &amp; Aerospace"/>
    <s v="Rajan"/>
    <s v="Discussion regarding 31 December 2000 pax buffet"/>
    <n v="1200000"/>
    <n v="0"/>
    <x v="12"/>
    <x v="0"/>
    <x v="0"/>
    <s v="Cancelled"/>
    <s v="Less Budget"/>
    <n v="0"/>
    <m/>
    <m/>
    <m/>
    <s v="Sep-24"/>
    <n v="36"/>
    <s v="2024"/>
  </r>
  <r>
    <d v="2024-09-02T00:00:00"/>
    <s v="Indorama Industries"/>
    <s v="F2F"/>
    <s v="Corporate"/>
    <s v="Manufacturing"/>
    <s v="Ekta"/>
    <s v="Introduction to bulk orders"/>
    <n v="18000"/>
    <n v="0"/>
    <x v="8"/>
    <x v="0"/>
    <x v="0"/>
    <s v="Cancelled"/>
    <s v="No requirement"/>
    <n v="0"/>
    <m/>
    <m/>
    <m/>
    <s v="Sep-24"/>
    <n v="36"/>
    <s v="2024"/>
  </r>
  <r>
    <d v="2024-09-02T00:00:00"/>
    <s v="Ratna Solutions"/>
    <s v="F2F"/>
    <s v="Corporate"/>
    <s v="IT"/>
    <s v="Elisha"/>
    <s v="Follow up for bulk orders"/>
    <n v="20000"/>
    <n v="0"/>
    <x v="12"/>
    <x v="0"/>
    <x v="0"/>
    <s v="Cancelled"/>
    <m/>
    <n v="0"/>
    <m/>
    <m/>
    <m/>
    <s v="Sep-24"/>
    <n v="36"/>
    <s v="2024"/>
  </r>
  <r>
    <d v="2024-09-02T00:00:00"/>
    <s v="Shivashakti"/>
    <s v="F2F"/>
    <s v="Corporate"/>
    <s v="Agritech"/>
    <s v="Firoz"/>
    <s v="Introduction to bulk order and gifting"/>
    <n v="40000"/>
    <n v="0"/>
    <x v="12"/>
    <x v="0"/>
    <x v="0"/>
    <s v="Cancelled"/>
    <m/>
    <n v="0"/>
    <m/>
    <m/>
    <m/>
    <s v="Sep-24"/>
    <n v="36"/>
    <s v="2024"/>
  </r>
  <r>
    <d v="2024-09-03T00:00:00"/>
    <s v="MSN Labs"/>
    <s v="F2F"/>
    <s v="Corporate"/>
    <s v="Pharma"/>
    <s v="Satya"/>
    <s v="Shared quotation for Lunch for 40 people"/>
    <n v="14000"/>
    <n v="0"/>
    <x v="11"/>
    <x v="0"/>
    <x v="0"/>
    <s v="Cancelled"/>
    <s v="Low budget "/>
    <n v="0"/>
    <m/>
    <m/>
    <m/>
    <s v="Sep-24"/>
    <n v="36"/>
    <s v="2024"/>
  </r>
  <r>
    <d v="2024-09-03T00:00:00"/>
    <s v="Popup Events in Fest"/>
    <s v="F2F"/>
    <s v="Corporate"/>
    <s v="Events"/>
    <s v="Pasha"/>
    <s v="Discussion in regards with participation in events"/>
    <n v="50000"/>
    <n v="0"/>
    <x v="12"/>
    <x v="0"/>
    <x v="0"/>
    <s v="Cancelled"/>
    <s v="Event Cancelled"/>
    <n v="0"/>
    <m/>
    <m/>
    <m/>
    <s v="Sep-24"/>
    <n v="36"/>
    <s v="2024"/>
  </r>
  <r>
    <d v="2002-09-03T00:00:00"/>
    <s v="DCB Bank"/>
    <s v="Call"/>
    <s v="Corporate"/>
    <s v="Banking Finance &amp; Insurance"/>
    <s v="Tabitha"/>
    <s v="Shared quote for team lunch"/>
    <n v="10000"/>
    <n v="0"/>
    <x v="12"/>
    <x v="0"/>
    <x v="0"/>
    <s v="Cancelled"/>
    <m/>
    <n v="0"/>
    <m/>
    <m/>
    <m/>
    <s v="Sep-02"/>
    <n v="36"/>
    <s v="2024"/>
  </r>
  <r>
    <d v="2024-09-03T00:00:00"/>
    <s v="Coluryt IT"/>
    <s v="F2F"/>
    <s v="Corporate"/>
    <s v="IT"/>
    <s v="Tarun"/>
    <s v="Introduction to team lunch and delivery"/>
    <n v="20000"/>
    <n v="0"/>
    <x v="8"/>
    <x v="0"/>
    <x v="0"/>
    <s v="Cancelled"/>
    <s v="No requirement as of now"/>
    <n v="0"/>
    <m/>
    <m/>
    <m/>
    <s v="Sep-24"/>
    <n v="36"/>
    <s v="2024"/>
  </r>
  <r>
    <d v="2024-09-03T00:00:00"/>
    <s v="Factset"/>
    <s v="Call"/>
    <s v="Corporate"/>
    <s v="IT"/>
    <s v="Teja"/>
    <s v="Introduction to bulk delivery"/>
    <n v="30000"/>
    <n v="0"/>
    <x v="12"/>
    <x v="0"/>
    <x v="0"/>
    <s v="Cancelled"/>
    <m/>
    <n v="0"/>
    <m/>
    <m/>
    <m/>
    <s v="Sep-24"/>
    <n v="36"/>
    <s v="2024"/>
  </r>
  <r>
    <d v="2024-09-04T00:00:00"/>
    <s v="Delivery at Compass Group Bangalore"/>
    <s v="Call"/>
    <s v="Corporate"/>
    <s v="F&amp;B Agrigator"/>
    <s v="Pankaj"/>
    <s v="Delivery of Special CB &amp; MB Handi on 4 Sept 2024"/>
    <n v="43500"/>
    <n v="43500"/>
    <x v="11"/>
    <x v="1"/>
    <x v="1"/>
    <s v="Closed"/>
    <m/>
    <n v="0"/>
    <m/>
    <m/>
    <m/>
    <s v="Sep-24"/>
    <n v="36"/>
    <s v="2024"/>
  </r>
  <r>
    <d v="2024-09-04T00:00:00"/>
    <s v="Delivery at TX hospital uppal"/>
    <s v="F2F"/>
    <s v="Corporate"/>
    <s v="Healthcare"/>
    <s v="Kirmani"/>
    <s v="Delivery of cb on 6 September 2024"/>
    <n v="20000"/>
    <n v="20000"/>
    <x v="11"/>
    <x v="0"/>
    <x v="1"/>
    <s v="Closed"/>
    <m/>
    <n v="0"/>
    <m/>
    <m/>
    <m/>
    <s v="Sep-24"/>
    <n v="36"/>
    <s v="2024"/>
  </r>
  <r>
    <d v="2024-09-05T00:00:00"/>
    <s v="Delivery of Biryani "/>
    <s v="Call"/>
    <s v="Events"/>
    <s v="Family Group"/>
    <s v="Surajit"/>
    <s v="Delivery of biryani at Secundrabad"/>
    <n v="10000"/>
    <n v="0"/>
    <x v="11"/>
    <x v="0"/>
    <x v="0"/>
    <s v="Cancelled"/>
    <s v="Less Quantity"/>
    <n v="0"/>
    <m/>
    <m/>
    <m/>
    <s v="Sep-24"/>
    <n v="36"/>
    <s v="2024"/>
  </r>
  <r>
    <d v="2024-09-06T00:00:00"/>
    <s v="Delivery of CB at LB Nagar "/>
    <s v="F2F"/>
    <s v="Events"/>
    <s v="Family Group"/>
    <s v="Ashok"/>
    <s v="Delivery of cb for "/>
    <n v="80000"/>
    <n v="0"/>
    <x v="11"/>
    <x v="0"/>
    <x v="0"/>
    <s v="Cancelled"/>
    <s v="Low budget "/>
    <n v="0"/>
    <m/>
    <m/>
    <m/>
    <s v="Sep-24"/>
    <n v="36"/>
    <s v="2024"/>
  </r>
  <r>
    <d v="2024-09-06T00:00:00"/>
    <s v="Havels India"/>
    <s v="F2F"/>
    <s v="Corporate"/>
    <s v="Retail"/>
    <s v="Ashish"/>
    <s v="Introduction to bulk delivery and gifting "/>
    <n v="60000"/>
    <n v="0"/>
    <x v="8"/>
    <x v="0"/>
    <x v="0"/>
    <s v="Cancelled"/>
    <s v="No requirement as of now"/>
    <n v="0"/>
    <m/>
    <m/>
    <m/>
    <s v="Sep-24"/>
    <n v="36"/>
    <s v="2024"/>
  </r>
  <r>
    <d v="2024-09-08T00:00:00"/>
    <s v="Delivery at Malkajgiri"/>
    <s v="Call"/>
    <s v="Events"/>
    <s v="Family Group"/>
    <s v="Srinivas"/>
    <s v="Delivery in september"/>
    <n v="12000"/>
    <n v="0"/>
    <x v="11"/>
    <x v="0"/>
    <x v="0"/>
    <s v="Cancelled"/>
    <s v="Event Cancelled"/>
    <n v="0"/>
    <m/>
    <m/>
    <m/>
    <s v="Sep-24"/>
    <n v="36"/>
    <s v="2024"/>
  </r>
  <r>
    <d v="2024-09-09T00:00:00"/>
    <s v="Exponential AI"/>
    <s v="F2F"/>
    <s v="Corporate"/>
    <s v="IT"/>
    <s v="Jasmin"/>
    <s v="Delivery of lunch for 50 people on 10 Sept 2024"/>
    <n v="24000"/>
    <n v="24000"/>
    <x v="11"/>
    <x v="0"/>
    <x v="1"/>
    <s v="Closed"/>
    <m/>
    <n v="0"/>
    <m/>
    <m/>
    <m/>
    <s v="Sep-24"/>
    <n v="37"/>
    <s v="2024"/>
  </r>
  <r>
    <d v="2024-09-09T00:00:00"/>
    <s v="Biological E Limited"/>
    <s v="F2F"/>
    <s v="Corporate"/>
    <s v="Pharma"/>
    <s v="Chandrasekhar"/>
    <s v="Delivery of CB on 10 Sept 2024"/>
    <n v="14000"/>
    <n v="14000"/>
    <x v="11"/>
    <x v="0"/>
    <x v="1"/>
    <s v="Closed"/>
    <m/>
    <n v="0"/>
    <m/>
    <m/>
    <m/>
    <s v="Sep-24"/>
    <n v="37"/>
    <s v="2024"/>
  </r>
  <r>
    <d v="2024-09-09T00:00:00"/>
    <s v="MIT Hyderabad"/>
    <s v="Call"/>
    <s v="College"/>
    <s v="Education"/>
    <s v="Amit"/>
    <s v="Discussion in regards with event"/>
    <n v="40000"/>
    <n v="0"/>
    <x v="8"/>
    <x v="0"/>
    <x v="0"/>
    <s v="Cancelled"/>
    <s v="Not profitable"/>
    <n v="0"/>
    <m/>
    <m/>
    <m/>
    <s v="Sep-24"/>
    <n v="37"/>
    <s v="2024"/>
  </r>
  <r>
    <d v="2024-09-09T00:00:00"/>
    <s v="Laughinout by swiggy"/>
    <s v="Call"/>
    <s v="Corporate"/>
    <s v="F&amp;B Agrigator"/>
    <s v="Arpita"/>
    <s v="Discussion in regards with event in Vijaywada"/>
    <n v="50000"/>
    <n v="0"/>
    <x v="11"/>
    <x v="0"/>
    <x v="0"/>
    <s v="Cancelled"/>
    <s v="Less Participants due to flood"/>
    <n v="0"/>
    <m/>
    <m/>
    <m/>
    <s v="Sep-24"/>
    <n v="37"/>
    <s v="2024"/>
  </r>
  <r>
    <d v="2024-09-09T00:00:00"/>
    <s v="Karl public School"/>
    <s v="F2F"/>
    <s v="College"/>
    <s v="Education"/>
    <s v="Daniel"/>
    <s v="Discussion in regards with event"/>
    <n v="40000"/>
    <n v="0"/>
    <x v="11"/>
    <x v="0"/>
    <x v="0"/>
    <s v="Cancelled"/>
    <s v="No Budget"/>
    <n v="0"/>
    <m/>
    <m/>
    <m/>
    <s v="Sep-24"/>
    <n v="37"/>
    <s v="2024"/>
  </r>
  <r>
    <d v="2024-09-10T00:00:00"/>
    <s v="Exponentioal Ai"/>
    <s v="F2F"/>
    <s v="Corporate"/>
    <s v="IT"/>
    <s v="Venkat"/>
    <s v="Delivery from shilparamam on 10 September 2024"/>
    <n v="10000"/>
    <n v="10000"/>
    <x v="11"/>
    <x v="0"/>
    <x v="1"/>
    <s v="Closed"/>
    <m/>
    <n v="0"/>
    <m/>
    <m/>
    <m/>
    <s v="Sep-24"/>
    <n v="37"/>
    <s v="2024"/>
  </r>
  <r>
    <d v="2024-09-10T00:00:00"/>
    <s v="Delivery from Padmaraonagar"/>
    <s v="Call"/>
    <s v="Travel Group"/>
    <s v="Tourism"/>
    <s v="Aditya"/>
    <s v="Delivery at Secundrabad station on 19 Sept 2024"/>
    <n v="4000"/>
    <n v="4000"/>
    <x v="11"/>
    <x v="0"/>
    <x v="1"/>
    <s v="Closed"/>
    <m/>
    <n v="0"/>
    <m/>
    <m/>
    <m/>
    <s v="Sep-24"/>
    <n v="37"/>
    <s v="2024"/>
  </r>
  <r>
    <d v="2002-09-10T00:00:00"/>
    <s v="Yashoda Hospital "/>
    <s v="F2F"/>
    <s v="Corporate"/>
    <s v="Healthcare"/>
    <s v="Vijay"/>
    <s v="Corporate discount for bulk order"/>
    <n v="25000"/>
    <n v="0"/>
    <x v="8"/>
    <x v="0"/>
    <x v="0"/>
    <s v="Cancelled"/>
    <s v="Purchased directly from Heritage"/>
    <n v="0"/>
    <m/>
    <m/>
    <m/>
    <s v="Sep-02"/>
    <n v="37"/>
    <s v="2024"/>
  </r>
  <r>
    <d v="2024-09-10T00:00:00"/>
    <s v="Eastwood Sports"/>
    <s v="F2F"/>
    <s v="Corporate"/>
    <s v="Retail"/>
    <s v="Anil Reddy"/>
    <s v=" party orders 19 Sept 2024"/>
    <n v="20000"/>
    <n v="0"/>
    <x v="11"/>
    <x v="0"/>
    <x v="0"/>
    <s v="Cancelled"/>
    <s v="Event Cancelled"/>
    <n v="0"/>
    <m/>
    <m/>
    <m/>
    <s v="Sep-24"/>
    <n v="37"/>
    <s v="2024"/>
  </r>
  <r>
    <d v="2024-09-11T00:00:00"/>
    <s v="Delivery at Compass Group Bangalore"/>
    <s v="Call"/>
    <s v="Corporate"/>
    <s v="F&amp;B Agrigator"/>
    <s v="Pankaj"/>
    <s v="Delivery of Special CB &amp; MB Handi on 11 Sept 2024"/>
    <n v="41500"/>
    <n v="41500"/>
    <x v="11"/>
    <x v="1"/>
    <x v="1"/>
    <s v="Closed"/>
    <m/>
    <n v="0"/>
    <m/>
    <m/>
    <m/>
    <s v="Sep-24"/>
    <n v="37"/>
    <s v="2024"/>
  </r>
  <r>
    <d v="2024-09-11T00:00:00"/>
    <s v="Karthick star event at Vijayawada"/>
    <s v="Call"/>
    <s v="Corporate"/>
    <s v="F&amp;B Agrigator"/>
    <s v="Arpita"/>
    <s v="Karthik Star event on 28 September 2024"/>
    <n v="55000"/>
    <n v="0"/>
    <x v="11"/>
    <x v="0"/>
    <x v="0"/>
    <s v="Cancelled"/>
    <s v="Less Participants"/>
    <n v="0"/>
    <m/>
    <m/>
    <m/>
    <s v="Sep-24"/>
    <n v="37"/>
    <s v="2024"/>
  </r>
  <r>
    <d v="2024-09-11T00:00:00"/>
    <s v="Utsab Cultural Association"/>
    <s v="F2F"/>
    <s v="Exhibition"/>
    <s v="Event"/>
    <s v="Sujay"/>
    <s v="Follow up for stall allotment in event"/>
    <n v="0"/>
    <n v="0"/>
    <x v="8"/>
    <x v="0"/>
    <x v="1"/>
    <s v="Closed"/>
    <m/>
    <n v="0"/>
    <m/>
    <m/>
    <m/>
    <s v="Sep-24"/>
    <n v="37"/>
    <s v="2024"/>
  </r>
  <r>
    <d v="2024-09-11T00:00:00"/>
    <s v="Hungerbox"/>
    <s v="F2F"/>
    <s v="Corporate"/>
    <s v="F&amp;B Agrigator"/>
    <s v="Santosh"/>
    <s v="Follow up for popup stall"/>
    <n v="50000"/>
    <n v="0"/>
    <x v="11"/>
    <x v="0"/>
    <x v="0"/>
    <s v="Cancelled"/>
    <s v="Not Fesiable"/>
    <n v="0"/>
    <m/>
    <m/>
    <m/>
    <s v="Sep-24"/>
    <n v="37"/>
    <s v="2024"/>
  </r>
  <r>
    <d v="2024-09-12T00:00:00"/>
    <s v="Yashoda Hospital Secundrabad"/>
    <s v="F2F"/>
    <s v="Corporate"/>
    <s v="Healthcare"/>
    <s v="Shankar"/>
    <s v="Discussion in regards with team lunch"/>
    <n v="20000"/>
    <n v="0"/>
    <x v="8"/>
    <x v="0"/>
    <x v="0"/>
    <s v="Cancelled"/>
    <s v="Event Cancelled"/>
    <n v="0"/>
    <m/>
    <m/>
    <m/>
    <s v="Sep-24"/>
    <n v="37"/>
    <s v="2024"/>
  </r>
  <r>
    <d v="2024-09-12T00:00:00"/>
    <s v="Celkon"/>
    <s v="F2F"/>
    <s v="Corporate"/>
    <s v="Retail"/>
    <s v="Lalith"/>
    <s v="Follow up for bulk orders"/>
    <n v="25000"/>
    <n v="0"/>
    <x v="8"/>
    <x v="0"/>
    <x v="0"/>
    <s v="Cancelled"/>
    <s v="No requirement as of now"/>
    <n v="0"/>
    <m/>
    <m/>
    <m/>
    <s v="Sep-24"/>
    <n v="37"/>
    <s v="2024"/>
  </r>
  <r>
    <d v="2024-09-12T00:00:00"/>
    <s v="AIMS"/>
    <s v="Call"/>
    <s v="Corporate"/>
    <s v="Healthcare"/>
    <s v="Lashya"/>
    <s v="Introduction to bulk order and delivery"/>
    <n v="30000"/>
    <n v="0"/>
    <x v="12"/>
    <x v="0"/>
    <x v="0"/>
    <s v="Cancelled"/>
    <m/>
    <n v="0"/>
    <m/>
    <m/>
    <m/>
    <s v="Sep-24"/>
    <n v="37"/>
    <s v="2024"/>
  </r>
  <r>
    <d v="2024-09-12T00:00:00"/>
    <s v="Relax Holidays"/>
    <s v="Call"/>
    <s v="Corporate"/>
    <s v="Tourism"/>
    <s v="Latiff"/>
    <s v="Discussion for travel group food delivery"/>
    <n v="25000"/>
    <n v="0"/>
    <x v="12"/>
    <x v="0"/>
    <x v="0"/>
    <s v="Cancelled"/>
    <m/>
    <n v="0"/>
    <m/>
    <m/>
    <m/>
    <s v="Sep-24"/>
    <n v="37"/>
    <s v="2024"/>
  </r>
  <r>
    <d v="2024-09-13T00:00:00"/>
    <s v="Delivery at Gudimalkapur"/>
    <s v="Call"/>
    <s v="Events"/>
    <s v="Family Group"/>
    <s v="Ramchandra"/>
    <s v="Delivery of CB on 16September 2024"/>
    <n v="9000"/>
    <n v="0"/>
    <x v="11"/>
    <x v="0"/>
    <x v="0"/>
    <s v="Cancelled"/>
    <s v="Less Budget"/>
    <n v="0"/>
    <m/>
    <m/>
    <m/>
    <s v="Sep-24"/>
    <n v="37"/>
    <s v="2024"/>
  </r>
  <r>
    <d v="2024-08-13T00:00:00"/>
    <s v="Rockwell "/>
    <s v="F2F"/>
    <s v="Corporate"/>
    <s v="IT"/>
    <s v="Damodar"/>
    <s v="Follow up for bulk order"/>
    <n v="22000"/>
    <n v="0"/>
    <x v="12"/>
    <x v="0"/>
    <x v="0"/>
    <s v="Cancelled"/>
    <m/>
    <n v="0"/>
    <m/>
    <m/>
    <m/>
    <s v="Aug-24"/>
    <n v="33"/>
    <s v="2024"/>
  </r>
  <r>
    <d v="2024-09-13T00:00:00"/>
    <s v="Cyient LTD"/>
    <s v="F2F"/>
    <s v="Corporate"/>
    <s v="IT"/>
    <s v="Vidyachari"/>
    <s v="Introduction to team lunch &amp; Delivery"/>
    <n v="30000"/>
    <n v="0"/>
    <x v="12"/>
    <x v="0"/>
    <x v="0"/>
    <s v="Cancelled"/>
    <m/>
    <n v="0"/>
    <m/>
    <m/>
    <m/>
    <s v="Sep-24"/>
    <n v="37"/>
    <s v="2024"/>
  </r>
  <r>
    <d v="2024-09-16T00:00:00"/>
    <s v="MSN LAB"/>
    <s v="F2F"/>
    <s v="Corporate"/>
    <s v="IT"/>
    <s v="Satya"/>
    <s v="Follow up for PO, Relationship call"/>
    <n v="0"/>
    <n v="0"/>
    <x v="12"/>
    <x v="0"/>
    <x v="1"/>
    <s v="Closed"/>
    <m/>
    <n v="0"/>
    <m/>
    <m/>
    <m/>
    <s v="Sep-24"/>
    <n v="38"/>
    <s v="2024"/>
  </r>
  <r>
    <d v="2024-09-16T00:00:00"/>
    <s v="Platos"/>
    <s v="F2F"/>
    <s v="Corporate"/>
    <s v="F&amp;B Agrigator"/>
    <s v="Hyder"/>
    <s v="Follow up for bigger oeders"/>
    <n v="50000"/>
    <n v="0"/>
    <x v="12"/>
    <x v="0"/>
    <x v="0"/>
    <s v="Cancelled"/>
    <s v="Event Cancelled"/>
    <n v="0"/>
    <m/>
    <m/>
    <m/>
    <s v="Sep-24"/>
    <n v="38"/>
    <s v="2024"/>
  </r>
  <r>
    <d v="2024-09-16T00:00:00"/>
    <s v="Takeaway from kukatpally"/>
    <s v="Call"/>
    <s v="Events"/>
    <s v="Family Group"/>
    <s v="Anil Kumar"/>
    <s v="Take away of CB Handi on 16 September 2024"/>
    <n v="10000"/>
    <n v="10000"/>
    <x v="11"/>
    <x v="0"/>
    <x v="1"/>
    <s v="Closed"/>
    <m/>
    <n v="0"/>
    <m/>
    <m/>
    <m/>
    <s v="Sep-24"/>
    <n v="38"/>
    <s v="2024"/>
  </r>
  <r>
    <d v="2024-09-16T00:00:00"/>
    <s v="Simens"/>
    <s v="F2F"/>
    <s v="Corporate"/>
    <s v="IT"/>
    <s v="Abhishek"/>
    <s v="Introduction to bulk delivery of food and snacks"/>
    <n v="20000"/>
    <n v="0"/>
    <x v="8"/>
    <x v="0"/>
    <x v="0"/>
    <s v="Cancelled"/>
    <s v="No requirements"/>
    <n v="0"/>
    <m/>
    <m/>
    <m/>
    <s v="Sep-24"/>
    <n v="38"/>
    <s v="2024"/>
  </r>
  <r>
    <d v="2024-09-16T00:00:00"/>
    <s v="Goldstone Technologu"/>
    <s v="F2F"/>
    <s v="Corporate"/>
    <s v="IT"/>
    <s v="Afroz Banu"/>
    <s v="Introduction to bulk orders"/>
    <n v="15000"/>
    <n v="0"/>
    <x v="8"/>
    <x v="0"/>
    <x v="0"/>
    <s v="Cancelled"/>
    <s v="No requirement as of now"/>
    <n v="0"/>
    <m/>
    <m/>
    <m/>
    <s v="Sep-24"/>
    <n v="38"/>
    <s v="2024"/>
  </r>
  <r>
    <d v="2023-09-17T00:00:00"/>
    <s v="Dedlivery at Tarnaka"/>
    <s v="Call"/>
    <s v="Corporate"/>
    <s v="IT"/>
    <s v="Prasad"/>
    <s v="Delivery on 22 September"/>
    <n v="25000"/>
    <n v="25000"/>
    <x v="11"/>
    <x v="0"/>
    <x v="1"/>
    <s v="Closed"/>
    <m/>
    <n v="0"/>
    <m/>
    <m/>
    <m/>
    <s v="Sep-23"/>
    <n v="37"/>
    <s v="2024"/>
  </r>
  <r>
    <d v="2023-09-17T00:00:00"/>
    <s v="Delivery of Biryani kit at Dehradun"/>
    <s v="Call"/>
    <s v="Corporate"/>
    <s v="F&amp;B Agrigator"/>
    <s v="Abhilesh"/>
    <s v="Delivery in october"/>
    <n v="50000"/>
    <n v="0"/>
    <x v="8"/>
    <x v="0"/>
    <x v="0"/>
    <s v="Cancelled"/>
    <s v="They require kits without branding"/>
    <n v="0"/>
    <m/>
    <m/>
    <m/>
    <s v="Sep-23"/>
    <n v="37"/>
    <s v="2024"/>
  </r>
  <r>
    <d v="2023-09-17T00:00:00"/>
    <s v="Don Bosco Orphanage"/>
    <s v="F2F"/>
    <s v="Corporate"/>
    <s v="Orphanage &amp; NGO"/>
    <s v="Thomas"/>
    <s v="Introduction to bulk delivery"/>
    <n v="30000"/>
    <n v="0"/>
    <x v="12"/>
    <x v="0"/>
    <x v="0"/>
    <s v="Cancelled"/>
    <m/>
    <n v="0"/>
    <m/>
    <m/>
    <m/>
    <s v="Sep-23"/>
    <n v="37"/>
    <s v="2024"/>
  </r>
  <r>
    <d v="2023-09-17T00:00:00"/>
    <s v="FITJEE"/>
    <s v="F2F"/>
    <s v="College"/>
    <s v="Education"/>
    <s v="Balakrishna"/>
    <s v="Introduction to bulk delivery"/>
    <n v="25000"/>
    <n v="0"/>
    <x v="12"/>
    <x v="0"/>
    <x v="0"/>
    <s v="Cancelled"/>
    <m/>
    <n v="0"/>
    <m/>
    <m/>
    <m/>
    <s v="Sep-23"/>
    <n v="37"/>
    <s v="2024"/>
  </r>
  <r>
    <d v="2023-09-17T00:00:00"/>
    <s v="Value Momentum"/>
    <s v="F2F"/>
    <s v="Corporate"/>
    <s v="IT"/>
    <s v="Francis"/>
    <s v="Introduction to team lunch and delivery"/>
    <n v="30000"/>
    <n v="0"/>
    <x v="12"/>
    <x v="0"/>
    <x v="0"/>
    <s v="Cancelled"/>
    <m/>
    <n v="0"/>
    <m/>
    <m/>
    <m/>
    <s v="Sep-23"/>
    <n v="37"/>
    <s v="2024"/>
  </r>
  <r>
    <d v="2024-09-18T00:00:00"/>
    <s v="Delivery at Compass Group Bangalore"/>
    <s v="Call"/>
    <s v="Corporate"/>
    <s v="F&amp;B Agrigator"/>
    <s v="Pankaj"/>
    <s v="Delivery of Special CB &amp; MB Handi on 18 Sept 2024"/>
    <n v="44198"/>
    <n v="44198"/>
    <x v="11"/>
    <x v="1"/>
    <x v="1"/>
    <s v="Closed"/>
    <m/>
    <n v="0"/>
    <m/>
    <m/>
    <m/>
    <s v="Sep-24"/>
    <n v="38"/>
    <s v="2024"/>
  </r>
  <r>
    <d v="2024-09-18T00:00:00"/>
    <s v="Granules India"/>
    <s v="F2F"/>
    <s v="Corporate"/>
    <s v="Pharma"/>
    <s v="Sravan"/>
    <s v="Follow up for bulk order"/>
    <n v="33000"/>
    <n v="0"/>
    <x v="8"/>
    <x v="0"/>
    <x v="0"/>
    <s v="Cancelled"/>
    <s v="No requirement as of now"/>
    <n v="0"/>
    <m/>
    <m/>
    <m/>
    <s v="Sep-24"/>
    <n v="38"/>
    <s v="2024"/>
  </r>
  <r>
    <d v="2024-09-18T00:00:00"/>
    <s v="B4S"/>
    <s v="F2F"/>
    <s v="Corporate"/>
    <s v="IT"/>
    <s v="Surendra"/>
    <s v="Shared details of bulk orders and team lunch"/>
    <n v="15000"/>
    <n v="0"/>
    <x v="8"/>
    <x v="0"/>
    <x v="0"/>
    <s v="Cancelled"/>
    <s v="No requiremwnts"/>
    <n v="0"/>
    <m/>
    <m/>
    <m/>
    <s v="Sep-24"/>
    <n v="38"/>
    <s v="2024"/>
  </r>
  <r>
    <d v="2024-09-18T00:00:00"/>
    <s v="CA Academy Nanded"/>
    <s v="Call"/>
    <s v="College"/>
    <s v="Education"/>
    <s v="Dinesh"/>
    <s v="Follow up for dine in for travellers"/>
    <n v="30000"/>
    <n v="0"/>
    <x v="12"/>
    <x v="0"/>
    <x v="0"/>
    <s v="Cancelled"/>
    <m/>
    <n v="0"/>
    <m/>
    <m/>
    <m/>
    <s v="Sep-24"/>
    <n v="38"/>
    <s v="2024"/>
  </r>
  <r>
    <d v="2024-09-18T00:00:00"/>
    <s v="St Maries Engg College Deshmukhi"/>
    <s v="F2F"/>
    <s v="College"/>
    <s v="Education"/>
    <s v="Carolina"/>
    <s v="Following up for bulk orders"/>
    <n v="25000"/>
    <n v="0"/>
    <x v="12"/>
    <x v="0"/>
    <x v="0"/>
    <s v="Cancelled"/>
    <s v="Less Budget"/>
    <n v="0"/>
    <m/>
    <m/>
    <m/>
    <s v="Sep-24"/>
    <n v="38"/>
    <s v="2024"/>
  </r>
  <r>
    <d v="2024-09-19T00:00:00"/>
    <s v="Olectra Greentech"/>
    <s v="F2F"/>
    <s v="Corporate"/>
    <s v="Manufacturing"/>
    <s v="Sanjay"/>
    <s v="Introduction to bulk delivery and Gifting"/>
    <n v="30000"/>
    <n v="0"/>
    <x v="12"/>
    <x v="0"/>
    <x v="0"/>
    <s v="Cancelled"/>
    <m/>
    <n v="0"/>
    <m/>
    <m/>
    <m/>
    <s v="Sep-24"/>
    <n v="38"/>
    <s v="2024"/>
  </r>
  <r>
    <d v="2024-09-19T00:00:00"/>
    <s v="Dine in at Secundrabad"/>
    <s v="Call"/>
    <s v="Travel Group"/>
    <s v="Tourism"/>
    <s v="Aditya"/>
    <s v="Tourist group from mumbai"/>
    <n v="27000"/>
    <n v="27000"/>
    <x v="11"/>
    <x v="0"/>
    <x v="1"/>
    <s v="Closed"/>
    <m/>
    <n v="0"/>
    <m/>
    <m/>
    <m/>
    <s v="Sep-24"/>
    <n v="38"/>
    <s v="2024"/>
  </r>
  <r>
    <d v="2024-09-19T00:00:00"/>
    <s v="Delivery at KIMS Hospital"/>
    <s v="F2F"/>
    <s v="Hospital"/>
    <s v="Healthcare"/>
    <s v="Gururaj"/>
    <s v="Delivery of CB &amp; VB from Begumpet"/>
    <n v="12000"/>
    <n v="12000"/>
    <x v="11"/>
    <x v="0"/>
    <x v="1"/>
    <s v="Closed"/>
    <m/>
    <n v="0"/>
    <m/>
    <m/>
    <m/>
    <s v="Sep-24"/>
    <n v="38"/>
    <s v="2024"/>
  </r>
  <r>
    <d v="2024-09-19T00:00:00"/>
    <s v="Delivery at Santoshnagar"/>
    <s v="Call"/>
    <s v="Events"/>
    <s v="Family Group"/>
    <s v="Kabeer"/>
    <s v="Delivery of CB in September"/>
    <n v="22000"/>
    <n v="0"/>
    <x v="11"/>
    <x v="0"/>
    <x v="0"/>
    <s v="Cancelled"/>
    <s v="Less budget, went for other vendor"/>
    <n v="0"/>
    <m/>
    <m/>
    <m/>
    <s v="Sep-24"/>
    <n v="38"/>
    <s v="2024"/>
  </r>
  <r>
    <d v="2024-09-19T00:00:00"/>
    <s v="Care Hospital  "/>
    <s v="Call"/>
    <s v="Hospital"/>
    <s v="Healthcare"/>
    <s v="Sabiha"/>
    <s v="Introduction to bulk order"/>
    <n v="20000"/>
    <n v="0"/>
    <x v="12"/>
    <x v="0"/>
    <x v="0"/>
    <s v="Cancelled"/>
    <m/>
    <n v="0"/>
    <m/>
    <m/>
    <m/>
    <s v="Sep-24"/>
    <n v="38"/>
    <s v="2024"/>
  </r>
  <r>
    <d v="2024-09-20T00:00:00"/>
    <s v="Delivery at Bowenpally"/>
    <s v="Call"/>
    <s v="Events"/>
    <s v="Family Group"/>
    <s v="Azgar"/>
    <s v="Delivery of CB"/>
    <n v="20000"/>
    <n v="0"/>
    <x v="11"/>
    <x v="0"/>
    <x v="0"/>
    <s v="Cancelled"/>
    <s v="Purchased for less price from other vendor"/>
    <n v="0"/>
    <m/>
    <m/>
    <m/>
    <s v="Sep-24"/>
    <n v="38"/>
    <s v="2024"/>
  </r>
  <r>
    <d v="2024-09-20T00:00:00"/>
    <s v="Srinidhi College of Engineering"/>
    <s v="F2F"/>
    <s v="College"/>
    <s v="Education"/>
    <s v="Renitha"/>
    <s v="Delivery of CB for 150 People"/>
    <n v="28000"/>
    <n v="0"/>
    <x v="8"/>
    <x v="0"/>
    <x v="0"/>
    <s v="Cancelled"/>
    <s v="Less Budget"/>
    <n v="0"/>
    <m/>
    <m/>
    <m/>
    <s v="Sep-24"/>
    <n v="38"/>
    <s v="2024"/>
  </r>
  <r>
    <d v="2024-09-20T00:00:00"/>
    <s v="Brihaspati "/>
    <s v="F2F"/>
    <s v="Corporate"/>
    <s v="IT"/>
    <s v="Madhavi"/>
    <s v="Introduction to bulk order"/>
    <n v="18000"/>
    <n v="0"/>
    <x v="12"/>
    <x v="0"/>
    <x v="0"/>
    <s v="Cancelled"/>
    <m/>
    <n v="0"/>
    <m/>
    <m/>
    <m/>
    <s v="Sep-24"/>
    <n v="38"/>
    <s v="2024"/>
  </r>
  <r>
    <d v="2024-09-20T00:00:00"/>
    <s v="Kapil Chits "/>
    <s v="F2F"/>
    <s v="Corporate"/>
    <s v="Banking Finance &amp; Insurance"/>
    <s v="Srinivas"/>
    <s v="Introduction to bulk order"/>
    <n v="40000"/>
    <n v="0"/>
    <x v="12"/>
    <x v="0"/>
    <x v="0"/>
    <s v="Cancelled"/>
    <m/>
    <n v="0"/>
    <m/>
    <m/>
    <m/>
    <s v="Sep-24"/>
    <n v="38"/>
    <s v="2024"/>
  </r>
  <r>
    <d v="2024-09-21T00:00:00"/>
    <s v="Delivery at Secundrabad Station"/>
    <s v="Call"/>
    <s v="Tourist Group"/>
    <s v="Tourism"/>
    <s v="Shobhindar"/>
    <s v="Delivery fron padmaraonagar 21 Sept 2024"/>
    <n v="10000"/>
    <n v="10000"/>
    <x v="11"/>
    <x v="0"/>
    <x v="1"/>
    <s v="Closed"/>
    <m/>
    <n v="0"/>
    <m/>
    <m/>
    <m/>
    <s v="Sep-24"/>
    <n v="38"/>
    <s v="2024"/>
  </r>
  <r>
    <d v="2024-09-22T00:00:00"/>
    <s v="Delivery at Kukatpoally"/>
    <s v="Call"/>
    <s v="Events"/>
    <s v="Family Group"/>
    <s v="Rachel"/>
    <s v="Delivery of CB on 22 Sept 2024"/>
    <n v="9000"/>
    <n v="9000"/>
    <x v="11"/>
    <x v="0"/>
    <x v="1"/>
    <s v="Closed"/>
    <m/>
    <n v="0"/>
    <m/>
    <m/>
    <m/>
    <s v="Sep-24"/>
    <n v="38"/>
    <s v="2024"/>
  </r>
  <r>
    <d v="2024-09-23T00:00:00"/>
    <s v="DPS Nacharam"/>
    <s v="F2F"/>
    <s v="School"/>
    <s v="Education"/>
    <s v="Venkatesk"/>
    <s v="Introduction for supply in fest"/>
    <n v="40000"/>
    <n v="0"/>
    <x v="12"/>
    <x v="0"/>
    <x v="0"/>
    <s v="Cancelled"/>
    <m/>
    <n v="0"/>
    <m/>
    <m/>
    <m/>
    <s v="Sep-24"/>
    <n v="39"/>
    <s v="2024"/>
  </r>
  <r>
    <d v="2024-09-23T00:00:00"/>
    <s v="Maradpally Church"/>
    <s v="F2F"/>
    <s v="Church"/>
    <s v="Community"/>
    <s v="Harismitha"/>
    <s v="Delivery of CB in November"/>
    <n v="45000"/>
    <n v="0"/>
    <x v="12"/>
    <x v="0"/>
    <x v="0"/>
    <s v="Cancelled"/>
    <s v="Prepared food inhouse"/>
    <n v="0"/>
    <m/>
    <m/>
    <m/>
    <s v="Sep-24"/>
    <n v="39"/>
    <s v="2024"/>
  </r>
  <r>
    <d v="2024-09-23T00:00:00"/>
    <s v="CR Fabric"/>
    <s v="Call"/>
    <s v="Corporate"/>
    <s v="Retail"/>
    <s v="Raj"/>
    <s v="Follow up for bulk order"/>
    <n v="20000"/>
    <n v="0"/>
    <x v="8"/>
    <x v="0"/>
    <x v="0"/>
    <s v="Cancelled"/>
    <s v="No requirement"/>
    <n v="0"/>
    <m/>
    <m/>
    <m/>
    <s v="Sep-24"/>
    <n v="39"/>
    <s v="2024"/>
  </r>
  <r>
    <d v="2024-09-23T00:00:00"/>
    <s v="Tata Trent LTD"/>
    <s v="F2F"/>
    <s v="Corporate"/>
    <s v="Retail"/>
    <s v="Verma"/>
    <s v="Introduction to team lunch and bulk delivery"/>
    <n v="25000"/>
    <n v="0"/>
    <x v="12"/>
    <x v="0"/>
    <x v="0"/>
    <s v="Cancelled"/>
    <m/>
    <n v="0"/>
    <m/>
    <m/>
    <m/>
    <s v="Sep-24"/>
    <n v="39"/>
    <s v="2024"/>
  </r>
  <r>
    <d v="2024-09-24T00:00:00"/>
    <s v="Delivery at Maradpally orphanage"/>
    <s v="Call"/>
    <s v="Events"/>
    <s v="Family Group"/>
    <s v="Siraj"/>
    <s v="Delivery of CB on 28 September 2024"/>
    <n v="25000"/>
    <n v="25000"/>
    <x v="11"/>
    <x v="0"/>
    <x v="1"/>
    <s v="Closed"/>
    <m/>
    <n v="0"/>
    <m/>
    <m/>
    <m/>
    <s v="Sep-24"/>
    <n v="39"/>
    <s v="2024"/>
  </r>
  <r>
    <d v="2024-09-24T00:00:00"/>
    <s v="Cube Highways (GMR)"/>
    <s v="Call"/>
    <s v="Corporate"/>
    <s v="Realestate"/>
    <s v="Kiran"/>
    <s v="Buffet Lunch on 24 October"/>
    <n v="0"/>
    <n v="0"/>
    <x v="8"/>
    <x v="0"/>
    <x v="1"/>
    <s v="Closed"/>
    <m/>
    <n v="0"/>
    <m/>
    <m/>
    <m/>
    <s v="Sep-24"/>
    <n v="39"/>
    <s v="2024"/>
  </r>
  <r>
    <d v="2024-09-24T00:00:00"/>
    <s v="Epiroc Drilling Tools"/>
    <s v="F2F"/>
    <s v="Corporate"/>
    <s v="Manufacturing"/>
    <s v="Mahesh"/>
    <s v="Wallet recharge of 193 employees on 25 Sept 2024"/>
    <n v="96500"/>
    <n v="96500"/>
    <x v="11"/>
    <x v="0"/>
    <x v="1"/>
    <s v="Closed"/>
    <m/>
    <n v="0"/>
    <m/>
    <m/>
    <m/>
    <s v="Sep-24"/>
    <n v="39"/>
    <s v="2024"/>
  </r>
  <r>
    <d v="2024-09-24T00:00:00"/>
    <s v="MSN"/>
    <s v="F2F"/>
    <s v="Corporate"/>
    <s v="Pharma"/>
    <s v="Sandeep"/>
    <s v="Follow up for PO"/>
    <n v="0"/>
    <n v="0"/>
    <x v="12"/>
    <x v="0"/>
    <x v="1"/>
    <s v="Closed"/>
    <m/>
    <n v="0"/>
    <m/>
    <m/>
    <m/>
    <s v="Sep-24"/>
    <n v="39"/>
    <s v="2024"/>
  </r>
  <r>
    <d v="2024-09-24T00:00:00"/>
    <s v="Smart Q"/>
    <s v="Call"/>
    <s v="Corporate"/>
    <s v="F&amp;B Agrigator"/>
    <s v="Varsha"/>
    <s v="Discussion in regards with pop up counter"/>
    <n v="30000"/>
    <n v="0"/>
    <x v="12"/>
    <x v="0"/>
    <x v="0"/>
    <s v="Cancelled"/>
    <m/>
    <n v="0"/>
    <m/>
    <m/>
    <m/>
    <s v="Sep-24"/>
    <n v="39"/>
    <s v="2024"/>
  </r>
  <r>
    <d v="2024-09-25T00:00:00"/>
    <s v="Delivery at Compass Group Bangalore"/>
    <s v="Call"/>
    <s v="Corporate"/>
    <s v="F&amp;B Agrigator"/>
    <s v="Pankaj"/>
    <s v="Delivery of Special CB &amp; MB Handi on 25 Sept 2024"/>
    <n v="44198"/>
    <n v="44198"/>
    <x v="11"/>
    <x v="1"/>
    <x v="1"/>
    <s v="Closed"/>
    <m/>
    <n v="0"/>
    <m/>
    <m/>
    <m/>
    <s v="Sep-24"/>
    <n v="39"/>
    <s v="2024"/>
  </r>
  <r>
    <d v="2024-09-25T00:00:00"/>
    <s v="GMR Shamshabad"/>
    <s v="F2F"/>
    <s v="Corporate"/>
    <s v="Realestate"/>
    <s v="Reena"/>
    <s v="Discussion in regards with buffet for 130 peoploe"/>
    <n v="0"/>
    <n v="0"/>
    <x v="8"/>
    <x v="0"/>
    <x v="1"/>
    <s v="Closed"/>
    <m/>
    <n v="0"/>
    <m/>
    <m/>
    <m/>
    <s v="Sep-24"/>
    <n v="39"/>
    <s v="2024"/>
  </r>
  <r>
    <d v="2024-09-25T00:00:00"/>
    <s v="Delivery at Alwal"/>
    <s v="F2F"/>
    <s v="Events"/>
    <s v="Family Group"/>
    <s v="Geetha"/>
    <s v="Discussion in regards with buffet lunch"/>
    <n v="40000"/>
    <n v="0"/>
    <x v="8"/>
    <x v="0"/>
    <x v="0"/>
    <s v="Cancelled"/>
    <s v="Less Budget"/>
    <n v="0"/>
    <m/>
    <m/>
    <m/>
    <s v="Sep-24"/>
    <n v="39"/>
    <s v="2024"/>
  </r>
  <r>
    <d v="2024-09-25T00:00:00"/>
    <s v="Qualcomm"/>
    <s v="F2F"/>
    <s v="Corporate"/>
    <s v="IT"/>
    <s v="Yugandhar"/>
    <s v="Introduction to bulk order"/>
    <n v="30000"/>
    <n v="0"/>
    <x v="12"/>
    <x v="0"/>
    <x v="0"/>
    <s v="Cancelled"/>
    <m/>
    <n v="0"/>
    <m/>
    <m/>
    <m/>
    <s v="Sep-24"/>
    <n v="39"/>
    <s v="2024"/>
  </r>
  <r>
    <d v="2024-09-26T00:00:00"/>
    <s v="Dine in at Shamshabad"/>
    <s v="Call"/>
    <s v="Travel Group"/>
    <s v="Tourism"/>
    <s v="Somnath"/>
    <s v="Tourist group from Kolkata on 26 September 2024"/>
    <n v="15000"/>
    <n v="15000"/>
    <x v="11"/>
    <x v="0"/>
    <x v="1"/>
    <s v="Closed"/>
    <m/>
    <n v="0"/>
    <m/>
    <m/>
    <m/>
    <s v="Sep-24"/>
    <n v="39"/>
    <s v="2024"/>
  </r>
  <r>
    <d v="2024-09-26T00:00:00"/>
    <s v="Compass Group"/>
    <s v="F2F"/>
    <s v="Corporate"/>
    <s v="F&amp;B Agrigator"/>
    <s v="Helal"/>
    <s v="Discussion in regards with popup counter"/>
    <n v="30000"/>
    <n v="0"/>
    <x v="12"/>
    <x v="0"/>
    <x v="0"/>
    <s v="Cancelled"/>
    <m/>
    <n v="0"/>
    <m/>
    <m/>
    <m/>
    <s v="Sep-24"/>
    <n v="39"/>
    <s v="2024"/>
  </r>
  <r>
    <d v="2024-09-26T00:00:00"/>
    <s v="Walking Tree"/>
    <s v="F2F"/>
    <s v="Corporate"/>
    <s v="IT"/>
    <s v="Sonam"/>
    <s v="Introduction to team lunch and delivery"/>
    <n v="20000"/>
    <n v="0"/>
    <x v="12"/>
    <x v="0"/>
    <x v="0"/>
    <s v="Cancelled"/>
    <m/>
    <n v="0"/>
    <m/>
    <m/>
    <m/>
    <s v="Sep-24"/>
    <n v="39"/>
    <s v="2024"/>
  </r>
  <r>
    <d v="2024-09-26T00:00:00"/>
    <s v="Naagarjuna School"/>
    <s v="Call"/>
    <s v="School"/>
    <s v="Education"/>
    <s v="Vittal Reddy"/>
    <s v="Introduction to bulk delivery of food and snacks"/>
    <n v="40000"/>
    <n v="0"/>
    <x v="12"/>
    <x v="0"/>
    <x v="0"/>
    <s v="Cancelled"/>
    <m/>
    <n v="0"/>
    <m/>
    <m/>
    <m/>
    <s v="Sep-24"/>
    <n v="39"/>
    <s v="2024"/>
  </r>
  <r>
    <d v="2024-09-26T00:00:00"/>
    <s v="Genpact"/>
    <s v="Call"/>
    <s v="Corporate"/>
    <s v="IT"/>
    <s v="Vivek"/>
    <s v="Introduction to team lunch "/>
    <n v="30000"/>
    <n v="0"/>
    <x v="12"/>
    <x v="0"/>
    <x v="0"/>
    <s v="Cancelled"/>
    <m/>
    <n v="0"/>
    <m/>
    <m/>
    <m/>
    <s v="Sep-24"/>
    <n v="39"/>
    <s v="2024"/>
  </r>
  <r>
    <d v="2024-09-27T00:00:00"/>
    <s v="Epiroc Drilling Tools"/>
    <s v="Call"/>
    <s v="Corporate"/>
    <s v="Manufacturing"/>
    <s v="Mahesh"/>
    <s v="Recharged wallet of 5 employees"/>
    <n v="2500"/>
    <n v="2500"/>
    <x v="11"/>
    <x v="0"/>
    <x v="1"/>
    <s v="Closed"/>
    <m/>
    <n v="0"/>
    <m/>
    <m/>
    <m/>
    <s v="Sep-24"/>
    <n v="39"/>
    <s v="2024"/>
  </r>
  <r>
    <d v="2024-09-27T00:00:00"/>
    <s v="Delivery at Masabtank"/>
    <s v="Call"/>
    <s v="Events"/>
    <s v="Family Group"/>
    <s v="Praveen"/>
    <s v="Delivery of MB Handi and CB on 27 Sept 2024"/>
    <n v="20000"/>
    <n v="20000"/>
    <x v="11"/>
    <x v="0"/>
    <x v="1"/>
    <s v="Closed"/>
    <m/>
    <n v="0"/>
    <m/>
    <m/>
    <m/>
    <s v="Sep-24"/>
    <n v="39"/>
    <s v="2024"/>
  </r>
  <r>
    <d v="2024-09-27T00:00:00"/>
    <s v="Ratna Global technologioes"/>
    <s v="F2F"/>
    <s v="Corporate"/>
    <s v="IT"/>
    <s v="Elisha"/>
    <s v="Follow up for bulk orders"/>
    <n v="18000"/>
    <n v="0"/>
    <x v="12"/>
    <x v="0"/>
    <x v="0"/>
    <s v="Cancelled"/>
    <m/>
    <n v="0"/>
    <m/>
    <m/>
    <m/>
    <s v="Sep-24"/>
    <n v="39"/>
    <s v="2024"/>
  </r>
  <r>
    <d v="2024-09-27T00:00:00"/>
    <s v="Dine in at Begumpet"/>
    <s v="Call"/>
    <s v="Travel Group"/>
    <s v="Tourism"/>
    <s v="Aquila"/>
    <s v="Dine in at Begumpet on 28 September 2024"/>
    <n v="15000"/>
    <n v="15000"/>
    <x v="11"/>
    <x v="0"/>
    <x v="1"/>
    <s v="Closed"/>
    <m/>
    <n v="0"/>
    <m/>
    <m/>
    <m/>
    <s v="Sep-24"/>
    <n v="39"/>
    <s v="2024"/>
  </r>
  <r>
    <d v="2024-09-28T00:00:00"/>
    <s v="Delivery of VB at Airport"/>
    <s v="Call"/>
    <s v="Travel Group"/>
    <s v="Tourism"/>
    <s v="Somnaath"/>
    <s v="Delivery of VB on 28 September 2024"/>
    <n v="10000"/>
    <n v="10000"/>
    <x v="11"/>
    <x v="0"/>
    <x v="1"/>
    <s v="Closed"/>
    <m/>
    <n v="0"/>
    <m/>
    <m/>
    <m/>
    <s v="Sep-24"/>
    <n v="39"/>
    <s v="2024"/>
  </r>
  <r>
    <d v="2024-09-29T00:00:00"/>
    <s v="Delivery at Kothapet Orphanage"/>
    <s v="Call"/>
    <s v="Orphanage"/>
    <s v="Orphanage &amp; NGO"/>
    <s v="Siraj"/>
    <s v="Delivery of CB on 29 September 2024"/>
    <n v="8000"/>
    <n v="8000"/>
    <x v="11"/>
    <x v="0"/>
    <x v="1"/>
    <s v="Closed"/>
    <m/>
    <n v="0"/>
    <m/>
    <m/>
    <m/>
    <s v="Sep-24"/>
    <n v="39"/>
    <s v="2024"/>
  </r>
  <r>
    <d v="2024-09-29T00:00:00"/>
    <s v="Dine in at IMAX"/>
    <s v="Call"/>
    <s v="Travel Group"/>
    <s v="Tourism"/>
    <s v="Abbu"/>
    <s v="Travel group from Kerela 29 September 2024"/>
    <n v="25000"/>
    <n v="25000"/>
    <x v="11"/>
    <x v="0"/>
    <x v="1"/>
    <s v="Closed"/>
    <m/>
    <n v="0"/>
    <m/>
    <m/>
    <m/>
    <s v="Sep-24"/>
    <n v="39"/>
    <s v="2024"/>
  </r>
  <r>
    <d v="2024-09-30T00:00:00"/>
    <s v="Delivery at Airport"/>
    <s v="Call"/>
    <s v="Travel Group"/>
    <s v="Tourism"/>
    <s v="Shubendu"/>
    <s v="Travel group from Kolkata on 30 September 2024"/>
    <n v="10000"/>
    <n v="10000"/>
    <x v="11"/>
    <x v="0"/>
    <x v="1"/>
    <s v="Closed"/>
    <m/>
    <n v="0"/>
    <m/>
    <m/>
    <m/>
    <s v="Sep-24"/>
    <n v="40"/>
    <s v="2024"/>
  </r>
  <r>
    <d v="2024-09-30T00:00:00"/>
    <s v="Axis Securities "/>
    <s v="F2F"/>
    <s v="Corporate"/>
    <s v="Banking Finance &amp; Insurance"/>
    <s v="Nilesh"/>
    <s v="Delivery of CB and MB from Begumpet on 30-9-24"/>
    <n v="14500"/>
    <n v="14500"/>
    <x v="11"/>
    <x v="0"/>
    <x v="1"/>
    <s v="Closed"/>
    <m/>
    <n v="0"/>
    <m/>
    <m/>
    <m/>
    <s v="Sep-24"/>
    <n v="40"/>
    <s v="2024"/>
  </r>
  <r>
    <d v="2024-09-30T00:00:00"/>
    <s v="Dine In at Padmaraonagar"/>
    <s v="F2F"/>
    <s v="Corporate"/>
    <s v="Tourism"/>
    <s v="Poorvi"/>
    <s v="Dine in on 30 September 2024"/>
    <n v="16000"/>
    <n v="16000"/>
    <x v="11"/>
    <x v="0"/>
    <x v="1"/>
    <s v="Closed"/>
    <m/>
    <n v="0"/>
    <m/>
    <m/>
    <m/>
    <s v="Sep-24"/>
    <n v="40"/>
    <s v="2024"/>
  </r>
  <r>
    <d v="2024-09-30T00:00:00"/>
    <s v="Delivery at Manikonda"/>
    <s v="Call"/>
    <s v="Corporate"/>
    <s v="IT"/>
    <s v="Karthik"/>
    <s v="Delivery of chicken Tikka on 1 October 2024"/>
    <n v="4000"/>
    <n v="4000"/>
    <x v="8"/>
    <x v="0"/>
    <x v="1"/>
    <s v="Closed"/>
    <m/>
    <n v="0"/>
    <m/>
    <m/>
    <m/>
    <s v="Sep-24"/>
    <n v="40"/>
    <s v="2024"/>
  </r>
  <r>
    <d v="2024-09-30T00:00:00"/>
    <s v="Smart Q"/>
    <s v="F2F"/>
    <s v="Corporate"/>
    <s v="F&amp;B Agrigator"/>
    <s v="Nikita"/>
    <s v="Discussion in regards with popup counter"/>
    <n v="50000"/>
    <n v="0"/>
    <x v="12"/>
    <x v="0"/>
    <x v="0"/>
    <s v="Cancelled"/>
    <m/>
    <n v="0"/>
    <m/>
    <m/>
    <m/>
    <s v="Sep-24"/>
    <n v="40"/>
    <s v="2024"/>
  </r>
  <r>
    <d v="2024-10-01T00:00:00"/>
    <s v="Kheti Corporate"/>
    <s v="F2F"/>
    <s v="Corporate"/>
    <s v="Agritech"/>
    <s v="Praveen"/>
    <s v="Dine in at Gachibowli onn 1st October 2024"/>
    <n v="19500"/>
    <n v="19500"/>
    <x v="8"/>
    <x v="0"/>
    <x v="1"/>
    <s v="Closed"/>
    <m/>
    <n v="0"/>
    <m/>
    <m/>
    <m/>
    <s v="Oct-24"/>
    <n v="40"/>
    <s v="2024"/>
  </r>
  <r>
    <d v="2024-10-01T00:00:00"/>
    <s v="Utsab Cultural Association"/>
    <s v="F2F"/>
    <s v="Exhibition"/>
    <s v="F&amp;B Agrigator"/>
    <s v="Indronil"/>
    <s v="Stall setup and menu confirmation"/>
    <n v="0"/>
    <n v="0"/>
    <x v="8"/>
    <x v="0"/>
    <x v="1"/>
    <s v="Closed"/>
    <m/>
    <n v="0"/>
    <m/>
    <m/>
    <m/>
    <s v="Oct-24"/>
    <n v="40"/>
    <s v="2024"/>
  </r>
  <r>
    <d v="2024-10-01T00:00:00"/>
    <s v="King Research Academy"/>
    <s v="F2F"/>
    <s v="Corporate"/>
    <s v="Education"/>
    <s v="Vijay"/>
    <s v="Follow up for Team Lunch Order"/>
    <n v="0"/>
    <n v="0"/>
    <x v="8"/>
    <x v="0"/>
    <x v="1"/>
    <s v="Closed"/>
    <m/>
    <n v="0"/>
    <m/>
    <m/>
    <m/>
    <s v="Oct-24"/>
    <n v="40"/>
    <s v="2024"/>
  </r>
  <r>
    <d v="2024-10-01T00:00:00"/>
    <s v="Cube Highways (GMR)"/>
    <s v="F2F"/>
    <s v="Corporate"/>
    <s v="Realestate"/>
    <s v="Kiran"/>
    <s v="Buffet Lunch on 25 October"/>
    <n v="0"/>
    <n v="0"/>
    <x v="8"/>
    <x v="0"/>
    <x v="1"/>
    <s v="Closed"/>
    <m/>
    <n v="0"/>
    <m/>
    <m/>
    <m/>
    <s v="Oct-24"/>
    <n v="40"/>
    <s v="2024"/>
  </r>
  <r>
    <d v="2024-10-02T00:00:00"/>
    <s v="Delivery at Kondapur"/>
    <s v="Call"/>
    <s v="Events"/>
    <s v="Family Group"/>
    <s v="Annie"/>
    <s v="Delivery of CB on 6 October 2024"/>
    <n v="24000"/>
    <n v="24000"/>
    <x v="8"/>
    <x v="0"/>
    <x v="1"/>
    <s v="Closed"/>
    <m/>
    <n v="0"/>
    <m/>
    <m/>
    <m/>
    <s v="Oct-24"/>
    <n v="40"/>
    <s v="2024"/>
  </r>
  <r>
    <d v="2024-10-02T00:00:00"/>
    <s v="Delivery at Nampally Station"/>
    <s v="Call"/>
    <s v="Tourist Group"/>
    <s v="Tourism"/>
    <s v="Nitin"/>
    <s v="Delivery of CB &amp; VB on 2 October 2022"/>
    <n v="10000"/>
    <n v="10000"/>
    <x v="8"/>
    <x v="0"/>
    <x v="1"/>
    <s v="Closed"/>
    <m/>
    <n v="0"/>
    <m/>
    <m/>
    <m/>
    <s v="Oct-24"/>
    <n v="40"/>
    <s v="2024"/>
  </r>
  <r>
    <d v="2024-10-03T00:00:00"/>
    <s v="Delivery at Manikonda"/>
    <s v="F2F"/>
    <s v="Events"/>
    <s v="Family Group"/>
    <s v="Sattar"/>
    <s v="Delivery of CB on 04 October 2024"/>
    <n v="8000"/>
    <n v="8000"/>
    <x v="8"/>
    <x v="0"/>
    <x v="1"/>
    <s v="Closed"/>
    <m/>
    <n v="0"/>
    <m/>
    <m/>
    <m/>
    <s v="Oct-24"/>
    <n v="40"/>
    <s v="2024"/>
  </r>
  <r>
    <d v="2024-10-03T00:00:00"/>
    <s v="Isthara "/>
    <s v="F2F"/>
    <s v="Corporate"/>
    <s v="F&amp;B Agrigator"/>
    <s v="Sumit"/>
    <s v="Discussion in regards with corporate counter and Gifting"/>
    <n v="50000"/>
    <n v="0"/>
    <x v="17"/>
    <x v="0"/>
    <x v="0"/>
    <s v="Cancelled"/>
    <m/>
    <n v="0"/>
    <m/>
    <m/>
    <m/>
    <s v="Oct-24"/>
    <n v="40"/>
    <s v="2025"/>
  </r>
  <r>
    <d v="2024-10-03T00:00:00"/>
    <s v="Aurbindo Pharma"/>
    <s v="F2F"/>
    <s v="Corporate"/>
    <s v="Pharma"/>
    <s v="Bapiraju"/>
    <s v="Discussion for Corporate Gifting and Bulk order"/>
    <n v="0"/>
    <n v="0"/>
    <x v="13"/>
    <x v="0"/>
    <x v="1"/>
    <s v="Closed"/>
    <m/>
    <n v="0"/>
    <m/>
    <m/>
    <m/>
    <s v="Oct-24"/>
    <n v="40"/>
    <s v="2025"/>
  </r>
  <r>
    <d v="2024-10-03T00:00:00"/>
    <s v="CGR International School"/>
    <s v="F2F"/>
    <s v="School"/>
    <s v="Education"/>
    <s v="Jaffar"/>
    <s v="Introduction to bulk order and delivery"/>
    <n v="30000"/>
    <n v="0"/>
    <x v="13"/>
    <x v="0"/>
    <x v="0"/>
    <s v="Cancelled"/>
    <s v="Event Cancelled"/>
    <n v="0"/>
    <m/>
    <m/>
    <m/>
    <s v="Oct-24"/>
    <n v="40"/>
    <s v="2025"/>
  </r>
  <r>
    <d v="2024-10-03T00:00:00"/>
    <s v="Jodas Expiom Bio"/>
    <s v="Call"/>
    <s v="Corporate"/>
    <s v="Pharma"/>
    <s v="Ishika"/>
    <s v="Introduction to bulk order and Gifting"/>
    <n v="50000"/>
    <n v="0"/>
    <x v="13"/>
    <x v="0"/>
    <x v="0"/>
    <s v="Cancelled"/>
    <s v="No requirement"/>
    <n v="0"/>
    <m/>
    <m/>
    <m/>
    <s v="Oct-24"/>
    <n v="40"/>
    <s v="2025"/>
  </r>
  <r>
    <d v="2024-10-04T00:00:00"/>
    <s v="Utsab Cultural Association"/>
    <s v="F2F"/>
    <s v="Exhibition"/>
    <s v="F&amp;B Agrigator"/>
    <s v="Indronil"/>
    <s v="Stall setup and menu confirmation"/>
    <n v="0"/>
    <n v="0"/>
    <x v="8"/>
    <x v="0"/>
    <x v="1"/>
    <s v="Closed"/>
    <m/>
    <n v="0"/>
    <m/>
    <m/>
    <m/>
    <s v="Oct-24"/>
    <n v="40"/>
    <s v="2024"/>
  </r>
  <r>
    <d v="2024-10-05T00:00:00"/>
    <s v="Delivery at Saidabad"/>
    <s v="Call"/>
    <s v="Events"/>
    <s v="Family Group"/>
    <s v="Dilip"/>
    <s v="CB,MB and Kabab from Kothapet on 6 October 2024"/>
    <n v="21000"/>
    <n v="21000"/>
    <x v="8"/>
    <x v="0"/>
    <x v="1"/>
    <s v="Closed"/>
    <m/>
    <n v="0"/>
    <m/>
    <m/>
    <m/>
    <s v="Oct-24"/>
    <n v="40"/>
    <s v="2024"/>
  </r>
  <r>
    <d v="2024-10-07T00:00:00"/>
    <s v="Intercity Transport Logistics"/>
    <s v="F2F"/>
    <s v="Corporate"/>
    <s v="F&amp;B Agrigator"/>
    <s v="Mallikarjuna"/>
    <s v="Delivery of CB at Multi locations in October"/>
    <n v="0"/>
    <n v="0"/>
    <x v="8"/>
    <x v="0"/>
    <x v="1"/>
    <s v="Closed"/>
    <m/>
    <n v="0"/>
    <m/>
    <m/>
    <m/>
    <s v="Oct-24"/>
    <n v="41"/>
    <s v="2024"/>
  </r>
  <r>
    <d v="2024-10-07T00:00:00"/>
    <s v="Epiroc Drilling Tools"/>
    <s v="F2F"/>
    <s v="Corporate"/>
    <s v="Manufacturing"/>
    <s v="Mahesh"/>
    <s v="Follow up "/>
    <n v="0"/>
    <n v="0"/>
    <x v="18"/>
    <x v="0"/>
    <x v="0"/>
    <s v="Cancelled"/>
    <m/>
    <n v="0"/>
    <s v="Bulk Order"/>
    <m/>
    <m/>
    <s v="Oct-24"/>
    <n v="41"/>
    <s v="2025"/>
  </r>
  <r>
    <d v="2024-10-07T00:00:00"/>
    <s v="Bangia Sanskritik Sangh"/>
    <s v="F2F"/>
    <s v="Corporate"/>
    <s v="F&amp;B Agrigator"/>
    <s v="Ram"/>
    <s v="Stall setup and Branding"/>
    <n v="0"/>
    <n v="0"/>
    <x v="8"/>
    <x v="0"/>
    <x v="1"/>
    <s v="Closed"/>
    <m/>
    <n v="0"/>
    <m/>
    <m/>
    <m/>
    <s v="Oct-24"/>
    <n v="41"/>
    <s v="2024"/>
  </r>
  <r>
    <d v="2024-10-08T00:00:00"/>
    <s v="MSN Labs"/>
    <s v="F2F"/>
    <s v="Corporate"/>
    <s v="Pharma"/>
    <s v="Satya"/>
    <s v="Follow up for PO"/>
    <n v="0"/>
    <n v="0"/>
    <x v="8"/>
    <x v="0"/>
    <x v="1"/>
    <s v="Closed"/>
    <m/>
    <n v="0"/>
    <m/>
    <m/>
    <m/>
    <s v="Oct-24"/>
    <n v="41"/>
    <s v="2024"/>
  </r>
  <r>
    <d v="2024-10-08T00:00:00"/>
    <s v="ODC at Hrishi Sir's Place"/>
    <s v="F2F"/>
    <s v="Events"/>
    <s v="Family Group"/>
    <s v="Hrishikesh"/>
    <s v="B Day party on 11 October 2024"/>
    <n v="61690"/>
    <n v="61690"/>
    <x v="8"/>
    <x v="0"/>
    <x v="1"/>
    <s v="Closed"/>
    <m/>
    <n v="0"/>
    <m/>
    <m/>
    <m/>
    <s v="Oct-24"/>
    <n v="41"/>
    <s v="2024"/>
  </r>
  <r>
    <d v="2024-10-09T00:00:00"/>
    <s v="Intercity Transport Logistics"/>
    <s v="F2F"/>
    <s v="Corporate"/>
    <s v="Transport"/>
    <s v="Mallikarjuna"/>
    <s v="lunch delivery on 10 October 2024"/>
    <n v="219180"/>
    <n v="219180"/>
    <x v="8"/>
    <x v="0"/>
    <x v="1"/>
    <s v="Closed"/>
    <m/>
    <n v="0"/>
    <m/>
    <m/>
    <m/>
    <s v="Oct-24"/>
    <n v="41"/>
    <s v="2024"/>
  </r>
  <r>
    <d v="2024-10-10T00:00:00"/>
    <s v="Dine in at Kukatpally"/>
    <s v="Call"/>
    <s v="Travel Group"/>
    <s v="Tourism"/>
    <s v="Vivek"/>
    <s v="Dine in at kukatpally on 11 October 2024"/>
    <n v="12000"/>
    <n v="12000"/>
    <x v="8"/>
    <x v="0"/>
    <x v="1"/>
    <s v="Closed"/>
    <m/>
    <n v="0"/>
    <m/>
    <m/>
    <m/>
    <s v="Oct-24"/>
    <n v="41"/>
    <s v="2024"/>
  </r>
  <r>
    <d v="2024-10-10T00:00:00"/>
    <s v="Delivery at Y Junction "/>
    <s v="Call"/>
    <s v="Events"/>
    <s v="Family Group"/>
    <s v="Mallikarkuna"/>
    <s v="Delivery of CB and Kabab on 10 October 2024"/>
    <n v="9000"/>
    <n v="9000"/>
    <x v="8"/>
    <x v="0"/>
    <x v="1"/>
    <s v="Closed"/>
    <m/>
    <n v="0"/>
    <m/>
    <m/>
    <m/>
    <s v="Oct-24"/>
    <n v="41"/>
    <s v="2024"/>
  </r>
  <r>
    <d v="2024-10-10T00:00:00"/>
    <s v="MSN Labs"/>
    <s v="F2F"/>
    <s v="Corporate"/>
    <s v="Pharma"/>
    <s v="Sandeep"/>
    <s v="Follow up for PO"/>
    <n v="0"/>
    <n v="0"/>
    <x v="8"/>
    <x v="0"/>
    <x v="1"/>
    <s v="Closed"/>
    <m/>
    <n v="0"/>
    <m/>
    <m/>
    <m/>
    <s v="Oct-24"/>
    <n v="41"/>
    <s v="2024"/>
  </r>
  <r>
    <d v="2024-10-10T00:00:00"/>
    <s v="Durga Pooja at Keys High School"/>
    <s v="F2F"/>
    <s v="Corporate"/>
    <s v="F&amp;B Agrigator"/>
    <s v="Ram"/>
    <s v="Food Stall on 8.9,10 ,11 ,12,October"/>
    <n v="37650"/>
    <n v="37650"/>
    <x v="8"/>
    <x v="0"/>
    <x v="1"/>
    <s v="Closed"/>
    <m/>
    <n v="0"/>
    <m/>
    <m/>
    <m/>
    <s v="Oct-24"/>
    <n v="41"/>
    <s v="2024"/>
  </r>
  <r>
    <d v="2024-10-10T00:00:00"/>
    <s v="Durga Pooja at NITHM"/>
    <s v="F2F"/>
    <s v="Corporate"/>
    <s v="F&amp;B Agrigator"/>
    <s v="Indronil"/>
    <s v="Food Stall on 8.9,10 ,11 ,12,13 October"/>
    <n v="58000"/>
    <n v="58000"/>
    <x v="8"/>
    <x v="0"/>
    <x v="1"/>
    <s v="Closed"/>
    <m/>
    <n v="0"/>
    <m/>
    <m/>
    <m/>
    <s v="Oct-24"/>
    <n v="41"/>
    <s v="2024"/>
  </r>
  <r>
    <d v="2024-10-14T00:00:00"/>
    <s v="Amazon"/>
    <s v="F2F"/>
    <s v="Corporate"/>
    <s v="IT"/>
    <s v="Kalyan"/>
    <s v="Planning for 3000 Royal CB by november"/>
    <n v="550000"/>
    <n v="0"/>
    <x v="12"/>
    <x v="0"/>
    <x v="0"/>
    <s v="Cancelled"/>
    <m/>
    <n v="0"/>
    <m/>
    <m/>
    <m/>
    <s v="Oct-24"/>
    <n v="42"/>
    <s v="2024"/>
  </r>
  <r>
    <d v="2024-10-14T00:00:00"/>
    <s v="Brihaspati Technologies"/>
    <s v="F2F"/>
    <s v="Corporate"/>
    <s v="IT"/>
    <s v="Madhavi"/>
    <s v="I ntroduction to Bulk orders and Gifting"/>
    <n v="30000"/>
    <n v="0"/>
    <x v="13"/>
    <x v="0"/>
    <x v="0"/>
    <s v="Cancelled"/>
    <s v="No requirement"/>
    <n v="0"/>
    <m/>
    <m/>
    <m/>
    <s v="Oct-24"/>
    <n v="42"/>
    <s v="2025"/>
  </r>
  <r>
    <d v="2024-10-14T00:00:00"/>
    <s v="Archana Travels"/>
    <s v="F2F"/>
    <s v="Corporate"/>
    <s v="Transport"/>
    <s v="Abhilash"/>
    <s v="Introduction to bulk orders"/>
    <n v="25000"/>
    <n v="0"/>
    <x v="13"/>
    <x v="0"/>
    <x v="0"/>
    <s v="Cancelled"/>
    <s v="No requirement"/>
    <n v="0"/>
    <m/>
    <m/>
    <m/>
    <s v="Oct-24"/>
    <n v="42"/>
    <s v="2025"/>
  </r>
  <r>
    <d v="2024-10-15T00:00:00"/>
    <s v="DRDO"/>
    <s v="F2F"/>
    <s v="Corporate"/>
    <s v="Defence &amp; Aerospace"/>
    <s v="Bala Sunramanyan"/>
    <s v="Delivery of CB,MB,VB,DKM on 17 October 2024 "/>
    <n v="28000"/>
    <n v="28000"/>
    <x v="8"/>
    <x v="0"/>
    <x v="1"/>
    <s v="Closed"/>
    <m/>
    <n v="0"/>
    <m/>
    <m/>
    <m/>
    <s v="Oct-24"/>
    <n v="42"/>
    <s v="2024"/>
  </r>
  <r>
    <d v="2024-10-15T00:00:00"/>
    <s v="HDFC"/>
    <s v="Call"/>
    <s v="Corporate"/>
    <s v="Banking Finance &amp; Insurance"/>
    <s v="Venkat"/>
    <s v="Delivery of CB,VB, Snacks ob 20 October 2024"/>
    <n v="0"/>
    <n v="0"/>
    <x v="8"/>
    <x v="0"/>
    <x v="1"/>
    <s v="Closed"/>
    <m/>
    <n v="0"/>
    <m/>
    <m/>
    <m/>
    <s v="Oct-24"/>
    <n v="42"/>
    <s v="2024"/>
  </r>
  <r>
    <d v="2024-10-15T00:00:00"/>
    <s v="Hive Space"/>
    <s v="F2F"/>
    <s v="Corporate"/>
    <s v="IT"/>
    <s v="Malliakrjuna"/>
    <s v="Introduction to gifting and bulk order"/>
    <n v="30000"/>
    <n v="0"/>
    <x v="13"/>
    <x v="0"/>
    <x v="0"/>
    <s v="Cancelled"/>
    <s v="Less Budget"/>
    <n v="0"/>
    <m/>
    <m/>
    <m/>
    <s v="Oct-24"/>
    <n v="42"/>
    <s v="2025"/>
  </r>
  <r>
    <d v="2024-10-15T00:00:00"/>
    <s v="Biological E Limited"/>
    <s v="Call"/>
    <s v="Corporate"/>
    <s v="Pharma"/>
    <s v="Chakrapani"/>
    <s v="Shared details of Gifting options"/>
    <n v="50000"/>
    <n v="0"/>
    <x v="13"/>
    <x v="0"/>
    <x v="0"/>
    <s v="Cancelled"/>
    <s v="Directly came for dine in in small teams"/>
    <n v="0"/>
    <m/>
    <m/>
    <m/>
    <s v="Oct-24"/>
    <n v="42"/>
    <s v="2025"/>
  </r>
  <r>
    <d v="2024-10-16T00:00:00"/>
    <s v="Travel group fron Tanjaur"/>
    <s v="Call"/>
    <s v="Travel Group"/>
    <s v="Tourism"/>
    <s v="Anabarasan"/>
    <s v="Dine in at I MAX on 17 October 2024"/>
    <n v="36000"/>
    <n v="36000"/>
    <x v="8"/>
    <x v="0"/>
    <x v="1"/>
    <s v="Closed"/>
    <m/>
    <n v="0"/>
    <m/>
    <m/>
    <m/>
    <s v="Oct-24"/>
    <n v="42"/>
    <s v="2024"/>
  </r>
  <r>
    <d v="2024-10-16T00:00:00"/>
    <s v="HDFC Bank"/>
    <s v="F2F"/>
    <s v="Corporate"/>
    <s v="Banking Finance &amp; Insurance"/>
    <s v="Praveen"/>
    <s v="Discussion and upsell of food for delivery on 20 Oct 24"/>
    <n v="402550"/>
    <n v="402550"/>
    <x v="8"/>
    <x v="0"/>
    <x v="1"/>
    <s v="Closed"/>
    <m/>
    <n v="0"/>
    <m/>
    <m/>
    <m/>
    <s v="Oct-24"/>
    <n v="42"/>
    <s v="2024"/>
  </r>
  <r>
    <d v="2024-10-16T00:00:00"/>
    <s v="Zomato"/>
    <s v="F2F"/>
    <s v="Corporate"/>
    <s v="F&amp;B Agrigator"/>
    <s v="Shubham"/>
    <s v="Discussion for food delivery on 22 OCT 2024"/>
    <n v="557702"/>
    <n v="557702"/>
    <x v="8"/>
    <x v="0"/>
    <x v="1"/>
    <s v="Closed"/>
    <m/>
    <n v="0"/>
    <m/>
    <m/>
    <m/>
    <s v="Oct-24"/>
    <n v="42"/>
    <s v="2024"/>
  </r>
  <r>
    <d v="2024-10-16T00:00:00"/>
    <s v="Mount Opera"/>
    <s v="Call"/>
    <s v="Corporate"/>
    <s v="Entertainment"/>
    <s v="Bhavya"/>
    <s v="Follow up for student food"/>
    <n v="100000"/>
    <n v="0"/>
    <x v="12"/>
    <x v="0"/>
    <x v="0"/>
    <s v="Cancelled"/>
    <m/>
    <n v="0"/>
    <m/>
    <m/>
    <m/>
    <s v="Oct-24"/>
    <n v="42"/>
    <s v="2024"/>
  </r>
  <r>
    <d v="2024-10-16T00:00:00"/>
    <s v="Preventive Pharma"/>
    <s v="F2F"/>
    <s v="Corporate"/>
    <s v="Pharma"/>
    <s v="Naresh"/>
    <s v="Introduction to bulk order"/>
    <n v="50000"/>
    <m/>
    <x v="19"/>
    <x v="0"/>
    <x v="0"/>
    <s v="Cold"/>
    <m/>
    <n v="0"/>
    <m/>
    <m/>
    <m/>
    <s v="Oct-24"/>
    <n v="42"/>
    <s v="2025"/>
  </r>
  <r>
    <d v="2024-10-17T00:00:00"/>
    <s v="HDFC"/>
    <s v="F2F"/>
    <s v="Corporate"/>
    <s v="Banking Finance &amp; Insurance"/>
    <s v="Praveen"/>
    <s v="Followup for closure"/>
    <n v="0"/>
    <n v="0"/>
    <x v="8"/>
    <x v="0"/>
    <x v="1"/>
    <s v="Closed"/>
    <m/>
    <n v="0"/>
    <m/>
    <m/>
    <m/>
    <s v="Oct-24"/>
    <n v="42"/>
    <s v="2024"/>
  </r>
  <r>
    <d v="2024-10-17T00:00:00"/>
    <s v="Intercity Transport Logistics"/>
    <s v="F2F"/>
    <s v="Corporate"/>
    <s v="Transport"/>
    <s v="Mallikarjuna"/>
    <s v="Follow up for payment"/>
    <n v="0"/>
    <n v="0"/>
    <x v="8"/>
    <x v="0"/>
    <x v="1"/>
    <s v="Closed"/>
    <m/>
    <n v="0"/>
    <m/>
    <m/>
    <m/>
    <s v="Oct-24"/>
    <n v="42"/>
    <s v="2024"/>
  </r>
  <r>
    <d v="2024-10-18T00:00:00"/>
    <s v="Delivery at Bowenpally"/>
    <s v="Call"/>
    <s v="Events"/>
    <s v="Family Group"/>
    <s v="Sarfaraz"/>
    <s v="Delivery of CB on 19 October 2024 "/>
    <n v="12000"/>
    <n v="12000"/>
    <x v="8"/>
    <x v="0"/>
    <x v="1"/>
    <s v="Closed"/>
    <m/>
    <n v="0"/>
    <m/>
    <m/>
    <m/>
    <s v="Oct-24"/>
    <n v="42"/>
    <s v="2024"/>
  </r>
  <r>
    <d v="2024-10-18T00:00:00"/>
    <s v="Delivery at Tarnaka"/>
    <s v="Call"/>
    <s v="Events"/>
    <s v="Family Group"/>
    <s v="Chandrakala"/>
    <s v="Delivery of MB and starters on 27 October 2024"/>
    <n v="35000"/>
    <n v="0"/>
    <x v="8"/>
    <x v="0"/>
    <x v="0"/>
    <s v="Cancelled"/>
    <m/>
    <n v="0"/>
    <m/>
    <m/>
    <m/>
    <s v="Oct-24"/>
    <n v="42"/>
    <s v="2024"/>
  </r>
  <r>
    <d v="2024-10-18T00:00:00"/>
    <s v="ODC at Aurora Design Institute"/>
    <s v="F2F"/>
    <s v="College"/>
    <s v="Education"/>
    <s v="Sheema"/>
    <s v="ODC Event on 25th to 27th October 2024"/>
    <n v="60000"/>
    <n v="0"/>
    <x v="8"/>
    <x v="0"/>
    <x v="0"/>
    <s v="Cancelled"/>
    <s v="Not feasible/Profitable."/>
    <n v="0"/>
    <m/>
    <m/>
    <m/>
    <s v="Oct-24"/>
    <n v="42"/>
    <s v="2024"/>
  </r>
  <r>
    <d v="2024-10-23T00:00:00"/>
    <s v="DBS "/>
    <s v="F2F"/>
    <s v="Corporate"/>
    <s v="Banking Finance &amp; Insurance"/>
    <s v="Sadhiqa"/>
    <s v="Delivery of Combo meal for 127 people on 25-11-24"/>
    <n v="46405"/>
    <n v="46405"/>
    <x v="8"/>
    <x v="0"/>
    <x v="1"/>
    <s v="Closed"/>
    <m/>
    <n v="0"/>
    <m/>
    <m/>
    <m/>
    <s v="Oct-24"/>
    <n v="43"/>
    <s v="2024"/>
  </r>
  <r>
    <d v="2024-10-23T00:00:00"/>
    <s v="Buffet Lunch at Padmaraonagar"/>
    <s v="F2F"/>
    <s v="Events"/>
    <s v="Family Group"/>
    <s v="Nazir"/>
    <s v="Buffet lunch for 120 PAX on 27 October"/>
    <n v="90000"/>
    <n v="0"/>
    <x v="8"/>
    <x v="0"/>
    <x v="0"/>
    <s v="Cancelled"/>
    <s v="Less Budget"/>
    <n v="0"/>
    <m/>
    <m/>
    <m/>
    <s v="Oct-24"/>
    <n v="43"/>
    <s v="2024"/>
  </r>
  <r>
    <d v="2024-10-23T00:00:00"/>
    <s v="Gokhana Capital Land Ataria"/>
    <s v="F2F"/>
    <s v="Corporate"/>
    <s v="F&amp;B Agrigator"/>
    <s v="Sandhya"/>
    <s v="Site visit of Cafateria "/>
    <n v="0"/>
    <n v="0"/>
    <x v="14"/>
    <x v="0"/>
    <x v="1"/>
    <s v="Closed"/>
    <m/>
    <n v="0"/>
    <m/>
    <m/>
    <m/>
    <s v="Oct-24"/>
    <n v="43"/>
    <s v="2025"/>
  </r>
  <r>
    <d v="2024-10-23T00:00:00"/>
    <s v="IIT HYD"/>
    <s v="F2F"/>
    <s v="College"/>
    <s v="Education"/>
    <s v="Anik Das"/>
    <s v="Buffet Lunch for 100 PAX on 6 November 2024"/>
    <n v="0"/>
    <n v="0"/>
    <x v="16"/>
    <x v="0"/>
    <x v="1"/>
    <s v="Closed"/>
    <m/>
    <n v="0"/>
    <m/>
    <m/>
    <m/>
    <s v="Oct-24"/>
    <n v="43"/>
    <s v="2024"/>
  </r>
  <r>
    <d v="2024-10-24T00:00:00"/>
    <s v="Azad Engineering"/>
    <s v="F2F"/>
    <s v="Corporate"/>
    <s v="Manufacturing"/>
    <s v="bharat Singh"/>
    <s v="Gift Vouchers for employees "/>
    <n v="1556000"/>
    <n v="1556000"/>
    <x v="8"/>
    <x v="0"/>
    <x v="1"/>
    <s v="Closed"/>
    <m/>
    <n v="0"/>
    <m/>
    <m/>
    <m/>
    <s v="Oct-24"/>
    <n v="43"/>
    <s v="2024"/>
  </r>
  <r>
    <d v="2024-10-24T00:00:00"/>
    <s v="Max Vision Eye Care"/>
    <s v="Call"/>
    <s v="Corporate"/>
    <s v="Healthcare"/>
    <s v="Mahendra"/>
    <s v="Dine in at secundrabad on 22 October 2024"/>
    <n v="10000"/>
    <n v="10000"/>
    <x v="8"/>
    <x v="0"/>
    <x v="1"/>
    <s v="Closed"/>
    <m/>
    <n v="0"/>
    <m/>
    <m/>
    <m/>
    <s v="Oct-24"/>
    <n v="43"/>
    <s v="2024"/>
  </r>
  <r>
    <d v="2024-10-24T00:00:00"/>
    <s v="King Research Academy"/>
    <s v="F2F"/>
    <s v="Corporate"/>
    <s v="Education"/>
    <s v="Harindar"/>
    <s v="Deliverd 30 Platinum Gift Hampers on 24 October 2024"/>
    <n v="30000"/>
    <n v="30000"/>
    <x v="8"/>
    <x v="0"/>
    <x v="1"/>
    <s v="Closed"/>
    <m/>
    <n v="0"/>
    <m/>
    <m/>
    <m/>
    <s v="Oct-24"/>
    <n v="43"/>
    <s v="2024"/>
  </r>
  <r>
    <d v="2024-10-24T00:00:00"/>
    <s v="Shrestha Organics"/>
    <s v="F2F"/>
    <s v="Corporate"/>
    <s v="Manufacturing"/>
    <s v="Renuka"/>
    <s v="Shared details of Diwali Gift Hampers"/>
    <n v="35000"/>
    <n v="0"/>
    <x v="14"/>
    <x v="0"/>
    <x v="0"/>
    <s v="Cold"/>
    <m/>
    <n v="0"/>
    <m/>
    <m/>
    <m/>
    <s v="Oct-24"/>
    <n v="43"/>
    <s v="2025"/>
  </r>
  <r>
    <d v="2024-10-25T00:00:00"/>
    <s v="Cube Highways (GMR)"/>
    <s v="F2F"/>
    <s v="Corporate"/>
    <s v="Realestate"/>
    <s v="Kiran"/>
    <s v="Buffet Lunch on 25 October"/>
    <n v="191100"/>
    <n v="191100"/>
    <x v="8"/>
    <x v="0"/>
    <x v="1"/>
    <s v="Closed"/>
    <m/>
    <n v="0"/>
    <m/>
    <m/>
    <m/>
    <s v="Oct-24"/>
    <n v="43"/>
    <s v="2024"/>
  </r>
  <r>
    <d v="2024-10-26T00:00:00"/>
    <s v="Delivery at Secundrabad"/>
    <s v="Call"/>
    <s v="Events"/>
    <s v="Family Group"/>
    <s v="Venu Gopal"/>
    <s v="Delivery of CB on 27 October 2024"/>
    <n v="25000"/>
    <n v="25000"/>
    <x v="8"/>
    <x v="0"/>
    <x v="1"/>
    <s v="Closed"/>
    <m/>
    <n v="0"/>
    <m/>
    <m/>
    <m/>
    <s v="Oct-24"/>
    <n v="43"/>
    <s v="2024"/>
  </r>
  <r>
    <d v="2024-10-27T00:00:00"/>
    <s v="Delivery at rajmundhry Railway station"/>
    <s v="Call"/>
    <s v="Corporate"/>
    <s v="Tourism"/>
    <s v="Priya Thakur"/>
    <s v="Deliverd CB &amp; VB on 27 Oct 2024"/>
    <n v="28000"/>
    <n v="28000"/>
    <x v="8"/>
    <x v="0"/>
    <x v="1"/>
    <s v="Closed"/>
    <m/>
    <n v="0"/>
    <m/>
    <m/>
    <m/>
    <s v="Oct-24"/>
    <n v="43"/>
    <s v="2024"/>
  </r>
  <r>
    <d v="2024-10-29T00:00:00"/>
    <s v="Delivery at Manikonda"/>
    <s v="Call"/>
    <s v="Events"/>
    <s v="Family Group"/>
    <s v="Surya"/>
    <s v="Delivery of CB at Manikonda on 29-10-24"/>
    <n v="7000"/>
    <n v="7000"/>
    <x v="8"/>
    <x v="0"/>
    <x v="1"/>
    <s v="Closed"/>
    <m/>
    <n v="0"/>
    <m/>
    <m/>
    <m/>
    <s v="Oct-24"/>
    <n v="44"/>
    <s v="2024"/>
  </r>
  <r>
    <d v="2024-10-29T00:00:00"/>
    <s v="Delivery at Jeive Convention Shamirpet"/>
    <s v="Call"/>
    <s v="Corporate"/>
    <s v="Events"/>
    <s v="Vyshali"/>
    <s v="Delivery of MB,VB &amp; DKM on 17 November"/>
    <n v="30000"/>
    <n v="0"/>
    <x v="16"/>
    <x v="0"/>
    <x v="0"/>
    <s v="Cancelled"/>
    <s v="Less Budget"/>
    <n v="0"/>
    <m/>
    <m/>
    <m/>
    <s v="Oct-24"/>
    <n v="44"/>
    <s v="2024"/>
  </r>
  <r>
    <d v="2024-10-29T00:00:00"/>
    <s v="Take away From Secundrabad"/>
    <s v="Call"/>
    <s v="Events"/>
    <s v="Family Group"/>
    <s v="Srinivas"/>
    <s v="Take away from secundrabad on 29 Oct 2024"/>
    <n v="25000"/>
    <n v="25000"/>
    <x v="8"/>
    <x v="0"/>
    <x v="1"/>
    <s v="Closed"/>
    <m/>
    <n v="0"/>
    <m/>
    <m/>
    <m/>
    <s v="Oct-24"/>
    <n v="44"/>
    <s v="2024"/>
  </r>
  <r>
    <d v="2024-10-29T00:00:00"/>
    <s v="Delivery at SEBLR Banglore (Compass)"/>
    <s v="Call"/>
    <s v="Corporate"/>
    <s v="F&amp;B Agrigator"/>
    <s v="Saad"/>
    <s v="New Delivery at Compass group on 30-10-24"/>
    <n v="36855"/>
    <n v="36855"/>
    <x v="8"/>
    <x v="1"/>
    <x v="1"/>
    <s v="Closed"/>
    <m/>
    <n v="0"/>
    <m/>
    <m/>
    <m/>
    <s v="Oct-24"/>
    <n v="44"/>
    <s v="2024"/>
  </r>
  <r>
    <d v="2024-10-30T00:00:00"/>
    <s v="Delivery at Begumpet"/>
    <s v="Call"/>
    <s v="Events"/>
    <s v="Family Group"/>
    <s v="Shiva Reddy"/>
    <s v="Delivery of CB on 16 Nov"/>
    <n v="20000"/>
    <n v="0"/>
    <x v="12"/>
    <x v="0"/>
    <x v="0"/>
    <s v="Cancelled"/>
    <m/>
    <n v="0"/>
    <m/>
    <m/>
    <m/>
    <s v="Oct-24"/>
    <n v="44"/>
    <s v="2024"/>
  </r>
  <r>
    <d v="2024-10-30T00:00:00"/>
    <s v="Intercity Transport Logistics"/>
    <s v="F2F"/>
    <s v="Corporate"/>
    <s v="Transport"/>
    <s v="Mallikarkjuna"/>
    <s v="Delivery of Diwali Gift Hamper"/>
    <n v="0"/>
    <n v="0"/>
    <x v="8"/>
    <x v="0"/>
    <x v="1"/>
    <s v="Closed"/>
    <m/>
    <n v="0"/>
    <m/>
    <m/>
    <m/>
    <s v="Oct-24"/>
    <n v="44"/>
    <s v="2024"/>
  </r>
  <r>
    <d v="2024-10-30T00:00:00"/>
    <s v="Ramco Cement"/>
    <s v="F2F"/>
    <s v="Corporate"/>
    <s v="FMCG"/>
    <s v="Sriram Reddy"/>
    <s v="Delivery of Diwali Gift Hamper"/>
    <n v="0"/>
    <n v="0"/>
    <x v="8"/>
    <x v="0"/>
    <x v="1"/>
    <s v="Closed"/>
    <m/>
    <n v="0"/>
    <m/>
    <m/>
    <m/>
    <s v="Oct-24"/>
    <n v="44"/>
    <s v="2024"/>
  </r>
  <r>
    <d v="2024-10-30T00:00:00"/>
    <s v="Cube Highways (GMR)"/>
    <s v="F2F"/>
    <s v="Corporate"/>
    <s v="Realestate"/>
    <s v="Reena"/>
    <s v="Delivery of Diwali Gift Hamper"/>
    <n v="0"/>
    <n v="0"/>
    <x v="8"/>
    <x v="0"/>
    <x v="1"/>
    <s v="Closed"/>
    <m/>
    <n v="0"/>
    <m/>
    <m/>
    <m/>
    <s v="Oct-24"/>
    <n v="44"/>
    <s v="2024"/>
  </r>
  <r>
    <d v="2024-10-30T00:00:00"/>
    <s v="Delivery at Kokapet"/>
    <s v="Call"/>
    <s v="Events"/>
    <s v="Family Group"/>
    <s v="Saikiran"/>
    <s v="Delivery of CB and Curries on 30-10-24"/>
    <n v="5000"/>
    <n v="5000"/>
    <x v="8"/>
    <x v="0"/>
    <x v="1"/>
    <s v="Closed"/>
    <m/>
    <n v="0"/>
    <m/>
    <m/>
    <m/>
    <s v="Oct-24"/>
    <n v="44"/>
    <s v="2024"/>
  </r>
  <r>
    <d v="2024-11-01T00:00:00"/>
    <s v="IIT HYD"/>
    <s v="Call"/>
    <s v="College"/>
    <s v="Education"/>
    <s v="Anik Das"/>
    <s v="Received advance for food delivery on 6 Nov 2024"/>
    <n v="50000"/>
    <n v="50000"/>
    <x v="16"/>
    <x v="0"/>
    <x v="1"/>
    <s v="Closed"/>
    <m/>
    <n v="0"/>
    <m/>
    <m/>
    <m/>
    <s v="Nov-24"/>
    <n v="44"/>
    <s v="2024"/>
  </r>
  <r>
    <d v="2024-11-04T00:00:00"/>
    <s v="Delivery at Vijawada railway staton"/>
    <s v="Call"/>
    <s v="Travel Group"/>
    <s v="Tourism"/>
    <s v="Karanbir"/>
    <s v="Deliverd CB at Vijawada on 4-11-24"/>
    <n v="20000"/>
    <n v="20000"/>
    <x v="16"/>
    <x v="0"/>
    <x v="1"/>
    <s v="Closed"/>
    <m/>
    <n v="0"/>
    <m/>
    <m/>
    <m/>
    <s v="Nov-24"/>
    <n v="45"/>
    <s v="2024"/>
  </r>
  <r>
    <d v="2024-11-05T00:00:00"/>
    <s v="Delivery at SEBLR Banglore (Compass)"/>
    <s v="Call"/>
    <s v="Corporate"/>
    <s v="F&amp;B Agrigator"/>
    <s v="Saad"/>
    <s v="New Delivery at Compass group on 6-11-24"/>
    <n v="36855"/>
    <n v="36855"/>
    <x v="16"/>
    <x v="1"/>
    <x v="1"/>
    <s v="Closed"/>
    <m/>
    <n v="0"/>
    <m/>
    <m/>
    <m/>
    <s v="Nov-24"/>
    <n v="45"/>
    <s v="2024"/>
  </r>
  <r>
    <d v="2024-11-06T00:00:00"/>
    <s v="Buffet lunch at Nizampet"/>
    <s v="Call"/>
    <s v="Events"/>
    <s v="Family Group"/>
    <s v="Rafi"/>
    <s v="Delivery in November 200 Pax Buffet"/>
    <n v="160000"/>
    <n v="0"/>
    <x v="16"/>
    <x v="0"/>
    <x v="0"/>
    <s v="Cancelled"/>
    <m/>
    <n v="0"/>
    <m/>
    <m/>
    <m/>
    <s v="Nov-24"/>
    <n v="45"/>
    <s v="2024"/>
  </r>
  <r>
    <d v="2024-11-06T00:00:00"/>
    <s v="Saga Events &amp; Holidays"/>
    <s v="Call"/>
    <s v="Events"/>
    <s v="Family Group"/>
    <s v="Vikram"/>
    <s v="Dine in at secundrabad on 6-11-24"/>
    <n v="15000"/>
    <n v="15000"/>
    <x v="16"/>
    <x v="0"/>
    <x v="1"/>
    <s v="Closed"/>
    <m/>
    <n v="0"/>
    <m/>
    <m/>
    <m/>
    <s v="Nov-24"/>
    <n v="45"/>
    <s v="2024"/>
  </r>
  <r>
    <d v="2024-11-06T00:00:00"/>
    <s v="Teavel Group from Nagpur"/>
    <s v="Call"/>
    <s v="Events"/>
    <s v="Family Group"/>
    <s v="Nitin"/>
    <s v="Dine in at secundrabad on 10-11-24"/>
    <n v="23800"/>
    <n v="23800"/>
    <x v="16"/>
    <x v="0"/>
    <x v="1"/>
    <s v="Closed"/>
    <m/>
    <n v="0"/>
    <m/>
    <m/>
    <m/>
    <s v="Nov-24"/>
    <n v="45"/>
    <s v="2024"/>
  </r>
  <r>
    <d v="2024-11-06T00:00:00"/>
    <s v="Kaushik Enterprise "/>
    <s v="Call"/>
    <s v="Corporate"/>
    <s v="F&amp;B Agrigator"/>
    <s v="Suresh"/>
    <s v="Delivery  of CB, MB &amp; VB at DBS on 7-11-24"/>
    <n v="29000"/>
    <n v="29000"/>
    <x v="16"/>
    <x v="0"/>
    <x v="1"/>
    <s v="Closed"/>
    <m/>
    <n v="0"/>
    <m/>
    <m/>
    <m/>
    <s v="Nov-24"/>
    <n v="45"/>
    <s v="2024"/>
  </r>
  <r>
    <d v="2024-11-07T00:00:00"/>
    <s v="DBS Waverock"/>
    <s v="Call"/>
    <s v="Corporate"/>
    <s v="IT"/>
    <s v="Bhanu"/>
    <s v="Follow up for Delivery on 28 November 2024"/>
    <n v="220000"/>
    <n v="0"/>
    <x v="12"/>
    <x v="0"/>
    <x v="0"/>
    <s v="Cancelled"/>
    <s v="Distributed amazon vouchers instead of food"/>
    <n v="0"/>
    <m/>
    <m/>
    <m/>
    <s v="Nov-24"/>
    <n v="45"/>
    <s v="2024"/>
  </r>
  <r>
    <d v="2024-11-07T00:00:00"/>
    <s v="Delivery at DBS"/>
    <s v="Call"/>
    <s v="Corporate"/>
    <s v="IT"/>
    <s v="Sadhiqua"/>
    <s v="Delivery of CB and VB Combo on 7th November"/>
    <n v="19000"/>
    <n v="19000"/>
    <x v="16"/>
    <x v="0"/>
    <x v="1"/>
    <s v="Closed"/>
    <m/>
    <n v="0"/>
    <m/>
    <m/>
    <m/>
    <s v="Nov-24"/>
    <n v="45"/>
    <s v="2024"/>
  </r>
  <r>
    <d v="2024-11-10T00:00:00"/>
    <s v="Saga Events &amp; Holidays"/>
    <s v="Call"/>
    <s v="Events"/>
    <s v="Family Group"/>
    <s v="Vikram"/>
    <s v="Delivery at secundrabad railway at 22-12-24"/>
    <n v="50000"/>
    <n v="0"/>
    <x v="12"/>
    <x v="0"/>
    <x v="0"/>
    <s v="Cancelled"/>
    <s v="Event Cancelled"/>
    <n v="0"/>
    <m/>
    <m/>
    <m/>
    <s v="Nov-24"/>
    <n v="45"/>
    <s v="2024"/>
  </r>
  <r>
    <d v="2014-11-11T00:00:00"/>
    <s v="Meditronics"/>
    <s v="F2F"/>
    <s v="Corporate"/>
    <s v="Pharma"/>
    <s v="Arif"/>
    <s v="Received advance for Delivery at NIMS Hospital on 14-11-24"/>
    <n v="40500"/>
    <n v="40500"/>
    <x v="16"/>
    <x v="0"/>
    <x v="1"/>
    <s v="Closed"/>
    <m/>
    <n v="0"/>
    <m/>
    <m/>
    <m/>
    <s v="Nov-14"/>
    <n v="46"/>
    <s v="2024"/>
  </r>
  <r>
    <d v="2024-11-11T00:00:00"/>
    <s v="Delivery at DBS"/>
    <s v="Call"/>
    <s v="Corporate"/>
    <s v="IT"/>
    <s v="Sadhiqua"/>
    <s v="Delivery of CB and VB Combo on 9th November"/>
    <n v="7000"/>
    <n v="7000"/>
    <x v="16"/>
    <x v="0"/>
    <x v="1"/>
    <s v="Closed"/>
    <m/>
    <n v="0"/>
    <m/>
    <m/>
    <m/>
    <s v="Nov-24"/>
    <n v="46"/>
    <s v="2024"/>
  </r>
  <r>
    <d v="2024-11-11T00:00:00"/>
    <s v="Inductive Quotent"/>
    <s v="F2F"/>
    <s v="Corporate"/>
    <s v="IT"/>
    <s v="Ramaiah"/>
    <s v="Introduction to bulk order and delivery"/>
    <n v="0"/>
    <n v="0"/>
    <x v="14"/>
    <x v="0"/>
    <x v="0"/>
    <s v="Cold"/>
    <m/>
    <n v="0"/>
    <m/>
    <m/>
    <m/>
    <s v="Nov-24"/>
    <n v="46"/>
    <s v="2025"/>
  </r>
  <r>
    <d v="2024-11-12T00:00:00"/>
    <s v="Delivery at SEBLR Banglore (Compass)"/>
    <s v="Call"/>
    <s v="Corporate"/>
    <s v="F&amp;B Agrigator"/>
    <s v="Saad"/>
    <s v="New Delivery at Compass group on 13-11-24"/>
    <n v="36855"/>
    <n v="36855"/>
    <x v="16"/>
    <x v="1"/>
    <x v="1"/>
    <s v="Closed"/>
    <m/>
    <n v="0"/>
    <m/>
    <m/>
    <m/>
    <s v="Nov-24"/>
    <n v="46"/>
    <s v="2024"/>
  </r>
  <r>
    <d v="2024-11-12T00:00:00"/>
    <s v="Delivery at Compass Group Bangalore"/>
    <s v="Call"/>
    <s v="Corporate"/>
    <s v="F&amp;B Agrigator"/>
    <s v="Pankaj"/>
    <s v="Delivery of Special CB &amp; MB Handi on 13-11- 2024"/>
    <n v="65000"/>
    <n v="65000"/>
    <x v="16"/>
    <x v="1"/>
    <x v="1"/>
    <s v="Closed"/>
    <m/>
    <n v="0"/>
    <m/>
    <m/>
    <m/>
    <s v="Nov-24"/>
    <n v="46"/>
    <s v="2024"/>
  </r>
  <r>
    <d v="2024-11-12T00:00:00"/>
    <s v="Dil Luminati Event"/>
    <s v="Call"/>
    <s v="Corporate"/>
    <s v="Concert"/>
    <s v="Avinash"/>
    <s v="Participating in the event on 15-11-24"/>
    <n v="220000"/>
    <n v="0"/>
    <x v="16"/>
    <x v="0"/>
    <x v="0"/>
    <s v="Cancelled"/>
    <m/>
    <n v="0"/>
    <m/>
    <m/>
    <m/>
    <s v="Nov-24"/>
    <n v="46"/>
    <s v="2024"/>
  </r>
  <r>
    <d v="2014-11-12T00:00:00"/>
    <s v="Exponential AI"/>
    <s v="F2F"/>
    <s v="Corporate"/>
    <s v="IT"/>
    <s v="Jasmin"/>
    <s v="Follow up for new ODC"/>
    <n v="35000"/>
    <n v="0"/>
    <x v="14"/>
    <x v="0"/>
    <x v="0"/>
    <s v="Cold"/>
    <m/>
    <n v="0"/>
    <m/>
    <m/>
    <m/>
    <s v="Nov-14"/>
    <n v="46"/>
    <s v="2025"/>
  </r>
  <r>
    <d v="2024-11-13T00:00:00"/>
    <s v="Dil Luminati Event"/>
    <s v="F2F"/>
    <s v="Public Event"/>
    <s v="Concert"/>
    <s v="Avinash"/>
    <s v="Not participating in the event "/>
    <n v="220000"/>
    <n v="0"/>
    <x v="16"/>
    <x v="0"/>
    <x v="0"/>
    <s v="Cancelled"/>
    <s v="operationally not feaisable"/>
    <n v="0"/>
    <m/>
    <m/>
    <m/>
    <s v="Nov-24"/>
    <n v="46"/>
    <s v="2024"/>
  </r>
  <r>
    <d v="2024-11-13T00:00:00"/>
    <s v="GMR Arena Cube Highways"/>
    <s v="F2F"/>
    <s v="Corporate"/>
    <s v="Realestate"/>
    <s v="Reena"/>
    <s v="Deliverd CB &amp; MB on 13-11-24"/>
    <n v="2400"/>
    <n v="2400"/>
    <x v="16"/>
    <x v="0"/>
    <x v="1"/>
    <s v="Closed"/>
    <m/>
    <n v="0"/>
    <m/>
    <m/>
    <m/>
    <s v="Nov-24"/>
    <n v="46"/>
    <s v="2024"/>
  </r>
  <r>
    <d v="2024-11-14T00:00:00"/>
    <s v="Delivery at Sec Railway station"/>
    <s v="F2F"/>
    <s v="Corporate"/>
    <s v="Tourism"/>
    <s v="Alnoor chandani"/>
    <s v="Delivery of CB on 19-11-24 at Secbad Station"/>
    <n v="8900"/>
    <n v="8900"/>
    <x v="16"/>
    <x v="0"/>
    <x v="1"/>
    <s v="Closed"/>
    <m/>
    <n v="0"/>
    <m/>
    <m/>
    <m/>
    <s v="Nov-24"/>
    <n v="46"/>
    <s v="2024"/>
  </r>
  <r>
    <d v="2024-11-14T00:00:00"/>
    <s v="NIMS Hospital"/>
    <s v="F2F"/>
    <s v="Corporate"/>
    <s v="Healthcare"/>
    <s v="Arif"/>
    <s v="Delivery and discussion for further orders"/>
    <n v="25000"/>
    <n v="0"/>
    <x v="14"/>
    <x v="0"/>
    <x v="0"/>
    <s v="Hot"/>
    <m/>
    <n v="0"/>
    <m/>
    <m/>
    <m/>
    <s v="Nov-24"/>
    <n v="46"/>
    <s v="2025"/>
  </r>
  <r>
    <d v="2024-11-14T00:00:00"/>
    <s v="Shejal Global Holidays"/>
    <s v="F2F"/>
    <s v="Corporate"/>
    <s v="Tourism"/>
    <s v="Shoibhindar"/>
    <s v="Discussion in regards with food for travellers"/>
    <n v="40000"/>
    <n v="0"/>
    <x v="14"/>
    <x v="0"/>
    <x v="0"/>
    <s v="Hot"/>
    <m/>
    <n v="0"/>
    <m/>
    <m/>
    <m/>
    <s v="Nov-24"/>
    <n v="46"/>
    <s v="2025"/>
  </r>
  <r>
    <d v="2024-11-17T00:00:00"/>
    <s v="Delivery at Mount Opera Amusement Park"/>
    <s v="F2F"/>
    <s v="Corporate"/>
    <s v="Amusement"/>
    <s v="Bhavya"/>
    <s v="Deliverd 830 CB On 18-11-24"/>
    <n v="84600"/>
    <n v="84600"/>
    <x v="16"/>
    <x v="0"/>
    <x v="1"/>
    <s v="Closed"/>
    <m/>
    <n v="0"/>
    <m/>
    <m/>
    <m/>
    <s v="Nov-24"/>
    <n v="46"/>
    <s v="2024"/>
  </r>
  <r>
    <d v="2024-11-18T00:00:00"/>
    <s v="Nalla Malla Engineering College"/>
    <s v="F2F"/>
    <s v="College"/>
    <s v="Education"/>
    <s v="Sneha Nalla"/>
    <s v="Introduction to bulk orders"/>
    <n v="0"/>
    <n v="0"/>
    <x v="14"/>
    <x v="0"/>
    <x v="0"/>
    <s v="Cold"/>
    <m/>
    <n v="0"/>
    <m/>
    <m/>
    <m/>
    <s v="Nov-24"/>
    <n v="47"/>
    <s v="2025"/>
  </r>
  <r>
    <d v="2024-11-18T00:00:00"/>
    <s v="Priest Association From Milan, Italy"/>
    <s v="F2F"/>
    <s v="Corporate"/>
    <s v="Church"/>
    <s v="Loudu Xavier"/>
    <s v="Advance received for buffet lunch on 20-11-24"/>
    <n v="40000"/>
    <n v="40000"/>
    <x v="16"/>
    <x v="0"/>
    <x v="1"/>
    <s v="Closed"/>
    <m/>
    <n v="0"/>
    <m/>
    <m/>
    <m/>
    <s v="Nov-24"/>
    <n v="47"/>
    <s v="2024"/>
  </r>
  <r>
    <d v="2024-11-18T00:00:00"/>
    <s v="Woxen College"/>
    <s v="Call"/>
    <s v="College"/>
    <s v="Education"/>
    <s v="Ankit Sharma"/>
    <s v="Discussion in regards with event on 30-11-24"/>
    <n v="50000"/>
    <n v="0"/>
    <x v="12"/>
    <x v="0"/>
    <x v="0"/>
    <s v="Cancelled"/>
    <s v="Not Profitable"/>
    <n v="0"/>
    <m/>
    <m/>
    <m/>
    <s v="Nov-24"/>
    <n v="47"/>
    <s v="2024"/>
  </r>
  <r>
    <d v="2024-11-18T00:00:00"/>
    <s v="St Francis College Begumpet"/>
    <s v="F2F"/>
    <s v="College"/>
    <s v="Education"/>
    <s v="Shirin"/>
    <s v="Discussion in regards with event on 29-11-24"/>
    <n v="40000"/>
    <n v="0"/>
    <x v="12"/>
    <x v="0"/>
    <x v="0"/>
    <s v="Cancelled"/>
    <s v="Not Profitable"/>
    <n v="0"/>
    <m/>
    <m/>
    <m/>
    <s v="Nov-24"/>
    <n v="47"/>
    <s v="2024"/>
  </r>
  <r>
    <d v="2024-11-18T00:00:00"/>
    <s v="ICFAI Business School"/>
    <s v="Call"/>
    <s v="College"/>
    <s v="Education"/>
    <s v="Aastha Thakur"/>
    <s v="Discussion in regards with event in December"/>
    <n v="50000"/>
    <n v="0"/>
    <x v="12"/>
    <x v="0"/>
    <x v="0"/>
    <s v="Cancelled"/>
    <s v="Not Profitable"/>
    <n v="0"/>
    <m/>
    <m/>
    <m/>
    <s v="Nov-24"/>
    <n v="47"/>
    <s v="2024"/>
  </r>
  <r>
    <d v="2024-11-19T00:00:00"/>
    <s v="FCCSA"/>
    <s v="Call"/>
    <s v="Corporate"/>
    <s v="Exhibition"/>
    <s v="Venkat"/>
    <s v="Discussion in regards with complementary biryani"/>
    <n v="0"/>
    <n v="0"/>
    <x v="16"/>
    <x v="0"/>
    <x v="1"/>
    <s v="Closed"/>
    <m/>
    <n v="0"/>
    <m/>
    <m/>
    <m/>
    <s v="Nov-24"/>
    <n v="47"/>
    <s v="2024"/>
  </r>
  <r>
    <d v="2024-11-19T00:00:00"/>
    <s v="Delivery at SEBLR Banglore (Compass)"/>
    <s v="Call"/>
    <s v="Corporate"/>
    <s v="F&amp;B Agrigator"/>
    <s v="Saad"/>
    <s v="New Delivery at Compass group on 20-11-24"/>
    <n v="36855"/>
    <n v="36855"/>
    <x v="16"/>
    <x v="1"/>
    <x v="1"/>
    <s v="Closed"/>
    <m/>
    <n v="0"/>
    <m/>
    <m/>
    <m/>
    <s v="Nov-24"/>
    <n v="47"/>
    <s v="2024"/>
  </r>
  <r>
    <d v="2024-11-19T00:00:00"/>
    <s v="Axis Clinicals"/>
    <s v="F2F"/>
    <s v="Corporate"/>
    <s v="Pharma"/>
    <s v="Anusha"/>
    <s v="Introduction to bulk orders and gifting"/>
    <n v="0"/>
    <n v="0"/>
    <x v="14"/>
    <x v="0"/>
    <x v="0"/>
    <s v="Cold"/>
    <m/>
    <n v="0"/>
    <m/>
    <m/>
    <m/>
    <s v="Nov-24"/>
    <n v="47"/>
    <s v="2025"/>
  </r>
  <r>
    <d v="2024-11-19T00:00:00"/>
    <s v="Haldirams"/>
    <s v="Call"/>
    <s v="Corporate"/>
    <s v="F&amp;B Agrigator"/>
    <s v="Deva"/>
    <s v="Introduction to buffet lunch "/>
    <n v="0"/>
    <n v="0"/>
    <x v="14"/>
    <x v="0"/>
    <x v="0"/>
    <s v="Cold"/>
    <m/>
    <n v="0"/>
    <m/>
    <m/>
    <m/>
    <s v="Nov-24"/>
    <n v="47"/>
    <s v="2025"/>
  </r>
  <r>
    <d v="2024-11-20T00:00:00"/>
    <s v="Mount opera Amusement Park"/>
    <s v="Call"/>
    <s v="Corporate"/>
    <s v="Entertainment"/>
    <s v="Bhavya"/>
    <s v="Discussion in regards with food for guest"/>
    <n v="0"/>
    <n v="0"/>
    <x v="16"/>
    <x v="0"/>
    <x v="1"/>
    <s v="Closed"/>
    <m/>
    <n v="0"/>
    <m/>
    <m/>
    <m/>
    <s v="Nov-24"/>
    <n v="47"/>
    <s v="2024"/>
  </r>
  <r>
    <d v="2024-11-21T00:00:00"/>
    <s v="Bijli Rides"/>
    <s v="F2F"/>
    <s v="Corporate"/>
    <s v="Transport"/>
    <s v="Shivam"/>
    <s v="Follow up for business"/>
    <n v="30000"/>
    <n v="0"/>
    <x v="14"/>
    <x v="0"/>
    <x v="0"/>
    <s v="Cold"/>
    <m/>
    <n v="0"/>
    <m/>
    <m/>
    <m/>
    <s v="Nov-24"/>
    <n v="47"/>
    <s v="2025"/>
  </r>
  <r>
    <d v="2024-11-21T00:00:00"/>
    <s v="Rishi Jr College"/>
    <s v="Call"/>
    <s v="College"/>
    <s v="Education"/>
    <s v="Babul"/>
    <s v="Follow up for orders"/>
    <n v="25000"/>
    <n v="0"/>
    <x v="14"/>
    <x v="0"/>
    <x v="0"/>
    <s v="Cancelled"/>
    <s v="Event Cancelled"/>
    <n v="0"/>
    <m/>
    <m/>
    <m/>
    <s v="Nov-24"/>
    <n v="47"/>
    <s v="2025"/>
  </r>
  <r>
    <d v="2024-11-21T00:00:00"/>
    <s v="Woxen College"/>
    <s v="Call"/>
    <s v="College"/>
    <s v="Education"/>
    <s v="Ankit Sharma"/>
    <s v="Discussion in regards with event on 14-12-24"/>
    <n v="50000"/>
    <n v="0"/>
    <x v="12"/>
    <x v="0"/>
    <x v="0"/>
    <s v="Cancelled"/>
    <s v="Not Profitable,more rent"/>
    <n v="0"/>
    <m/>
    <m/>
    <m/>
    <s v="Nov-24"/>
    <n v="47"/>
    <s v="2024"/>
  </r>
  <r>
    <d v="2024-11-22T00:00:00"/>
    <s v="Mount opera Amusement Park"/>
    <s v="F2F"/>
    <s v="Corporate"/>
    <s v="Entertainment"/>
    <s v="Bhavya"/>
    <s v="delivery of CB on 24-11-24"/>
    <n v="65000"/>
    <n v="65000"/>
    <x v="16"/>
    <x v="0"/>
    <x v="1"/>
    <s v="Closed"/>
    <m/>
    <n v="0"/>
    <m/>
    <m/>
    <m/>
    <s v="Nov-24"/>
    <n v="47"/>
    <s v="2024"/>
  </r>
  <r>
    <d v="2024-11-22T00:00:00"/>
    <s v="Weddding event at Ghatkesar"/>
    <s v="F2F"/>
    <s v="Events"/>
    <s v="Family Group"/>
    <s v="Vedha"/>
    <s v="Buffet dinner for 300 people on 11-12-24"/>
    <n v="0"/>
    <n v="0"/>
    <x v="12"/>
    <x v="0"/>
    <x v="0"/>
    <s v="Cancelled"/>
    <m/>
    <n v="0"/>
    <m/>
    <m/>
    <m/>
    <s v="Nov-24"/>
    <n v="47"/>
    <s v="2024"/>
  </r>
  <r>
    <d v="2024-11-22T00:00:00"/>
    <s v="Medha Traction Equipments "/>
    <s v="F2F"/>
    <s v="Corporate"/>
    <s v="Manufacturing"/>
    <s v="Varshit Reddy"/>
    <s v="Introduction to bulk deliveries"/>
    <n v="0"/>
    <n v="0"/>
    <x v="15"/>
    <x v="0"/>
    <x v="0"/>
    <s v="Cancelled"/>
    <s v="Outside food not allowed in campus"/>
    <n v="0"/>
    <m/>
    <m/>
    <m/>
    <s v="Nov-24"/>
    <n v="47"/>
    <s v="2025"/>
  </r>
  <r>
    <d v="2024-11-22T00:00:00"/>
    <s v="MSN LABS"/>
    <s v="F2F"/>
    <s v="Corporate"/>
    <s v="Pharma"/>
    <s v="Satyanarayana"/>
    <s v="Amount received for delivery of Biryani kits in NOV"/>
    <n v="3111894"/>
    <n v="3111894"/>
    <x v="16"/>
    <x v="0"/>
    <x v="1"/>
    <s v="Closed"/>
    <m/>
    <n v="0"/>
    <m/>
    <m/>
    <m/>
    <s v="Nov-24"/>
    <n v="47"/>
    <s v="2024"/>
  </r>
  <r>
    <d v="2024-11-25T00:00:00"/>
    <s v="Roush Pharma"/>
    <s v="F2F"/>
    <s v="Corporate"/>
    <s v="Pharma"/>
    <s v="Shubendu"/>
    <s v="Delivery of VB on 26-11-24 from padmaraonagar "/>
    <n v="14685"/>
    <n v="14685"/>
    <x v="16"/>
    <x v="0"/>
    <x v="1"/>
    <s v="Closed"/>
    <m/>
    <n v="0"/>
    <m/>
    <m/>
    <m/>
    <s v="Nov-24"/>
    <n v="48"/>
    <s v="2024"/>
  </r>
  <r>
    <d v="2024-11-25T00:00:00"/>
    <s v="Take away from muthangi"/>
    <s v="Call"/>
    <s v="Events"/>
    <s v="Family Group"/>
    <s v="Hanumanth"/>
    <s v="Take away of CB on 26-11-24"/>
    <n v="5500"/>
    <n v="5500"/>
    <x v="16"/>
    <x v="0"/>
    <x v="1"/>
    <s v="Closed"/>
    <m/>
    <n v="0"/>
    <m/>
    <m/>
    <m/>
    <s v="Nov-24"/>
    <n v="48"/>
    <s v="2024"/>
  </r>
  <r>
    <d v="2024-11-25T00:00:00"/>
    <s v="Weddding event at Ghatkesar"/>
    <s v="F2F"/>
    <s v="Events"/>
    <s v="Family Group"/>
    <s v="Vedha"/>
    <s v="Buffet dinner for 300 people on 11-12-24"/>
    <n v="250000"/>
    <n v="0"/>
    <x v="12"/>
    <x v="0"/>
    <x v="0"/>
    <s v="Cancelled"/>
    <s v="Less Budget"/>
    <n v="0"/>
    <m/>
    <m/>
    <m/>
    <s v="Nov-24"/>
    <n v="48"/>
    <s v="2024"/>
  </r>
  <r>
    <d v="2024-11-25T00:00:00"/>
    <s v="Vagdevi School Mallapur"/>
    <s v="F2F"/>
    <s v="School"/>
    <s v="Education"/>
    <s v="Srinivas"/>
    <s v="Introduction to food delivery"/>
    <n v="0"/>
    <n v="0"/>
    <x v="14"/>
    <x v="0"/>
    <x v="0"/>
    <s v="Cancelled"/>
    <s v="No requirement"/>
    <n v="0"/>
    <m/>
    <m/>
    <m/>
    <s v="Nov-24"/>
    <n v="48"/>
    <s v="2025"/>
  </r>
  <r>
    <d v="2024-11-26T00:00:00"/>
    <s v="Mettuguda Church"/>
    <s v="F2F"/>
    <s v="Corporate"/>
    <s v="Events"/>
    <s v="Gladson"/>
    <s v="Followup "/>
    <n v="30000"/>
    <n v="0"/>
    <x v="14"/>
    <x v="0"/>
    <x v="0"/>
    <s v="Cancelled"/>
    <s v="No requirement"/>
    <n v="0"/>
    <m/>
    <m/>
    <m/>
    <s v="Nov-24"/>
    <n v="48"/>
    <s v="2025"/>
  </r>
  <r>
    <d v="2024-11-26T00:00:00"/>
    <s v="Preventive Pharma"/>
    <s v="F2F"/>
    <s v="Corporate"/>
    <s v="Pharma"/>
    <s v="Prasad"/>
    <s v="followup for gifting order"/>
    <n v="50000"/>
    <n v="0"/>
    <x v="13"/>
    <x v="0"/>
    <x v="0"/>
    <s v="Cancelled"/>
    <s v="No requirement"/>
    <n v="0"/>
    <m/>
    <m/>
    <m/>
    <s v="Nov-24"/>
    <n v="48"/>
    <s v="2025"/>
  </r>
  <r>
    <d v="2024-11-26T00:00:00"/>
    <s v="Delivery at SEBLR Banglore (Compass)"/>
    <s v="Call"/>
    <s v="Corporate"/>
    <s v="F&amp;B Agrigator"/>
    <s v="Saad"/>
    <s v="New Delivery at Compass group on 27-11-24"/>
    <n v="0"/>
    <n v="0"/>
    <x v="16"/>
    <x v="1"/>
    <x v="1"/>
    <s v="Closed"/>
    <m/>
    <n v="0"/>
    <m/>
    <m/>
    <m/>
    <s v="Nov-24"/>
    <n v="48"/>
    <s v="2024"/>
  </r>
  <r>
    <d v="2024-11-26T00:00:00"/>
    <s v="Delivery at Compass Group Bangalore"/>
    <s v="Call"/>
    <s v="Corporate"/>
    <s v="F&amp;B Agrigator"/>
    <s v="Pankaj"/>
    <s v="Delivery of Special CB &amp; MB Handi on 13-11- 2024"/>
    <n v="0"/>
    <n v="0"/>
    <x v="16"/>
    <x v="1"/>
    <x v="1"/>
    <s v="Closed"/>
    <m/>
    <n v="0"/>
    <m/>
    <m/>
    <m/>
    <s v="Nov-24"/>
    <n v="48"/>
    <s v="2024"/>
  </r>
  <r>
    <d v="2024-11-27T00:00:00"/>
    <s v="Kirby Building Technology"/>
    <s v="F2F"/>
    <s v="Corporate"/>
    <s v="IT"/>
    <s v="Naveen"/>
    <s v="Shared proposal for bulk orders , given first order for 12 Nov 2023"/>
    <n v="20000"/>
    <n v="0"/>
    <x v="12"/>
    <x v="0"/>
    <x v="0"/>
    <s v="Cancelled"/>
    <m/>
    <n v="0"/>
    <m/>
    <m/>
    <m/>
    <s v="Nov-24"/>
    <n v="48"/>
    <s v="2024"/>
  </r>
  <r>
    <d v="2024-11-27T00:00:00"/>
    <s v="Littl Amigos School"/>
    <s v="F2F"/>
    <s v="School"/>
    <s v="Education"/>
    <s v="Nikita (Principal)"/>
    <s v="Introduced about bakery items and ODC, Looking for bakery items "/>
    <n v="10000"/>
    <n v="0"/>
    <x v="12"/>
    <x v="0"/>
    <x v="0"/>
    <s v="Cancelled"/>
    <m/>
    <n v="0"/>
    <m/>
    <m/>
    <m/>
    <s v="Nov-24"/>
    <n v="48"/>
    <s v="2024"/>
  </r>
  <r>
    <d v="2024-11-27T00:00:00"/>
    <s v="Saga Events &amp; Holidays"/>
    <s v="F2F"/>
    <s v="Corporate"/>
    <s v="Events"/>
    <s v="Bishal"/>
    <s v="Shared quote for dine in at secbad"/>
    <n v="40000"/>
    <n v="0"/>
    <x v="12"/>
    <x v="0"/>
    <x v="0"/>
    <s v="Cancelled"/>
    <m/>
    <n v="0"/>
    <m/>
    <m/>
    <m/>
    <s v="Nov-24"/>
    <n v="48"/>
    <s v="2024"/>
  </r>
  <r>
    <d v="2024-11-27T00:00:00"/>
    <s v="Platos"/>
    <s v="F2F"/>
    <s v="Corporate"/>
    <s v="F&amp;B Agrigator"/>
    <s v="Rohan"/>
    <s v="Delivery of CB and VB on December 2024"/>
    <n v="30000"/>
    <n v="0"/>
    <x v="12"/>
    <x v="0"/>
    <x v="0"/>
    <s v="Cancelled"/>
    <m/>
    <n v="0"/>
    <m/>
    <m/>
    <m/>
    <s v="Nov-24"/>
    <n v="48"/>
    <s v="2024"/>
  </r>
  <r>
    <d v="2024-11-27T00:00:00"/>
    <s v="Mount opera"/>
    <s v="F2F"/>
    <s v="Corporate"/>
    <s v="Tourism"/>
    <s v="Bhavya"/>
    <s v="Supply of Biryani for students on 1-12-24"/>
    <n v="130000"/>
    <n v="130000"/>
    <x v="12"/>
    <x v="0"/>
    <x v="1"/>
    <s v="Closed"/>
    <m/>
    <n v="0"/>
    <m/>
    <m/>
    <m/>
    <s v="Nov-24"/>
    <n v="48"/>
    <s v="2024"/>
  </r>
  <r>
    <d v="2024-11-27T00:00:00"/>
    <s v="Isthara "/>
    <s v="F2F"/>
    <s v="Corporate"/>
    <s v="F&amp;B Agrigator"/>
    <s v="Sumit"/>
    <s v="Discussion in regards with corporate counter and Gifting"/>
    <n v="50000"/>
    <n v="0"/>
    <x v="12"/>
    <x v="0"/>
    <x v="0"/>
    <s v="Cancelled"/>
    <m/>
    <n v="0"/>
    <m/>
    <m/>
    <m/>
    <s v="Nov-24"/>
    <n v="48"/>
    <s v="2024"/>
  </r>
  <r>
    <d v="2024-11-28T00:00:00"/>
    <s v="Buffet Dinner at hitech"/>
    <s v="Call"/>
    <s v="Corporate"/>
    <s v="F&amp;B Agrigator"/>
    <s v="Nitin"/>
    <s v="Buffet dinner on 7-12-24"/>
    <n v="54000"/>
    <n v="0"/>
    <x v="12"/>
    <x v="0"/>
    <x v="0"/>
    <s v="Cancelled"/>
    <m/>
    <n v="0"/>
    <m/>
    <m/>
    <m/>
    <s v="Nov-24"/>
    <n v="48"/>
    <s v="2024"/>
  </r>
  <r>
    <d v="2024-11-28T00:00:00"/>
    <s v="Baba Pan Material Company"/>
    <s v="Call"/>
    <s v="Corporate"/>
    <s v="FMCG"/>
    <s v="Ramesh"/>
    <s v="Buffet dinner and bulk orders"/>
    <n v="0"/>
    <n v="0"/>
    <x v="20"/>
    <x v="0"/>
    <x v="0"/>
    <s v="Cancelled"/>
    <m/>
    <n v="0"/>
    <s v="Corporate Order"/>
    <m/>
    <m/>
    <s v="Nov-24"/>
    <n v="48"/>
    <s v="2025"/>
  </r>
  <r>
    <d v="2024-11-28T00:00:00"/>
    <s v="Value Mart"/>
    <s v="Call"/>
    <s v="Corporate"/>
    <s v="Retail"/>
    <s v="Sravan"/>
    <s v="Food stall at value mart at nacharam"/>
    <n v="50000"/>
    <n v="0"/>
    <x v="12"/>
    <x v="0"/>
    <x v="0"/>
    <s v="Cancelled"/>
    <m/>
    <n v="0"/>
    <m/>
    <m/>
    <m/>
    <s v="Nov-24"/>
    <n v="48"/>
    <s v="2024"/>
  </r>
  <r>
    <d v="2024-11-30T00:00:00"/>
    <s v="MSN Labs"/>
    <s v="Call"/>
    <s v="Corporate"/>
    <s v="Pharma"/>
    <s v="Satya"/>
    <s v="Delivery of Biryani Kits"/>
    <n v="3116706"/>
    <n v="3116706"/>
    <x v="16"/>
    <x v="0"/>
    <x v="1"/>
    <s v="Closed"/>
    <m/>
    <n v="0"/>
    <m/>
    <m/>
    <m/>
    <s v="Nov-24"/>
    <n v="48"/>
    <s v="2024"/>
  </r>
  <r>
    <d v="2024-12-01T00:00:00"/>
    <s v="Take Away From Suncity"/>
    <s v="Call"/>
    <s v="Events"/>
    <s v="Family Group"/>
    <s v="Abbas"/>
    <s v="Take away from sun city on 01-12-24"/>
    <n v="10000"/>
    <n v="10000"/>
    <x v="12"/>
    <x v="0"/>
    <x v="1"/>
    <s v="Closed"/>
    <m/>
    <n v="0"/>
    <m/>
    <m/>
    <m/>
    <s v="Dec-24"/>
    <n v="48"/>
    <s v="2024"/>
  </r>
  <r>
    <d v="2024-12-02T00:00:00"/>
    <s v="Kaveri Seeds"/>
    <s v="F2F"/>
    <s v="Corporate"/>
    <s v="Agritech"/>
    <s v="Sriram Reddy"/>
    <s v="Shared Proposal of snacks and lunch for 200 employees in december"/>
    <n v="50000"/>
    <n v="0"/>
    <x v="12"/>
    <x v="0"/>
    <x v="0"/>
    <s v="Cancelled"/>
    <m/>
    <n v="0"/>
    <m/>
    <m/>
    <m/>
    <s v="Dec-24"/>
    <n v="49"/>
    <s v="2024"/>
  </r>
  <r>
    <d v="2024-12-02T00:00:00"/>
    <s v="Santa Maria"/>
    <s v="F2F"/>
    <s v="School "/>
    <s v="Education"/>
    <s v="Srinivas"/>
    <s v="300 pax lunch on 11-12-24"/>
    <n v="80000"/>
    <n v="0"/>
    <x v="12"/>
    <x v="0"/>
    <x v="0"/>
    <s v="Cancelled"/>
    <m/>
    <n v="0"/>
    <m/>
    <m/>
    <m/>
    <s v="Dec-24"/>
    <n v="49"/>
    <s v="2024"/>
  </r>
  <r>
    <d v="2024-12-02T00:00:00"/>
    <s v="Rainbow Hospitals"/>
    <s v="F2F"/>
    <s v="Corporate"/>
    <s v="Healthcare"/>
    <s v="Uday Rao"/>
    <s v="Introduction to food delivery for doctors"/>
    <n v="30000"/>
    <n v="0"/>
    <x v="13"/>
    <x v="0"/>
    <x v="0"/>
    <s v="Cancelled"/>
    <s v="event postponed"/>
    <n v="0"/>
    <m/>
    <m/>
    <m/>
    <s v="Dec-24"/>
    <n v="49"/>
    <s v="2025"/>
  </r>
  <r>
    <d v="2024-12-03T00:00:00"/>
    <s v="MSN Labs"/>
    <s v="F2F"/>
    <s v="Corporate"/>
    <s v="Pharma"/>
    <s v="Sandeep"/>
    <s v="Follow Up for payment and further orders"/>
    <n v="0"/>
    <n v="0"/>
    <x v="12"/>
    <x v="0"/>
    <x v="1"/>
    <s v="Closed"/>
    <m/>
    <n v="0"/>
    <m/>
    <m/>
    <m/>
    <s v="Dec-24"/>
    <n v="49"/>
    <s v="2024"/>
  </r>
  <r>
    <d v="2024-12-03T00:00:00"/>
    <s v="Sarojni Devi Eye Hospital"/>
    <s v="F2F"/>
    <s v="Corporate"/>
    <s v="Healthcare"/>
    <s v="Ashok"/>
    <s v="Delivery of CB &amp; DKM on 5 Dec for 100 Doctors"/>
    <n v="40000"/>
    <n v="4000"/>
    <x v="12"/>
    <x v="0"/>
    <x v="1"/>
    <s v="Closed"/>
    <m/>
    <n v="0"/>
    <m/>
    <m/>
    <m/>
    <s v="Dec-24"/>
    <n v="49"/>
    <s v="2024"/>
  </r>
  <r>
    <d v="2024-12-03T00:00:00"/>
    <s v="Santa Maria"/>
    <s v="F2F"/>
    <s v="School"/>
    <s v="Education"/>
    <s v="Srinivas"/>
    <s v="Delivery of food samples and introduced to gifting"/>
    <n v="0"/>
    <n v="0"/>
    <x v="12"/>
    <x v="0"/>
    <x v="1"/>
    <s v="Closed"/>
    <m/>
    <n v="0"/>
    <m/>
    <m/>
    <m/>
    <s v="Dec-24"/>
    <n v="49"/>
    <s v="2024"/>
  </r>
  <r>
    <d v="2024-12-04T00:00:00"/>
    <s v="Delivery at SEBLR Banglore (Compass)"/>
    <s v="Call"/>
    <s v="Corporate"/>
    <s v="F&amp;B Agrigator"/>
    <s v="Saad"/>
    <s v="New Delivery at Compass group on 5-12-24"/>
    <n v="33351"/>
    <n v="33351"/>
    <x v="12"/>
    <x v="1"/>
    <x v="1"/>
    <s v="Closed"/>
    <m/>
    <n v="0"/>
    <m/>
    <m/>
    <m/>
    <s v="Dec-24"/>
    <n v="49"/>
    <s v="2024"/>
  </r>
  <r>
    <d v="2024-12-04T00:00:00"/>
    <s v="Santa Maria"/>
    <s v="F2F"/>
    <s v="School "/>
    <s v="Education"/>
    <s v="Srinivas"/>
    <s v="300 pax Dinner on 14 &amp; 15 December"/>
    <n v="120000"/>
    <n v="120000"/>
    <x v="12"/>
    <x v="0"/>
    <x v="1"/>
    <s v="Closed"/>
    <m/>
    <n v="0"/>
    <m/>
    <m/>
    <m/>
    <s v="Dec-24"/>
    <n v="49"/>
    <s v="2024"/>
  </r>
  <r>
    <d v="2024-12-04T00:00:00"/>
    <s v="Events at Necklace road"/>
    <s v="F2F"/>
    <s v="Events"/>
    <s v="F&amp;B Agrigator"/>
    <s v="Pasha"/>
    <s v="Food stall on 7-12-24"/>
    <n v="0"/>
    <n v="0"/>
    <x v="12"/>
    <x v="0"/>
    <x v="1"/>
    <s v="Closed"/>
    <m/>
    <n v="0"/>
    <m/>
    <m/>
    <m/>
    <s v="Dec-24"/>
    <n v="49"/>
    <s v="2024"/>
  </r>
  <r>
    <d v="2024-12-04T00:00:00"/>
    <s v="Cognizant Technology Solutions"/>
    <s v="F2F"/>
    <s v="Corporate"/>
    <s v="IT"/>
    <s v="Anil"/>
    <s v="Dine in at Gachabowli on 13-12-24"/>
    <n v="43000"/>
    <n v="43000"/>
    <x v="12"/>
    <x v="0"/>
    <x v="1"/>
    <s v="Closed"/>
    <m/>
    <n v="0"/>
    <m/>
    <m/>
    <m/>
    <s v="Dec-24"/>
    <n v="49"/>
    <s v="2024"/>
  </r>
  <r>
    <d v="2024-12-05T00:00:00"/>
    <s v="Nampally Exhibition"/>
    <s v="F2F"/>
    <s v="Corporate"/>
    <s v="Exhibition"/>
    <s v="B Prabha Shankar"/>
    <s v="Stall need to be sublet for sale of Biryani"/>
    <n v="2000000"/>
    <n v="0"/>
    <x v="14"/>
    <x v="0"/>
    <x v="0"/>
    <s v="Cancelled"/>
    <s v="Not Profitable "/>
    <n v="0"/>
    <m/>
    <m/>
    <m/>
    <s v="Dec-24"/>
    <n v="49"/>
    <s v="2025"/>
  </r>
  <r>
    <d v="2024-12-05T00:00:00"/>
    <s v="Delivery at Secundrabad"/>
    <s v="F2F"/>
    <s v="Events"/>
    <s v="Family Group"/>
    <s v="Anitha"/>
    <s v="Delivery of VB on 5-12-24"/>
    <n v="9000"/>
    <n v="9000"/>
    <x v="12"/>
    <x v="0"/>
    <x v="1"/>
    <s v="Closed"/>
    <m/>
    <n v="0"/>
    <m/>
    <m/>
    <m/>
    <s v="Dec-24"/>
    <n v="49"/>
    <s v="2024"/>
  </r>
  <r>
    <d v="2024-12-05T00:00:00"/>
    <s v="Popup Events on Necklace Road"/>
    <s v="F2F"/>
    <s v="Events"/>
    <s v="F&amp;B Agrigator"/>
    <s v="Pasha"/>
    <s v="Popup counter on 7-12-24"/>
    <n v="6000"/>
    <n v="6000"/>
    <x v="12"/>
    <x v="0"/>
    <x v="1"/>
    <s v="Closed"/>
    <m/>
    <n v="0"/>
    <m/>
    <m/>
    <m/>
    <s v="Dec-24"/>
    <n v="49"/>
    <s v="2024"/>
  </r>
  <r>
    <d v="2024-12-06T00:00:00"/>
    <s v="Popup Events at Necklace Road"/>
    <s v="F2F"/>
    <s v="Events"/>
    <s v="F&amp;B Agrigator"/>
    <s v="Pasha"/>
    <s v="Popup counter on 8-12-25"/>
    <n v="13000"/>
    <n v="13000"/>
    <x v="12"/>
    <x v="0"/>
    <x v="1"/>
    <s v="Closed"/>
    <m/>
    <n v="0"/>
    <m/>
    <m/>
    <m/>
    <s v="Dec-24"/>
    <n v="49"/>
    <s v="2024"/>
  </r>
  <r>
    <d v="2024-12-06T00:00:00"/>
    <s v="Delivery at Compass Group Gachibowli"/>
    <s v="Call"/>
    <s v="Corporate"/>
    <s v="F&amp;B Agrigator"/>
    <s v="Krishna "/>
    <s v="Delivery of Food on 5-12-24"/>
    <n v="21000"/>
    <n v="21000"/>
    <x v="12"/>
    <x v="0"/>
    <x v="1"/>
    <s v="Closed"/>
    <m/>
    <n v="0"/>
    <m/>
    <m/>
    <m/>
    <s v="Dec-24"/>
    <n v="49"/>
    <s v="2024"/>
  </r>
  <r>
    <d v="2024-12-06T00:00:00"/>
    <s v="Coforge"/>
    <s v="Call"/>
    <s v="Corporate"/>
    <s v="IT"/>
    <s v="Mahesh"/>
    <s v="Take away from Gachabowli on 5-12-24"/>
    <n v="13500"/>
    <n v="13500"/>
    <x v="12"/>
    <x v="0"/>
    <x v="1"/>
    <s v="Closed"/>
    <m/>
    <n v="0"/>
    <m/>
    <m/>
    <m/>
    <s v="Dec-24"/>
    <n v="49"/>
    <s v="2024"/>
  </r>
  <r>
    <d v="2024-12-08T00:00:00"/>
    <s v="Delivery at Mount Opera Amusement Park"/>
    <s v="Call"/>
    <s v="Corporate"/>
    <s v="Entertainment"/>
    <s v="Bhavya"/>
    <s v="Delivery of CB &amp; MB on 08-12-24"/>
    <n v="38000"/>
    <n v="38000"/>
    <x v="12"/>
    <x v="0"/>
    <x v="1"/>
    <s v="Closed"/>
    <m/>
    <n v="0"/>
    <m/>
    <m/>
    <m/>
    <s v="Dec-24"/>
    <n v="49"/>
    <s v="2024"/>
  </r>
  <r>
    <d v="2024-12-09T00:00:00"/>
    <s v="Popup Events at Necklace Road"/>
    <s v="F2F"/>
    <s v="Events"/>
    <s v="F&amp;B Agrigator"/>
    <s v="Pasha"/>
    <s v="Popup counter on 9-12-25"/>
    <n v="5347"/>
    <n v="5347"/>
    <x v="12"/>
    <x v="0"/>
    <x v="1"/>
    <s v="Closed"/>
    <m/>
    <n v="0"/>
    <m/>
    <m/>
    <m/>
    <s v="Dec-24"/>
    <n v="50"/>
    <s v="2024"/>
  </r>
  <r>
    <d v="2024-12-09T00:00:00"/>
    <s v="HSBC"/>
    <s v="F2F"/>
    <s v="Corporate"/>
    <s v="Banking Finance &amp; Insurance"/>
    <s v="Sai Satya"/>
    <s v="Delivery of Combo on 11-12-24"/>
    <n v="18000"/>
    <n v="18000"/>
    <x v="12"/>
    <x v="0"/>
    <x v="1"/>
    <s v="Closed"/>
    <m/>
    <n v="0"/>
    <m/>
    <m/>
    <m/>
    <s v="Dec-24"/>
    <n v="50"/>
    <s v="2024"/>
  </r>
  <r>
    <d v="2024-12-09T00:00:00"/>
    <s v="Amara Raja Battries"/>
    <s v="F2F"/>
    <s v="Corporate"/>
    <s v="Manufacturing"/>
    <s v="Ravi Kumar"/>
    <s v="Delivery of CB on 10-12-24"/>
    <n v="9800"/>
    <n v="9800"/>
    <x v="12"/>
    <x v="0"/>
    <x v="1"/>
    <s v="Closed"/>
    <m/>
    <n v="0"/>
    <m/>
    <m/>
    <m/>
    <s v="Dec-24"/>
    <n v="50"/>
    <s v="2024"/>
  </r>
  <r>
    <d v="2024-12-10T00:00:00"/>
    <s v="Gachibowli Church"/>
    <s v="F2F"/>
    <s v="Corporate"/>
    <s v="Community"/>
    <s v="Arthur"/>
    <s v="Sampling of plum cakes for christmas"/>
    <n v="300000"/>
    <n v="0"/>
    <x v="12"/>
    <x v="0"/>
    <x v="0"/>
    <s v="Cancelled"/>
    <m/>
    <n v="0"/>
    <m/>
    <m/>
    <m/>
    <s v="Dec-24"/>
    <n v="50"/>
    <s v="2024"/>
  </r>
  <r>
    <d v="2024-12-10T00:00:00"/>
    <s v="Cognizant DLF"/>
    <s v="F2F"/>
    <s v="Corporate"/>
    <s v="IT"/>
    <s v="Animesh"/>
    <s v="Follow up for bulk orders"/>
    <n v="0"/>
    <n v="0"/>
    <x v="13"/>
    <x v="0"/>
    <x v="0"/>
    <s v="Cancelled"/>
    <m/>
    <n v="0"/>
    <m/>
    <m/>
    <m/>
    <s v="Dec-24"/>
    <n v="50"/>
    <s v="2025"/>
  </r>
  <r>
    <d v="2024-12-10T00:00:00"/>
    <s v="Cyient Limited"/>
    <s v="F2F"/>
    <s v="Corporate"/>
    <s v="IT"/>
    <s v="Amit Goyal"/>
    <s v="Follow up for Bulk orders"/>
    <n v="0"/>
    <n v="0"/>
    <x v="13"/>
    <x v="0"/>
    <x v="0"/>
    <s v="Cancelled"/>
    <m/>
    <n v="0"/>
    <m/>
    <m/>
    <m/>
    <s v="Dec-24"/>
    <n v="50"/>
    <s v="2025"/>
  </r>
  <r>
    <d v="2024-12-11T00:00:00"/>
    <s v="Delivery at SEBLR Banglore (Compass)"/>
    <s v="Call"/>
    <s v="Corporate"/>
    <s v="F&amp;B Agrigator"/>
    <s v="Saad"/>
    <s v="New Delivery at Compass group on 11-12-24"/>
    <n v="38256"/>
    <n v="38256"/>
    <x v="12"/>
    <x v="1"/>
    <x v="1"/>
    <s v="Closed"/>
    <m/>
    <n v="0"/>
    <m/>
    <m/>
    <m/>
    <s v="Dec-24"/>
    <n v="50"/>
    <s v="2024"/>
  </r>
  <r>
    <d v="2024-12-11T00:00:00"/>
    <s v="Delivery at Compass Group Bangalore"/>
    <s v="Call"/>
    <s v="Corporate"/>
    <s v="F&amp;B Agrigator"/>
    <s v="Pankaj"/>
    <s v="Delivery of Special CB &amp; MB Handi on 13-11- 2024"/>
    <n v="68000"/>
    <n v="68000"/>
    <x v="12"/>
    <x v="1"/>
    <x v="1"/>
    <s v="Closed"/>
    <m/>
    <n v="0"/>
    <m/>
    <m/>
    <m/>
    <s v="Dec-24"/>
    <n v="50"/>
    <s v="2024"/>
  </r>
  <r>
    <d v="2024-12-11T00:00:00"/>
    <s v="Gachibowli Church"/>
    <s v="F2F"/>
    <s v="Corporate"/>
    <s v="Community"/>
    <s v="Karunakar"/>
    <s v="Sampling of customised plum cake"/>
    <n v="0"/>
    <n v="0"/>
    <x v="12"/>
    <x v="0"/>
    <x v="0"/>
    <s v="Cancelled"/>
    <m/>
    <n v="0"/>
    <m/>
    <m/>
    <m/>
    <s v="Dec-24"/>
    <n v="50"/>
    <s v="2024"/>
  </r>
  <r>
    <d v="2024-12-12T00:00:00"/>
    <s v="Delivery at Kukatpally"/>
    <s v="F2F"/>
    <s v="Corporate"/>
    <s v="Community"/>
    <s v="Prasad"/>
    <s v="Delivery of 5000 Biryani on 15-12-24"/>
    <n v="700000"/>
    <n v="0"/>
    <x v="12"/>
    <x v="0"/>
    <x v="0"/>
    <s v="Cancelled"/>
    <s v="Event Cancelled"/>
    <n v="0"/>
    <m/>
    <m/>
    <m/>
    <s v="Dec-24"/>
    <n v="50"/>
    <s v="2024"/>
  </r>
  <r>
    <d v="2024-12-12T00:00:00"/>
    <s v="BHEL Church"/>
    <s v="F2F"/>
    <s v="Corporate"/>
    <s v="Community"/>
    <s v="Vinay"/>
    <s v="Follow up fpor closure"/>
    <n v="0"/>
    <n v="0"/>
    <x v="12"/>
    <x v="0"/>
    <x v="1"/>
    <s v="Closed"/>
    <m/>
    <n v="0"/>
    <m/>
    <m/>
    <m/>
    <s v="Dec-24"/>
    <n v="50"/>
    <s v="2024"/>
  </r>
  <r>
    <d v="2024-12-13T00:00:00"/>
    <s v="United Church"/>
    <s v="F2F"/>
    <s v="Corporate"/>
    <s v="Community"/>
    <s v="Daniel"/>
    <s v="Follow up for Biryani order for 20-12-24"/>
    <n v="200000"/>
    <n v="0"/>
    <x v="12"/>
    <x v="0"/>
    <x v="0"/>
    <s v="Cancelled"/>
    <s v="Cooking Internally"/>
    <n v="0"/>
    <m/>
    <m/>
    <m/>
    <s v="Dec-24"/>
    <n v="50"/>
    <s v="2024"/>
  </r>
  <r>
    <d v="2024-12-14T00:00:00"/>
    <s v="Travel group from Amravati"/>
    <s v="F2F"/>
    <s v="Corporate"/>
    <s v="Exhibition"/>
    <s v="Sailesh"/>
    <s v="delivery of VB at Hitex on 17&amp;18 December"/>
    <n v="20000"/>
    <n v="20000"/>
    <x v="12"/>
    <x v="0"/>
    <x v="1"/>
    <s v="Closed"/>
    <m/>
    <n v="0"/>
    <m/>
    <m/>
    <m/>
    <s v="Dec-24"/>
    <n v="50"/>
    <s v="2024"/>
  </r>
  <r>
    <d v="2024-12-14T00:00:00"/>
    <s v="Delivery at RTC"/>
    <s v="Call"/>
    <s v="Events"/>
    <s v="Family Group"/>
    <s v="Jessie"/>
    <s v="Delivery of CB at RTC on 15-12-2024"/>
    <n v="8000"/>
    <n v="8000"/>
    <x v="12"/>
    <x v="0"/>
    <x v="1"/>
    <s v="Closed"/>
    <m/>
    <n v="0"/>
    <m/>
    <m/>
    <m/>
    <s v="Dec-24"/>
    <n v="50"/>
    <s v="2024"/>
  </r>
  <r>
    <d v="2024-12-15T00:00:00"/>
    <s v="Delivery at Mount Opera Amusement Park"/>
    <s v="Call"/>
    <s v="Corporate"/>
    <s v="Entertainment"/>
    <s v="Bhavya"/>
    <s v="Delivery of CB &amp; MB on 15-12-24"/>
    <n v="89600"/>
    <n v="89600"/>
    <x v="12"/>
    <x v="0"/>
    <x v="1"/>
    <s v="Closed"/>
    <m/>
    <n v="0"/>
    <m/>
    <m/>
    <m/>
    <s v="Dec-24"/>
    <n v="50"/>
    <s v="2024"/>
  </r>
  <r>
    <d v="2024-12-16T00:00:00"/>
    <s v="JDA"/>
    <s v="F2F"/>
    <s v="Corporate"/>
    <s v="IT"/>
    <s v="Archana"/>
    <s v="Delivery of MB on 21-12-2024"/>
    <n v="15000"/>
    <n v="0"/>
    <x v="12"/>
    <x v="0"/>
    <x v="0"/>
    <s v="Cancelled"/>
    <m/>
    <n v="0"/>
    <m/>
    <m/>
    <m/>
    <s v="Dec-24"/>
    <n v="51"/>
    <s v="2024"/>
  </r>
  <r>
    <d v="2024-12-16T00:00:00"/>
    <s v="Scanta Maria"/>
    <s v="F2F"/>
    <s v="School"/>
    <s v="Education"/>
    <s v="Srinivas"/>
    <s v="Delivery of plum cakes in december"/>
    <n v="50000"/>
    <n v="0"/>
    <x v="12"/>
    <x v="0"/>
    <x v="0"/>
    <s v="Cancelled"/>
    <s v="We don’t have eggless plum cake"/>
    <n v="0"/>
    <m/>
    <m/>
    <m/>
    <s v="Dec-24"/>
    <n v="51"/>
    <s v="2024"/>
  </r>
  <r>
    <d v="2024-12-16T00:00:00"/>
    <s v="Dum Hyderabad"/>
    <s v="Call"/>
    <s v="Events"/>
    <s v="F&amp;B Agrigator"/>
    <s v="Hannah"/>
    <s v="Event on 20-12-24"/>
    <n v="15000"/>
    <n v="0"/>
    <x v="12"/>
    <x v="0"/>
    <x v="0"/>
    <s v="Cancelled"/>
    <m/>
    <n v="0"/>
    <m/>
    <m/>
    <m/>
    <s v="Dec-24"/>
    <n v="51"/>
    <s v="2024"/>
  </r>
  <r>
    <d v="2024-12-17T00:00:00"/>
    <s v="BHEL Church"/>
    <s v="F2F"/>
    <s v="Corporate"/>
    <s v="Community"/>
    <s v="Vinay"/>
    <s v="Collected advance 80,000/-"/>
    <n v="151500"/>
    <n v="151500"/>
    <x v="12"/>
    <x v="0"/>
    <x v="1"/>
    <s v="Closed"/>
    <m/>
    <n v="0"/>
    <m/>
    <m/>
    <m/>
    <s v="Dec-24"/>
    <n v="51"/>
    <s v="2024"/>
  </r>
  <r>
    <d v="2024-12-17T00:00:00"/>
    <s v="Cube Highways (GMR)"/>
    <s v="Call"/>
    <s v="Corporate"/>
    <s v="Realestate"/>
    <s v="Reena"/>
    <s v="Bakery items for snacks"/>
    <n v="12000"/>
    <n v="0"/>
    <x v="12"/>
    <x v="0"/>
    <x v="0"/>
    <s v="Cancelled"/>
    <s v="Less Budget"/>
    <n v="0"/>
    <m/>
    <m/>
    <m/>
    <s v="Dec-24"/>
    <n v="51"/>
    <s v="2024"/>
  </r>
  <r>
    <d v="2024-12-17T00:00:00"/>
    <s v="K Fintech"/>
    <s v="F2F"/>
    <s v="Corporate"/>
    <s v="Realestate"/>
    <s v="Praneeth"/>
    <s v="Shared details of gifting and team lunch"/>
    <n v="0"/>
    <m/>
    <x v="19"/>
    <x v="0"/>
    <x v="0"/>
    <s v="Cold"/>
    <m/>
    <n v="0"/>
    <m/>
    <m/>
    <m/>
    <s v="Dec-24"/>
    <n v="51"/>
    <s v="2025"/>
  </r>
  <r>
    <d v="2024-12-18T00:00:00"/>
    <s v="Suven life Sciences"/>
    <s v="F2F"/>
    <s v="Corporate"/>
    <s v="Pharma"/>
    <s v=" Suman"/>
    <s v="shared details of bulk delivery and team lunch"/>
    <n v="0"/>
    <n v="0"/>
    <x v="13"/>
    <x v="0"/>
    <x v="0"/>
    <s v="Cancelled"/>
    <m/>
    <n v="0"/>
    <m/>
    <m/>
    <m/>
    <s v="Dec-24"/>
    <n v="51"/>
    <s v="2025"/>
  </r>
  <r>
    <d v="2024-12-18T00:00:00"/>
    <s v="Sai Life Sciences"/>
    <s v="F2F"/>
    <s v="Corporate"/>
    <s v="Pharma"/>
    <s v="Rajendra Prasad"/>
    <s v="Follow up for bulk orders"/>
    <n v="30000"/>
    <m/>
    <x v="19"/>
    <x v="0"/>
    <x v="0"/>
    <s v="Cold"/>
    <m/>
    <n v="0"/>
    <m/>
    <m/>
    <m/>
    <s v="Dec-24"/>
    <n v="51"/>
    <s v="2025"/>
  </r>
  <r>
    <d v="2024-12-18T00:00:00"/>
    <s v="Standard Life Sciences"/>
    <s v="F2F"/>
    <s v="Corporate"/>
    <s v="Pharma"/>
    <s v="Venkat"/>
    <s v="Introduction to bulk delivery"/>
    <n v="0"/>
    <n v="0"/>
    <x v="13"/>
    <x v="0"/>
    <x v="0"/>
    <s v="Cancelled"/>
    <m/>
    <n v="0"/>
    <m/>
    <m/>
    <m/>
    <s v="Dec-24"/>
    <n v="51"/>
    <s v="2025"/>
  </r>
  <r>
    <d v="2024-12-19T00:00:00"/>
    <s v="D150"/>
    <s v="F2F"/>
    <s v="Corporate"/>
    <s v="F&amp;B Agrigator"/>
    <s v="Hannah"/>
    <s v="Site visit for event on 20-12-2024"/>
    <n v="0"/>
    <n v="0"/>
    <x v="12"/>
    <x v="0"/>
    <x v="1"/>
    <s v="Closed"/>
    <m/>
    <n v="0"/>
    <m/>
    <m/>
    <m/>
    <s v="Dec-24"/>
    <n v="51"/>
    <s v="2024"/>
  </r>
  <r>
    <d v="2024-12-19T00:00:00"/>
    <s v="Delivery at Malakpet"/>
    <s v="Call"/>
    <s v="Events"/>
    <s v="Family Group"/>
    <s v="Anusha"/>
    <s v="delivery of MB on 21-12-24"/>
    <n v="12000"/>
    <n v="12000"/>
    <x v="12"/>
    <x v="0"/>
    <x v="1"/>
    <s v="Closed"/>
    <m/>
    <n v="0"/>
    <m/>
    <m/>
    <m/>
    <s v="Dec-24"/>
    <n v="51"/>
    <s v="2024"/>
  </r>
  <r>
    <d v="2024-12-19T00:00:00"/>
    <s v="Pure o Natural"/>
    <s v="Call"/>
    <s v="Corporate"/>
    <s v="F&amp;B Agrigator"/>
    <s v="Tushar"/>
    <s v="Delivery of Bakery items in January"/>
    <n v="50000"/>
    <n v="0"/>
    <x v="13"/>
    <x v="0"/>
    <x v="0"/>
    <s v="Cancelled"/>
    <s v="Less Budget"/>
    <n v="0"/>
    <m/>
    <m/>
    <m/>
    <s v="Dec-24"/>
    <n v="51"/>
    <s v="2025"/>
  </r>
  <r>
    <d v="2024-12-20T00:00:00"/>
    <s v="Take away from kukatpally"/>
    <s v="Call"/>
    <s v="Tourist Group"/>
    <s v="Tourism"/>
    <s v="Santosh"/>
    <s v="Take away of MB on 31-12-24"/>
    <n v="30000"/>
    <n v="0"/>
    <x v="12"/>
    <x v="0"/>
    <x v="0"/>
    <s v="Cancelled"/>
    <s v="Cancelled due to long distance , Karnataka"/>
    <n v="0"/>
    <m/>
    <m/>
    <m/>
    <s v="Dec-24"/>
    <n v="51"/>
    <s v="2024"/>
  </r>
  <r>
    <d v="2024-12-20T00:00:00"/>
    <s v="D150"/>
    <s v="F2F"/>
    <s v="Corporate"/>
    <s v="F&amp;B Agrigator"/>
    <s v="Hannah"/>
    <s v="Brand awarness event of Dum December"/>
    <n v="800"/>
    <n v="800"/>
    <x v="12"/>
    <x v="0"/>
    <x v="1"/>
    <s v="Closed"/>
    <m/>
    <n v="0"/>
    <m/>
    <m/>
    <m/>
    <s v="Dec-24"/>
    <n v="51"/>
    <s v="2024"/>
  </r>
  <r>
    <d v="2024-12-20T00:00:00"/>
    <s v="Delivery at Secundrabad Station"/>
    <s v="Call"/>
    <s v="Corporate"/>
    <s v="Tourism"/>
    <s v="Rahul"/>
    <s v="Wonderla Group from amravati on 20-12-2024"/>
    <n v="16000"/>
    <n v="16000"/>
    <x v="12"/>
    <x v="0"/>
    <x v="1"/>
    <s v="Closed"/>
    <m/>
    <n v="0"/>
    <m/>
    <m/>
    <m/>
    <s v="Dec-24"/>
    <n v="51"/>
    <s v="2024"/>
  </r>
  <r>
    <d v="2024-12-21T00:00:00"/>
    <s v="IPE Alumini Meet"/>
    <s v="F2F"/>
    <s v="College"/>
    <s v="Education"/>
    <s v="Moorthi"/>
    <s v="Shared contacts and Catering options for college"/>
    <n v="0"/>
    <n v="0"/>
    <x v="14"/>
    <x v="0"/>
    <x v="1"/>
    <s v="Closed"/>
    <m/>
    <n v="0"/>
    <m/>
    <m/>
    <m/>
    <s v="Dec-24"/>
    <n v="51"/>
    <s v="2025"/>
  </r>
  <r>
    <d v="2024-12-21T00:00:00"/>
    <s v="Event at Prestige High Fields"/>
    <s v="Call"/>
    <s v="Corporate"/>
    <s v="Exhibition"/>
    <s v="Aswin"/>
    <s v="Event on 22-12-24"/>
    <n v="12000"/>
    <n v="12000"/>
    <x v="12"/>
    <x v="0"/>
    <x v="1"/>
    <s v="Closed"/>
    <m/>
    <n v="0"/>
    <m/>
    <m/>
    <m/>
    <s v="Dec-24"/>
    <n v="51"/>
    <s v="2024"/>
  </r>
  <r>
    <d v="2024-12-22T00:00:00"/>
    <s v="Delivery at Novotel"/>
    <s v="Call"/>
    <s v="Corporate"/>
    <s v="F&amp;B Agrigator"/>
    <s v="Rakesh"/>
    <s v="Delivery of CB on 22-12-24"/>
    <n v="60000"/>
    <n v="60000"/>
    <x v="12"/>
    <x v="0"/>
    <x v="1"/>
    <s v="Closed"/>
    <m/>
    <n v="0"/>
    <m/>
    <m/>
    <m/>
    <s v="Dec-24"/>
    <n v="51"/>
    <s v="2024"/>
  </r>
  <r>
    <d v="2024-12-22T00:00:00"/>
    <s v="Delivery at Westn hotels on 29-12-24"/>
    <s v="F2F"/>
    <s v="Corporate"/>
    <s v="F&amp;B Agrigator"/>
    <s v="Samba Siva Rao"/>
    <s v="Delivery of CB &amp; MB on 29-12-24"/>
    <n v="37000"/>
    <n v="37000"/>
    <x v="12"/>
    <x v="0"/>
    <x v="1"/>
    <s v="Closed"/>
    <m/>
    <n v="0"/>
    <m/>
    <m/>
    <m/>
    <s v="Dec-24"/>
    <n v="51"/>
    <s v="2024"/>
  </r>
  <r>
    <d v="2024-12-23T00:00:00"/>
    <s v="JCNM Church"/>
    <s v="F2F"/>
    <s v="Church"/>
    <s v="Community"/>
    <s v="Daniel Pramod"/>
    <s v="Discussion regarding Agreement and delivery"/>
    <n v="0"/>
    <n v="0"/>
    <x v="12"/>
    <x v="0"/>
    <x v="1"/>
    <s v="Closed"/>
    <m/>
    <n v="0"/>
    <m/>
    <m/>
    <m/>
    <s v="Dec-24"/>
    <n v="52"/>
    <s v="2024"/>
  </r>
  <r>
    <d v="2024-12-23T00:00:00"/>
    <s v="Delivery at Begumpet"/>
    <s v="Call"/>
    <s v="Events"/>
    <s v="Family Group"/>
    <s v="Arshad Ali"/>
    <s v="Declivey of CB &amp; VB on 24-12-24"/>
    <n v="12000"/>
    <n v="12000"/>
    <x v="12"/>
    <x v="0"/>
    <x v="1"/>
    <s v="Closed"/>
    <m/>
    <n v="0"/>
    <m/>
    <m/>
    <m/>
    <s v="Dec-24"/>
    <n v="52"/>
    <s v="2024"/>
  </r>
  <r>
    <d v="2024-12-23T00:00:00"/>
    <s v="Delivery of Plum Cakes to United Church"/>
    <s v="F2F"/>
    <s v="Church"/>
    <s v="Community"/>
    <s v="Arthur Praveen"/>
    <s v="Delivery of Plum Cakes on 19-12-24"/>
    <n v="2000"/>
    <n v="2000"/>
    <x v="12"/>
    <x v="0"/>
    <x v="1"/>
    <s v="Closed"/>
    <m/>
    <n v="0"/>
    <m/>
    <m/>
    <m/>
    <s v="Dec-24"/>
    <n v="52"/>
    <s v="2024"/>
  </r>
  <r>
    <d v="2024-12-25T00:00:00"/>
    <s v="ODC at Rampally Church"/>
    <s v="F2F"/>
    <s v="Church"/>
    <s v="Community"/>
    <s v="Vijay"/>
    <s v="ODC sale of plum cake on 25-12-24"/>
    <n v="12139"/>
    <n v="12139"/>
    <x v="12"/>
    <x v="0"/>
    <x v="1"/>
    <s v="Closed"/>
    <m/>
    <n v="0"/>
    <m/>
    <m/>
    <m/>
    <s v="Dec-24"/>
    <n v="52"/>
    <s v="2024"/>
  </r>
  <r>
    <d v="2024-12-25T00:00:00"/>
    <s v="JCNM Church"/>
    <s v="F2F"/>
    <s v="Church"/>
    <s v="Community"/>
    <s v="Daniel Pramod"/>
    <s v="Delivery of special Boiryani on 25-12-24"/>
    <n v="3081646"/>
    <n v="3081646"/>
    <x v="12"/>
    <x v="0"/>
    <x v="1"/>
    <s v="Closed"/>
    <m/>
    <n v="0"/>
    <m/>
    <m/>
    <m/>
    <s v="Dec-24"/>
    <n v="52"/>
    <s v="2024"/>
  </r>
  <r>
    <d v="2024-12-25T00:00:00"/>
    <s v="MSN Labs"/>
    <s v="Call"/>
    <s v="Corporate"/>
    <s v="Pharma"/>
    <s v="Satya"/>
    <s v="Delivery of Biryani Kits in Jan"/>
    <n v="2800000"/>
    <n v="2800000"/>
    <x v="14"/>
    <x v="0"/>
    <x v="1"/>
    <s v="Closed"/>
    <m/>
    <n v="0"/>
    <m/>
    <m/>
    <m/>
    <s v="Dec-24"/>
    <n v="52"/>
    <s v="2025"/>
  </r>
  <r>
    <d v="2024-12-26T00:00:00"/>
    <s v="JDA Software"/>
    <s v="F2F"/>
    <s v="Corporate"/>
    <s v="IT"/>
    <s v="Archana"/>
    <s v="Delivery of biryani &amp; Kababs on 28-12-24"/>
    <n v="15840"/>
    <n v="15840"/>
    <x v="12"/>
    <x v="0"/>
    <x v="1"/>
    <s v="Closed"/>
    <m/>
    <n v="0"/>
    <m/>
    <m/>
    <m/>
    <s v="Dec-24"/>
    <n v="52"/>
    <s v="2024"/>
  </r>
  <r>
    <d v="2024-12-26T00:00:00"/>
    <s v="Vasavi Brundavanam Gated Community"/>
    <s v="F2F"/>
    <s v="Corporate"/>
    <s v="Realestate"/>
    <s v="Pavan"/>
    <s v="ODC on 31-12-24"/>
    <n v="33000"/>
    <n v="33000"/>
    <x v="12"/>
    <x v="0"/>
    <x v="1"/>
    <s v="Closed"/>
    <m/>
    <n v="0"/>
    <m/>
    <m/>
    <m/>
    <s v="Dec-24"/>
    <n v="52"/>
    <s v="2024"/>
  </r>
  <r>
    <d v="2024-12-26T00:00:00"/>
    <s v="Brigade Citadel Gated Community"/>
    <s v="F2F"/>
    <s v="Corporate"/>
    <s v="Realestate"/>
    <s v="Srinivas"/>
    <s v="ODC on 31-12-24"/>
    <n v="35000"/>
    <n v="0"/>
    <x v="12"/>
    <x v="0"/>
    <x v="0"/>
    <s v="Cancelled"/>
    <s v="Providing free buffet so not profitable"/>
    <n v="0"/>
    <m/>
    <m/>
    <m/>
    <s v="Dec-24"/>
    <n v="52"/>
    <s v="2024"/>
  </r>
  <r>
    <d v="2024-12-26T00:00:00"/>
    <s v="Oakwood School Nagole"/>
    <s v="F2F"/>
    <s v="School"/>
    <s v="Education"/>
    <s v="sharda"/>
    <s v="ODC on 28-12-24"/>
    <n v="8000"/>
    <n v="8000"/>
    <x v="12"/>
    <x v="0"/>
    <x v="1"/>
    <s v="Closed"/>
    <m/>
    <n v="0"/>
    <m/>
    <m/>
    <m/>
    <s v="Dec-24"/>
    <n v="52"/>
    <s v="2024"/>
  </r>
  <r>
    <d v="2024-12-26T00:00:00"/>
    <s v="Delivery at MG Road"/>
    <s v="Call"/>
    <s v="Events"/>
    <s v="Family Group"/>
    <s v="Padam"/>
    <s v="Delivery of CB on 25-12-24"/>
    <n v="7900"/>
    <n v="7900"/>
    <x v="12"/>
    <x v="0"/>
    <x v="1"/>
    <s v="Closed"/>
    <m/>
    <n v="0"/>
    <m/>
    <m/>
    <m/>
    <s v="Dec-24"/>
    <n v="52"/>
    <s v="2024"/>
  </r>
  <r>
    <d v="2024-12-26T00:00:00"/>
    <s v="Delivery from Sarat City Mall"/>
    <s v="Call"/>
    <s v="Events"/>
    <s v="Family Group"/>
    <s v="Vijay"/>
    <s v="Delivery of CB Handi on 25-12-24"/>
    <n v="16798"/>
    <n v="16798"/>
    <x v="12"/>
    <x v="0"/>
    <x v="1"/>
    <s v="Closed"/>
    <m/>
    <n v="0"/>
    <m/>
    <m/>
    <m/>
    <s v="Dec-24"/>
    <n v="52"/>
    <s v="2024"/>
  </r>
  <r>
    <d v="2024-12-26T00:00:00"/>
    <s v="Delivery at RTC"/>
    <s v="Call"/>
    <s v="Events"/>
    <s v="Family Group"/>
    <s v="Rajesh"/>
    <s v="Delivery of CB on 25-12-24"/>
    <n v="8214"/>
    <n v="8214"/>
    <x v="12"/>
    <x v="0"/>
    <x v="1"/>
    <s v="Closed"/>
    <m/>
    <n v="0"/>
    <m/>
    <m/>
    <m/>
    <s v="Dec-24"/>
    <n v="52"/>
    <s v="2024"/>
  </r>
  <r>
    <d v="2024-12-26T00:00:00"/>
    <s v="Dine in at Rampally"/>
    <s v="Call"/>
    <s v="Events"/>
    <s v="Family Group"/>
    <s v="Ganesh"/>
    <s v="Family dine in on 25-12-24"/>
    <n v="7454"/>
    <n v="7454"/>
    <x v="12"/>
    <x v="0"/>
    <x v="1"/>
    <s v="Closed"/>
    <m/>
    <n v="0"/>
    <m/>
    <m/>
    <m/>
    <s v="Dec-24"/>
    <n v="52"/>
    <s v="2024"/>
  </r>
  <r>
    <d v="2024-12-26T00:00:00"/>
    <s v="Delivery at inorbit"/>
    <s v="Call"/>
    <s v="Events"/>
    <s v="Family Group"/>
    <s v="Niladri"/>
    <s v="Take Away on 25-12-24"/>
    <n v="4225"/>
    <n v="4225"/>
    <x v="12"/>
    <x v="0"/>
    <x v="1"/>
    <s v="Closed"/>
    <m/>
    <n v="0"/>
    <m/>
    <m/>
    <m/>
    <s v="Dec-24"/>
    <n v="52"/>
    <s v="2024"/>
  </r>
  <r>
    <d v="2024-12-26T00:00:00"/>
    <s v="Delivery at uppal"/>
    <s v="Call"/>
    <s v="Events"/>
    <s v="Family Group"/>
    <s v="Smruti"/>
    <s v="Delivery of CB on 27-12-24"/>
    <n v="17958"/>
    <n v="17958"/>
    <x v="12"/>
    <x v="0"/>
    <x v="1"/>
    <s v="Closed"/>
    <m/>
    <n v="0"/>
    <m/>
    <m/>
    <m/>
    <s v="Dec-24"/>
    <n v="52"/>
    <s v="2024"/>
  </r>
  <r>
    <d v="2024-12-28T00:00:00"/>
    <s v="Cube Highways (GMR)"/>
    <s v="Call"/>
    <s v="Corporate"/>
    <s v="Realestate"/>
    <s v="Reena"/>
    <s v="Take away of Flight packaging CB on 28-12-24"/>
    <n v="5100"/>
    <n v="5100"/>
    <x v="12"/>
    <x v="0"/>
    <x v="1"/>
    <s v="Closed"/>
    <m/>
    <n v="0"/>
    <m/>
    <m/>
    <m/>
    <s v="Dec-24"/>
    <n v="52"/>
    <s v="2024"/>
  </r>
  <r>
    <d v="2024-12-30T00:00:00"/>
    <s v="Dine in at Begumpet"/>
    <s v="Call"/>
    <s v="Events"/>
    <s v="Family Group"/>
    <s v="Nitya"/>
    <s v="Dine in on 30-12-024"/>
    <n v="38000"/>
    <n v="38000"/>
    <x v="12"/>
    <x v="0"/>
    <x v="1"/>
    <s v="Closed"/>
    <m/>
    <n v="0"/>
    <m/>
    <m/>
    <m/>
    <s v="Dec-24"/>
    <n v="1"/>
    <s v="2024"/>
  </r>
  <r>
    <d v="2024-12-31T00:00:00"/>
    <s v="Delivery at SR Nagar"/>
    <s v="Call"/>
    <s v="Events"/>
    <s v="Family Group"/>
    <s v="Mahesh"/>
    <s v="Delivery of VB and Kabab"/>
    <n v="7162"/>
    <n v="7162"/>
    <x v="12"/>
    <x v="0"/>
    <x v="1"/>
    <s v="Closed"/>
    <m/>
    <n v="0"/>
    <m/>
    <m/>
    <m/>
    <s v="Dec-24"/>
    <n v="1"/>
    <s v="2024"/>
  </r>
  <r>
    <d v="2024-12-31T00:00:00"/>
    <s v="Delivery of PLum Cakes to JCNM Church"/>
    <s v="F2F"/>
    <s v="Church"/>
    <s v="Community"/>
    <s v="Daniel"/>
    <s v="Delivery of Special Plum Cakes"/>
    <n v="563989"/>
    <n v="563989"/>
    <x v="12"/>
    <x v="0"/>
    <x v="1"/>
    <s v="Closed"/>
    <m/>
    <n v="0"/>
    <m/>
    <m/>
    <m/>
    <s v="Dec-24"/>
    <n v="1"/>
    <s v="2024"/>
  </r>
  <r>
    <d v="2002-12-31T00:00:00"/>
    <s v="ODC at Prestige High Fields"/>
    <s v="F2F"/>
    <s v="Events"/>
    <s v="Exhibition"/>
    <s v="Giridhar"/>
    <s v="ODC on 31-12-24"/>
    <n v="21000"/>
    <n v="21000"/>
    <x v="12"/>
    <x v="0"/>
    <x v="1"/>
    <s v="Closed"/>
    <m/>
    <n v="0"/>
    <m/>
    <m/>
    <m/>
    <s v="Dec-02"/>
    <n v="1"/>
    <s v="2024"/>
  </r>
  <r>
    <d v="2024-01-01T00:00:00"/>
    <s v="Aurobindo Prarma"/>
    <s v="F2F"/>
    <s v="Corporate"/>
    <s v="Pharma"/>
    <s v="Bapiraju"/>
    <s v="Aurobindo premier league , CB Delivery 8-1-25"/>
    <n v="238000"/>
    <n v="238000"/>
    <x v="14"/>
    <x v="0"/>
    <x v="1"/>
    <s v="Closed"/>
    <m/>
    <n v="0"/>
    <m/>
    <m/>
    <m/>
    <s v="Jan-24"/>
    <n v="1"/>
    <s v="2025"/>
  </r>
  <r>
    <d v="2025-01-01T00:00:00"/>
    <s v="Kukudukoo"/>
    <s v="Call"/>
    <s v="Exhibition"/>
    <s v="F&amp;B Agrigator"/>
    <s v="Shubham"/>
    <s v="Fest in February"/>
    <n v="0"/>
    <n v="0"/>
    <x v="13"/>
    <x v="0"/>
    <x v="1"/>
    <s v="Closed"/>
    <m/>
    <n v="0"/>
    <m/>
    <m/>
    <m/>
    <s v="Jan-25"/>
    <n v="1"/>
    <s v="2025"/>
  </r>
  <r>
    <d v="2025-01-01T00:00:00"/>
    <s v="Delivery at Malkajgiri Church"/>
    <s v="Call"/>
    <s v="Church"/>
    <s v="Community"/>
    <s v="Anand"/>
    <s v="Delivery of CB on 1-01-2025"/>
    <n v="7050"/>
    <n v="7050"/>
    <x v="14"/>
    <x v="0"/>
    <x v="1"/>
    <s v="Closed"/>
    <m/>
    <n v="0"/>
    <m/>
    <m/>
    <m/>
    <s v="Jan-25"/>
    <n v="1"/>
    <s v="2025"/>
  </r>
  <r>
    <d v="2025-01-02T00:00:00"/>
    <s v="Food Stall at Rashtrapati Nilayam"/>
    <s v="F2F"/>
    <s v="Exhibition"/>
    <s v="F&amp;B Agrigator"/>
    <s v="Mani"/>
    <s v="Food Stall from 3rd Jan till 13th January 2025"/>
    <n v="0"/>
    <n v="0"/>
    <x v="14"/>
    <x v="0"/>
    <x v="1"/>
    <s v="Closed"/>
    <m/>
    <n v="0"/>
    <m/>
    <m/>
    <m/>
    <s v="Jan-25"/>
    <n v="1"/>
    <s v="2025"/>
  </r>
  <r>
    <d v="2025-01-02T00:00:00"/>
    <s v="Medilead Pharma"/>
    <s v="F2F"/>
    <s v="Corporate"/>
    <s v="Pharma"/>
    <s v="Jaisimha Reddy"/>
    <s v="Shared details of Bulk deliverables"/>
    <n v="0"/>
    <n v="0"/>
    <x v="13"/>
    <x v="0"/>
    <x v="0"/>
    <s v="Cancelled"/>
    <s v="No requirement"/>
    <n v="0"/>
    <m/>
    <m/>
    <m/>
    <s v="Jan-25"/>
    <n v="1"/>
    <s v="2025"/>
  </r>
  <r>
    <d v="2025-01-03T00:00:00"/>
    <s v="Food Stall at Rashtrapati Nilayam"/>
    <s v="F2F"/>
    <s v="Corporate"/>
    <s v="Exhibition"/>
    <s v="Rajesh"/>
    <s v="Food stall on 03-01-2025"/>
    <n v="12635"/>
    <n v="12635"/>
    <x v="14"/>
    <x v="0"/>
    <x v="1"/>
    <s v="Closed"/>
    <m/>
    <n v="0"/>
    <m/>
    <m/>
    <m/>
    <s v="Jan-25"/>
    <n v="1"/>
    <s v="2025"/>
  </r>
  <r>
    <d v="2025-01-03T00:00:00"/>
    <s v="Delivery at Balapur"/>
    <s v="Call"/>
    <s v="Events"/>
    <s v="Family Group"/>
    <s v="Bangani"/>
    <s v="Delivery at balapur on 03-01-2025"/>
    <n v="31474"/>
    <n v="31474"/>
    <x v="14"/>
    <x v="0"/>
    <x v="1"/>
    <s v="Closed"/>
    <m/>
    <n v="0"/>
    <m/>
    <m/>
    <m/>
    <s v="Jan-25"/>
    <n v="1"/>
    <s v="2025"/>
  </r>
  <r>
    <d v="2025-01-03T00:00:00"/>
    <s v="Delivery at Begumpet"/>
    <s v="Call"/>
    <s v="Events"/>
    <s v="Family Group"/>
    <s v="Mahesh"/>
    <s v="Delivery of supreme CB on 03-01-2025"/>
    <n v="11900"/>
    <n v="11900"/>
    <x v="14"/>
    <x v="0"/>
    <x v="1"/>
    <s v="Closed"/>
    <m/>
    <n v="0"/>
    <m/>
    <m/>
    <m/>
    <s v="Jan-25"/>
    <n v="1"/>
    <s v="2025"/>
  </r>
  <r>
    <d v="2025-01-03T00:00:00"/>
    <s v="Take away at Malkajgiri"/>
    <s v="Call"/>
    <s v="Events"/>
    <s v="Family Group"/>
    <s v="Manila"/>
    <s v="Take away of CB on 03-01-2025"/>
    <n v="6150"/>
    <n v="6150"/>
    <x v="14"/>
    <x v="0"/>
    <x v="1"/>
    <s v="Closed"/>
    <m/>
    <n v="0"/>
    <m/>
    <m/>
    <m/>
    <s v="Jan-25"/>
    <n v="1"/>
    <s v="2025"/>
  </r>
  <r>
    <d v="2025-01-04T00:00:00"/>
    <s v="Food Stall at Rashtrapati Nilayam"/>
    <s v="F2F"/>
    <s v="Corporate"/>
    <s v="Exhibition"/>
    <s v="Rajesh"/>
    <s v="Food stall on 03-01-2025"/>
    <n v="31515"/>
    <n v="31515"/>
    <x v="14"/>
    <x v="0"/>
    <x v="1"/>
    <s v="Closed"/>
    <m/>
    <n v="0"/>
    <m/>
    <m/>
    <m/>
    <s v="Jan-25"/>
    <n v="1"/>
    <s v="2025"/>
  </r>
  <r>
    <d v="2025-01-04T00:00:00"/>
    <s v="Delivery at Shamshabad"/>
    <s v="Call"/>
    <s v="Events"/>
    <s v="Family Group"/>
    <s v="Ajay"/>
    <s v="Delivery of CB at Shamshabad on 04-01-2025"/>
    <n v="20313"/>
    <n v="20313"/>
    <x v="14"/>
    <x v="0"/>
    <x v="1"/>
    <s v="Closed"/>
    <m/>
    <n v="0"/>
    <m/>
    <m/>
    <m/>
    <s v="Jan-25"/>
    <n v="1"/>
    <s v="2025"/>
  </r>
  <r>
    <d v="2025-01-05T00:00:00"/>
    <s v="Takeaway at lingampally"/>
    <s v="Call"/>
    <s v="Events"/>
    <s v="Family Group"/>
    <s v="Rahul"/>
    <s v="Take away of CB on 5-1-2025"/>
    <n v="10540"/>
    <n v="10540"/>
    <x v="14"/>
    <x v="0"/>
    <x v="1"/>
    <s v="Closed"/>
    <m/>
    <n v="0"/>
    <m/>
    <m/>
    <m/>
    <s v="Jan-25"/>
    <n v="1"/>
    <s v="2025"/>
  </r>
  <r>
    <d v="2025-01-05T00:00:00"/>
    <s v="Food Stall at Rashtrapati Nilayam"/>
    <s v="F2F"/>
    <s v="Corporate"/>
    <s v="Exhibition"/>
    <s v="Rajesh"/>
    <s v="Food stall on 04-01-2025"/>
    <n v="48836"/>
    <n v="48836"/>
    <x v="14"/>
    <x v="0"/>
    <x v="1"/>
    <s v="Closed"/>
    <m/>
    <n v="0"/>
    <m/>
    <m/>
    <m/>
    <s v="Jan-25"/>
    <n v="1"/>
    <s v="2025"/>
  </r>
  <r>
    <d v="2025-01-06T00:00:00"/>
    <s v="Food Stall at Rashtrapati Nilayam"/>
    <s v="F2F"/>
    <s v="Corporate"/>
    <s v="Exhibition"/>
    <s v="Rajesh"/>
    <s v="Food stall on 05-01-2025"/>
    <n v="15506"/>
    <n v="15506"/>
    <x v="14"/>
    <x v="0"/>
    <x v="1"/>
    <s v="Closed"/>
    <m/>
    <n v="0"/>
    <m/>
    <m/>
    <m/>
    <s v="Jan-25"/>
    <n v="2"/>
    <s v="2025"/>
  </r>
  <r>
    <d v="2025-01-06T00:00:00"/>
    <s v="Tourist Group Dine in at Padmaraonagar"/>
    <s v="F2F"/>
    <s v="Corporate"/>
    <s v="Tourism"/>
    <s v="Shobhindar"/>
    <s v="Dine in of students from Amravati on 6-1-2025"/>
    <n v="13819"/>
    <n v="13819"/>
    <x v="14"/>
    <x v="0"/>
    <x v="1"/>
    <s v="Closed"/>
    <m/>
    <n v="0"/>
    <m/>
    <m/>
    <m/>
    <s v="Jan-25"/>
    <n v="2"/>
    <s v="2025"/>
  </r>
  <r>
    <d v="2025-01-06T00:00:00"/>
    <s v="Takeaway from Shamshabad"/>
    <s v="Call"/>
    <s v="Corporate"/>
    <s v="Tourism"/>
    <s v="Ayub"/>
    <s v="Take away of CB and Kabab on 06-1-2025"/>
    <n v="11065"/>
    <n v="11065"/>
    <x v="14"/>
    <x v="0"/>
    <x v="1"/>
    <s v="Closed"/>
    <m/>
    <n v="0"/>
    <m/>
    <m/>
    <m/>
    <s v="Jan-25"/>
    <n v="2"/>
    <s v="2025"/>
  </r>
  <r>
    <d v="2025-01-07T00:00:00"/>
    <s v="Take away at MG Road"/>
    <s v="Call"/>
    <s v="Corporate"/>
    <s v="Dealers &amp; Distributers"/>
    <s v="Abhinav"/>
    <s v="Take away of VB on 8-1-25"/>
    <n v="7000"/>
    <n v="7000"/>
    <x v="14"/>
    <x v="0"/>
    <x v="1"/>
    <s v="Closed"/>
    <m/>
    <n v="0"/>
    <m/>
    <m/>
    <m/>
    <s v="Jan-25"/>
    <n v="2"/>
    <s v="2025"/>
  </r>
  <r>
    <d v="2025-01-07T00:00:00"/>
    <s v="Food Stall at Rashtrapati Nilayam"/>
    <s v="F2F"/>
    <s v="Corporate"/>
    <s v="Exhibition"/>
    <s v="Rajesh"/>
    <s v="Food stall on 07-01-2025"/>
    <n v="20106"/>
    <n v="20106"/>
    <x v="14"/>
    <x v="0"/>
    <x v="1"/>
    <s v="Closed"/>
    <m/>
    <n v="0"/>
    <m/>
    <m/>
    <m/>
    <s v="Jan-25"/>
    <n v="2"/>
    <s v="2025"/>
  </r>
  <r>
    <d v="2025-01-08T00:00:00"/>
    <s v="Food Stall at Rashtrapati Nilayam"/>
    <s v="F2F"/>
    <s v="Corporate"/>
    <s v="Exhibition"/>
    <s v="Rajesh"/>
    <s v="Food stall on 08-01-2025"/>
    <n v="10845"/>
    <n v="10845"/>
    <x v="14"/>
    <x v="0"/>
    <x v="1"/>
    <s v="Closed"/>
    <m/>
    <n v="0"/>
    <m/>
    <m/>
    <m/>
    <s v="Jan-25"/>
    <n v="2"/>
    <s v="2025"/>
  </r>
  <r>
    <d v="2025-01-08T00:00:00"/>
    <s v="Delivery at SEBLR Banglore (Compass)"/>
    <s v="Call"/>
    <s v="Corporate"/>
    <s v="F&amp;B Agrigator"/>
    <s v="Saad"/>
    <s v="New Delivery at Compass group on 8-1-25"/>
    <n v="39236"/>
    <n v="39236"/>
    <x v="14"/>
    <x v="1"/>
    <x v="1"/>
    <s v="Closed"/>
    <m/>
    <n v="0"/>
    <m/>
    <m/>
    <m/>
    <s v="Jan-25"/>
    <n v="2"/>
    <s v="2025"/>
  </r>
  <r>
    <d v="2025-01-08T00:00:00"/>
    <s v="Delivery at Compass Group Bangalore"/>
    <s v="Call"/>
    <s v="Corporate"/>
    <s v="F&amp;B Agrigator"/>
    <s v="Pankaj"/>
    <s v="Delivery of Special CB &amp; MB Handi on 8-1-25"/>
    <n v="45091"/>
    <n v="45091"/>
    <x v="14"/>
    <x v="1"/>
    <x v="1"/>
    <s v="Closed"/>
    <m/>
    <n v="0"/>
    <m/>
    <m/>
    <m/>
    <s v="Jan-25"/>
    <n v="2"/>
    <s v="2025"/>
  </r>
  <r>
    <d v="2025-01-09T00:00:00"/>
    <s v="Food Stall at Rashtrapati Nilayam"/>
    <s v="F2F"/>
    <s v="Corporate"/>
    <s v="Exhibition"/>
    <s v="Rajesh"/>
    <s v="Food stall on 09-01-2025"/>
    <n v="13245"/>
    <n v="13245"/>
    <x v="14"/>
    <x v="0"/>
    <x v="1"/>
    <s v="Closed"/>
    <m/>
    <n v="0"/>
    <m/>
    <m/>
    <m/>
    <s v="Jan-25"/>
    <n v="2"/>
    <s v="2025"/>
  </r>
  <r>
    <d v="2025-01-09T00:00:00"/>
    <s v="Ravindra Bharti ( Telangana Tourism)"/>
    <s v="F2F"/>
    <s v="Corporate"/>
    <s v="Tourism"/>
    <s v="Prakash"/>
    <s v="food stall at Kite festival on 13-15 Jan free of cost"/>
    <n v="0"/>
    <n v="0"/>
    <x v="14"/>
    <x v="0"/>
    <x v="1"/>
    <s v="Closed"/>
    <m/>
    <n v="0"/>
    <m/>
    <m/>
    <m/>
    <s v="Jan-25"/>
    <n v="2"/>
    <s v="2025"/>
  </r>
  <r>
    <d v="2025-01-09T00:00:00"/>
    <s v="Capital Land Ataria/Gokhana"/>
    <s v="F2F"/>
    <s v="Corporate"/>
    <s v="F&amp;B Agrigator"/>
    <s v="Sandhya"/>
    <s v="Food stall Popup Site Visit with Debmalya"/>
    <n v="50000"/>
    <n v="50000"/>
    <x v="14"/>
    <x v="0"/>
    <x v="1"/>
    <s v="Closed"/>
    <m/>
    <n v="0"/>
    <m/>
    <m/>
    <m/>
    <s v="Jan-25"/>
    <n v="2"/>
    <s v="2025"/>
  </r>
  <r>
    <d v="2025-01-10T00:00:00"/>
    <s v="Foodies Group (GMR AIRPORT)"/>
    <s v="Call"/>
    <s v="Corporate"/>
    <s v="F&amp;B Agrigator"/>
    <s v="Venkat"/>
    <s v="Delivery of Haleem &amp; CB in Jan &amp; Feb"/>
    <n v="0"/>
    <n v="0"/>
    <x v="13"/>
    <x v="0"/>
    <x v="1"/>
    <s v="Closed"/>
    <m/>
    <n v="0"/>
    <m/>
    <m/>
    <m/>
    <s v="Jan-25"/>
    <n v="2"/>
    <s v="2025"/>
  </r>
  <r>
    <d v="2025-01-10T00:00:00"/>
    <s v="Food Stall at Rashtrapati Nilayam"/>
    <s v="F2F"/>
    <s v="Corporate"/>
    <s v="Exhibition"/>
    <s v="Rajesh"/>
    <s v="Food stall on 10-01-2025"/>
    <n v="22301"/>
    <n v="22301"/>
    <x v="14"/>
    <x v="0"/>
    <x v="1"/>
    <s v="Closed"/>
    <m/>
    <n v="0"/>
    <m/>
    <m/>
    <m/>
    <s v="Jan-25"/>
    <n v="2"/>
    <s v="2025"/>
  </r>
  <r>
    <d v="2025-01-10T00:00:00"/>
    <s v="Take away of VB at MG Road "/>
    <s v="Call"/>
    <s v="Corporate"/>
    <s v="Retail"/>
    <s v="Abhinav"/>
    <s v="Take away of VB on 8-1-25 for lohri function"/>
    <n v="8000"/>
    <n v="8000"/>
    <x v="14"/>
    <x v="0"/>
    <x v="1"/>
    <s v="Closed"/>
    <m/>
    <n v="0"/>
    <m/>
    <m/>
    <m/>
    <s v="Jan-25"/>
    <n v="2"/>
    <s v="2025"/>
  </r>
  <r>
    <d v="2025-01-10T00:00:00"/>
    <s v="Dine in at Gachibowli"/>
    <s v="Call"/>
    <s v="Events"/>
    <s v="Family Group"/>
    <s v="Mohit"/>
    <s v="Dine in on 10-1-25"/>
    <n v="20010"/>
    <n v="20010"/>
    <x v="14"/>
    <x v="0"/>
    <x v="1"/>
    <s v="Closed"/>
    <m/>
    <n v="0"/>
    <m/>
    <m/>
    <m/>
    <s v="Jan-25"/>
    <n v="2"/>
    <s v="2025"/>
  </r>
  <r>
    <d v="2025-01-10T00:00:00"/>
    <s v="Delivery from lingampally"/>
    <s v="Call"/>
    <s v="Events"/>
    <s v="Family Group"/>
    <s v="Rajesh"/>
    <s v="Delivery of MB,CB &amp; Kabab on 10-1-25"/>
    <n v="21707"/>
    <n v="21707"/>
    <x v="14"/>
    <x v="0"/>
    <x v="1"/>
    <s v="Closed"/>
    <m/>
    <n v="0"/>
    <m/>
    <m/>
    <m/>
    <s v="Jan-25"/>
    <n v="2"/>
    <s v="2025"/>
  </r>
  <r>
    <d v="2025-01-11T00:00:00"/>
    <s v="Food Stall at Rashtrapati Nilayam"/>
    <s v="F2F"/>
    <s v="Corporate"/>
    <s v="Exhibition"/>
    <s v="Rajesh"/>
    <s v="Food stall on 11-01-2025"/>
    <n v="51133"/>
    <n v="51133"/>
    <x v="14"/>
    <x v="0"/>
    <x v="1"/>
    <s v="Closed"/>
    <m/>
    <n v="0"/>
    <m/>
    <m/>
    <m/>
    <s v="Jan-25"/>
    <n v="2"/>
    <s v="2025"/>
  </r>
  <r>
    <d v="2025-01-11T00:00:00"/>
    <s v="Delivery for lohri function at MG Road"/>
    <s v="Call"/>
    <s v="Corporate"/>
    <s v="F&amp;B Agrigator"/>
    <s v="Amandeep"/>
    <s v="Delivery of CB,MB &amp; VB on 11-1-25"/>
    <n v="12946"/>
    <n v="12946"/>
    <x v="14"/>
    <x v="0"/>
    <x v="1"/>
    <s v="Closed"/>
    <m/>
    <n v="0"/>
    <m/>
    <m/>
    <m/>
    <s v="Jan-25"/>
    <n v="2"/>
    <s v="2025"/>
  </r>
  <r>
    <d v="2025-01-12T00:00:00"/>
    <s v="Delivery at airport"/>
    <s v="Call"/>
    <s v="Corporate"/>
    <s v="Tourism"/>
    <s v="Nandini"/>
    <s v="Delivery of VB on 12-1-25"/>
    <n v="7000"/>
    <n v="7000"/>
    <x v="14"/>
    <x v="0"/>
    <x v="1"/>
    <s v="Closed"/>
    <m/>
    <n v="0"/>
    <m/>
    <m/>
    <m/>
    <s v="Jan-25"/>
    <n v="2"/>
    <s v="2025"/>
  </r>
  <r>
    <d v="2025-01-12T00:00:00"/>
    <s v="Food Stall at Rashtrapati Nilayam"/>
    <s v="F2F"/>
    <s v="Corporate"/>
    <s v="Exhibition"/>
    <s v="Rajesh"/>
    <s v="Food stall on 12-01-2025"/>
    <n v="69321"/>
    <n v="69321"/>
    <x v="14"/>
    <x v="0"/>
    <x v="1"/>
    <s v="Closed"/>
    <m/>
    <n v="0"/>
    <m/>
    <m/>
    <m/>
    <s v="Jan-25"/>
    <n v="2"/>
    <s v="2025"/>
  </r>
  <r>
    <d v="2025-01-13T00:00:00"/>
    <s v="Food Stall at Rashtrapati Nilayam"/>
    <s v="F2F"/>
    <s v="Corporate"/>
    <s v="Exhibition"/>
    <s v="Rajesh"/>
    <s v="Food stall on 13-01-2025"/>
    <n v="24151"/>
    <n v="24151"/>
    <x v="14"/>
    <x v="0"/>
    <x v="1"/>
    <s v="Closed"/>
    <m/>
    <n v="0"/>
    <m/>
    <m/>
    <m/>
    <s v="Jan-25"/>
    <n v="3"/>
    <s v="2025"/>
  </r>
  <r>
    <d v="2025-01-13T00:00:00"/>
    <s v="Food Stall at Parade Grounds Kite Festival"/>
    <s v="F2F"/>
    <s v="Corporate"/>
    <s v="Exhibition"/>
    <s v="Chennakeshav"/>
    <s v="Food Stall on 13-1-25"/>
    <n v="39760"/>
    <n v="39760"/>
    <x v="14"/>
    <x v="0"/>
    <x v="1"/>
    <s v="Closed"/>
    <m/>
    <n v="0"/>
    <m/>
    <m/>
    <m/>
    <s v="Jan-25"/>
    <n v="3"/>
    <s v="2025"/>
  </r>
  <r>
    <d v="2025-01-14T00:00:00"/>
    <s v="Food Stall at Parade Grounds Kite Festival"/>
    <s v="F2F"/>
    <s v="Corporate"/>
    <s v="Exhibition"/>
    <s v="Chennakeshav"/>
    <s v="Food Stall on 14-1-25"/>
    <n v="55035"/>
    <n v="55035"/>
    <x v="14"/>
    <x v="0"/>
    <x v="1"/>
    <s v="Closed"/>
    <m/>
    <n v="0"/>
    <m/>
    <m/>
    <m/>
    <s v="Jan-25"/>
    <n v="3"/>
    <s v="2025"/>
  </r>
  <r>
    <d v="2025-01-15T00:00:00"/>
    <s v="Delivery at SEBLR Banglore (Compass)"/>
    <s v="Call"/>
    <s v="Corporate"/>
    <s v="F&amp;B Agrigator"/>
    <s v="Saad"/>
    <s v="New Delivery at Compass group on 15-1-25"/>
    <n v="34832"/>
    <n v="34832"/>
    <x v="14"/>
    <x v="1"/>
    <x v="1"/>
    <s v="Closed"/>
    <m/>
    <n v="0"/>
    <m/>
    <m/>
    <m/>
    <s v="Jan-25"/>
    <n v="3"/>
    <s v="2025"/>
  </r>
  <r>
    <d v="2025-01-15T00:00:00"/>
    <s v="Delivery at Compass Group Bangalore"/>
    <s v="Call"/>
    <s v="Corporate"/>
    <s v="F&amp;B Agrigator"/>
    <s v="Pankaj"/>
    <s v="Delivery of Special CB &amp; MB Handi on 15-1-25"/>
    <n v="39435"/>
    <n v="39435"/>
    <x v="14"/>
    <x v="1"/>
    <x v="1"/>
    <s v="Closed"/>
    <m/>
    <n v="0"/>
    <m/>
    <m/>
    <m/>
    <s v="Jan-25"/>
    <n v="3"/>
    <s v="2025"/>
  </r>
  <r>
    <d v="2025-01-15T00:00:00"/>
    <s v="Food Stall at Parade Grounds Kite Festival"/>
    <s v="F2F"/>
    <s v="Corporate"/>
    <s v="Exhibition"/>
    <s v="Chennakeshav"/>
    <s v="Food Stall on 15-1-25"/>
    <n v="22250"/>
    <n v="22250"/>
    <x v="14"/>
    <x v="0"/>
    <x v="1"/>
    <s v="Closed"/>
    <m/>
    <n v="0"/>
    <m/>
    <m/>
    <m/>
    <s v="Jan-25"/>
    <n v="3"/>
    <s v="2025"/>
  </r>
  <r>
    <d v="2025-01-16T00:00:00"/>
    <s v="Delivery of CB at BHEL"/>
    <s v="Call"/>
    <s v="Events"/>
    <s v="Family Group"/>
    <s v="Rakesh"/>
    <s v="Delivery of food on 16-1-2025"/>
    <n v="10493"/>
    <n v="10493"/>
    <x v="14"/>
    <x v="0"/>
    <x v="1"/>
    <s v="Closed"/>
    <m/>
    <n v="0"/>
    <m/>
    <m/>
    <m/>
    <s v="Jan-25"/>
    <n v="3"/>
    <s v="2025"/>
  </r>
  <r>
    <d v="2025-01-17T00:00:00"/>
    <s v="Take away from Muthangi"/>
    <s v="Call"/>
    <s v="Events"/>
    <s v="Family Group"/>
    <s v="Prakash"/>
    <s v="Take away of CB on 15-1-2025"/>
    <n v="9700"/>
    <n v="9700"/>
    <x v="14"/>
    <x v="0"/>
    <x v="1"/>
    <s v="Closed"/>
    <m/>
    <n v="0"/>
    <m/>
    <m/>
    <m/>
    <s v="Jan-25"/>
    <n v="3"/>
    <s v="2025"/>
  </r>
  <r>
    <d v="2025-01-19T00:00:00"/>
    <s v="Delivery of MB at Hitec"/>
    <s v="Call"/>
    <s v="Corporate"/>
    <s v="IT"/>
    <s v="Venkat"/>
    <s v="Delivery of MB on 19-1-2025"/>
    <n v="33900"/>
    <n v="33900"/>
    <x v="14"/>
    <x v="0"/>
    <x v="1"/>
    <s v="Closed"/>
    <m/>
    <n v="0"/>
    <m/>
    <m/>
    <m/>
    <s v="Jan-25"/>
    <n v="3"/>
    <s v="2025"/>
  </r>
  <r>
    <d v="2025-01-19T00:00:00"/>
    <s v="Take Away from Kompally"/>
    <s v="Call"/>
    <s v="Travel Group"/>
    <s v="Community"/>
    <s v="Alnoor chandani"/>
    <s v="Take away of CB on 27-1-2025"/>
    <n v="6250"/>
    <n v="6250"/>
    <x v="14"/>
    <x v="0"/>
    <x v="1"/>
    <s v="Closed"/>
    <m/>
    <n v="0"/>
    <m/>
    <m/>
    <m/>
    <s v="Jan-25"/>
    <n v="3"/>
    <s v="2025"/>
  </r>
  <r>
    <d v="2025-01-19T00:00:00"/>
    <s v="Delivery at Secundrabad"/>
    <s v="Call"/>
    <s v="Events"/>
    <s v="Family Group"/>
    <s v="Sobi"/>
    <s v="Declivery of MB on 22-1-2025"/>
    <n v="10000"/>
    <n v="0"/>
    <x v="14"/>
    <x v="0"/>
    <x v="0"/>
    <s v="Cancelled"/>
    <s v="No requirement"/>
    <n v="0"/>
    <m/>
    <m/>
    <m/>
    <s v="Jan-25"/>
    <n v="3"/>
    <s v="2025"/>
  </r>
  <r>
    <d v="2025-01-20T00:00:00"/>
    <s v="Popup Counter at Capital Land Atria"/>
    <s v="F2F"/>
    <s v="Corporate"/>
    <s v="F&amp;B Agrigator"/>
    <s v="Sandhya"/>
    <s v="popup counter on 20-1-2025"/>
    <n v="9755"/>
    <n v="9755"/>
    <x v="14"/>
    <x v="0"/>
    <x v="1"/>
    <s v="Closed"/>
    <m/>
    <n v="0"/>
    <m/>
    <m/>
    <m/>
    <s v="Jan-25"/>
    <n v="4"/>
    <s v="2025"/>
  </r>
  <r>
    <d v="2025-01-21T00:00:00"/>
    <s v="Popup Counter at Capital Land Atria"/>
    <s v="F2F"/>
    <s v="Corporate"/>
    <s v="F&amp;B Agrigator"/>
    <s v="Sandhya"/>
    <s v="popup counter on 21-1-2025"/>
    <n v="9900"/>
    <n v="9900"/>
    <x v="14"/>
    <x v="0"/>
    <x v="1"/>
    <s v="Closed"/>
    <m/>
    <n v="0"/>
    <m/>
    <m/>
    <m/>
    <s v="Jan-25"/>
    <n v="4"/>
    <s v="2025"/>
  </r>
  <r>
    <d v="2025-01-21T00:00:00"/>
    <s v="Buffet Lunch at Pashamylaram"/>
    <s v="F2F"/>
    <s v="Corporate"/>
    <s v="Manufacturing"/>
    <s v="Arjun"/>
    <s v="Lunch and Dinner on 23-2-2025"/>
    <n v="350000"/>
    <n v="0"/>
    <x v="21"/>
    <x v="0"/>
    <x v="0"/>
    <s v="Cancelled"/>
    <m/>
    <n v="0"/>
    <m/>
    <m/>
    <m/>
    <s v="Jan-25"/>
    <n v="4"/>
    <s v="2025"/>
  </r>
  <r>
    <d v="2025-01-21T00:00:00"/>
    <s v="Vikas Degree College"/>
    <s v="F2F"/>
    <s v="College"/>
    <s v="Education"/>
    <s v="Mateen"/>
    <s v="Introduction to Bulk orders"/>
    <n v="0"/>
    <n v="0"/>
    <x v="13"/>
    <x v="0"/>
    <x v="0"/>
    <s v="Cancelled"/>
    <m/>
    <n v="0"/>
    <m/>
    <m/>
    <m/>
    <s v="Jan-25"/>
    <n v="4"/>
    <s v="2025"/>
  </r>
  <r>
    <d v="2025-01-22T00:00:00"/>
    <s v="Popup Counter at Capital Land Atria"/>
    <s v="F2F"/>
    <s v="Corporate"/>
    <s v="F&amp;B Agrigator"/>
    <s v="Sandhya"/>
    <s v="popup counter on 22-1-2025"/>
    <n v="16060"/>
    <n v="16060"/>
    <x v="14"/>
    <x v="0"/>
    <x v="1"/>
    <s v="Closed"/>
    <m/>
    <n v="0"/>
    <m/>
    <m/>
    <m/>
    <s v="Jan-25"/>
    <n v="4"/>
    <s v="2025"/>
  </r>
  <r>
    <d v="2025-01-22T00:00:00"/>
    <s v="ITC Paperboard Division"/>
    <s v="F2F"/>
    <s v="Corporate"/>
    <s v="Manufacturing"/>
    <s v="Sheshagiri"/>
    <s v="Introduction to Bulk orders"/>
    <n v="0"/>
    <n v="0"/>
    <x v="13"/>
    <x v="0"/>
    <x v="0"/>
    <s v="Cancelled"/>
    <s v="Less Budget"/>
    <n v="0"/>
    <m/>
    <m/>
    <m/>
    <s v="Jan-25"/>
    <n v="4"/>
    <s v="2025"/>
  </r>
  <r>
    <d v="2025-01-23T00:00:00"/>
    <s v="Popup Counter at Capital Land Atria"/>
    <s v="F2F"/>
    <s v="Corporate"/>
    <s v="F&amp;B Agrigator"/>
    <s v="Sandhya"/>
    <s v="popup counter on 23-1-2025"/>
    <n v="13470"/>
    <n v="13470"/>
    <x v="14"/>
    <x v="0"/>
    <x v="1"/>
    <s v="Closed"/>
    <m/>
    <n v="0"/>
    <m/>
    <m/>
    <m/>
    <s v="Jan-25"/>
    <n v="4"/>
    <s v="2025"/>
  </r>
  <r>
    <d v="2025-01-23T00:00:00"/>
    <s v="Masterminds School"/>
    <s v="F2F"/>
    <s v="School"/>
    <s v="Education"/>
    <s v="Adarsh"/>
    <s v="Introduction to bulk deloivery"/>
    <n v="0"/>
    <n v="0"/>
    <x v="13"/>
    <x v="0"/>
    <x v="0"/>
    <s v="Cancelled"/>
    <m/>
    <n v="0"/>
    <m/>
    <m/>
    <m/>
    <s v="Jan-25"/>
    <n v="4"/>
    <s v="2025"/>
  </r>
  <r>
    <d v="2025-01-23T00:00:00"/>
    <s v="GEP"/>
    <s v="F2F"/>
    <s v="Corporate"/>
    <s v="IT"/>
    <s v="Alifiya"/>
    <s v="Introduction to team lunch and delivery"/>
    <n v="0"/>
    <n v="0"/>
    <x v="13"/>
    <x v="0"/>
    <x v="0"/>
    <s v="Cancelled"/>
    <m/>
    <n v="0"/>
    <m/>
    <m/>
    <m/>
    <s v="Jan-25"/>
    <n v="4"/>
    <s v="2025"/>
  </r>
  <r>
    <d v="2025-01-24T00:00:00"/>
    <s v="Delivery at Secundrabad Station"/>
    <s v="F2F"/>
    <s v="Corporate"/>
    <s v="Tourism"/>
    <s v="Mahesh"/>
    <s v="Delivery of CB on 24-1-2025"/>
    <n v="8100"/>
    <n v="8100"/>
    <x v="14"/>
    <x v="0"/>
    <x v="1"/>
    <s v="Closed"/>
    <m/>
    <n v="0"/>
    <m/>
    <m/>
    <m/>
    <s v="Jan-25"/>
    <n v="4"/>
    <s v="2025"/>
  </r>
  <r>
    <d v="2025-01-24T00:00:00"/>
    <s v="Popup Counter at Capital Land Atria"/>
    <s v="F2F"/>
    <s v="Corporate"/>
    <s v="F&amp;B Agrigator"/>
    <s v="Sandhya"/>
    <s v="popup counter on 24-1-2025"/>
    <n v="19280"/>
    <n v="19280"/>
    <x v="14"/>
    <x v="0"/>
    <x v="1"/>
    <s v="Closed"/>
    <m/>
    <n v="0"/>
    <m/>
    <m/>
    <m/>
    <s v="Jan-25"/>
    <n v="4"/>
    <s v="2025"/>
  </r>
  <r>
    <d v="2025-01-26T00:00:00"/>
    <s v="Delivery at Viatris"/>
    <s v="Call"/>
    <s v="Corporate"/>
    <s v="Manufacturing"/>
    <s v="Rakesh"/>
    <s v="Delivery of CB on 26-1-2025"/>
    <n v="28179"/>
    <n v="28179"/>
    <x v="14"/>
    <x v="0"/>
    <x v="1"/>
    <s v="Closed"/>
    <m/>
    <n v="0"/>
    <m/>
    <m/>
    <m/>
    <s v="Jan-25"/>
    <n v="4"/>
    <s v="2025"/>
  </r>
  <r>
    <d v="2025-01-26T00:00:00"/>
    <s v="Delivery at Begumpet"/>
    <s v="Call"/>
    <s v="Events"/>
    <s v="Family Group"/>
    <s v="Srinivas"/>
    <s v="Delivery of CB on 26-1-2025"/>
    <n v="13800"/>
    <n v="13800"/>
    <x v="14"/>
    <x v="0"/>
    <x v="1"/>
    <s v="Closed"/>
    <m/>
    <n v="0"/>
    <m/>
    <m/>
    <m/>
    <s v="Jan-25"/>
    <n v="4"/>
    <s v="2025"/>
  </r>
  <r>
    <d v="2025-01-27T00:00:00"/>
    <s v="Delivery at Kachiguda Railway Station"/>
    <s v="F2F"/>
    <s v="Corporate"/>
    <s v="Tourism"/>
    <s v="Shobhindar"/>
    <s v="Delivery of CB &amp; VB on 27-01-2025"/>
    <n v="5100"/>
    <n v="5100"/>
    <x v="14"/>
    <x v="0"/>
    <x v="1"/>
    <s v="Closed"/>
    <m/>
    <n v="0"/>
    <m/>
    <m/>
    <m/>
    <s v="Jan-25"/>
    <n v="5"/>
    <s v="2025"/>
  </r>
  <r>
    <d v="2025-01-27T00:00:00"/>
    <s v="Popup Counter at Capital Land Atria"/>
    <s v="F2F"/>
    <s v="Corporate"/>
    <s v="F&amp;B Agrigator"/>
    <s v="Sandhya"/>
    <s v="popup counter on 27-1-2025"/>
    <n v="19870"/>
    <n v="19870"/>
    <x v="14"/>
    <x v="0"/>
    <x v="1"/>
    <s v="Closed"/>
    <m/>
    <n v="0"/>
    <m/>
    <m/>
    <m/>
    <s v="Jan-25"/>
    <n v="5"/>
    <s v="2025"/>
  </r>
  <r>
    <d v="2025-01-27T00:00:00"/>
    <s v="Popup Counter at Capital Land A Block"/>
    <s v="F2F"/>
    <s v="Corporate"/>
    <s v="F&amp;B Agrigator"/>
    <s v="Anil"/>
    <s v="popup counter on 27-1-2025"/>
    <n v="8280"/>
    <n v="8280"/>
    <x v="14"/>
    <x v="0"/>
    <x v="1"/>
    <s v="Closed"/>
    <m/>
    <n v="0"/>
    <m/>
    <m/>
    <m/>
    <s v="Jan-25"/>
    <n v="5"/>
    <s v="2025"/>
  </r>
  <r>
    <d v="2025-01-28T00:00:00"/>
    <s v="Popup Counter at Capital Land Atria"/>
    <s v="F2F"/>
    <s v="Corporate"/>
    <s v="F&amp;B Agrigator"/>
    <s v="Sandhya"/>
    <s v="popup counter on 28-1-2025"/>
    <n v="13270"/>
    <n v="13270"/>
    <x v="14"/>
    <x v="0"/>
    <x v="1"/>
    <s v="Closed"/>
    <m/>
    <n v="0"/>
    <m/>
    <m/>
    <m/>
    <s v="Jan-25"/>
    <n v="5"/>
    <s v="2025"/>
  </r>
  <r>
    <d v="2025-01-28T00:00:00"/>
    <s v="Popup Counter at Capital Land A Block"/>
    <s v="F2F"/>
    <s v="Corporate"/>
    <s v="F&amp;B Agrigator"/>
    <s v="Anil"/>
    <s v="popup counter on 28-1-2025"/>
    <n v="16229"/>
    <n v="16229"/>
    <x v="14"/>
    <x v="0"/>
    <x v="1"/>
    <s v="Closed"/>
    <m/>
    <n v="0"/>
    <m/>
    <m/>
    <m/>
    <s v="Jan-25"/>
    <n v="5"/>
    <s v="2025"/>
  </r>
  <r>
    <d v="2025-01-28T00:00:00"/>
    <s v="Loyola College"/>
    <s v="F2F"/>
    <s v="College"/>
    <s v="Education"/>
    <s v="Abdul"/>
    <s v="Shared price for bakery items for 10 FEB"/>
    <n v="30000"/>
    <n v="0"/>
    <x v="13"/>
    <x v="0"/>
    <x v="0"/>
    <s v="Cancelled"/>
    <s v="Less Budget"/>
    <n v="0"/>
    <m/>
    <m/>
    <m/>
    <s v="Jan-25"/>
    <n v="5"/>
    <s v="2025"/>
  </r>
  <r>
    <d v="2025-01-29T00:00:00"/>
    <s v="Popup Counter at Capital Land Atria"/>
    <s v="F2F"/>
    <s v="Corporate"/>
    <s v="F&amp;B Agrigator"/>
    <s v="Sandhya"/>
    <s v="popup counter on 29-1-2025"/>
    <n v="14030"/>
    <n v="14030"/>
    <x v="14"/>
    <x v="0"/>
    <x v="1"/>
    <s v="Closed"/>
    <m/>
    <n v="0"/>
    <m/>
    <m/>
    <m/>
    <s v="Jan-25"/>
    <n v="5"/>
    <s v="2025"/>
  </r>
  <r>
    <d v="2025-01-29T00:00:00"/>
    <s v="Popup Counter at Capital Land A Block"/>
    <s v="F2F"/>
    <s v="Corporate"/>
    <s v="F&amp;B Agrigator"/>
    <s v="Anil"/>
    <s v="popup counter on 29-1-2025"/>
    <n v="22986"/>
    <n v="22986"/>
    <x v="14"/>
    <x v="0"/>
    <x v="1"/>
    <s v="Closed"/>
    <m/>
    <n v="0"/>
    <m/>
    <m/>
    <m/>
    <s v="Jan-25"/>
    <n v="5"/>
    <s v="2025"/>
  </r>
  <r>
    <d v="2025-01-29T00:00:00"/>
    <s v="St Francis College Begumpet"/>
    <s v="F2F"/>
    <s v="College"/>
    <s v="Education"/>
    <s v="Akanksha"/>
    <s v="Site Visit for event on 7-2-2025"/>
    <n v="30000"/>
    <n v="0"/>
    <x v="13"/>
    <x v="0"/>
    <x v="0"/>
    <s v="Cancelled"/>
    <s v="No Electricty for stall from college side"/>
    <n v="0"/>
    <m/>
    <m/>
    <m/>
    <s v="Jan-25"/>
    <n v="5"/>
    <s v="2025"/>
  </r>
  <r>
    <d v="2025-01-29T00:00:00"/>
    <s v="Delivery of CB at Masab Tank"/>
    <s v="F2F"/>
    <s v="Corporate"/>
    <s v="Orphanage &amp; NGO"/>
    <s v="Durga Prasad"/>
    <s v="Delivery of CB handi on 31-01-2025"/>
    <n v="14480"/>
    <n v="0"/>
    <x v="14"/>
    <x v="0"/>
    <x v="0"/>
    <s v="Cancelled"/>
    <m/>
    <n v="0"/>
    <m/>
    <m/>
    <m/>
    <s v="Jan-25"/>
    <n v="5"/>
    <s v="2025"/>
  </r>
  <r>
    <d v="2025-01-30T00:00:00"/>
    <s v="Popup Counter at Capital Land Atria"/>
    <s v="F2F"/>
    <s v="Corporate"/>
    <s v="F&amp;B Agrigator"/>
    <s v="Sandhya"/>
    <s v="popup counter on 30-1-2025"/>
    <n v="18720"/>
    <n v="18720"/>
    <x v="14"/>
    <x v="0"/>
    <x v="1"/>
    <s v="Closed"/>
    <m/>
    <n v="0"/>
    <m/>
    <m/>
    <m/>
    <s v="Jan-25"/>
    <n v="5"/>
    <s v="2025"/>
  </r>
  <r>
    <d v="2025-01-30T00:00:00"/>
    <s v="Popup Counter at Capital Land A Block"/>
    <s v="F2F"/>
    <s v="Corporate"/>
    <s v="F&amp;B Agrigator"/>
    <s v="Anil"/>
    <s v="popup counter on 30-1-2025"/>
    <n v="19285"/>
    <n v="19285"/>
    <x v="14"/>
    <x v="0"/>
    <x v="1"/>
    <s v="Closed"/>
    <m/>
    <n v="0"/>
    <m/>
    <m/>
    <m/>
    <s v="Jan-25"/>
    <n v="5"/>
    <s v="2025"/>
  </r>
  <r>
    <d v="2025-01-30T00:00:00"/>
    <s v="Delivery at Kokapet"/>
    <s v="F2F"/>
    <s v="Corporate"/>
    <s v="Realestate"/>
    <s v="Nagarjuna"/>
    <s v="Delivery on 1-2-2025"/>
    <n v="268000"/>
    <n v="268000"/>
    <x v="13"/>
    <x v="0"/>
    <x v="1"/>
    <s v="Closed"/>
    <m/>
    <n v="0"/>
    <m/>
    <m/>
    <m/>
    <s v="Jan-25"/>
    <n v="5"/>
    <s v="2025"/>
  </r>
  <r>
    <d v="2025-01-31T00:00:00"/>
    <s v="Popup Counter at Capital Land Atria"/>
    <s v="F2F"/>
    <s v="Corporate"/>
    <s v="F&amp;B Agrigator"/>
    <s v="Sandhya"/>
    <s v="popup counter on 31-1-2025"/>
    <n v="25570"/>
    <n v="25570"/>
    <x v="14"/>
    <x v="0"/>
    <x v="1"/>
    <s v="Closed"/>
    <m/>
    <n v="0"/>
    <m/>
    <m/>
    <m/>
    <s v="Jan-25"/>
    <n v="5"/>
    <s v="2025"/>
  </r>
  <r>
    <d v="2025-01-31T00:00:00"/>
    <s v="Popup Counter at Capital Land A Block"/>
    <s v="F2F"/>
    <s v="Corporate"/>
    <s v="F&amp;B Agrigator"/>
    <s v="Anil"/>
    <s v="popup counter on 31-1-2025"/>
    <n v="18681"/>
    <n v="18681"/>
    <x v="14"/>
    <x v="0"/>
    <x v="1"/>
    <s v="Closed"/>
    <m/>
    <n v="0"/>
    <m/>
    <m/>
    <m/>
    <s v="Jan-25"/>
    <n v="5"/>
    <s v="2025"/>
  </r>
  <r>
    <d v="2025-01-31T00:00:00"/>
    <s v="Bits Pilani"/>
    <s v="F2F"/>
    <s v="College"/>
    <s v="Education"/>
    <s v="Himanshu"/>
    <s v="site visit for popup counter"/>
    <n v="0"/>
    <n v="0"/>
    <x v="13"/>
    <x v="0"/>
    <x v="1"/>
    <s v="Closed"/>
    <m/>
    <n v="0"/>
    <m/>
    <m/>
    <m/>
    <s v="Jan-25"/>
    <n v="5"/>
    <s v="2025"/>
  </r>
  <r>
    <d v="2025-02-03T00:00:00"/>
    <s v="Popup Counter at Capital Land Atria"/>
    <s v="F2F"/>
    <s v="Corporate"/>
    <s v="F&amp;B Agrigator"/>
    <s v="Sandhya"/>
    <s v="popup counter on 03-2-2025"/>
    <n v="6700"/>
    <n v="6700"/>
    <x v="13"/>
    <x v="0"/>
    <x v="1"/>
    <s v="Closed"/>
    <m/>
    <n v="0"/>
    <m/>
    <m/>
    <m/>
    <s v="Feb-25"/>
    <n v="6"/>
    <s v="2025"/>
  </r>
  <r>
    <d v="2025-02-03T00:00:00"/>
    <s v="Popup Counter at Capital Land A Block"/>
    <s v="F2F"/>
    <s v="Corporate"/>
    <s v="F&amp;B Agrigator"/>
    <s v="Anil"/>
    <s v="popup counter on 03-2-2025"/>
    <n v="9306"/>
    <n v="9306"/>
    <x v="13"/>
    <x v="0"/>
    <x v="1"/>
    <s v="Closed"/>
    <m/>
    <n v="0"/>
    <m/>
    <m/>
    <m/>
    <s v="Feb-25"/>
    <n v="6"/>
    <s v="2025"/>
  </r>
  <r>
    <d v="2025-02-03T00:00:00"/>
    <s v="AstraZenica"/>
    <s v="all"/>
    <s v="Corporate"/>
    <s v="Pharma"/>
    <s v="Srinivas Rao"/>
    <s v="Delivery of food at NIMS on 8-02-2025"/>
    <n v="14755"/>
    <n v="14755"/>
    <x v="13"/>
    <x v="0"/>
    <x v="1"/>
    <s v="Closed"/>
    <m/>
    <n v="0"/>
    <m/>
    <m/>
    <m/>
    <s v="Feb-25"/>
    <n v="6"/>
    <s v="2025"/>
  </r>
  <r>
    <d v="2025-02-04T00:00:00"/>
    <s v="Popup Counter at Capital Land Atria"/>
    <s v="F2F"/>
    <s v="Corporate"/>
    <s v="F&amp;B Agrigator"/>
    <s v="Sandhya"/>
    <s v="popup counter on 04-2-2025"/>
    <n v="9160"/>
    <n v="9160"/>
    <x v="13"/>
    <x v="0"/>
    <x v="1"/>
    <s v="Closed"/>
    <m/>
    <n v="0"/>
    <m/>
    <m/>
    <m/>
    <s v="Feb-25"/>
    <n v="6"/>
    <s v="2025"/>
  </r>
  <r>
    <d v="2025-02-04T00:00:00"/>
    <s v="Popup Counter at Capital Land A Block"/>
    <s v="F2F"/>
    <s v="Corporate"/>
    <s v="F&amp;B Agrigator"/>
    <s v="Anil"/>
    <s v="popup counter on 4-2-2025"/>
    <n v="13264"/>
    <n v="13264"/>
    <x v="13"/>
    <x v="0"/>
    <x v="1"/>
    <s v="Closed"/>
    <m/>
    <n v="0"/>
    <m/>
    <m/>
    <m/>
    <s v="Feb-25"/>
    <n v="6"/>
    <s v="2025"/>
  </r>
  <r>
    <d v="2025-02-04T00:00:00"/>
    <s v="Delivery at Hitec City"/>
    <s v="Call"/>
    <s v="Events"/>
    <s v="Family Group"/>
    <s v="Lakhan"/>
    <s v="Delivery of CB &amp; Kabab on 04-02-2025"/>
    <n v="16155"/>
    <n v="16155"/>
    <x v="13"/>
    <x v="0"/>
    <x v="1"/>
    <s v="Closed"/>
    <m/>
    <n v="0"/>
    <m/>
    <m/>
    <m/>
    <s v="Feb-25"/>
    <n v="6"/>
    <s v="2025"/>
  </r>
  <r>
    <d v="2025-02-05T00:00:00"/>
    <s v="Popup Counter at Capital Land Atria"/>
    <s v="F2F"/>
    <s v="Corporate"/>
    <s v="F&amp;B Agrigator"/>
    <s v="Sandhya"/>
    <s v="popup counter on 05-2-2025"/>
    <n v="14140"/>
    <n v="14140"/>
    <x v="13"/>
    <x v="0"/>
    <x v="1"/>
    <s v="Closed"/>
    <m/>
    <n v="0"/>
    <m/>
    <m/>
    <m/>
    <s v="Feb-25"/>
    <n v="6"/>
    <s v="2025"/>
  </r>
  <r>
    <d v="2025-02-05T00:00:00"/>
    <s v="Popup Counter at Capital Land A Block"/>
    <s v="F2F"/>
    <s v="Corporate"/>
    <s v="F&amp;B Agrigator"/>
    <s v="Anil"/>
    <s v="popup counter on 05-2-2025"/>
    <n v="14749"/>
    <n v="14749"/>
    <x v="13"/>
    <x v="0"/>
    <x v="1"/>
    <s v="Closed"/>
    <m/>
    <n v="0"/>
    <m/>
    <m/>
    <m/>
    <s v="Feb-25"/>
    <n v="6"/>
    <s v="2025"/>
  </r>
  <r>
    <d v="2025-02-05T00:00:00"/>
    <s v="Delivery at SEBLR Banglore (Compass)"/>
    <s v="Call"/>
    <s v="Corporate"/>
    <s v="F&amp;B Agrigator"/>
    <s v="Saad"/>
    <s v="New Delivery at Compass group on 5-2-25"/>
    <n v="29919"/>
    <n v="29919"/>
    <x v="13"/>
    <x v="1"/>
    <x v="1"/>
    <s v="Closed"/>
    <m/>
    <n v="0"/>
    <m/>
    <m/>
    <m/>
    <s v="Feb-25"/>
    <n v="6"/>
    <s v="2025"/>
  </r>
  <r>
    <d v="2025-02-05T00:00:00"/>
    <s v="Delivery at Compass Group Bangalore"/>
    <s v="Call"/>
    <s v="Corporate"/>
    <s v="F&amp;B Agrigator"/>
    <s v="Pankaj"/>
    <s v="Delivery of Special CB &amp; MB Handi on 5-2-25"/>
    <n v="39619"/>
    <n v="39619"/>
    <x v="13"/>
    <x v="1"/>
    <x v="1"/>
    <s v="Closed"/>
    <m/>
    <n v="0"/>
    <m/>
    <m/>
    <m/>
    <s v="Feb-25"/>
    <n v="6"/>
    <s v="2025"/>
  </r>
  <r>
    <d v="2025-02-06T00:00:00"/>
    <s v="Popup Counter at Capital Land Atria"/>
    <s v="F2F"/>
    <s v="Corporate"/>
    <s v="F&amp;B Agrigator"/>
    <s v="Sandhya"/>
    <s v="popup counter on 06-2-2025"/>
    <n v="11510"/>
    <n v="11510"/>
    <x v="13"/>
    <x v="0"/>
    <x v="1"/>
    <s v="Closed"/>
    <m/>
    <n v="0"/>
    <m/>
    <m/>
    <m/>
    <s v="Feb-25"/>
    <n v="6"/>
    <s v="2025"/>
  </r>
  <r>
    <d v="2025-02-06T00:00:00"/>
    <s v="Popup Counter at Capital Land A Block"/>
    <s v="F2F"/>
    <s v="Corporate"/>
    <s v="F&amp;B Agrigator"/>
    <s v="Anil"/>
    <s v="popup counter on 06-2-2025"/>
    <n v="13850"/>
    <n v="13850"/>
    <x v="13"/>
    <x v="0"/>
    <x v="1"/>
    <s v="Closed"/>
    <m/>
    <n v="0"/>
    <m/>
    <m/>
    <m/>
    <s v="Feb-25"/>
    <n v="6"/>
    <s v="2025"/>
  </r>
  <r>
    <d v="2025-02-06T00:00:00"/>
    <s v="Popup Counter at Bits Pilani"/>
    <s v="F2F"/>
    <s v="College"/>
    <s v="Education"/>
    <s v="Himanshu"/>
    <s v="Popup counter on 6,7&amp;8 Feb 2025"/>
    <n v="133000"/>
    <n v="133000"/>
    <x v="13"/>
    <x v="0"/>
    <x v="1"/>
    <s v="Closed"/>
    <m/>
    <n v="0"/>
    <m/>
    <m/>
    <m/>
    <s v="Feb-25"/>
    <n v="6"/>
    <s v="2025"/>
  </r>
  <r>
    <d v="2025-02-06T00:00:00"/>
    <s v="Delivery of Veg Biryani At Shamshabad"/>
    <s v="Call"/>
    <s v="Travel Group"/>
    <s v="Tourism"/>
    <s v="Uday Rao"/>
    <s v="Delivery on 6-2-2025"/>
    <n v="27903"/>
    <n v="27903"/>
    <x v="13"/>
    <x v="0"/>
    <x v="1"/>
    <s v="Closed"/>
    <m/>
    <n v="0"/>
    <m/>
    <m/>
    <m/>
    <s v="Feb-25"/>
    <n v="6"/>
    <s v="2025"/>
  </r>
  <r>
    <d v="2025-02-06T00:00:00"/>
    <s v="Delivery at Rampally"/>
    <s v="Call"/>
    <s v="Events"/>
    <s v="Family Group"/>
    <s v="Akbar"/>
    <s v="Delivery on 6-2-2025"/>
    <n v="5252"/>
    <n v="5252"/>
    <x v="13"/>
    <x v="0"/>
    <x v="1"/>
    <s v="Closed"/>
    <m/>
    <n v="0"/>
    <m/>
    <m/>
    <m/>
    <s v="Feb-25"/>
    <n v="6"/>
    <s v="2025"/>
  </r>
  <r>
    <d v="2025-02-06T00:00:00"/>
    <s v="Delivery at Shamshabad"/>
    <s v="Call"/>
    <s v="Events"/>
    <s v="Family Group"/>
    <s v="Mahesh"/>
    <s v="Delivery on 6-2-2025"/>
    <n v="13301"/>
    <n v="13301"/>
    <x v="13"/>
    <x v="0"/>
    <x v="1"/>
    <s v="Closed"/>
    <m/>
    <n v="0"/>
    <m/>
    <m/>
    <m/>
    <s v="Feb-25"/>
    <n v="6"/>
    <s v="2025"/>
  </r>
  <r>
    <d v="2025-02-06T00:00:00"/>
    <s v="Dine in at Shamshabad"/>
    <s v="Call"/>
    <s v="Travel Group"/>
    <s v="Tourism"/>
    <s v="Balan"/>
    <s v="Travel group from Kerela on 6-2-25"/>
    <n v="17886"/>
    <n v="17886"/>
    <x v="13"/>
    <x v="0"/>
    <x v="1"/>
    <s v="Closed"/>
    <m/>
    <n v="0"/>
    <m/>
    <m/>
    <m/>
    <s v="Feb-25"/>
    <n v="6"/>
    <s v="2025"/>
  </r>
  <r>
    <d v="2025-02-07T00:00:00"/>
    <s v="Popup Counter at Capital Land Atria"/>
    <s v="F2F"/>
    <s v="Corporate"/>
    <s v="F&amp;B Agrigator"/>
    <s v="Sandhya"/>
    <s v="popup counter on 07-2-2025"/>
    <n v="13740"/>
    <n v="13740"/>
    <x v="13"/>
    <x v="0"/>
    <x v="1"/>
    <s v="Closed"/>
    <m/>
    <n v="0"/>
    <m/>
    <m/>
    <m/>
    <s v="Feb-25"/>
    <n v="6"/>
    <s v="2025"/>
  </r>
  <r>
    <d v="2025-02-07T00:00:00"/>
    <s v="Popup Counter at Capital Land A Block"/>
    <s v="F2F"/>
    <s v="Corporate"/>
    <s v="F&amp;B Agrigator"/>
    <s v="Anil"/>
    <s v="popup counter on 07-2-2025"/>
    <n v="16462"/>
    <n v="16462"/>
    <x v="13"/>
    <x v="0"/>
    <x v="1"/>
    <s v="Closed"/>
    <m/>
    <n v="0"/>
    <m/>
    <m/>
    <m/>
    <s v="Feb-25"/>
    <n v="6"/>
    <s v="2025"/>
  </r>
  <r>
    <d v="2025-02-08T00:00:00"/>
    <s v="ODC at Rachi Jharkhand"/>
    <s v="Call"/>
    <s v="Events"/>
    <s v="Family Group"/>
    <s v="Abdullah"/>
    <s v="Marriage "/>
    <n v="2000000"/>
    <n v="0"/>
    <x v="21"/>
    <x v="0"/>
    <x v="0"/>
    <s v="Cancelled"/>
    <s v="Budget issue"/>
    <n v="0"/>
    <m/>
    <m/>
    <m/>
    <s v="Feb-25"/>
    <n v="6"/>
    <s v="2025"/>
  </r>
  <r>
    <d v="2025-02-09T00:00:00"/>
    <s v="Popup Counter at Bits Pilani"/>
    <s v="F2F"/>
    <s v="College"/>
    <s v="Education"/>
    <s v="Himanshu"/>
    <s v="Popup counter on 9-2-2025"/>
    <n v="34350"/>
    <n v="34350"/>
    <x v="13"/>
    <x v="0"/>
    <x v="1"/>
    <s v="Closed"/>
    <m/>
    <n v="0"/>
    <m/>
    <m/>
    <m/>
    <s v="Feb-25"/>
    <n v="6"/>
    <s v="2025"/>
  </r>
  <r>
    <d v="2025-02-09T00:00:00"/>
    <s v="Delivery at MIG Lingampally from BHEL"/>
    <s v="Call"/>
    <s v="Corporate"/>
    <s v="Manufacturing"/>
    <s v="JK Dupati"/>
    <s v="Delivery of MB on 9-2-2025"/>
    <n v="9720"/>
    <n v="9720"/>
    <x v="13"/>
    <x v="0"/>
    <x v="1"/>
    <s v="Closed"/>
    <m/>
    <n v="0"/>
    <m/>
    <m/>
    <m/>
    <s v="Feb-25"/>
    <n v="6"/>
    <s v="2025"/>
  </r>
  <r>
    <d v="2025-02-10T00:00:00"/>
    <s v="Dine in at Uppal"/>
    <s v="Call"/>
    <s v="Events"/>
    <s v="Family Group"/>
    <s v="Mahesh"/>
    <s v="Dine in on 10-2-2025"/>
    <n v="8015"/>
    <n v="8015"/>
    <x v="13"/>
    <x v="0"/>
    <x v="1"/>
    <s v="Closed"/>
    <m/>
    <n v="0"/>
    <m/>
    <m/>
    <m/>
    <s v="Feb-25"/>
    <n v="7"/>
    <s v="2025"/>
  </r>
  <r>
    <d v="2025-02-10T00:00:00"/>
    <s v="Popup Counter at Capital Land Atria"/>
    <s v="F2F"/>
    <s v="Corporate"/>
    <s v="F&amp;B Agrigator"/>
    <s v="Sandhya"/>
    <s v="popup counter on 10-2-2025"/>
    <n v="4710"/>
    <n v="4710"/>
    <x v="13"/>
    <x v="0"/>
    <x v="1"/>
    <s v="Closed"/>
    <m/>
    <n v="0"/>
    <m/>
    <m/>
    <m/>
    <s v="Feb-25"/>
    <n v="7"/>
    <s v="2025"/>
  </r>
  <r>
    <d v="2024-02-11T00:00:00"/>
    <s v="Take away at SR Nagar"/>
    <s v="Call"/>
    <s v="Events"/>
    <s v="Family Group"/>
    <s v="Kishore"/>
    <s v="Take away of CB on 11-2-2025"/>
    <n v="4610"/>
    <n v="4610"/>
    <x v="13"/>
    <x v="0"/>
    <x v="1"/>
    <s v="Closed"/>
    <m/>
    <n v="0"/>
    <m/>
    <m/>
    <m/>
    <s v="Feb-24"/>
    <n v="6"/>
    <s v="2025"/>
  </r>
  <r>
    <d v="2025-02-11T00:00:00"/>
    <s v="Popup Counter at Capital Land Atria"/>
    <s v="F2F"/>
    <s v="Corporate"/>
    <s v="F&amp;B Agrigator"/>
    <s v="Sandhya"/>
    <s v="popup counter on 11-2-2025"/>
    <n v="8060"/>
    <n v="8060"/>
    <x v="13"/>
    <x v="0"/>
    <x v="1"/>
    <s v="Closed"/>
    <m/>
    <n v="0"/>
    <m/>
    <m/>
    <m/>
    <s v="Feb-25"/>
    <n v="7"/>
    <s v="2025"/>
  </r>
  <r>
    <d v="2025-02-11T00:00:00"/>
    <s v="Popup Counter at Capital Land A Block"/>
    <s v="F2F"/>
    <s v="Corporate"/>
    <s v="F&amp;B Agrigator"/>
    <s v="Anil"/>
    <s v="popup counter on 11-2-2025"/>
    <n v="6457"/>
    <n v="6457"/>
    <x v="13"/>
    <x v="0"/>
    <x v="1"/>
    <s v="Closed"/>
    <m/>
    <n v="0"/>
    <m/>
    <m/>
    <m/>
    <s v="Feb-25"/>
    <n v="7"/>
    <s v="2025"/>
  </r>
  <r>
    <d v="2025-02-11T00:00:00"/>
    <s v="Compass group hyderabad"/>
    <s v="Call"/>
    <s v="Corporate"/>
    <s v="F&amp;B Agrigator"/>
    <s v="Rahul"/>
    <s v="Delivery of CB &amp; VB on 13-2-2025"/>
    <n v="400000"/>
    <n v="0"/>
    <x v="13"/>
    <x v="0"/>
    <x v="0"/>
    <s v="Cancelled"/>
    <s v="Due to less budget"/>
    <n v="0"/>
    <m/>
    <m/>
    <m/>
    <s v="Feb-25"/>
    <n v="7"/>
    <s v="2025"/>
  </r>
  <r>
    <d v="2025-02-12T00:00:00"/>
    <s v="Popup Counter at Capital Land Atria"/>
    <s v="F2F"/>
    <s v="Corporate"/>
    <s v="F&amp;B Agrigator"/>
    <s v="Sandhya"/>
    <s v="popup counter on 12-2-2025"/>
    <n v="10797"/>
    <n v="10797"/>
    <x v="13"/>
    <x v="0"/>
    <x v="1"/>
    <s v="Closed"/>
    <m/>
    <n v="0"/>
    <m/>
    <m/>
    <m/>
    <s v="Feb-25"/>
    <n v="7"/>
    <s v="2025"/>
  </r>
  <r>
    <d v="2025-02-12T00:00:00"/>
    <s v="Popup Counter at Capital Land A Block"/>
    <s v="F2F"/>
    <s v="Corporate"/>
    <s v="F&amp;B Agrigator"/>
    <s v="Anil"/>
    <s v="popup counter on 12-2-2025"/>
    <n v="13612"/>
    <n v="13612"/>
    <x v="13"/>
    <x v="0"/>
    <x v="1"/>
    <s v="Closed"/>
    <m/>
    <n v="0"/>
    <m/>
    <m/>
    <m/>
    <s v="Feb-25"/>
    <n v="7"/>
    <s v="2025"/>
  </r>
  <r>
    <d v="2025-02-12T00:00:00"/>
    <s v="Delivery at SEBLR Banglore (Compass)"/>
    <s v="Call"/>
    <s v="Corporate"/>
    <s v="F&amp;B Agrigator"/>
    <s v="Saad"/>
    <s v="New Delivery at Compass group on 12-2-25"/>
    <n v="29919"/>
    <n v="29919"/>
    <x v="13"/>
    <x v="1"/>
    <x v="1"/>
    <s v="Closed"/>
    <m/>
    <n v="0"/>
    <m/>
    <m/>
    <m/>
    <s v="Feb-25"/>
    <n v="7"/>
    <s v="2025"/>
  </r>
  <r>
    <d v="2025-02-12T00:00:00"/>
    <s v="Delivery at Compass Group Bangalore"/>
    <s v="Call"/>
    <s v="Corporate"/>
    <s v="F&amp;B Agrigator"/>
    <s v="Pankaj"/>
    <s v="Delivery of Special CB &amp; MB Handi on 12-2-25"/>
    <n v="39619"/>
    <n v="39619"/>
    <x v="13"/>
    <x v="1"/>
    <x v="1"/>
    <s v="Closed"/>
    <m/>
    <n v="0"/>
    <m/>
    <m/>
    <m/>
    <s v="Feb-25"/>
    <n v="7"/>
    <s v="2025"/>
  </r>
  <r>
    <d v="2025-02-12T00:00:00"/>
    <s v="Food Stall at ICFAI College Shankarpally"/>
    <s v="F2F"/>
    <s v="College"/>
    <s v="Education"/>
    <s v="Arya"/>
    <s v="Food stall on 11-12 Feb 2025"/>
    <n v="27500"/>
    <n v="27500"/>
    <x v="13"/>
    <x v="0"/>
    <x v="1"/>
    <s v="Closed"/>
    <m/>
    <n v="0"/>
    <m/>
    <m/>
    <m/>
    <s v="Feb-25"/>
    <n v="7"/>
    <s v="2025"/>
  </r>
  <r>
    <d v="2025-02-13T00:00:00"/>
    <s v="Popup Counter at Capital Land Atria"/>
    <s v="F2F"/>
    <s v="Corporate"/>
    <s v="F&amp;B Agrigator"/>
    <s v="Sandhya"/>
    <s v="popup counter on 13-2-2025"/>
    <n v="8760"/>
    <n v="8760"/>
    <x v="13"/>
    <x v="0"/>
    <x v="1"/>
    <s v="Closed"/>
    <m/>
    <n v="0"/>
    <m/>
    <m/>
    <m/>
    <s v="Feb-25"/>
    <n v="7"/>
    <s v="2025"/>
  </r>
  <r>
    <d v="2025-02-13T00:00:00"/>
    <s v="Popup Counter at Capital Land A Block"/>
    <s v="F2F"/>
    <s v="Corporate"/>
    <s v="F&amp;B Agrigator"/>
    <s v="Anil"/>
    <s v="popup counter on 13-2-2025"/>
    <n v="9782"/>
    <n v="9782"/>
    <x v="13"/>
    <x v="0"/>
    <x v="1"/>
    <s v="Closed"/>
    <m/>
    <n v="0"/>
    <m/>
    <m/>
    <m/>
    <s v="Feb-25"/>
    <n v="7"/>
    <s v="2025"/>
  </r>
  <r>
    <d v="2025-02-14T00:00:00"/>
    <s v="Popup Counter at Capital Land Atria"/>
    <s v="F2F"/>
    <s v="Corporate"/>
    <s v="F&amp;B Agrigator"/>
    <s v="Sandhya"/>
    <s v="popup counter on 14-2-2025"/>
    <n v="10880"/>
    <n v="10880"/>
    <x v="13"/>
    <x v="0"/>
    <x v="1"/>
    <s v="Closed"/>
    <m/>
    <n v="0"/>
    <m/>
    <m/>
    <m/>
    <s v="Feb-25"/>
    <n v="7"/>
    <s v="2025"/>
  </r>
  <r>
    <d v="2025-02-14T00:00:00"/>
    <s v="Popup Counter at Capital Land A Block"/>
    <s v="F2F"/>
    <s v="Corporate"/>
    <s v="F&amp;B Agrigator"/>
    <s v="Anil"/>
    <s v="popup counter on 14-2-2025"/>
    <n v="10019"/>
    <n v="10019"/>
    <x v="13"/>
    <x v="0"/>
    <x v="1"/>
    <s v="Closed"/>
    <m/>
    <n v="0"/>
    <m/>
    <m/>
    <m/>
    <s v="Feb-25"/>
    <n v="7"/>
    <s v="2025"/>
  </r>
  <r>
    <d v="2025-02-14T00:00:00"/>
    <s v="Delivery at uppal"/>
    <s v="Call"/>
    <s v="Events"/>
    <s v="Family Group"/>
    <s v="Satish"/>
    <s v="Delivery of VB on 14-2-2025"/>
    <n v="5200"/>
    <n v="5200"/>
    <x v="13"/>
    <x v="0"/>
    <x v="1"/>
    <s v="Closed"/>
    <m/>
    <n v="0"/>
    <m/>
    <m/>
    <m/>
    <s v="Feb-25"/>
    <n v="7"/>
    <s v="2025"/>
  </r>
  <r>
    <d v="2025-02-16T00:00:00"/>
    <s v="Delivery at Necklaceroad Apex Technologies"/>
    <s v="F2F"/>
    <s v="Corporate"/>
    <s v="IT"/>
    <s v="Uttej"/>
    <s v="Delivery of bakery items on 16-2-2025"/>
    <n v="4600"/>
    <n v="4600"/>
    <x v="13"/>
    <x v="0"/>
    <x v="1"/>
    <s v="Closed"/>
    <m/>
    <n v="0"/>
    <m/>
    <m/>
    <m/>
    <s v="Feb-25"/>
    <n v="7"/>
    <s v="2025"/>
  </r>
  <r>
    <d v="2025-02-16T00:00:00"/>
    <s v="Kukdukoo fest 2025 NITHM Gachabowli"/>
    <s v="F2F"/>
    <s v="Corporate"/>
    <s v="F&amp;B Agrigator"/>
    <s v="Shubham"/>
    <s v="Popup counter on 15&amp;16 Feb 2025 , 30% Rev Share"/>
    <n v="149900"/>
    <n v="149900"/>
    <x v="13"/>
    <x v="0"/>
    <x v="1"/>
    <s v="Closed"/>
    <m/>
    <n v="0"/>
    <m/>
    <m/>
    <m/>
    <s v="Feb-25"/>
    <n v="7"/>
    <s v="2025"/>
  </r>
  <r>
    <d v="2025-02-17T00:00:00"/>
    <s v="Popup Counter at Capital Land Atria"/>
    <s v="F2F"/>
    <s v="Corporate"/>
    <s v="F&amp;B Agrigator"/>
    <s v="Sandhya"/>
    <s v="popup counter on 17-2-2025"/>
    <n v="8760"/>
    <n v="8760"/>
    <x v="13"/>
    <x v="0"/>
    <x v="1"/>
    <s v="Closed"/>
    <m/>
    <n v="0"/>
    <m/>
    <m/>
    <m/>
    <s v="Feb-25"/>
    <n v="8"/>
    <s v="2025"/>
  </r>
  <r>
    <d v="2025-02-17T00:00:00"/>
    <s v="Popup Counter at Capital Land A Block"/>
    <s v="F2F"/>
    <s v="Corporate"/>
    <s v="F&amp;B Agrigator"/>
    <s v="Anil"/>
    <s v="popup counter on 17-2-2025"/>
    <n v="9021"/>
    <n v="9021"/>
    <x v="13"/>
    <x v="0"/>
    <x v="1"/>
    <s v="Closed"/>
    <m/>
    <n v="0"/>
    <m/>
    <m/>
    <m/>
    <s v="Feb-25"/>
    <n v="8"/>
    <s v="2025"/>
  </r>
  <r>
    <d v="2025-02-18T00:00:00"/>
    <s v="Popup Counter at Capital Land Atria"/>
    <s v="F2F"/>
    <s v="Corporate"/>
    <s v="F&amp;B Agrigator"/>
    <s v="Sandhya"/>
    <s v="popup counter on 18-2-2025"/>
    <n v="12157"/>
    <n v="12157"/>
    <x v="13"/>
    <x v="0"/>
    <x v="1"/>
    <s v="Closed"/>
    <m/>
    <n v="0"/>
    <m/>
    <m/>
    <m/>
    <s v="Feb-25"/>
    <n v="8"/>
    <s v="2025"/>
  </r>
  <r>
    <d v="2025-02-18T00:00:00"/>
    <s v="Delivery of MB at Tolichowki"/>
    <s v="F2F"/>
    <s v="Events"/>
    <s v="Family Group"/>
    <s v="Shoukat"/>
    <s v="Delivery of MB Handi on 20-2-2025"/>
    <n v="27000"/>
    <n v="0"/>
    <x v="13"/>
    <x v="0"/>
    <x v="0"/>
    <s v="Cancelled"/>
    <s v="Very less budget"/>
    <n v="0"/>
    <m/>
    <m/>
    <m/>
    <s v="Feb-25"/>
    <n v="8"/>
    <s v="2025"/>
  </r>
  <r>
    <d v="2025-02-18T00:00:00"/>
    <s v="Popup counter at optum H1 Mindspace"/>
    <s v="F2F"/>
    <s v="Corporate"/>
    <s v="F&amp;B Agrigator"/>
    <s v="Venkat"/>
    <s v="Popup stall on 18-2-2025"/>
    <n v="6000"/>
    <n v="6000"/>
    <x v="13"/>
    <x v="0"/>
    <x v="1"/>
    <s v="Closed"/>
    <m/>
    <n v="0"/>
    <m/>
    <m/>
    <m/>
    <s v="Feb-25"/>
    <n v="8"/>
    <s v="2025"/>
  </r>
  <r>
    <d v="2025-02-19T00:00:00"/>
    <s v="Foodys Group Haleem and biryani delivery at Airport"/>
    <s v="F2F"/>
    <s v="Corporate"/>
    <s v="F&amp;B Agrigator"/>
    <s v="Venkat"/>
    <s v="Haleem delivery from 2nd Feb till 28 Feb 2025"/>
    <n v="288565"/>
    <n v="288565"/>
    <x v="13"/>
    <x v="0"/>
    <x v="1"/>
    <s v="Closed"/>
    <m/>
    <n v="200000"/>
    <m/>
    <m/>
    <m/>
    <s v="Feb-25"/>
    <n v="8"/>
    <s v="2025"/>
  </r>
  <r>
    <d v="2025-02-19T00:00:00"/>
    <s v="Popup Counter at Capital Land Atria"/>
    <s v="F2F"/>
    <s v="Corporate"/>
    <s v="F&amp;B Agrigator"/>
    <s v="Sandhya"/>
    <s v="popup counter on 19-2-2025"/>
    <n v="10170"/>
    <n v="10170"/>
    <x v="13"/>
    <x v="0"/>
    <x v="1"/>
    <s v="Closed"/>
    <m/>
    <n v="0"/>
    <m/>
    <m/>
    <m/>
    <s v="Feb-25"/>
    <n v="8"/>
    <s v="2025"/>
  </r>
  <r>
    <d v="2025-02-19T00:00:00"/>
    <s v="Clix Capital Services"/>
    <s v="Call"/>
    <s v="Corporate"/>
    <s v="Realestate"/>
    <s v="Sathvik"/>
    <s v="Delivery of CB &amp; VB on 19-02-2025 from BGMPET"/>
    <n v="23000"/>
    <n v="23000"/>
    <x v="13"/>
    <x v="0"/>
    <x v="1"/>
    <s v="Closed"/>
    <m/>
    <n v="0"/>
    <m/>
    <m/>
    <m/>
    <s v="Feb-25"/>
    <n v="8"/>
    <s v="2025"/>
  </r>
  <r>
    <d v="2025-02-19T00:00:00"/>
    <s v="Popup counter at optum H1 Mindspace"/>
    <s v="F2F"/>
    <s v="Corporate"/>
    <s v="F&amp;B Agrigator"/>
    <s v="Venkat"/>
    <s v="Popup stall on 19-2-2025"/>
    <n v="10500"/>
    <n v="10500"/>
    <x v="13"/>
    <x v="0"/>
    <x v="1"/>
    <s v="Closed"/>
    <m/>
    <n v="0"/>
    <m/>
    <m/>
    <m/>
    <s v="Feb-25"/>
    <n v="8"/>
    <s v="2025"/>
  </r>
  <r>
    <d v="2025-02-19T00:00:00"/>
    <s v="Delivery at Compass Group Bangalore"/>
    <s v="Call"/>
    <s v="Corporate"/>
    <s v="F&amp;B Agrigator"/>
    <s v="Pankaj"/>
    <s v="Delivery of Special CB &amp; MB Handi on 19-2-25"/>
    <n v="53015"/>
    <n v="53015"/>
    <x v="13"/>
    <x v="1"/>
    <x v="1"/>
    <s v="Closed"/>
    <m/>
    <n v="0"/>
    <m/>
    <m/>
    <m/>
    <s v="Feb-25"/>
    <n v="8"/>
    <s v="2025"/>
  </r>
  <r>
    <d v="2025-02-20T00:00:00"/>
    <s v="Popup Counter at Capital Land Atria"/>
    <s v="F2F"/>
    <s v="Corporate"/>
    <s v="F&amp;B Agrigator"/>
    <s v="Sandhya"/>
    <s v="popup counter on 20-2-2025"/>
    <n v="12576"/>
    <n v="12576"/>
    <x v="13"/>
    <x v="0"/>
    <x v="1"/>
    <s v="Closed"/>
    <m/>
    <n v="0"/>
    <m/>
    <m/>
    <m/>
    <s v="Feb-25"/>
    <n v="8"/>
    <s v="2025"/>
  </r>
  <r>
    <d v="2025-02-21T00:00:00"/>
    <s v="Popup Counter at Capital Land Atria"/>
    <s v="F2F"/>
    <s v="Corporate"/>
    <s v="F&amp;B Agrigator"/>
    <s v="Sandhya"/>
    <s v="popup counter on 21-2-2025"/>
    <n v="10200"/>
    <n v="10200"/>
    <x v="13"/>
    <x v="0"/>
    <x v="1"/>
    <s v="Closed"/>
    <m/>
    <n v="0"/>
    <m/>
    <m/>
    <m/>
    <s v="Feb-25"/>
    <n v="8"/>
    <s v="2025"/>
  </r>
  <r>
    <d v="2025-02-21T00:00:00"/>
    <s v="Take Away at Hitec City"/>
    <s v="Call"/>
    <s v="Events"/>
    <s v="Family Group"/>
    <s v="Mahesh"/>
    <s v="Takeaway of MB &amp; CB on 21-2-2025"/>
    <n v="10250"/>
    <n v="10250"/>
    <x v="13"/>
    <x v="0"/>
    <x v="1"/>
    <s v="Closed"/>
    <m/>
    <n v="0"/>
    <m/>
    <m/>
    <m/>
    <s v="Feb-25"/>
    <n v="8"/>
    <s v="2025"/>
  </r>
  <r>
    <d v="2025-02-22T00:00:00"/>
    <s v="Delivery at Hitec City"/>
    <s v="Call"/>
    <s v="Events"/>
    <s v="Family Group"/>
    <s v="Jagati"/>
    <s v="Delivery of CB &amp; VB on "/>
    <n v="8630"/>
    <n v="8630"/>
    <x v="13"/>
    <x v="0"/>
    <x v="1"/>
    <s v="Closed"/>
    <m/>
    <n v="0"/>
    <m/>
    <m/>
    <m/>
    <s v="Feb-25"/>
    <n v="8"/>
    <s v="2025"/>
  </r>
  <r>
    <d v="2025-02-24T00:00:00"/>
    <s v="Popup Counter at Capital Land A Block"/>
    <s v="F2F"/>
    <s v="Corporate"/>
    <s v="F&amp;B Agrigator"/>
    <s v="Anil"/>
    <s v="popup counter on 24-2-2025"/>
    <n v="10295"/>
    <n v="10295"/>
    <x v="13"/>
    <x v="0"/>
    <x v="1"/>
    <s v="Closed"/>
    <m/>
    <n v="0"/>
    <m/>
    <m/>
    <m/>
    <s v="Feb-25"/>
    <n v="9"/>
    <s v="2025"/>
  </r>
  <r>
    <d v="2025-02-24T00:00:00"/>
    <s v="Popup Counter at Capital Land Atria"/>
    <s v="F2F"/>
    <s v="Corporate"/>
    <s v="F&amp;B Agrigator"/>
    <s v="Sandhya"/>
    <s v="popup counter on 24-2-2025"/>
    <n v="10060"/>
    <n v="10060"/>
    <x v="13"/>
    <x v="0"/>
    <x v="1"/>
    <s v="Closed"/>
    <m/>
    <n v="0"/>
    <m/>
    <m/>
    <m/>
    <s v="Feb-25"/>
    <n v="9"/>
    <s v="2025"/>
  </r>
  <r>
    <d v="2025-02-24T00:00:00"/>
    <s v="Delivery at NIMS Hospital"/>
    <s v="F2F"/>
    <s v="Corporate"/>
    <s v="Healthcare"/>
    <s v="Arif"/>
    <s v="Delivery of VB on 22-2-2025"/>
    <n v="9000"/>
    <n v="9000"/>
    <x v="13"/>
    <x v="0"/>
    <x v="1"/>
    <s v="Closed"/>
    <m/>
    <n v="0"/>
    <m/>
    <m/>
    <m/>
    <s v="Feb-25"/>
    <n v="9"/>
    <s v="2025"/>
  </r>
  <r>
    <d v="2025-02-25T00:00:00"/>
    <s v="Popup Counter at Capital Land A Block"/>
    <s v="F2F"/>
    <s v="Corporate"/>
    <s v="F&amp;B Agrigator"/>
    <s v="Anil"/>
    <s v="popup counter on 25-2-2025"/>
    <n v="8912"/>
    <n v="8912"/>
    <x v="13"/>
    <x v="0"/>
    <x v="1"/>
    <s v="Closed"/>
    <m/>
    <n v="0"/>
    <m/>
    <m/>
    <m/>
    <s v="Feb-25"/>
    <n v="9"/>
    <s v="2025"/>
  </r>
  <r>
    <d v="2025-02-25T00:00:00"/>
    <s v="Popup Counter at Capital Land Atria"/>
    <s v="F2F"/>
    <s v="Corporate"/>
    <s v="F&amp;B Agrigator"/>
    <s v="Sandhya"/>
    <s v="popup counter on 25-2-2025"/>
    <n v="8660"/>
    <n v="8660"/>
    <x v="13"/>
    <x v="0"/>
    <x v="1"/>
    <s v="Closed"/>
    <m/>
    <n v="0"/>
    <m/>
    <m/>
    <m/>
    <s v="Feb-25"/>
    <n v="9"/>
    <s v="2025"/>
  </r>
  <r>
    <d v="2025-02-26T00:00:00"/>
    <s v="Delivery at Masabtank"/>
    <s v="Call"/>
    <s v="Events"/>
    <s v="Family Group"/>
    <s v="Laksh"/>
    <s v="Dine in at Masabtank on 26-2-2025"/>
    <n v="4250"/>
    <n v="4250"/>
    <x v="13"/>
    <x v="0"/>
    <x v="1"/>
    <s v="Closed"/>
    <m/>
    <n v="0"/>
    <m/>
    <m/>
    <m/>
    <s v="Feb-25"/>
    <n v="9"/>
    <s v="2025"/>
  </r>
  <r>
    <d v="2025-02-26T00:00:00"/>
    <s v="Travel Group from Orissa"/>
    <s v="Call"/>
    <s v="Travel Group"/>
    <s v="Tourism"/>
    <s v="Sahoo"/>
    <s v="Dine in at Shamshabad on 26-2-2025"/>
    <n v="34991"/>
    <n v="34991"/>
    <x v="13"/>
    <x v="0"/>
    <x v="1"/>
    <s v="Closed"/>
    <m/>
    <n v="0"/>
    <m/>
    <m/>
    <m/>
    <s v="Feb-25"/>
    <n v="9"/>
    <s v="2025"/>
  </r>
  <r>
    <d v="2025-02-27T00:00:00"/>
    <s v="Popup Counter at Capital Land A Block"/>
    <s v="F2F"/>
    <s v="Corporate"/>
    <s v="F&amp;B Agrigator"/>
    <s v="Anil"/>
    <s v="popup counter on 27-2-2025"/>
    <n v="12670"/>
    <n v="12670"/>
    <x v="13"/>
    <x v="0"/>
    <x v="1"/>
    <s v="Closed"/>
    <m/>
    <n v="0"/>
    <m/>
    <m/>
    <m/>
    <s v="Feb-25"/>
    <n v="9"/>
    <s v="2025"/>
  </r>
  <r>
    <d v="2025-02-27T00:00:00"/>
    <s v="Popup Counter at Capital Land Atria"/>
    <s v="F2F"/>
    <s v="Corporate"/>
    <s v="F&amp;B Agrigator"/>
    <s v="Sandhya"/>
    <s v="popup counter on 27-2-2025"/>
    <n v="7660"/>
    <n v="7660"/>
    <x v="13"/>
    <x v="0"/>
    <x v="1"/>
    <s v="Closed"/>
    <m/>
    <n v="0"/>
    <m/>
    <m/>
    <m/>
    <s v="Feb-25"/>
    <n v="9"/>
    <s v="2025"/>
  </r>
  <r>
    <d v="2025-02-27T00:00:00"/>
    <s v="Delivery at Hitec City"/>
    <s v="Call"/>
    <s v="Events"/>
    <s v="Family Group"/>
    <s v="Srinivas"/>
    <s v="Delivery of CB &amp; VB on 27-02-2025"/>
    <n v="11730"/>
    <n v="11730"/>
    <x v="13"/>
    <x v="0"/>
    <x v="1"/>
    <s v="Closed"/>
    <m/>
    <n v="0"/>
    <m/>
    <m/>
    <m/>
    <s v="Feb-25"/>
    <n v="9"/>
    <s v="2025"/>
  </r>
  <r>
    <d v="2025-02-28T00:00:00"/>
    <s v="Popup Counter at Capital Land A Block"/>
    <s v="F2F"/>
    <s v="Corporate"/>
    <s v="F&amp;B Agrigator"/>
    <s v="Anil"/>
    <s v="popup counter on 28-2-2025"/>
    <n v="11732"/>
    <n v="11732"/>
    <x v="13"/>
    <x v="0"/>
    <x v="1"/>
    <s v="Closed"/>
    <m/>
    <n v="0"/>
    <m/>
    <m/>
    <m/>
    <s v="Feb-25"/>
    <n v="9"/>
    <s v="2025"/>
  </r>
  <r>
    <d v="2025-02-28T00:00:00"/>
    <s v="Popup Counter at Capital Land Atria"/>
    <s v="F2F"/>
    <s v="Corporate"/>
    <s v="F&amp;B Agrigator"/>
    <s v="Sandhya"/>
    <s v="popup counter on 28-2-2025"/>
    <n v="9160"/>
    <n v="9160"/>
    <x v="13"/>
    <x v="0"/>
    <x v="1"/>
    <s v="Closed"/>
    <m/>
    <n v="0"/>
    <m/>
    <m/>
    <m/>
    <s v="Feb-25"/>
    <n v="9"/>
    <s v="2025"/>
  </r>
  <r>
    <d v="2025-02-28T00:00:00"/>
    <s v="Take away at Hitec City"/>
    <s v="Call"/>
    <s v="Events"/>
    <s v="Family Group"/>
    <s v="Bharath"/>
    <s v="Delivery of CB &amp; VB on 28-2-2025"/>
    <n v="12580"/>
    <n v="12580"/>
    <x v="13"/>
    <x v="0"/>
    <x v="1"/>
    <s v="Closed"/>
    <m/>
    <n v="0"/>
    <m/>
    <m/>
    <m/>
    <s v="Feb-25"/>
    <n v="9"/>
    <s v="2025"/>
  </r>
  <r>
    <d v="2025-02-28T00:00:00"/>
    <s v="Popup counter at DRDO event"/>
    <s v="F2F"/>
    <s v="Exhibition"/>
    <s v="F&amp;B Agrigator"/>
    <s v="Varun"/>
    <s v="popup counter on 28-2-2025"/>
    <n v="8000"/>
    <n v="8000"/>
    <x v="13"/>
    <x v="0"/>
    <x v="1"/>
    <s v="Closed"/>
    <m/>
    <n v="0"/>
    <m/>
    <m/>
    <m/>
    <s v="Feb-25"/>
    <n v="9"/>
    <s v="2025"/>
  </r>
  <r>
    <d v="2025-03-01T00:00:00"/>
    <s v="Delivery at hitec city"/>
    <s v="Call"/>
    <s v="Events"/>
    <s v="Family Group"/>
    <s v="Sumit"/>
    <s v="Delivery of MB &amp; VB on 01-03-2025"/>
    <n v="13536"/>
    <n v="13536"/>
    <x v="15"/>
    <x v="0"/>
    <x v="1"/>
    <s v="Closed"/>
    <m/>
    <n v="0"/>
    <m/>
    <m/>
    <m/>
    <s v="Mar-25"/>
    <n v="9"/>
    <s v="2025"/>
  </r>
  <r>
    <d v="2025-03-01T00:00:00"/>
    <s v="Take away at Hitec City"/>
    <s v="Call"/>
    <s v="Events"/>
    <s v="Family Group"/>
    <s v="Mahesh"/>
    <s v="Delivery of CB,MB&amp;VB on 01-03-2025"/>
    <n v="6309"/>
    <n v="6309"/>
    <x v="15"/>
    <x v="0"/>
    <x v="1"/>
    <s v="Closed"/>
    <m/>
    <n v="0"/>
    <m/>
    <m/>
    <m/>
    <s v="Mar-25"/>
    <n v="9"/>
    <s v="2025"/>
  </r>
  <r>
    <d v="2025-03-02T00:00:00"/>
    <s v="Take Away at Hitec City"/>
    <s v="Call"/>
    <s v="Events"/>
    <s v="Family Group"/>
    <s v="Satya"/>
    <s v="Take away of CB &amp; MB on 02-03-3035"/>
    <n v="14850"/>
    <n v="14850"/>
    <x v="15"/>
    <x v="0"/>
    <x v="1"/>
    <s v="Closed"/>
    <m/>
    <n v="0"/>
    <m/>
    <m/>
    <m/>
    <s v="Mar-25"/>
    <n v="9"/>
    <s v="2025"/>
  </r>
  <r>
    <d v="2025-03-03T00:00:00"/>
    <s v="Haleem Counter at Capital Land Atria"/>
    <s v="F2F"/>
    <s v="Corporate"/>
    <s v="IT"/>
    <s v="Lalitha"/>
    <s v="Popup Counter"/>
    <n v="0"/>
    <n v="0"/>
    <x v="15"/>
    <x v="0"/>
    <x v="1"/>
    <s v="Closed"/>
    <m/>
    <n v="200000"/>
    <m/>
    <m/>
    <m/>
    <s v="Mar-25"/>
    <n v="10"/>
    <s v="2025"/>
  </r>
  <r>
    <d v="2025-03-03T00:00:00"/>
    <s v="Haleem Counter at Capital Land Block A"/>
    <s v="F2F"/>
    <s v="Corporate"/>
    <s v="IT"/>
    <s v="Sandhya"/>
    <s v="Popup Counter"/>
    <n v="100000"/>
    <n v="0"/>
    <x v="15"/>
    <x v="0"/>
    <x v="0"/>
    <s v="Cancelled"/>
    <s v="Cancelled due to more vendors of Biryani"/>
    <n v="100000"/>
    <m/>
    <m/>
    <m/>
    <s v="Mar-25"/>
    <n v="10"/>
    <s v="2025"/>
  </r>
  <r>
    <d v="2025-03-03T00:00:00"/>
    <s v="Haleem Counter at Infosys Pocharam"/>
    <s v="F2F"/>
    <s v="Corporate"/>
    <s v="IT"/>
    <s v="Prasad"/>
    <s v="Popup Counter"/>
    <n v="20000"/>
    <n v="20000"/>
    <x v="15"/>
    <x v="0"/>
    <x v="1"/>
    <s v="Closed"/>
    <m/>
    <n v="20000"/>
    <m/>
    <m/>
    <m/>
    <s v="Mar-25"/>
    <n v="10"/>
    <s v="2025"/>
  </r>
  <r>
    <d v="2025-03-03T00:00:00"/>
    <s v="Haleem Counter at  Wipro Gopanpally"/>
    <s v="F2F"/>
    <s v="Corporate"/>
    <s v="IT"/>
    <s v="Mahendrakar"/>
    <s v="Popup Counter"/>
    <n v="100000"/>
    <n v="0"/>
    <x v="15"/>
    <x v="0"/>
    <x v="0"/>
    <s v="Cancelled"/>
    <s v="Cancelled"/>
    <n v="100000"/>
    <m/>
    <m/>
    <m/>
    <s v="Mar-25"/>
    <n v="10"/>
    <s v="2025"/>
  </r>
  <r>
    <d v="2025-03-03T00:00:00"/>
    <s v="Haleem Counter at Wipro SEZ Nanakramguda"/>
    <s v="F2F"/>
    <s v="Corporate"/>
    <s v="IT"/>
    <s v="Mahendrakar"/>
    <s v="Popup Counter"/>
    <n v="9000"/>
    <n v="9000"/>
    <x v="15"/>
    <x v="0"/>
    <x v="1"/>
    <s v="Closed"/>
    <m/>
    <n v="9000"/>
    <m/>
    <m/>
    <m/>
    <s v="Mar-25"/>
    <n v="10"/>
    <s v="2025"/>
  </r>
  <r>
    <d v="2025-03-03T00:00:00"/>
    <s v="Haleem Counter at Wipro Mindspace"/>
    <s v="F2F"/>
    <s v="Corporate"/>
    <s v="IT"/>
    <s v="Mahendrakar"/>
    <s v="Popup Counter"/>
    <n v="50000"/>
    <n v="0"/>
    <x v="15"/>
    <x v="0"/>
    <x v="0"/>
    <s v="Cancelled"/>
    <s v="Cancelled due to more vendors of Biryani"/>
    <n v="50000"/>
    <m/>
    <m/>
    <m/>
    <s v="Mar-25"/>
    <n v="10"/>
    <s v="2025"/>
  </r>
  <r>
    <d v="2025-03-03T00:00:00"/>
    <s v="Haleem Counter at Bits Pilani"/>
    <s v="F2F"/>
    <s v="College"/>
    <s v="Education"/>
    <s v="Pasha"/>
    <s v="Popup Counter"/>
    <n v="150000"/>
    <n v="0"/>
    <x v="15"/>
    <x v="0"/>
    <x v="0"/>
    <s v="Cancelled"/>
    <m/>
    <n v="150000"/>
    <m/>
    <m/>
    <m/>
    <s v="Mar-25"/>
    <n v="10"/>
    <s v="2025"/>
  </r>
  <r>
    <d v="2025-03-03T00:00:00"/>
    <s v="Haleem Delivery at Foodys Group Airport"/>
    <s v="F2F"/>
    <s v="Corporate"/>
    <s v="F&amp;B Agrigator"/>
    <s v="Venkat"/>
    <s v="Delivery of Haleem "/>
    <n v="0"/>
    <n v="0"/>
    <x v="15"/>
    <x v="0"/>
    <x v="1"/>
    <s v="Closed"/>
    <m/>
    <n v="0"/>
    <m/>
    <m/>
    <m/>
    <s v="Mar-25"/>
    <n v="10"/>
    <s v="2025"/>
  </r>
  <r>
    <d v="2025-03-03T00:00:00"/>
    <s v="Take away at Begumpet"/>
    <s v="Call"/>
    <s v="Events"/>
    <s v="Family Group"/>
    <s v="Narsimha"/>
    <s v="Take away of CV &amp; VB on 03-03-2025"/>
    <n v="6518"/>
    <n v="6518"/>
    <x v="15"/>
    <x v="0"/>
    <x v="1"/>
    <s v="Closed"/>
    <m/>
    <n v="0"/>
    <m/>
    <m/>
    <m/>
    <s v="Mar-25"/>
    <n v="10"/>
    <s v="2025"/>
  </r>
  <r>
    <d v="2025-03-03T00:00:00"/>
    <s v="Delivery at Begumpet"/>
    <s v="Call"/>
    <s v="Events"/>
    <s v="Family Group"/>
    <s v="Veerababu"/>
    <s v="Delivery of VB on 3-03-2025"/>
    <n v="15300"/>
    <n v="15300"/>
    <x v="15"/>
    <x v="0"/>
    <x v="1"/>
    <s v="Closed"/>
    <m/>
    <n v="0"/>
    <m/>
    <m/>
    <m/>
    <s v="Mar-25"/>
    <n v="10"/>
    <s v="2025"/>
  </r>
  <r>
    <d v="2025-03-03T00:00:00"/>
    <s v="Delivery of haleem For Iftiar Party at BITS Pilani"/>
    <s v="F2F"/>
    <s v="College"/>
    <s v="Education"/>
    <s v="Afkham Mir"/>
    <s v="Delivery of haleem for iftiar Party"/>
    <n v="67000"/>
    <n v="0"/>
    <x v="15"/>
    <x v="0"/>
    <x v="0"/>
    <s v="Cancelled"/>
    <s v="Event Cancelled"/>
    <n v="67000"/>
    <m/>
    <m/>
    <m/>
    <s v="Mar-25"/>
    <n v="10"/>
    <s v="2025"/>
  </r>
  <r>
    <d v="2025-03-03T00:00:00"/>
    <s v="Delivery of Haleem and Iftiar box at Infosys"/>
    <s v="F2F"/>
    <s v="Corporate"/>
    <s v="IT"/>
    <s v="Sathya Praveen"/>
    <s v="Delivery of Haleem and iftiar box in March"/>
    <n v="150000"/>
    <n v="0"/>
    <x v="15"/>
    <x v="0"/>
    <x v="0"/>
    <s v="Cancelled"/>
    <s v="Event Cancelled"/>
    <n v="150000"/>
    <m/>
    <m/>
    <m/>
    <s v="Mar-25"/>
    <n v="10"/>
    <s v="2025"/>
  </r>
  <r>
    <d v="2025-03-03T00:00:00"/>
    <s v="Popup Counter at Capital Land Atria"/>
    <s v="F2F"/>
    <s v="Corporate"/>
    <s v="F&amp;B Agrigator"/>
    <s v="Sandhya"/>
    <s v="popup counter on 3-3-2025"/>
    <n v="9160"/>
    <n v="9160"/>
    <x v="15"/>
    <x v="0"/>
    <x v="1"/>
    <s v="Closed"/>
    <m/>
    <n v="3000"/>
    <m/>
    <m/>
    <m/>
    <s v="Mar-25"/>
    <n v="10"/>
    <s v="2025"/>
  </r>
  <r>
    <d v="2025-03-04T00:00:00"/>
    <s v="Popup Counter at Capital Land Atria"/>
    <s v="F2F"/>
    <s v="Corporate"/>
    <s v="F&amp;B Agrigator"/>
    <s v="Sandhya"/>
    <s v="popup counter on 4-3-2025"/>
    <n v="11732"/>
    <n v="11732"/>
    <x v="15"/>
    <x v="0"/>
    <x v="1"/>
    <s v="Closed"/>
    <m/>
    <n v="3500"/>
    <m/>
    <m/>
    <m/>
    <s v="Mar-25"/>
    <n v="10"/>
    <s v="2025"/>
  </r>
  <r>
    <d v="2025-03-04T00:00:00"/>
    <s v="Popup Haleem Counter at Sky View OPTUM"/>
    <s v="F2F"/>
    <s v="Corporate"/>
    <s v="IT"/>
    <s v="Kiran"/>
    <s v="Popup counter on 4-3-2025"/>
    <n v="6500"/>
    <n v="6500"/>
    <x v="15"/>
    <x v="0"/>
    <x v="1"/>
    <s v="Closed"/>
    <m/>
    <n v="2000"/>
    <m/>
    <m/>
    <m/>
    <s v="Mar-25"/>
    <n v="10"/>
    <s v="2025"/>
  </r>
  <r>
    <d v="2025-03-04T00:00:00"/>
    <s v="Haleem Popup Counter at Infosys Pocharam"/>
    <s v="F2F"/>
    <s v="Corporate"/>
    <s v="IT"/>
    <s v="Sathya Praveen"/>
    <s v="haleem popup counter on 04-03-2025"/>
    <n v="10459"/>
    <n v="10459"/>
    <x v="15"/>
    <x v="0"/>
    <x v="1"/>
    <s v="Closed"/>
    <m/>
    <n v="10550"/>
    <m/>
    <m/>
    <m/>
    <s v="Mar-25"/>
    <n v="10"/>
    <s v="2025"/>
  </r>
  <r>
    <d v="2025-03-04T00:00:00"/>
    <s v="Delivery at Masabtank"/>
    <s v="Call"/>
    <s v="Events"/>
    <s v="Family Group"/>
    <s v="Praneeth"/>
    <s v="Delivery of MB on 4-3-2025"/>
    <n v="9890"/>
    <n v="9890"/>
    <x v="15"/>
    <x v="0"/>
    <x v="1"/>
    <s v="Closed"/>
    <m/>
    <n v="0"/>
    <m/>
    <m/>
    <m/>
    <s v="Mar-25"/>
    <n v="10"/>
    <s v="2025"/>
  </r>
  <r>
    <d v="2025-03-05T00:00:00"/>
    <s v="Haleem Popup Counter at Infosys Pocharam"/>
    <s v="F2F"/>
    <s v="Corporate"/>
    <s v="IT"/>
    <s v="Sathya Praveen"/>
    <s v="haleem popup counter on 05-03-2025"/>
    <n v="15366"/>
    <n v="15366"/>
    <x v="15"/>
    <x v="0"/>
    <x v="1"/>
    <s v="Closed"/>
    <m/>
    <n v="15366"/>
    <m/>
    <m/>
    <m/>
    <s v="Mar-25"/>
    <n v="10"/>
    <s v="2025"/>
  </r>
  <r>
    <d v="2025-03-05T00:00:00"/>
    <s v="Dine in at Uppal"/>
    <s v="Call"/>
    <s v="Corporate"/>
    <s v="Manufacturing"/>
    <s v="Chintu"/>
    <s v="Dine in on 5-3-2025"/>
    <n v="6142"/>
    <n v="6142"/>
    <x v="15"/>
    <x v="0"/>
    <x v="1"/>
    <s v="Closed"/>
    <m/>
    <n v="0"/>
    <m/>
    <m/>
    <m/>
    <s v="Mar-25"/>
    <n v="10"/>
    <s v="2025"/>
  </r>
  <r>
    <d v="2025-03-05T00:00:00"/>
    <s v="Popup Haleem Counter at Sky View OPTUM"/>
    <s v="F2F"/>
    <s v="Corporate"/>
    <s v="IT"/>
    <s v="Kiran"/>
    <s v="Popup counter on 5-3-2025"/>
    <n v="9800"/>
    <n v="9800"/>
    <x v="15"/>
    <x v="0"/>
    <x v="1"/>
    <s v="Closed"/>
    <m/>
    <n v="2000"/>
    <m/>
    <m/>
    <m/>
    <s v="Mar-25"/>
    <n v="10"/>
    <s v="2025"/>
  </r>
  <r>
    <d v="2025-03-05T00:00:00"/>
    <s v="Popup Counter at Capital Land Atria"/>
    <s v="F2F"/>
    <s v="Corporate"/>
    <s v="F&amp;B Agrigator"/>
    <s v="Sandhya"/>
    <s v="popup counter on 5-3-2025"/>
    <n v="7760"/>
    <n v="7760"/>
    <x v="15"/>
    <x v="0"/>
    <x v="1"/>
    <s v="Closed"/>
    <m/>
    <n v="2500"/>
    <m/>
    <m/>
    <m/>
    <s v="Mar-25"/>
    <n v="10"/>
    <s v="2025"/>
  </r>
  <r>
    <d v="2025-03-05T00:00:00"/>
    <s v="Value Zone Nacharam"/>
    <s v="F2F"/>
    <s v="Corporate"/>
    <s v="F&amp;B Agrigator"/>
    <s v="Rajesh"/>
    <s v="Discussion about haleem popup counter"/>
    <n v="300000"/>
    <n v="0"/>
    <x v="15"/>
    <x v="0"/>
    <x v="0"/>
    <s v="Cancelled"/>
    <s v="Not profitable"/>
    <n v="300000"/>
    <m/>
    <m/>
    <m/>
    <s v="Mar-25"/>
    <n v="10"/>
    <s v="2025"/>
  </r>
  <r>
    <d v="2025-03-06T00:00:00"/>
    <s v="Haleem Popup Counter at Infosys Pocharam"/>
    <s v="F2F"/>
    <s v="Corporate"/>
    <s v="IT"/>
    <s v="Sathya Praveen"/>
    <s v="haleem popup counter on 06-03-2025"/>
    <n v="15204"/>
    <n v="15204"/>
    <x v="15"/>
    <x v="0"/>
    <x v="1"/>
    <s v="Closed"/>
    <m/>
    <n v="15204"/>
    <m/>
    <m/>
    <m/>
    <s v="Mar-25"/>
    <n v="10"/>
    <s v="2025"/>
  </r>
  <r>
    <d v="2025-03-06T00:00:00"/>
    <s v="Popup Haleem Counter at Sky View OPTUM"/>
    <s v="F2F"/>
    <s v="Corporate"/>
    <s v="IT"/>
    <s v="Kiran"/>
    <s v="Popup counter on 6-3-2025"/>
    <n v="4490"/>
    <n v="4490"/>
    <x v="15"/>
    <x v="0"/>
    <x v="1"/>
    <s v="Closed"/>
    <m/>
    <n v="2000"/>
    <m/>
    <m/>
    <m/>
    <s v="Mar-25"/>
    <n v="10"/>
    <s v="2025"/>
  </r>
  <r>
    <d v="2025-03-06T00:00:00"/>
    <s v="Popup Counter at Capital Land Atria"/>
    <s v="F2F"/>
    <s v="Corporate"/>
    <s v="F&amp;B Agrigator"/>
    <s v="Sandhya"/>
    <s v="popup counter on 6-3-2025"/>
    <n v="10950"/>
    <n v="10950"/>
    <x v="15"/>
    <x v="0"/>
    <x v="1"/>
    <s v="Closed"/>
    <m/>
    <n v="3500"/>
    <m/>
    <m/>
    <m/>
    <s v="Mar-25"/>
    <n v="10"/>
    <s v="2025"/>
  </r>
  <r>
    <d v="2025-03-06T00:00:00"/>
    <s v="Delivery at SEBLR Banglore (Compass)"/>
    <s v="Call"/>
    <s v="Corporate"/>
    <s v="F&amp;B Agrigator"/>
    <s v="Saad"/>
    <s v="New Delivery at Compass group on 5-3-2025"/>
    <n v="39256"/>
    <n v="39256"/>
    <x v="15"/>
    <x v="1"/>
    <x v="1"/>
    <s v="Closed"/>
    <m/>
    <n v="0"/>
    <m/>
    <m/>
    <m/>
    <s v="Mar-25"/>
    <n v="10"/>
    <s v="2025"/>
  </r>
  <r>
    <d v="2025-03-07T00:00:00"/>
    <s v="Haleem Popup Counter at Infosys Pocharam"/>
    <s v="F2F"/>
    <s v="Corporate"/>
    <s v="IT"/>
    <s v="Sathya Praveen"/>
    <s v="haleem popup counter on 07-03-2025"/>
    <n v="11632"/>
    <n v="11632"/>
    <x v="15"/>
    <x v="0"/>
    <x v="1"/>
    <s v="Closed"/>
    <m/>
    <n v="11632"/>
    <m/>
    <m/>
    <m/>
    <s v="Mar-25"/>
    <n v="10"/>
    <s v="2025"/>
  </r>
  <r>
    <d v="2025-03-07T00:00:00"/>
    <s v="Popup Counter at Capital Land Atria"/>
    <s v="F2F"/>
    <s v="Corporate"/>
    <s v="F&amp;B Agrigator"/>
    <s v="Sandhya"/>
    <s v="popup counter on 7-3-2025"/>
    <n v="10950"/>
    <n v="10950"/>
    <x v="15"/>
    <x v="0"/>
    <x v="1"/>
    <s v="Closed"/>
    <m/>
    <n v="3500"/>
    <m/>
    <m/>
    <m/>
    <s v="Mar-25"/>
    <n v="10"/>
    <s v="2025"/>
  </r>
  <r>
    <d v="2025-03-08T00:00:00"/>
    <s v="Delivery of VB at IIT Hyderabad"/>
    <s v="F2F"/>
    <s v="College"/>
    <s v="Education"/>
    <s v="Labdhi"/>
    <s v="Delivery of VB on 8th &amp; 9th March 2025"/>
    <n v="172896"/>
    <n v="172896"/>
    <x v="15"/>
    <x v="0"/>
    <x v="1"/>
    <s v="Closed"/>
    <m/>
    <n v="0"/>
    <m/>
    <m/>
    <m/>
    <s v="Mar-25"/>
    <n v="10"/>
    <s v="2025"/>
  </r>
  <r>
    <d v="2025-03-09T00:00:00"/>
    <s v="Delivery at Uppal"/>
    <s v="Call"/>
    <s v="Events"/>
    <s v="Family Group"/>
    <s v="Sanjay"/>
    <s v="Delivery 0n 9-3-2025"/>
    <n v="9091"/>
    <n v="9091"/>
    <x v="15"/>
    <x v="0"/>
    <x v="1"/>
    <s v="Closed"/>
    <m/>
    <n v="0"/>
    <m/>
    <m/>
    <m/>
    <s v="Mar-25"/>
    <n v="10"/>
    <s v="2025"/>
  </r>
  <r>
    <d v="2025-03-10T00:00:00"/>
    <s v="Haleem Popup Counter at Infosys Pocharam"/>
    <s v="F2F"/>
    <s v="Corporate"/>
    <s v="IT"/>
    <s v="Sathya Praveen"/>
    <s v="haleem popup counter on 10-03-2025"/>
    <n v="13820"/>
    <n v="13820"/>
    <x v="15"/>
    <x v="0"/>
    <x v="1"/>
    <s v="Closed"/>
    <m/>
    <n v="13820"/>
    <m/>
    <m/>
    <m/>
    <s v="Mar-25"/>
    <n v="11"/>
    <s v="2025"/>
  </r>
  <r>
    <d v="2025-03-10T00:00:00"/>
    <s v="Popup Counter at Capital Land Atria"/>
    <s v="F2F"/>
    <s v="Corporate"/>
    <s v="F&amp;B Agrigator"/>
    <s v="Sandhya"/>
    <s v="popup counter on 10-3-2025"/>
    <n v="12950"/>
    <n v="12950"/>
    <x v="15"/>
    <x v="0"/>
    <x v="1"/>
    <s v="Closed"/>
    <m/>
    <n v="3500"/>
    <m/>
    <m/>
    <m/>
    <s v="Mar-25"/>
    <n v="11"/>
    <s v="2025"/>
  </r>
  <r>
    <d v="2025-03-10T00:00:00"/>
    <s v="Delivery of Mutton Biryani at Infosys pocharam"/>
    <s v="F2F"/>
    <s v="Corporate"/>
    <s v="IT"/>
    <s v="Uppana"/>
    <s v="Delivery of MB on 10-3-2025"/>
    <n v="9000"/>
    <n v="9000"/>
    <x v="15"/>
    <x v="0"/>
    <x v="1"/>
    <s v="Closed"/>
    <m/>
    <n v="0"/>
    <m/>
    <m/>
    <m/>
    <s v="Mar-25"/>
    <n v="11"/>
    <s v="2025"/>
  </r>
  <r>
    <d v="2025-03-11T00:00:00"/>
    <s v="Delivery at MG Road"/>
    <s v="Call"/>
    <s v="Corporate"/>
    <s v="F&amp;B Agrigator"/>
    <s v="Vikas"/>
    <s v="Chef Parcha Delivery of MB &amp; CB ON 7-03-2025"/>
    <n v="12600"/>
    <n v="12600"/>
    <x v="15"/>
    <x v="0"/>
    <x v="1"/>
    <s v="Closed"/>
    <m/>
    <n v="0"/>
    <m/>
    <m/>
    <m/>
    <s v="Mar-25"/>
    <n v="11"/>
    <s v="2025"/>
  </r>
  <r>
    <d v="2025-03-11T00:00:00"/>
    <s v="Delivery of CB &amp; MB at Infosys Pocharam"/>
    <s v="F2F"/>
    <s v="Corporate"/>
    <s v="IT"/>
    <s v="Uppana"/>
    <s v="Delivery of CB &amp; MB on 11-03-2025"/>
    <n v="11525"/>
    <n v="11525"/>
    <x v="15"/>
    <x v="0"/>
    <x v="1"/>
    <s v="Closed"/>
    <m/>
    <n v="0"/>
    <m/>
    <m/>
    <m/>
    <s v="Mar-25"/>
    <n v="11"/>
    <s v="2025"/>
  </r>
  <r>
    <d v="2025-03-11T00:00:00"/>
    <s v="Haleem Counter at S&amp;P Skiview"/>
    <s v="F2F"/>
    <s v="Corporate"/>
    <s v="F&amp;B Agrigator"/>
    <s v="Sandhya"/>
    <s v="Haleem counter on 11-3-2025"/>
    <n v="5700"/>
    <n v="5700"/>
    <x v="15"/>
    <x v="0"/>
    <x v="1"/>
    <s v="Closed"/>
    <m/>
    <n v="5700"/>
    <m/>
    <m/>
    <m/>
    <s v="Mar-25"/>
    <n v="11"/>
    <s v="2025"/>
  </r>
  <r>
    <d v="2025-03-11T00:00:00"/>
    <s v="Popup Counter at Capital Land Atria"/>
    <s v="F2F"/>
    <s v="Corporate"/>
    <s v="F&amp;B Agrigator"/>
    <s v="Sandhya"/>
    <s v="popup counter on 11-3-2025"/>
    <n v="10270"/>
    <n v="10270"/>
    <x v="15"/>
    <x v="0"/>
    <x v="1"/>
    <s v="Closed"/>
    <m/>
    <n v="2900"/>
    <m/>
    <m/>
    <m/>
    <s v="Mar-25"/>
    <n v="11"/>
    <s v="2025"/>
  </r>
  <r>
    <d v="2025-03-11T00:00:00"/>
    <s v="Haleem Popup Counter at Infosys Pocharam"/>
    <s v="F2F"/>
    <s v="Corporate"/>
    <s v="IT"/>
    <s v="Sathya Praveen"/>
    <s v="haleem popup counter on 11-03-2025"/>
    <n v="10050"/>
    <n v="10050"/>
    <x v="15"/>
    <x v="0"/>
    <x v="1"/>
    <s v="Closed"/>
    <m/>
    <n v="10050"/>
    <m/>
    <m/>
    <m/>
    <s v="Mar-25"/>
    <n v="11"/>
    <s v="2025"/>
  </r>
  <r>
    <d v="2025-03-12T00:00:00"/>
    <s v="Popup Counter at Capital Land Atria"/>
    <s v="F2F"/>
    <s v="Corporate"/>
    <s v="F&amp;B Agrigator"/>
    <s v="Sandhya"/>
    <s v="popup counter on 12-3-2025"/>
    <n v="8860"/>
    <n v="8860"/>
    <x v="15"/>
    <x v="0"/>
    <x v="1"/>
    <s v="Closed"/>
    <m/>
    <n v="2500"/>
    <m/>
    <m/>
    <m/>
    <s v="Mar-25"/>
    <n v="11"/>
    <s v="2025"/>
  </r>
  <r>
    <d v="2025-03-12T00:00:00"/>
    <s v="Haleem Counter at S&amp;P Skiview"/>
    <s v="F2F"/>
    <s v="Corporate"/>
    <s v="F&amp;B Agrigator"/>
    <s v="Sandhya"/>
    <s v="Haleem counter on 12-3-2025"/>
    <n v="9866"/>
    <n v="9866"/>
    <x v="15"/>
    <x v="0"/>
    <x v="1"/>
    <s v="Closed"/>
    <m/>
    <n v="7000"/>
    <m/>
    <m/>
    <m/>
    <s v="Mar-25"/>
    <n v="11"/>
    <s v="2025"/>
  </r>
  <r>
    <d v="2025-03-12T00:00:00"/>
    <s v="Haleem Popup Counter at Infosys Pocharam"/>
    <s v="F2F"/>
    <s v="Corporate"/>
    <s v="IT"/>
    <s v="Sathya Praveen"/>
    <s v="haleem popup counter on 12-03-2025"/>
    <n v="9440"/>
    <n v="9440"/>
    <x v="15"/>
    <x v="0"/>
    <x v="1"/>
    <s v="Closed"/>
    <m/>
    <n v="9440"/>
    <m/>
    <m/>
    <m/>
    <s v="Mar-25"/>
    <n v="11"/>
    <s v="2025"/>
  </r>
  <r>
    <d v="2025-03-12T00:00:00"/>
    <s v="Delivery at MG Road"/>
    <s v="Call"/>
    <s v="Events"/>
    <s v="Family Group"/>
    <s v="Virend"/>
    <s v="Delivery of CB on 12-3-2025"/>
    <n v="9777"/>
    <n v="9777"/>
    <x v="15"/>
    <x v="0"/>
    <x v="1"/>
    <s v="Closed"/>
    <m/>
    <n v="0"/>
    <m/>
    <m/>
    <m/>
    <s v="Mar-25"/>
    <n v="11"/>
    <s v="2025"/>
  </r>
  <r>
    <d v="2025-03-13T00:00:00"/>
    <s v="Haleem Popup Counter at Wipro Mindspace"/>
    <s v="F2F"/>
    <s v="Corporate"/>
    <s v="IT"/>
    <s v="Maurya"/>
    <s v="Popup counter on 13-3-2025"/>
    <n v="5900"/>
    <n v="5900"/>
    <x v="15"/>
    <x v="0"/>
    <x v="1"/>
    <s v="Closed"/>
    <m/>
    <n v="5900"/>
    <m/>
    <m/>
    <m/>
    <s v="Mar-25"/>
    <n v="11"/>
    <s v="2025"/>
  </r>
  <r>
    <d v="2025-03-13T00:00:00"/>
    <s v="Haleem Counter at Infosys Pocharam"/>
    <s v="F2F"/>
    <s v="Corporate"/>
    <s v="IT"/>
    <s v="Sathya Praveen"/>
    <s v="Popup counter on 13-3-2025"/>
    <n v="7530"/>
    <n v="7530"/>
    <x v="15"/>
    <x v="0"/>
    <x v="1"/>
    <s v="Closed"/>
    <m/>
    <n v="7530"/>
    <m/>
    <m/>
    <m/>
    <s v="Mar-25"/>
    <n v="11"/>
    <s v="2025"/>
  </r>
  <r>
    <d v="2025-03-13T00:00:00"/>
    <s v="Popup Counter at Capital Land Atria"/>
    <s v="F2F"/>
    <s v="Corporate"/>
    <s v="F&amp;B Agrigator"/>
    <s v="Sandhya"/>
    <s v="popup counter on 13-3-2025"/>
    <n v="11720"/>
    <n v="11720"/>
    <x v="15"/>
    <x v="0"/>
    <x v="1"/>
    <s v="Closed"/>
    <m/>
    <n v="3500"/>
    <m/>
    <m/>
    <m/>
    <s v="Mar-25"/>
    <n v="11"/>
    <s v="2025"/>
  </r>
  <r>
    <d v="2025-03-14T00:00:00"/>
    <s v="Take away at Masabtank"/>
    <s v="Call"/>
    <s v="Events"/>
    <s v="Family Group"/>
    <s v="Ajay"/>
    <s v="Take away on 14 &amp; 15-3-2025"/>
    <n v="15483"/>
    <n v="15483"/>
    <x v="15"/>
    <x v="0"/>
    <x v="1"/>
    <s v="Closed"/>
    <m/>
    <n v="0"/>
    <m/>
    <m/>
    <m/>
    <s v="Mar-25"/>
    <n v="11"/>
    <s v="2025"/>
  </r>
  <r>
    <d v="2025-03-14T00:00:00"/>
    <s v="Haleem Popup Counter at Infosys Pocharam"/>
    <s v="F2F"/>
    <s v="Corporate"/>
    <s v="IT"/>
    <s v="Sathya Praveen"/>
    <s v="haleem popup counter on 14-03-2025"/>
    <n v="6700"/>
    <n v="6700"/>
    <x v="15"/>
    <x v="0"/>
    <x v="1"/>
    <s v="Closed"/>
    <m/>
    <n v="6700"/>
    <m/>
    <m/>
    <m/>
    <s v="Mar-25"/>
    <n v="11"/>
    <s v="2025"/>
  </r>
  <r>
    <d v="2025-03-15T00:00:00"/>
    <s v="Take away from Himayath nagar"/>
    <s v="Call"/>
    <s v="Events"/>
    <s v="Family Group"/>
    <s v="Faiz"/>
    <s v="Take away of MB on 15-3-2025"/>
    <n v="17820"/>
    <n v="17820"/>
    <x v="15"/>
    <x v="0"/>
    <x v="1"/>
    <s v="Closed"/>
    <m/>
    <n v="0"/>
    <m/>
    <m/>
    <m/>
    <s v="Mar-25"/>
    <n v="11"/>
    <s v="2025"/>
  </r>
  <r>
    <d v="2025-03-15T00:00:00"/>
    <s v="Nalsar Univercity Popup Stall in sports day"/>
    <s v="F2F"/>
    <s v="College"/>
    <s v="Education"/>
    <s v="Ashna"/>
    <s v="Popup stall on 14.15 &amp; 16-3-2025"/>
    <n v="35000"/>
    <n v="35000"/>
    <x v="15"/>
    <x v="0"/>
    <x v="1"/>
    <s v="Closed"/>
    <m/>
    <n v="12000"/>
    <m/>
    <m/>
    <m/>
    <s v="Mar-25"/>
    <n v="11"/>
    <s v="2025"/>
  </r>
  <r>
    <d v="2025-03-17T00:00:00"/>
    <s v="Popup Counter at Capital Land Atria"/>
    <s v="F2F"/>
    <s v="Corporate"/>
    <s v="F&amp;B Agrigator"/>
    <s v="Sandhya"/>
    <s v="popup counter on 17-3-2025"/>
    <n v="12000"/>
    <n v="12000"/>
    <x v="15"/>
    <x v="0"/>
    <x v="1"/>
    <s v="Closed"/>
    <m/>
    <n v="3500"/>
    <m/>
    <m/>
    <m/>
    <s v="Mar-25"/>
    <n v="12"/>
    <s v="2025"/>
  </r>
  <r>
    <d v="2025-03-17T00:00:00"/>
    <s v="Haleem Counter at Infosys Pocharam"/>
    <s v="F2F"/>
    <s v="Corporate"/>
    <s v="IT"/>
    <s v="Sathya Praveen"/>
    <s v="Popup counter on 17-3-2025"/>
    <n v="7530"/>
    <n v="7530"/>
    <x v="15"/>
    <x v="0"/>
    <x v="1"/>
    <s v="Closed"/>
    <m/>
    <n v="7530"/>
    <m/>
    <m/>
    <m/>
    <s v="Mar-25"/>
    <n v="12"/>
    <s v="2025"/>
  </r>
  <r>
    <d v="2025-03-17T00:00:00"/>
    <s v="Site Visit at Mindspace for 1 month popup counter"/>
    <s v="F2F"/>
    <s v="Corporate"/>
    <s v="Realestate"/>
    <s v="Jerry"/>
    <s v="discussion in regards with popup counter"/>
    <n v="0"/>
    <n v="0"/>
    <x v="15"/>
    <x v="0"/>
    <x v="1"/>
    <s v="Closed"/>
    <m/>
    <n v="0"/>
    <m/>
    <m/>
    <m/>
    <s v="Mar-25"/>
    <n v="12"/>
    <s v="2025"/>
  </r>
  <r>
    <d v="2025-03-17T00:00:00"/>
    <s v="Delivery at Kothapet"/>
    <s v="Call"/>
    <s v="Events"/>
    <s v="Family Group"/>
    <s v="Vijay"/>
    <s v="Delivery of MB on 22-3-2025"/>
    <n v="11500"/>
    <n v="11500"/>
    <x v="15"/>
    <x v="0"/>
    <x v="1"/>
    <s v="Closed"/>
    <m/>
    <n v="0"/>
    <m/>
    <m/>
    <m/>
    <s v="Mar-25"/>
    <n v="12"/>
    <s v="2025"/>
  </r>
  <r>
    <d v="2025-03-17T00:00:00"/>
    <s v="Delivery at Sreenidhi College of Engineering"/>
    <s v="F2F"/>
    <s v="College"/>
    <s v="Education"/>
    <s v="Abhijeet"/>
    <s v="delivery of CB &amp; VB on 22-3-2025"/>
    <n v="150000"/>
    <n v="0"/>
    <x v="15"/>
    <x v="0"/>
    <x v="0"/>
    <s v="Cancelled"/>
    <s v="Less Budget"/>
    <n v="0"/>
    <m/>
    <m/>
    <m/>
    <s v="Mar-25"/>
    <n v="12"/>
    <s v="2025"/>
  </r>
  <r>
    <d v="2025-03-18T00:00:00"/>
    <s v="Popup Counter at Capital Land Atria"/>
    <s v="F2F"/>
    <s v="Corporate"/>
    <s v="F&amp;B Agrigator"/>
    <s v="Sandhya"/>
    <s v="popup counter on 18-3-2025"/>
    <n v="8450"/>
    <n v="8450"/>
    <x v="15"/>
    <x v="0"/>
    <x v="1"/>
    <s v="Closed"/>
    <m/>
    <n v="4000"/>
    <m/>
    <m/>
    <m/>
    <s v="Mar-25"/>
    <n v="12"/>
    <s v="2025"/>
  </r>
  <r>
    <d v="2025-03-18T00:00:00"/>
    <s v="Haleem Counter at Infosys Pocharam"/>
    <s v="F2F"/>
    <s v="Corporate"/>
    <s v="IT"/>
    <s v="Sathya Praveen"/>
    <s v="Popup counter on 18-3-2025"/>
    <n v="9475"/>
    <n v="9475"/>
    <x v="15"/>
    <x v="0"/>
    <x v="1"/>
    <s v="Closed"/>
    <m/>
    <n v="9475"/>
    <m/>
    <m/>
    <m/>
    <s v="Mar-25"/>
    <n v="12"/>
    <s v="2025"/>
  </r>
  <r>
    <d v="2025-03-18T00:00:00"/>
    <s v="Haleem Popup at Wipro Gopanpally"/>
    <s v="F2F"/>
    <s v="Corporate"/>
    <s v="IT"/>
    <s v="Mahendrakar"/>
    <s v="Haleem popup on 18-3-2025"/>
    <n v="16308"/>
    <n v="16308"/>
    <x v="15"/>
    <x v="0"/>
    <x v="1"/>
    <s v="Closed"/>
    <m/>
    <n v="16308"/>
    <m/>
    <m/>
    <m/>
    <s v="Mar-25"/>
    <n v="12"/>
    <s v="2025"/>
  </r>
  <r>
    <d v="2025-03-18T00:00:00"/>
    <s v="Delivery at Uppal"/>
    <s v="Call"/>
    <s v="Events"/>
    <s v="Family Group"/>
    <s v="Mahesh"/>
    <s v="Delivery of VB &amp; CB on 18-3-2025"/>
    <n v="1096"/>
    <n v="1096"/>
    <x v="15"/>
    <x v="0"/>
    <x v="1"/>
    <s v="Closed"/>
    <m/>
    <n v="0"/>
    <m/>
    <m/>
    <m/>
    <s v="Mar-25"/>
    <n v="12"/>
    <s v="2025"/>
  </r>
  <r>
    <d v="2025-03-19T00:00:00"/>
    <s v="Popup Counter at Capital Land Atria"/>
    <s v="F2F"/>
    <s v="Corporate"/>
    <s v="F&amp;B Agrigator"/>
    <s v="Sandhya"/>
    <s v="popup counter on 19-3-2025"/>
    <n v="8450"/>
    <n v="8450"/>
    <x v="15"/>
    <x v="0"/>
    <x v="1"/>
    <s v="Closed"/>
    <m/>
    <n v="4000"/>
    <m/>
    <m/>
    <m/>
    <s v="Mar-25"/>
    <n v="12"/>
    <s v="2025"/>
  </r>
  <r>
    <d v="2025-03-19T00:00:00"/>
    <s v="Haleem Counter at Infosys Pocharam"/>
    <s v="F2F"/>
    <s v="Corporate"/>
    <s v="IT"/>
    <s v="Sathya Praveen"/>
    <s v="Popup counter on 19-3-2025"/>
    <n v="12165"/>
    <n v="12165"/>
    <x v="15"/>
    <x v="0"/>
    <x v="1"/>
    <s v="Closed"/>
    <m/>
    <n v="12165"/>
    <m/>
    <m/>
    <m/>
    <s v="Mar-25"/>
    <n v="12"/>
    <s v="2025"/>
  </r>
  <r>
    <d v="2025-03-19T00:00:00"/>
    <s v="Haleem Popup at Wipro Gopanpally"/>
    <s v="F2F"/>
    <s v="Corporate"/>
    <s v="IT"/>
    <s v="Mahendrakar"/>
    <s v="Haleem popup on 19-3-2025"/>
    <n v="39806"/>
    <n v="39806"/>
    <x v="15"/>
    <x v="0"/>
    <x v="1"/>
    <s v="Closed"/>
    <m/>
    <n v="39806"/>
    <m/>
    <m/>
    <m/>
    <s v="Mar-25"/>
    <n v="12"/>
    <s v="2025"/>
  </r>
  <r>
    <d v="2025-03-19T00:00:00"/>
    <s v="Haleem Popup at Capgemini Campus"/>
    <s v="F2F"/>
    <s v="Corporate"/>
    <s v="IT"/>
    <s v="Ajesh"/>
    <s v="Haleem popup on 19-3-2025"/>
    <n v="14390"/>
    <n v="14390"/>
    <x v="15"/>
    <x v="0"/>
    <x v="1"/>
    <s v="Closed"/>
    <m/>
    <n v="14390"/>
    <m/>
    <m/>
    <m/>
    <s v="Mar-25"/>
    <n v="12"/>
    <s v="2025"/>
  </r>
  <r>
    <d v="2025-03-19T00:00:00"/>
    <s v="Haleem Popup at Capgemini GAR"/>
    <s v="F2F"/>
    <s v="Corporate"/>
    <s v="IT"/>
    <s v="Ajesh"/>
    <s v="Haleem popup on 19-3-2025"/>
    <n v="8780"/>
    <n v="8780"/>
    <x v="15"/>
    <x v="0"/>
    <x v="1"/>
    <s v="Closed"/>
    <m/>
    <n v="8780"/>
    <m/>
    <m/>
    <m/>
    <s v="Mar-25"/>
    <n v="12"/>
    <s v="2025"/>
  </r>
  <r>
    <d v="2025-03-19T00:00:00"/>
    <s v="Delivery at SEBLR Banglore (Compass)"/>
    <s v="Call"/>
    <s v="Corporate"/>
    <s v="F&amp;B Agrigator"/>
    <s v="Saad"/>
    <s v="New Delivery at Compass group on 12-3-2025"/>
    <n v="34332"/>
    <n v="34332"/>
    <x v="15"/>
    <x v="1"/>
    <x v="1"/>
    <s v="Closed"/>
    <m/>
    <n v="0"/>
    <m/>
    <m/>
    <m/>
    <s v="Mar-25"/>
    <n v="12"/>
    <s v="2025"/>
  </r>
  <r>
    <d v="2025-03-19T00:00:00"/>
    <s v="Delivery at SEBLR Banglore (Compass)"/>
    <s v="Call"/>
    <s v="Corporate"/>
    <s v="F&amp;B Agrigator"/>
    <s v="Saad"/>
    <s v="New Delivery at Compass group on 19-3-2025"/>
    <n v="30899"/>
    <n v="30899"/>
    <x v="15"/>
    <x v="1"/>
    <x v="1"/>
    <s v="Closed"/>
    <m/>
    <n v="0"/>
    <m/>
    <m/>
    <m/>
    <s v="Mar-25"/>
    <n v="12"/>
    <s v="2025"/>
  </r>
  <r>
    <d v="2025-03-19T00:00:00"/>
    <s v="Haleem Counter at Wipro SEZ Nanakramguda"/>
    <s v="Call"/>
    <s v="Corporate"/>
    <s v="IT"/>
    <s v="Mahendrakar"/>
    <s v="Haleem popup on 19-3-2025"/>
    <n v="10085"/>
    <n v="10085"/>
    <x v="15"/>
    <x v="0"/>
    <x v="1"/>
    <s v="Closed"/>
    <m/>
    <n v="10085"/>
    <m/>
    <m/>
    <m/>
    <s v="Mar-25"/>
    <n v="12"/>
    <s v="2025"/>
  </r>
  <r>
    <d v="2025-03-19T00:00:00"/>
    <s v="Bulk Food order at Kukatpally"/>
    <s v="Call"/>
    <s v="Events"/>
    <s v="Family Group"/>
    <s v="Narendra "/>
    <s v="Bulk order on 19-3-2025"/>
    <n v="38589"/>
    <n v="38589"/>
    <x v="15"/>
    <x v="0"/>
    <x v="1"/>
    <s v="Closed"/>
    <m/>
    <n v="0"/>
    <m/>
    <m/>
    <m/>
    <s v="Mar-25"/>
    <n v="12"/>
    <s v="2025"/>
  </r>
  <r>
    <d v="2025-03-20T00:00:00"/>
    <s v="Haleem Counter at Infosys Pocharam"/>
    <s v="F2F"/>
    <s v="Corporate"/>
    <s v="IT"/>
    <s v="Sathya Praveen"/>
    <s v="Popup counter on 20-3-2025"/>
    <n v="12342"/>
    <n v="12342"/>
    <x v="15"/>
    <x v="0"/>
    <x v="1"/>
    <s v="Closed"/>
    <m/>
    <n v="12342"/>
    <m/>
    <m/>
    <m/>
    <s v="Mar-25"/>
    <n v="12"/>
    <s v="2025"/>
  </r>
  <r>
    <d v="2025-03-20T00:00:00"/>
    <s v="Popup Counter at Capital Land Atria"/>
    <s v="F2F"/>
    <s v="Corporate"/>
    <s v="F&amp;B Agrigator"/>
    <s v="Sandhya"/>
    <s v="popup counter on 20-3-2025"/>
    <n v="8560"/>
    <n v="8560"/>
    <x v="15"/>
    <x v="0"/>
    <x v="1"/>
    <s v="Closed"/>
    <m/>
    <n v="8560"/>
    <m/>
    <m/>
    <m/>
    <s v="Mar-25"/>
    <n v="12"/>
    <s v="2025"/>
  </r>
  <r>
    <d v="2025-03-21T00:00:00"/>
    <s v="Haleem Counter at Infosys Pocharam"/>
    <s v="F2F"/>
    <s v="Corporate"/>
    <s v="IT"/>
    <s v="Sathya Praveen"/>
    <s v="Popup counter on 21-3-2025"/>
    <n v="7810"/>
    <n v="7810"/>
    <x v="15"/>
    <x v="0"/>
    <x v="1"/>
    <s v="Closed"/>
    <m/>
    <n v="7810"/>
    <m/>
    <m/>
    <m/>
    <s v="Mar-25"/>
    <n v="12"/>
    <s v="2025"/>
  </r>
  <r>
    <d v="2025-03-21T00:00:00"/>
    <s v="Popup Counter at Capital Land Atria"/>
    <s v="F2F"/>
    <s v="Corporate"/>
    <s v="F&amp;B Agrigator"/>
    <s v="Sandhya"/>
    <s v="popup counter on 21-3-2025"/>
    <n v="8560"/>
    <n v="8650"/>
    <x v="15"/>
    <x v="0"/>
    <x v="1"/>
    <s v="Closed"/>
    <m/>
    <n v="8560"/>
    <m/>
    <m/>
    <m/>
    <s v="Mar-25"/>
    <n v="12"/>
    <s v="2025"/>
  </r>
  <r>
    <d v="2025-03-21T00:00:00"/>
    <s v="Haleem Counter at Raheja Mindspace 12 D "/>
    <s v="F2F"/>
    <s v="Corporate"/>
    <s v="Realestate"/>
    <s v="Jerry"/>
    <s v="popup counter on 21-3-2025"/>
    <n v="4035"/>
    <n v="4035"/>
    <x v="15"/>
    <x v="0"/>
    <x v="1"/>
    <s v="Closed"/>
    <m/>
    <n v="4035"/>
    <m/>
    <m/>
    <m/>
    <s v="Mar-25"/>
    <n v="12"/>
    <s v="2025"/>
  </r>
  <r>
    <d v="2025-03-23T00:00:00"/>
    <s v="Delivery at Rampally"/>
    <s v="Call"/>
    <s v="Events"/>
    <s v="Family Group"/>
    <s v="Naresh"/>
    <s v="Delivery of CB on 23-3-2025"/>
    <n v="7106"/>
    <n v="7106"/>
    <x v="15"/>
    <x v="0"/>
    <x v="1"/>
    <s v="Closed"/>
    <m/>
    <n v="0"/>
    <m/>
    <m/>
    <m/>
    <s v="Mar-25"/>
    <n v="12"/>
    <s v="2025"/>
  </r>
  <r>
    <d v="2025-03-23T00:00:00"/>
    <s v="Delivery at Shamshabad"/>
    <s v="Call"/>
    <s v="Events"/>
    <s v="Family Group"/>
    <s v="Khadir"/>
    <s v="Delivery of haleem on 23-3-2025"/>
    <n v="17008"/>
    <n v="17008"/>
    <x v="15"/>
    <x v="0"/>
    <x v="1"/>
    <s v="Closed"/>
    <m/>
    <n v="17008"/>
    <m/>
    <m/>
    <m/>
    <s v="Mar-25"/>
    <n v="12"/>
    <s v="2025"/>
  </r>
  <r>
    <d v="2025-03-24T00:00:00"/>
    <s v="Haleem Counter at Infosys Pocharam"/>
    <s v="F2F"/>
    <s v="Corporate"/>
    <s v="IT"/>
    <s v="Sathya Praveen"/>
    <s v="Popup counter on 24-3-2025"/>
    <n v="5050"/>
    <n v="5050"/>
    <x v="15"/>
    <x v="0"/>
    <x v="1"/>
    <s v="Closed"/>
    <m/>
    <n v="4050"/>
    <m/>
    <m/>
    <m/>
    <s v="Mar-25"/>
    <n v="13"/>
    <s v="2025"/>
  </r>
  <r>
    <d v="2025-03-24T00:00:00"/>
    <s v="Popup Counter at Capital Land Atria"/>
    <s v="F2F"/>
    <s v="Corporate"/>
    <s v="F&amp;B Agrigator"/>
    <s v="Sandhya"/>
    <s v="popup counter on 24-3-2025"/>
    <n v="9842"/>
    <n v="9842"/>
    <x v="15"/>
    <x v="0"/>
    <x v="1"/>
    <s v="Closed"/>
    <m/>
    <n v="9842"/>
    <m/>
    <m/>
    <m/>
    <s v="Mar-25"/>
    <n v="13"/>
    <s v="2025"/>
  </r>
  <r>
    <d v="2025-03-24T00:00:00"/>
    <s v="Haleem Counter at Raheja Mindspace 12 D "/>
    <s v="F2F"/>
    <s v="Corporate"/>
    <s v="Realestate"/>
    <s v="Jerry"/>
    <s v="popup counter on 24-3-2025"/>
    <n v="5055"/>
    <n v="5005"/>
    <x v="15"/>
    <x v="0"/>
    <x v="1"/>
    <s v="Closed"/>
    <m/>
    <n v="5055"/>
    <m/>
    <m/>
    <m/>
    <s v="Mar-25"/>
    <n v="13"/>
    <s v="2025"/>
  </r>
  <r>
    <d v="2025-03-25T00:00:00"/>
    <s v="Haleem Counter at Infosys Pocharam"/>
    <s v="F2F"/>
    <s v="Corporate"/>
    <s v="IT"/>
    <s v="Sathya Praveen"/>
    <s v="Popup counter on 25-3-2025"/>
    <n v="5495"/>
    <n v="5495"/>
    <x v="15"/>
    <x v="0"/>
    <x v="1"/>
    <s v="Closed"/>
    <m/>
    <n v="5495"/>
    <m/>
    <m/>
    <m/>
    <s v="Mar-25"/>
    <n v="13"/>
    <s v="2025"/>
  </r>
  <r>
    <d v="2025-03-25T00:00:00"/>
    <s v="Popup Counter at Capital Land Atria"/>
    <s v="F2F"/>
    <s v="Corporate"/>
    <s v="F&amp;B Agrigator"/>
    <s v="Sandhya"/>
    <s v="popup counter on 25-3-2025"/>
    <n v="1770"/>
    <n v="1770"/>
    <x v="15"/>
    <x v="0"/>
    <x v="1"/>
    <s v="Closed"/>
    <m/>
    <n v="1770"/>
    <m/>
    <m/>
    <m/>
    <s v="Mar-25"/>
    <n v="13"/>
    <s v="2025"/>
  </r>
  <r>
    <d v="2025-03-25T00:00:00"/>
    <s v="Haleem Counter at Raheja Mindspace 12 D "/>
    <s v="F2F"/>
    <s v="Corporate"/>
    <s v="Realestate"/>
    <s v="Jerry"/>
    <s v="popup counter on 25-3-2025"/>
    <n v="4080"/>
    <n v="4080"/>
    <x v="15"/>
    <x v="0"/>
    <x v="1"/>
    <s v="Closed"/>
    <m/>
    <n v="4080"/>
    <m/>
    <m/>
    <m/>
    <s v="Mar-25"/>
    <n v="13"/>
    <s v="2025"/>
  </r>
  <r>
    <d v="2025-03-25T00:00:00"/>
    <s v="Delivery at hitec city"/>
    <s v="Call"/>
    <s v="Events"/>
    <s v="Family Group"/>
    <s v="Dinesh"/>
    <s v="Delivery of Biryani &amp; Haleem on 25-3-2025"/>
    <n v="8541"/>
    <n v="8541"/>
    <x v="15"/>
    <x v="0"/>
    <x v="1"/>
    <s v="Closed"/>
    <m/>
    <n v="2500"/>
    <m/>
    <m/>
    <m/>
    <s v="Mar-25"/>
    <n v="13"/>
    <s v="2025"/>
  </r>
  <r>
    <d v="2025-03-25T00:00:00"/>
    <s v="Haleem Counter at Wipro SEZ Nanakramguda"/>
    <s v="Call"/>
    <s v="Corporate"/>
    <s v="IT"/>
    <s v="Mahendrakar"/>
    <s v="Haleem popup on 25-3-2025"/>
    <n v="5774"/>
    <n v="5774"/>
    <x v="15"/>
    <x v="0"/>
    <x v="1"/>
    <s v="Closed"/>
    <m/>
    <n v="5774"/>
    <m/>
    <m/>
    <m/>
    <s v="Mar-25"/>
    <n v="13"/>
    <s v="2025"/>
  </r>
  <r>
    <d v="2025-03-26T00:00:00"/>
    <s v="Haleem ODC at S&amp;P Global"/>
    <s v="F2F"/>
    <s v="Corporate"/>
    <s v="IT"/>
    <s v="Praveen"/>
    <s v="Haleem Iftiar party on 26-3-2025"/>
    <n v="104000"/>
    <n v="104000"/>
    <x v="15"/>
    <x v="0"/>
    <x v="1"/>
    <s v="Closed"/>
    <m/>
    <n v="104000"/>
    <m/>
    <m/>
    <m/>
    <s v="Mar-25"/>
    <n v="13"/>
    <s v="2025"/>
  </r>
  <r>
    <d v="2025-03-26T00:00:00"/>
    <s v="Delivery at SEBLR Banglore (Compass)"/>
    <s v="Call"/>
    <s v="Corporate"/>
    <s v="F&amp;B Agrigator"/>
    <s v="Saad"/>
    <s v="New Delivery at Compass group on 26-3-2025"/>
    <n v="32860"/>
    <n v="32860"/>
    <x v="15"/>
    <x v="1"/>
    <x v="1"/>
    <s v="Closed"/>
    <m/>
    <n v="0"/>
    <m/>
    <m/>
    <m/>
    <s v="Mar-25"/>
    <n v="13"/>
    <s v="2025"/>
  </r>
  <r>
    <d v="2025-03-26T00:00:00"/>
    <s v="Delivery at Masabtank"/>
    <s v="Call"/>
    <s v="Events"/>
    <s v="Family Group"/>
    <s v="Rakesh"/>
    <s v="Delivery of Haleem on 26-3-2025"/>
    <n v="2400"/>
    <n v="2400"/>
    <x v="15"/>
    <x v="0"/>
    <x v="1"/>
    <s v="Closed"/>
    <m/>
    <n v="2400"/>
    <m/>
    <m/>
    <m/>
    <s v="Mar-25"/>
    <n v="13"/>
    <s v="2025"/>
  </r>
  <r>
    <d v="2025-03-26T00:00:00"/>
    <s v="Delivery at Uppal"/>
    <s v="Call"/>
    <s v="Events"/>
    <s v="Family Group"/>
    <s v="Srinivas"/>
    <s v="Delivery of CB &amp; MB on 26-3-2025"/>
    <n v="8259"/>
    <n v="8259"/>
    <x v="15"/>
    <x v="0"/>
    <x v="1"/>
    <s v="Closed"/>
    <m/>
    <n v="0"/>
    <m/>
    <m/>
    <m/>
    <s v="Mar-25"/>
    <n v="13"/>
    <s v="2025"/>
  </r>
  <r>
    <d v="2025-03-26T00:00:00"/>
    <s v="Delivery at Bowenpally"/>
    <s v="Call"/>
    <s v="Events"/>
    <s v="Family Group"/>
    <s v="Kiran"/>
    <s v="Delivery of Haleem on 26-3-2025"/>
    <n v="5391"/>
    <n v="5391"/>
    <x v="15"/>
    <x v="0"/>
    <x v="1"/>
    <s v="Closed"/>
    <m/>
    <n v="5391"/>
    <m/>
    <m/>
    <m/>
    <s v="Mar-25"/>
    <n v="13"/>
    <s v="2025"/>
  </r>
  <r>
    <d v="2025-03-26T00:00:00"/>
    <s v="Haleem Counter at Infosys Pocharam"/>
    <s v="F2F"/>
    <s v="Corporate"/>
    <s v="IT"/>
    <s v="Sathya Praveen"/>
    <s v="Popup counter on 26-3-2025"/>
    <n v="7060"/>
    <n v="7060"/>
    <x v="15"/>
    <x v="0"/>
    <x v="1"/>
    <s v="Closed"/>
    <m/>
    <n v="7060"/>
    <m/>
    <m/>
    <m/>
    <s v="Mar-25"/>
    <n v="13"/>
    <s v="2025"/>
  </r>
  <r>
    <d v="2025-03-26T00:00:00"/>
    <s v="Popup Counter at Capital Land Atria"/>
    <s v="F2F"/>
    <s v="Corporate"/>
    <s v="F&amp;B Agrigator"/>
    <s v="Sandhya"/>
    <s v="popup counter on 26-3-2025"/>
    <n v="8940"/>
    <n v="8940"/>
    <x v="15"/>
    <x v="0"/>
    <x v="1"/>
    <s v="Closed"/>
    <m/>
    <n v="2650"/>
    <m/>
    <m/>
    <m/>
    <s v="Mar-25"/>
    <n v="13"/>
    <s v="2025"/>
  </r>
  <r>
    <d v="2025-03-26T00:00:00"/>
    <s v="Haleem Counter at Raheja Mindspace 12 D "/>
    <s v="F2F"/>
    <s v="Corporate"/>
    <s v="Realestate"/>
    <s v="Jerry"/>
    <s v="popup counter on 26-3-2025"/>
    <n v="5220"/>
    <n v="5220"/>
    <x v="15"/>
    <x v="0"/>
    <x v="1"/>
    <s v="Closed"/>
    <m/>
    <n v="5220"/>
    <m/>
    <m/>
    <m/>
    <s v="Mar-25"/>
    <n v="13"/>
    <s v="2025"/>
  </r>
  <r>
    <d v="2025-03-27T00:00:00"/>
    <s v="Haleem Counter at Infosys Pocharam"/>
    <s v="F2F"/>
    <s v="Corporate"/>
    <s v="IT"/>
    <s v="Sathya Praveen"/>
    <s v="Popup counter on 27-3-2025"/>
    <n v="4365"/>
    <n v="4365"/>
    <x v="15"/>
    <x v="0"/>
    <x v="1"/>
    <s v="Closed"/>
    <m/>
    <n v="4365"/>
    <m/>
    <m/>
    <m/>
    <s v="Mar-25"/>
    <n v="13"/>
    <s v="2025"/>
  </r>
  <r>
    <d v="2025-03-27T00:00:00"/>
    <s v="Popup Counter at Capital Land Atria"/>
    <s v="F2F"/>
    <s v="Corporate"/>
    <s v="F&amp;B Agrigator"/>
    <s v="Sandhya"/>
    <s v="popup counter on 27-3-2025"/>
    <n v="7621"/>
    <n v="7621"/>
    <x v="15"/>
    <x v="0"/>
    <x v="1"/>
    <s v="Closed"/>
    <m/>
    <n v="3025"/>
    <m/>
    <m/>
    <m/>
    <s v="Mar-25"/>
    <n v="13"/>
    <s v="2025"/>
  </r>
  <r>
    <d v="2025-03-27T00:00:00"/>
    <s v="Haleem Counter at Raheja Mindspace 12 D "/>
    <s v="F2F"/>
    <s v="Corporate"/>
    <s v="Realestate"/>
    <s v="Jerry"/>
    <s v="popup counter on 27-3-2025"/>
    <n v="2850"/>
    <n v="2850"/>
    <x v="15"/>
    <x v="0"/>
    <x v="1"/>
    <s v="Closed"/>
    <m/>
    <n v="2850"/>
    <m/>
    <m/>
    <m/>
    <s v="Mar-25"/>
    <n v="13"/>
    <s v="2025"/>
  </r>
  <r>
    <d v="2025-03-27T00:00:00"/>
    <s v="Delivery at Yashoda Hospital Malakpet"/>
    <s v="F2F"/>
    <s v="Corporate"/>
    <s v="Healthcare"/>
    <s v="Swapnakanchi"/>
    <s v="Delivery of CB &amp; VB on 27-3-205"/>
    <n v="12050"/>
    <n v="12050"/>
    <x v="15"/>
    <x v="0"/>
    <x v="1"/>
    <s v="Closed"/>
    <m/>
    <n v="0"/>
    <m/>
    <m/>
    <m/>
    <s v="Mar-25"/>
    <n v="13"/>
    <s v="2025"/>
  </r>
  <r>
    <d v="2025-03-27T00:00:00"/>
    <s v="Delivery at Masabtank"/>
    <s v="Call"/>
    <s v="Events"/>
    <s v="Family Group"/>
    <s v="Mahesh"/>
    <s v="Delivery of CB and Haleem on 27-3-025"/>
    <n v="3359"/>
    <n v="3359"/>
    <x v="15"/>
    <x v="0"/>
    <x v="1"/>
    <s v="Closed"/>
    <m/>
    <n v="900"/>
    <m/>
    <m/>
    <m/>
    <s v="Mar-25"/>
    <n v="13"/>
    <s v="2025"/>
  </r>
  <r>
    <d v="2025-03-27T00:00:00"/>
    <s v="Delivery at hitec city"/>
    <s v="Call"/>
    <s v="Events"/>
    <s v="Family Group"/>
    <s v="Ajay"/>
    <s v="Delivery of CB &amp; MB"/>
    <n v="19990"/>
    <n v="19990"/>
    <x v="15"/>
    <x v="0"/>
    <x v="1"/>
    <s v="Closed"/>
    <m/>
    <n v="0"/>
    <m/>
    <m/>
    <m/>
    <s v="Mar-25"/>
    <n v="13"/>
    <s v="2025"/>
  </r>
  <r>
    <d v="2025-03-28T00:00:00"/>
    <s v="Haleem Counter at Infosys Pocharam"/>
    <s v="F2F"/>
    <s v="Corporate"/>
    <s v="IT"/>
    <s v="Sathya Praveen"/>
    <s v="Popup counter on 28-3-2025"/>
    <n v="5530"/>
    <n v="5530"/>
    <x v="15"/>
    <x v="0"/>
    <x v="1"/>
    <s v="Closed"/>
    <m/>
    <n v="5530"/>
    <m/>
    <m/>
    <m/>
    <s v="Mar-25"/>
    <n v="13"/>
    <s v="2025"/>
  </r>
  <r>
    <d v="2025-03-28T00:00:00"/>
    <s v="Popup Counter at Capital Land Atria"/>
    <s v="F2F"/>
    <s v="Corporate"/>
    <s v="F&amp;B Agrigator"/>
    <s v="Sandhya"/>
    <s v="popup counter on 28-3-2025"/>
    <n v="7500"/>
    <n v="7500"/>
    <x v="15"/>
    <x v="0"/>
    <x v="1"/>
    <s v="Closed"/>
    <m/>
    <n v="3500"/>
    <m/>
    <m/>
    <m/>
    <s v="Mar-25"/>
    <n v="13"/>
    <s v="2025"/>
  </r>
  <r>
    <d v="2025-03-28T00:00:00"/>
    <s v="Haleem Counter at Raheja Mindspace 12 D "/>
    <s v="F2F"/>
    <s v="Corporate"/>
    <s v="Realestate"/>
    <s v="Jerry"/>
    <s v="popup counter on 28-3-2025"/>
    <n v="5500"/>
    <n v="5500"/>
    <x v="15"/>
    <x v="0"/>
    <x v="1"/>
    <s v="Closed"/>
    <m/>
    <n v="4500"/>
    <m/>
    <m/>
    <m/>
    <s v="Mar-25"/>
    <n v="13"/>
    <s v="2025"/>
  </r>
  <r>
    <d v="2025-03-28T00:00:00"/>
    <s v="Bits Pilani Perl Fest"/>
    <s v="F2F"/>
    <s v="Corporate"/>
    <s v="F&amp;B Agrigator"/>
    <s v="Pasha"/>
    <s v="popup counter on 28-3-2025"/>
    <n v="0"/>
    <n v="0"/>
    <x v="15"/>
    <x v="0"/>
    <x v="1"/>
    <s v="Closed"/>
    <m/>
    <n v="0"/>
    <m/>
    <m/>
    <m/>
    <s v="Mar-25"/>
    <n v="13"/>
    <s v="2025"/>
  </r>
  <r>
    <d v="2025-03-28T00:00:00"/>
    <s v="Delivery at Qube Highways Shamshabad Airport GMR"/>
    <s v="F2F"/>
    <s v="Corporate"/>
    <s v="Realestate"/>
    <s v="Reena"/>
    <s v="Delivery of CB &amp; VB on 28-3-2025"/>
    <n v="27788"/>
    <n v="2778"/>
    <x v="15"/>
    <x v="0"/>
    <x v="1"/>
    <s v="Closed"/>
    <m/>
    <n v="0"/>
    <m/>
    <m/>
    <m/>
    <s v="Mar-25"/>
    <n v="13"/>
    <s v="2025"/>
  </r>
  <r>
    <d v="2025-03-28T00:00:00"/>
    <s v="Delivery at Hitec"/>
    <s v="Call"/>
    <s v="Events"/>
    <s v="Family Group"/>
    <s v="Vijay Kumar"/>
    <s v="Delivery of VB &amp; CB on 28-3-2025"/>
    <n v="63409"/>
    <n v="63409"/>
    <x v="15"/>
    <x v="0"/>
    <x v="1"/>
    <s v="Closed"/>
    <m/>
    <n v="0"/>
    <m/>
    <m/>
    <m/>
    <s v="Mar-25"/>
    <n v="13"/>
    <s v="2025"/>
  </r>
  <r>
    <d v="2025-03-28T00:00:00"/>
    <s v="Delivery at Hitec"/>
    <s v="Call"/>
    <s v="Events"/>
    <s v="Family Group"/>
    <s v="Mahesh"/>
    <s v="Delivery of Haleem on 28-3-2025"/>
    <n v="8477"/>
    <n v="8477"/>
    <x v="15"/>
    <x v="0"/>
    <x v="1"/>
    <s v="Closed"/>
    <m/>
    <n v="8477"/>
    <m/>
    <m/>
    <m/>
    <s v="Mar-25"/>
    <n v="13"/>
    <s v="2025"/>
  </r>
  <r>
    <d v="2025-03-28T00:00:00"/>
    <s v="Dine in at Gachibowli"/>
    <s v="Call"/>
    <s v="Corporate"/>
    <s v="IT"/>
    <s v="V Srinivas"/>
    <s v="Dine in on 28-3-2025"/>
    <n v="79644"/>
    <n v="79644"/>
    <x v="15"/>
    <x v="0"/>
    <x v="1"/>
    <s v="Closed"/>
    <m/>
    <n v="14053"/>
    <m/>
    <m/>
    <m/>
    <s v="Mar-25"/>
    <n v="13"/>
    <s v="2025"/>
  </r>
  <r>
    <d v="2025-03-29T00:00:00"/>
    <s v="Bits Pilani Perl Fest"/>
    <s v="F2F"/>
    <s v="Corporate"/>
    <s v="F&amp;B Agrigator"/>
    <s v="Pasha"/>
    <s v="popup counter on 28-3-2025 to 30-3-2025"/>
    <n v="41750"/>
    <n v="41750"/>
    <x v="15"/>
    <x v="0"/>
    <x v="1"/>
    <s v="Closed"/>
    <m/>
    <n v="41750"/>
    <m/>
    <m/>
    <m/>
    <s v="Mar-25"/>
    <n v="13"/>
    <s v="2025"/>
  </r>
  <r>
    <d v="2025-03-29T00:00:00"/>
    <s v="Delivery at MG Road"/>
    <s v="Call"/>
    <s v="Events"/>
    <s v="Family Group"/>
    <s v="Bhusan"/>
    <s v="Delivery of CB &amp; VB on 29-3-2025"/>
    <n v="6338"/>
    <n v="6338"/>
    <x v="15"/>
    <x v="0"/>
    <x v="1"/>
    <s v="Closed"/>
    <m/>
    <n v="0"/>
    <m/>
    <m/>
    <m/>
    <s v="Mar-25"/>
    <n v="13"/>
    <s v="2025"/>
  </r>
  <r>
    <d v="2025-03-30T00:00:00"/>
    <s v="Foody's Group (GMR AIRPORT)"/>
    <s v="F2F"/>
    <s v="Corporate"/>
    <s v="F&amp;B Agrigator"/>
    <s v="Venkat"/>
    <s v="Delivery of Haleem and Biryani till 28-3-2025"/>
    <n v="472960"/>
    <n v="472960"/>
    <x v="15"/>
    <x v="0"/>
    <x v="1"/>
    <s v="Closed"/>
    <m/>
    <n v="368000"/>
    <m/>
    <m/>
    <m/>
    <s v="Mar-25"/>
    <n v="13"/>
    <s v="2025"/>
  </r>
  <r>
    <d v="2025-03-31T00:00:00"/>
    <s v="Foody's Group (GMR AIRPORT)"/>
    <s v="F2F"/>
    <s v="Corporate"/>
    <s v="F&amp;B Agrigator"/>
    <s v="Venkat"/>
    <s v=" Haleem sale 29-3-2025 to 31-3-2025"/>
    <n v="38000"/>
    <n v="38000"/>
    <x v="15"/>
    <x v="0"/>
    <x v="1"/>
    <s v="Closed"/>
    <m/>
    <n v="38000"/>
    <m/>
    <m/>
    <m/>
    <s v="Mar-25"/>
    <n v="14"/>
    <s v="2025"/>
  </r>
  <r>
    <d v="2025-04-01T00:00:00"/>
    <s v="Raheja Mind Space"/>
    <s v="F2F"/>
    <s v="Corporate"/>
    <s v="Realestate"/>
    <s v="Anuroop"/>
    <s v="Discussion in regards with Permanent counter"/>
    <n v="0"/>
    <n v="0"/>
    <x v="21"/>
    <x v="0"/>
    <x v="1"/>
    <s v="Closed"/>
    <m/>
    <n v="0"/>
    <m/>
    <m/>
    <m/>
    <s v="Apr-25"/>
    <n v="14"/>
    <s v="2025"/>
  </r>
  <r>
    <d v="2025-04-01T00:00:00"/>
    <s v="Mahindra Univercity"/>
    <s v="F2F"/>
    <s v="College"/>
    <s v="Education"/>
    <s v="Majeed"/>
    <s v="Popup counter 4 to 6th April"/>
    <n v="0"/>
    <n v="0"/>
    <x v="21"/>
    <x v="0"/>
    <x v="0"/>
    <s v="Cancelled"/>
    <m/>
    <n v="0"/>
    <m/>
    <m/>
    <m/>
    <s v="Apr-25"/>
    <n v="14"/>
    <s v="2025"/>
  </r>
  <r>
    <d v="2025-04-02T00:00:00"/>
    <s v="Delivery at SEBLR Banglore (Compass)"/>
    <s v="Call"/>
    <s v="Corporate"/>
    <s v="F&amp;B Agrigator"/>
    <s v="Saad"/>
    <s v="New Delivery at Compass group on 2-4-2025"/>
    <n v="34332"/>
    <n v="34332"/>
    <x v="21"/>
    <x v="1"/>
    <x v="1"/>
    <s v="Closed"/>
    <m/>
    <n v="0"/>
    <m/>
    <m/>
    <m/>
    <s v="Apr-25"/>
    <n v="14"/>
    <s v="2025"/>
  </r>
  <r>
    <d v="2025-04-02T00:00:00"/>
    <s v="IBM"/>
    <s v="F2F"/>
    <s v="Corporate"/>
    <s v="IT"/>
    <s v="Krunal"/>
    <s v="Discussion in regards with bulk order"/>
    <n v="0"/>
    <n v="0"/>
    <x v="21"/>
    <x v="0"/>
    <x v="0"/>
    <s v="Cancelled"/>
    <m/>
    <n v="0"/>
    <m/>
    <m/>
    <m/>
    <s v="Apr-25"/>
    <n v="14"/>
    <s v="2025"/>
  </r>
  <r>
    <d v="2025-04-02T00:00:00"/>
    <s v="KLR Industries"/>
    <s v="Call"/>
    <s v="Corporate"/>
    <s v="Manufacturing"/>
    <s v="Sujeeth"/>
    <s v="Deliverd cb from Rampally on 2-4-2025"/>
    <n v="8050"/>
    <n v="8050"/>
    <x v="21"/>
    <x v="0"/>
    <x v="1"/>
    <s v="Closed"/>
    <m/>
    <n v="0"/>
    <m/>
    <m/>
    <m/>
    <s v="Apr-25"/>
    <n v="14"/>
    <s v="2025"/>
  </r>
  <r>
    <d v="2025-04-03T00:00:00"/>
    <s v="Popup Counter at Capital Land Atria"/>
    <s v="F2F"/>
    <s v="Corporate"/>
    <s v="F&amp;B Agrigator"/>
    <s v="Sandhya"/>
    <s v="popup counter on 3-4-2025"/>
    <n v="7600"/>
    <n v="7600"/>
    <x v="21"/>
    <x v="0"/>
    <x v="1"/>
    <s v="Closed"/>
    <m/>
    <n v="3000"/>
    <m/>
    <m/>
    <m/>
    <s v="Apr-25"/>
    <n v="14"/>
    <s v="2025"/>
  </r>
  <r>
    <d v="2025-04-03T00:00:00"/>
    <s v="Value Momentum"/>
    <s v="F2F"/>
    <s v="Corporate"/>
    <s v="IT"/>
    <s v="Francis"/>
    <s v="Introduction to bulk orders"/>
    <n v="0"/>
    <m/>
    <x v="19"/>
    <x v="0"/>
    <x v="0"/>
    <s v="Cold"/>
    <m/>
    <n v="0"/>
    <m/>
    <m/>
    <m/>
    <s v="Apr-25"/>
    <n v="14"/>
    <s v="2025"/>
  </r>
  <r>
    <d v="2025-04-03T00:00:00"/>
    <s v="AMD"/>
    <s v="F2F"/>
    <s v="Corporate"/>
    <s v="IT"/>
    <s v="Pradeesh Kumar"/>
    <s v="Introduction to bulk orders"/>
    <n v="0"/>
    <m/>
    <x v="19"/>
    <x v="0"/>
    <x v="0"/>
    <s v="Cold"/>
    <m/>
    <n v="0"/>
    <m/>
    <m/>
    <m/>
    <s v="Apr-25"/>
    <n v="14"/>
    <s v="2025"/>
  </r>
  <r>
    <d v="2025-04-04T00:00:00"/>
    <s v="Popup Counter at Capital Land Atria"/>
    <s v="F2F"/>
    <s v="Corporate"/>
    <s v="F&amp;B Agrigator"/>
    <s v="Sandhya"/>
    <s v="popup counter on 4-4-2025"/>
    <n v="8100"/>
    <n v="8100"/>
    <x v="21"/>
    <x v="0"/>
    <x v="1"/>
    <s v="Closed"/>
    <m/>
    <n v="3000"/>
    <m/>
    <m/>
    <m/>
    <s v="Apr-25"/>
    <n v="14"/>
    <s v="2025"/>
  </r>
  <r>
    <d v="2025-04-04T00:00:00"/>
    <s v="Bits Pilani Eid Dinner site visit"/>
    <s v="F2F"/>
    <s v="College"/>
    <s v="Education"/>
    <s v="Afkham Mir"/>
    <s v="Discussion and site visit for event on 6-4-2025"/>
    <n v="0"/>
    <n v="0"/>
    <x v="21"/>
    <x v="0"/>
    <x v="1"/>
    <s v="Closed"/>
    <m/>
    <n v="0"/>
    <m/>
    <m/>
    <m/>
    <s v="Apr-25"/>
    <n v="14"/>
    <s v="2025"/>
  </r>
  <r>
    <d v="2025-04-04T00:00:00"/>
    <s v="Dine in at Hitec"/>
    <s v="Call"/>
    <s v="Corporate"/>
    <s v="IT"/>
    <s v="Mahesh"/>
    <s v="Dine in on 4-4-2025"/>
    <n v="16422"/>
    <n v="16422"/>
    <x v="21"/>
    <x v="0"/>
    <x v="1"/>
    <s v="Closed"/>
    <m/>
    <n v="0"/>
    <m/>
    <m/>
    <m/>
    <s v="Apr-25"/>
    <n v="14"/>
    <s v="2025"/>
  </r>
  <r>
    <d v="2025-04-05T00:00:00"/>
    <s v="Bits Pilani Eid Dinner"/>
    <s v="F2F"/>
    <s v="College"/>
    <s v="Education"/>
    <s v="Afkham Mir"/>
    <s v="Done live Eid dinner for 135 PAX on 5-4-2025"/>
    <n v="58565"/>
    <n v="58565"/>
    <x v="21"/>
    <x v="0"/>
    <x v="1"/>
    <s v="Closed"/>
    <m/>
    <n v="19200"/>
    <m/>
    <m/>
    <m/>
    <s v="Apr-25"/>
    <n v="14"/>
    <s v="2025"/>
  </r>
  <r>
    <d v="2025-04-07T00:00:00"/>
    <s v="Popup Counter at Capital Land Atria"/>
    <s v="F2F"/>
    <s v="Corporate"/>
    <s v="F&amp;B Agrigator"/>
    <s v="Sandhya"/>
    <s v="popup counter on 7-4-2025"/>
    <n v="7900"/>
    <n v="7900"/>
    <x v="21"/>
    <x v="0"/>
    <x v="1"/>
    <s v="Closed"/>
    <m/>
    <n v="3000"/>
    <m/>
    <m/>
    <m/>
    <s v="Apr-25"/>
    <n v="15"/>
    <s v="2025"/>
  </r>
  <r>
    <d v="2025-04-07T00:00:00"/>
    <s v="Di Fu Co"/>
    <s v="F2F"/>
    <s v="Corporate"/>
    <s v="Realestate"/>
    <s v="Arjun"/>
    <s v="Buffet event on 22-4-2025"/>
    <n v="500000"/>
    <n v="0"/>
    <x v="21"/>
    <x v="0"/>
    <x v="0"/>
    <s v="Cancelled"/>
    <s v="want japnese cusine with own vendor"/>
    <n v="0"/>
    <m/>
    <m/>
    <m/>
    <s v="Apr-25"/>
    <n v="15"/>
    <s v="2025"/>
  </r>
  <r>
    <d v="2025-04-07T00:00:00"/>
    <s v="Azad Engineering"/>
    <s v="F2F"/>
    <s v="Corporate"/>
    <s v="Manufacturing"/>
    <s v="Bharat Singh"/>
    <s v="Received amount in April  for advance vouchers"/>
    <n v="623000"/>
    <n v="623000"/>
    <x v="21"/>
    <x v="0"/>
    <x v="1"/>
    <s v="Closed"/>
    <m/>
    <n v="0"/>
    <m/>
    <m/>
    <m/>
    <s v="Apr-25"/>
    <n v="15"/>
    <s v="2025"/>
  </r>
  <r>
    <d v="2025-04-08T00:00:00"/>
    <s v="GHMC Office"/>
    <s v="F2F"/>
    <s v="Corporate"/>
    <s v="Government"/>
    <s v="Sammaiah"/>
    <s v="discussion in regards with buffet for 1000 pax"/>
    <n v="0"/>
    <n v="0"/>
    <x v="21"/>
    <x v="0"/>
    <x v="1"/>
    <s v="Closed"/>
    <m/>
    <n v="0"/>
    <m/>
    <m/>
    <m/>
    <s v="Apr-25"/>
    <n v="15"/>
    <s v="2025"/>
  </r>
  <r>
    <d v="2025-04-08T00:00:00"/>
    <s v="Delivery at rampally"/>
    <s v="Call"/>
    <s v="Events"/>
    <s v="Family Group"/>
    <s v="Ramesh"/>
    <s v="Delivery of CB on 8-4-2025"/>
    <n v="7107"/>
    <n v="7107"/>
    <x v="21"/>
    <x v="0"/>
    <x v="1"/>
    <s v="Closed"/>
    <m/>
    <n v="0"/>
    <m/>
    <m/>
    <m/>
    <s v="Apr-25"/>
    <n v="15"/>
    <s v="2025"/>
  </r>
  <r>
    <d v="2025-04-08T00:00:00"/>
    <s v="Delivery at hitec city"/>
    <s v="Call"/>
    <s v="Events"/>
    <s v="Family Group"/>
    <s v="Avinash"/>
    <s v="Delivery of MB &amp; CB on 8-4-2025"/>
    <n v="22165"/>
    <n v="22165"/>
    <x v="21"/>
    <x v="0"/>
    <x v="1"/>
    <s v="Closed"/>
    <m/>
    <n v="0"/>
    <m/>
    <m/>
    <m/>
    <s v="Apr-25"/>
    <n v="15"/>
    <s v="2025"/>
  </r>
  <r>
    <d v="2025-04-08T00:00:00"/>
    <s v="Popup Counter at Capital Land Atria"/>
    <s v="F2F"/>
    <s v="Corporate"/>
    <s v="F&amp;B Agrigator"/>
    <s v="Sandhya"/>
    <s v="popup counter on 8-4-2025"/>
    <n v="7900"/>
    <n v="7900"/>
    <x v="21"/>
    <x v="0"/>
    <x v="1"/>
    <s v="Closed"/>
    <m/>
    <n v="3000"/>
    <m/>
    <m/>
    <m/>
    <s v="Apr-25"/>
    <n v="15"/>
    <s v="2025"/>
  </r>
  <r>
    <d v="2025-04-09T00:00:00"/>
    <s v="Popup Counter at Capital Land Atria"/>
    <s v="F2F"/>
    <s v="Corporate"/>
    <s v="F&amp;B Agrigator"/>
    <s v="Sandhya"/>
    <s v="popup counter on 9-4-2025"/>
    <n v="7900"/>
    <n v="7900"/>
    <x v="21"/>
    <x v="0"/>
    <x v="1"/>
    <s v="Closed"/>
    <m/>
    <n v="3000"/>
    <m/>
    <m/>
    <m/>
    <s v="Apr-25"/>
    <n v="15"/>
    <s v="2025"/>
  </r>
  <r>
    <d v="2025-04-09T00:00:00"/>
    <s v="GHMC Office"/>
    <s v="F2F"/>
    <s v="Corporate"/>
    <s v="Government"/>
    <s v="Sammaiah"/>
    <s v="buffet 1000 pax on 11-4-2025"/>
    <n v="750000"/>
    <n v="750000"/>
    <x v="21"/>
    <x v="0"/>
    <x v="1"/>
    <s v="Closed"/>
    <m/>
    <n v="0"/>
    <m/>
    <m/>
    <m/>
    <s v="Apr-25"/>
    <n v="15"/>
    <s v="2025"/>
  </r>
  <r>
    <d v="2025-04-09T00:00:00"/>
    <s v="Delivery at SEBLR Banglore (Compass)"/>
    <s v="Call"/>
    <s v="Corporate"/>
    <s v="F&amp;B Agrigator"/>
    <s v="Saad"/>
    <s v="New Delivery at Compass group on 9-4-2025"/>
    <n v="38929"/>
    <n v="38929"/>
    <x v="21"/>
    <x v="1"/>
    <x v="1"/>
    <s v="Closed"/>
    <m/>
    <n v="0"/>
    <m/>
    <m/>
    <m/>
    <s v="Apr-25"/>
    <n v="15"/>
    <s v="2025"/>
  </r>
  <r>
    <d v="2025-04-10T00:00:00"/>
    <s v="Popup Counter at Capital Land Atria"/>
    <s v="Call"/>
    <s v="Corporate"/>
    <s v="F&amp;B Agrigator"/>
    <s v="Sandhya"/>
    <s v="popup counter on 10-4-2025"/>
    <n v="6500"/>
    <n v="6500"/>
    <x v="21"/>
    <x v="0"/>
    <x v="1"/>
    <s v="Closed"/>
    <m/>
    <n v="1500"/>
    <m/>
    <m/>
    <m/>
    <s v="Apr-25"/>
    <n v="15"/>
    <s v="2025"/>
  </r>
  <r>
    <d v="2025-04-11T00:00:00"/>
    <s v="Popup Counter at Capital Land Atria"/>
    <s v="Call"/>
    <s v="Corporate"/>
    <s v="F&amp;B Agrigator"/>
    <s v="Sandhya"/>
    <s v="popup counter on 11-4-2025"/>
    <n v="6500"/>
    <n v="6500"/>
    <x v="21"/>
    <x v="0"/>
    <x v="1"/>
    <s v="Closed"/>
    <m/>
    <n v="1500"/>
    <m/>
    <m/>
    <m/>
    <s v="Apr-25"/>
    <n v="15"/>
    <s v="2025"/>
  </r>
  <r>
    <d v="2025-04-14T00:00:00"/>
    <s v="Delivery of VB &amp; CB at Secundrabad Station"/>
    <s v="Call"/>
    <s v="Corporate"/>
    <s v="Tourism"/>
    <s v="Mahesh"/>
    <s v="Delivery on 14-4-2025 from Padmaraonagar"/>
    <n v="7944"/>
    <n v="7944"/>
    <x v="21"/>
    <x v="0"/>
    <x v="1"/>
    <s v="Closed"/>
    <m/>
    <n v="0"/>
    <m/>
    <m/>
    <m/>
    <s v="Apr-25"/>
    <n v="16"/>
    <s v="2025"/>
  </r>
  <r>
    <d v="2025-04-14T00:00:00"/>
    <s v="Popup Counter at Capital Land Atria"/>
    <s v="Call"/>
    <s v="Corporate"/>
    <s v="F&amp;B Agrigator"/>
    <s v="Sandhya"/>
    <s v="popup counter on 14-4-2025"/>
    <n v="6500"/>
    <n v="6500"/>
    <x v="21"/>
    <x v="0"/>
    <x v="1"/>
    <s v="Closed"/>
    <m/>
    <n v="1500"/>
    <m/>
    <m/>
    <m/>
    <s v="Apr-25"/>
    <n v="16"/>
    <s v="2025"/>
  </r>
  <r>
    <d v="2025-04-14T00:00:00"/>
    <s v="Tourist Group from Dalmia Cement / Yatri MICE"/>
    <s v="F2F"/>
    <s v="Corporate"/>
    <s v="Tourism"/>
    <s v="Abhishek"/>
    <s v="Dine in at IMAX on 14-4-2025"/>
    <n v="84900"/>
    <n v="84900"/>
    <x v="21"/>
    <x v="0"/>
    <x v="1"/>
    <s v="Closed"/>
    <m/>
    <n v="0"/>
    <m/>
    <m/>
    <m/>
    <s v="Apr-25"/>
    <n v="16"/>
    <s v="2025"/>
  </r>
  <r>
    <d v="2025-04-15T00:00:00"/>
    <s v="Popup Counter at Capital Land Atria"/>
    <s v="Call"/>
    <s v="Corporate"/>
    <s v="F&amp;B Agrigator"/>
    <s v="Sandhya"/>
    <s v="popup counter on 15-4-2025"/>
    <n v="7200"/>
    <n v="7200"/>
    <x v="21"/>
    <x v="0"/>
    <x v="1"/>
    <s v="Closed"/>
    <m/>
    <n v="1600"/>
    <m/>
    <m/>
    <m/>
    <s v="Apr-25"/>
    <n v="16"/>
    <s v="2025"/>
  </r>
  <r>
    <d v="2025-04-15T00:00:00"/>
    <s v="Tourist Group from Dalmia Cement / Yatri MICE"/>
    <s v="F2F"/>
    <s v="Corporate"/>
    <s v="Tourism"/>
    <s v="Abhishek"/>
    <s v="Dine in at shamshabad on 15-4-2025"/>
    <n v="31153"/>
    <n v="31153"/>
    <x v="21"/>
    <x v="0"/>
    <x v="1"/>
    <s v="Closed"/>
    <m/>
    <n v="0"/>
    <m/>
    <m/>
    <m/>
    <s v="Apr-25"/>
    <n v="16"/>
    <s v="2025"/>
  </r>
  <r>
    <d v="2025-04-16T00:00:00"/>
    <s v="Popup Counter at Capital Land Atria"/>
    <s v="Call"/>
    <s v="Corporate"/>
    <s v="F&amp;B Agrigator"/>
    <s v="Sandhya"/>
    <s v="popup counter on 16-4-2025"/>
    <n v="7600"/>
    <n v="7600"/>
    <x v="21"/>
    <x v="0"/>
    <x v="1"/>
    <s v="Closed"/>
    <m/>
    <n v="1200"/>
    <m/>
    <m/>
    <m/>
    <s v="Apr-25"/>
    <n v="16"/>
    <s v="2025"/>
  </r>
  <r>
    <d v="2025-04-16T00:00:00"/>
    <s v="Delivery of CB &amp; VB from Inorbit mall"/>
    <s v="Call"/>
    <s v="Events"/>
    <s v="Family Group"/>
    <s v="Vikas"/>
    <s v="Delivery of CB on 18-4-2025"/>
    <n v="12744"/>
    <n v="12744"/>
    <x v="21"/>
    <x v="0"/>
    <x v="1"/>
    <s v="Closed"/>
    <m/>
    <n v="0"/>
    <m/>
    <m/>
    <m/>
    <s v="Apr-25"/>
    <n v="16"/>
    <s v="2025"/>
  </r>
  <r>
    <d v="2025-04-17T00:00:00"/>
    <s v="Popup Counter at Capital Land Atria"/>
    <s v="Call"/>
    <s v="Corporate"/>
    <s v="F&amp;B Agrigator"/>
    <s v="Sandhya"/>
    <s v="popup counter on 17-4-2025"/>
    <n v="7600"/>
    <n v="7600"/>
    <x v="21"/>
    <x v="0"/>
    <x v="1"/>
    <s v="Closed"/>
    <m/>
    <n v="1200"/>
    <m/>
    <m/>
    <m/>
    <s v="Apr-25"/>
    <n v="16"/>
    <s v="2025"/>
  </r>
  <r>
    <d v="2025-04-18T00:00:00"/>
    <s v="Popup Counter at Capital Land Atria"/>
    <s v="Call"/>
    <s v="Corporate"/>
    <s v="F&amp;B Agrigator"/>
    <s v="Sandhya"/>
    <s v="popup counter on 18-4-2025"/>
    <n v="8000"/>
    <n v="8000"/>
    <x v="21"/>
    <x v="0"/>
    <x v="1"/>
    <s v="Closed"/>
    <m/>
    <n v="1000"/>
    <m/>
    <m/>
    <m/>
    <s v="Apr-25"/>
    <n v="16"/>
    <s v="2025"/>
  </r>
  <r>
    <d v="2025-04-20T00:00:00"/>
    <s v="Delivery at Maradpally Orphanage"/>
    <s v="F2F"/>
    <s v="Community"/>
    <s v="Orphanage &amp; NGO"/>
    <s v="Marvin"/>
    <s v="Delivery of CB on 20-4-2025"/>
    <n v="12800"/>
    <n v="12800"/>
    <x v="21"/>
    <x v="0"/>
    <x v="1"/>
    <s v="Closed"/>
    <m/>
    <n v="0"/>
    <m/>
    <m/>
    <m/>
    <s v="Apr-25"/>
    <n v="16"/>
    <s v="2025"/>
  </r>
  <r>
    <d v="2025-04-20T00:00:00"/>
    <s v="Delivery at Gudimalkapur"/>
    <s v="Call"/>
    <s v="Events"/>
    <s v="Family Group"/>
    <s v="Shyam"/>
    <s v="Delivery of MB on 20-4-2025"/>
    <n v="11610"/>
    <n v="11610"/>
    <x v="21"/>
    <x v="0"/>
    <x v="1"/>
    <s v="Closed"/>
    <m/>
    <n v="0"/>
    <m/>
    <m/>
    <m/>
    <s v="Apr-25"/>
    <n v="16"/>
    <s v="2025"/>
  </r>
  <r>
    <d v="2025-04-21T00:00:00"/>
    <s v="Delivery at Inorbit Mall"/>
    <s v="Call"/>
    <s v="Events"/>
    <s v="Family Group"/>
    <s v="Mahesh"/>
    <s v="Delivery of MB &amp; CB on 21-4-2025"/>
    <n v="7010"/>
    <n v="7010"/>
    <x v="21"/>
    <x v="0"/>
    <x v="1"/>
    <s v="Closed"/>
    <m/>
    <n v="0"/>
    <m/>
    <m/>
    <m/>
    <s v="Apr-25"/>
    <n v="17"/>
    <s v="2025"/>
  </r>
  <r>
    <d v="2025-04-21T00:00:00"/>
    <s v="Popup Counter at Capital Land Atria"/>
    <s v="Call"/>
    <s v="Corporate"/>
    <s v="F&amp;B Agrigator"/>
    <s v="Sandhya"/>
    <s v="popup counter on 21-4-2025"/>
    <n v="8000"/>
    <n v="8000"/>
    <x v="21"/>
    <x v="0"/>
    <x v="1"/>
    <s v="Closed"/>
    <m/>
    <n v="1000"/>
    <m/>
    <m/>
    <m/>
    <s v="Apr-25"/>
    <n v="17"/>
    <s v="2025"/>
  </r>
  <r>
    <d v="2025-04-22T00:00:00"/>
    <s v="Popup Counter at Capital Land Atria"/>
    <s v="Call"/>
    <s v="Corporate"/>
    <s v="F&amp;B Agrigator"/>
    <s v="Sandhya"/>
    <s v="popup counter on 22-4-2025"/>
    <n v="9000"/>
    <n v="9000"/>
    <x v="21"/>
    <x v="0"/>
    <x v="1"/>
    <s v="Closed"/>
    <m/>
    <n v="1500"/>
    <m/>
    <m/>
    <m/>
    <s v="Apr-25"/>
    <n v="17"/>
    <s v="2025"/>
  </r>
  <r>
    <d v="2025-04-22T00:00:00"/>
    <s v="Delivery at Masabtank"/>
    <s v="Call"/>
    <s v="Events"/>
    <s v="Family Group"/>
    <s v="Vikram"/>
    <s v="Delivery of MB on 22-4-2025"/>
    <n v="11100"/>
    <n v="11100"/>
    <x v="21"/>
    <x v="0"/>
    <x v="1"/>
    <s v="Closed"/>
    <m/>
    <n v="0"/>
    <m/>
    <m/>
    <m/>
    <s v="Apr-25"/>
    <n v="17"/>
    <s v="2025"/>
  </r>
  <r>
    <d v="2025-04-23T00:00:00"/>
    <s v="Popup Counter at Capital Land Atria"/>
    <s v="Call"/>
    <s v="Corporate"/>
    <s v="F&amp;B Agrigator"/>
    <s v="Sandhya"/>
    <s v="popup counter on 23-4-2025"/>
    <n v="9000"/>
    <n v="9000"/>
    <x v="21"/>
    <x v="0"/>
    <x v="1"/>
    <s v="Closed"/>
    <m/>
    <n v="1500"/>
    <m/>
    <m/>
    <m/>
    <s v="Apr-25"/>
    <n v="17"/>
    <s v="2025"/>
  </r>
  <r>
    <d v="2025-04-16T00:00:00"/>
    <s v="Delivery at SEBLR Banglore (Compass)"/>
    <s v="Call"/>
    <s v="Corporate"/>
    <s v="F&amp;B Agrigator"/>
    <s v="Saad"/>
    <s v="New Delivery at Compass group on 16-4-2025"/>
    <n v="38929"/>
    <n v="38929"/>
    <x v="21"/>
    <x v="1"/>
    <x v="1"/>
    <s v="Closed"/>
    <m/>
    <n v="0"/>
    <m/>
    <m/>
    <m/>
    <s v="Apr-25"/>
    <n v="16"/>
    <s v="2025"/>
  </r>
  <r>
    <d v="2025-04-23T00:00:00"/>
    <s v="Delivery at SEBLR Banglore (Compass)"/>
    <s v="Call"/>
    <s v="Corporate"/>
    <s v="F&amp;B Agrigator"/>
    <s v="Saad"/>
    <s v="New Delivery at Compass group on 16-4-2025"/>
    <n v="38929"/>
    <n v="38929"/>
    <x v="21"/>
    <x v="1"/>
    <x v="1"/>
    <s v="Closed"/>
    <m/>
    <n v="0"/>
    <m/>
    <m/>
    <m/>
    <s v="Apr-25"/>
    <n v="17"/>
    <s v="2025"/>
  </r>
  <r>
    <d v="2025-04-22T00:00:00"/>
    <s v="Tourist Group from Kolkata"/>
    <s v="F2F"/>
    <s v="Corporate"/>
    <s v="Tourism"/>
    <s v="Somnath Pal"/>
    <s v="Dine in at sghamshabad on 22-4-2025"/>
    <n v="12600"/>
    <n v="12600"/>
    <x v="21"/>
    <x v="0"/>
    <x v="1"/>
    <s v="Closed"/>
    <m/>
    <n v="0"/>
    <m/>
    <m/>
    <m/>
    <s v="Apr-25"/>
    <n v="17"/>
    <s v="2025"/>
  </r>
  <r>
    <d v="2025-04-23T00:00:00"/>
    <s v="Tourist Group from Yatra MICE"/>
    <s v="F2F"/>
    <s v="Corporate"/>
    <s v="Tourism"/>
    <s v="Aashrit"/>
    <s v="Dine in at Shamshabad on 23-4-2025"/>
    <n v="62500"/>
    <n v="62500"/>
    <x v="21"/>
    <x v="0"/>
    <x v="1"/>
    <s v="Closed"/>
    <m/>
    <n v="0"/>
    <m/>
    <m/>
    <m/>
    <s v="Apr-25"/>
    <n v="17"/>
    <s v="2025"/>
  </r>
  <r>
    <d v="2025-04-24T00:00:00"/>
    <s v="Cyient Limited"/>
    <s v="F2F"/>
    <s v="Corporate"/>
    <s v="IT"/>
    <s v="Praneeth"/>
    <s v="Followe up for further orders"/>
    <n v="0"/>
    <m/>
    <x v="19"/>
    <x v="0"/>
    <x v="0"/>
    <s v="Hot"/>
    <m/>
    <n v="0"/>
    <m/>
    <m/>
    <m/>
    <s v="Apr-25"/>
    <n v="17"/>
    <s v="2025"/>
  </r>
  <r>
    <d v="2025-04-25T00:00:00"/>
    <s v="Popup Counter at Capital Land Atria"/>
    <s v="Call"/>
    <s v="Corporate"/>
    <s v="F&amp;B Agrigator"/>
    <s v="Sandhya"/>
    <s v="popup counter on 25-4-2025"/>
    <n v="9000"/>
    <n v="9000"/>
    <x v="21"/>
    <x v="0"/>
    <x v="1"/>
    <s v="Closed"/>
    <m/>
    <n v="1500"/>
    <m/>
    <m/>
    <m/>
    <s v="Apr-25"/>
    <n v="17"/>
    <s v="2025"/>
  </r>
  <r>
    <d v="2025-04-24T00:00:00"/>
    <s v="Dine in at Kompally"/>
    <s v="Call"/>
    <s v="Events"/>
    <s v="Family Group"/>
    <s v="Ahmad"/>
    <s v="Dine in on 24-4-2025"/>
    <n v="26185"/>
    <n v="26185"/>
    <x v="21"/>
    <x v="0"/>
    <x v="1"/>
    <s v="Closed"/>
    <m/>
    <n v="0"/>
    <m/>
    <m/>
    <m/>
    <s v="Apr-25"/>
    <n v="17"/>
    <s v="2025"/>
  </r>
  <r>
    <d v="2025-04-28T00:00:00"/>
    <s v="Kaveri Seeds"/>
    <s v="F2F"/>
    <s v="Corporate"/>
    <s v="Agritech"/>
    <s v="Mallareddy"/>
    <s v="Discussion in regards with daily supply of food"/>
    <n v="150000"/>
    <m/>
    <x v="19"/>
    <x v="0"/>
    <x v="0"/>
    <s v="Hot"/>
    <m/>
    <n v="0"/>
    <m/>
    <m/>
    <m/>
    <s v="Apr-25"/>
    <n v="18"/>
    <s v="2025"/>
  </r>
  <r>
    <d v="2025-04-29T00:00:00"/>
    <s v="Travel Agency Maharashtra"/>
    <s v="F2F"/>
    <s v="Corporate"/>
    <s v="Tourism"/>
    <s v="Ruchita"/>
    <s v="Shared quote for delivery on 4-5-2025"/>
    <n v="0"/>
    <n v="0"/>
    <x v="17"/>
    <x v="0"/>
    <x v="1"/>
    <s v="Closed"/>
    <m/>
    <n v="0"/>
    <m/>
    <m/>
    <m/>
    <s v="Apr-25"/>
    <n v="18"/>
    <s v="2025"/>
  </r>
  <r>
    <d v="2025-04-29T00:00:00"/>
    <s v="Kaveri Seeds"/>
    <s v="F2F"/>
    <s v="Corporate"/>
    <s v="Agritech"/>
    <s v="Mallareddy"/>
    <s v="Sample of Snacks with pricing and packages"/>
    <n v="0"/>
    <m/>
    <x v="19"/>
    <x v="0"/>
    <x v="0"/>
    <s v="Hot"/>
    <m/>
    <n v="0"/>
    <m/>
    <m/>
    <m/>
    <s v="Apr-25"/>
    <n v="18"/>
    <s v="2025"/>
  </r>
  <r>
    <d v="2025-04-29T00:00:00"/>
    <s v="Vardhaman Engineering College"/>
    <s v="F2F"/>
    <s v="College"/>
    <s v="Education"/>
    <s v="Aron"/>
    <s v="Follow up for Events and bulk orders"/>
    <n v="50000"/>
    <m/>
    <x v="19"/>
    <x v="0"/>
    <x v="0"/>
    <s v="Cold"/>
    <m/>
    <n v="0"/>
    <m/>
    <m/>
    <m/>
    <s v="Apr-25"/>
    <n v="18"/>
    <s v="2025"/>
  </r>
  <r>
    <d v="2025-04-30T00:00:00"/>
    <s v="Delivery at SEBLR Banglore (Compass)"/>
    <s v="Call"/>
    <s v="Corporate"/>
    <s v="F&amp;B Agrigator"/>
    <s v="Saad"/>
    <s v="New Delivery at Compass group on 30-4-2025"/>
    <n v="38929"/>
    <n v="38929"/>
    <x v="21"/>
    <x v="1"/>
    <x v="1"/>
    <s v="Closed"/>
    <m/>
    <n v="0"/>
    <m/>
    <m/>
    <m/>
    <s v="Apr-25"/>
    <n v="18"/>
    <s v="2025"/>
  </r>
  <r>
    <d v="2025-04-30T00:00:00"/>
    <s v="Buffet Lunch at Urban Rise"/>
    <s v="Call"/>
    <s v="Corporate"/>
    <s v="Realestate"/>
    <s v="Nagarjuna"/>
    <s v="Buffet Lunch on 3-4-2025"/>
    <n v="259000"/>
    <n v="0"/>
    <x v="17"/>
    <x v="0"/>
    <x v="0"/>
    <s v="Cancelled"/>
    <s v="Low budget "/>
    <n v="0"/>
    <m/>
    <m/>
    <m/>
    <s v="Apr-25"/>
    <n v="18"/>
    <s v="2025"/>
  </r>
  <r>
    <d v="2025-04-30T00:00:00"/>
    <s v="Delivery at Uppal"/>
    <s v="Call"/>
    <s v="Events"/>
    <s v="Family Group"/>
    <s v="Mahesh"/>
    <s v="Delivery of CB &amp; VB on 30-4-2025"/>
    <n v="10764"/>
    <n v="10764"/>
    <x v="21"/>
    <x v="0"/>
    <x v="1"/>
    <s v="Closed"/>
    <m/>
    <n v="0"/>
    <m/>
    <m/>
    <m/>
    <s v="Apr-25"/>
    <n v="18"/>
    <s v="2025"/>
  </r>
  <r>
    <d v="2025-05-01T00:00:00"/>
    <s v="Delivery at Bowenpally"/>
    <s v="Call"/>
    <s v="Events"/>
    <s v="Family Group"/>
    <s v="Ravi"/>
    <s v="Delivery of Mutton Biryani on 1-5-2025"/>
    <n v="13524"/>
    <n v="13524"/>
    <x v="17"/>
    <x v="0"/>
    <x v="1"/>
    <s v="Closed"/>
    <m/>
    <n v="0"/>
    <m/>
    <m/>
    <m/>
    <s v="May-25"/>
    <n v="18"/>
    <s v="2025"/>
  </r>
  <r>
    <d v="2025-05-01T00:00:00"/>
    <s v="Travel Group from Yatra"/>
    <s v="Call"/>
    <s v="Corporate"/>
    <s v="Tourism"/>
    <s v="Aashrit"/>
    <s v="Dine in at IMAX on 1-5-2025"/>
    <n v="96500"/>
    <n v="96500"/>
    <x v="17"/>
    <x v="0"/>
    <x v="1"/>
    <s v="Closed"/>
    <m/>
    <n v="0"/>
    <m/>
    <m/>
    <m/>
    <s v="May-25"/>
    <n v="18"/>
    <s v="2025"/>
  </r>
  <r>
    <d v="2025-05-03T00:00:00"/>
    <s v="Buffet Dinner at Rajbhavan"/>
    <s v="F2F"/>
    <s v="Corporate"/>
    <s v="Government"/>
    <s v="Balakrishna"/>
    <s v="Buffet dinner on 03-5-2025"/>
    <n v="210000"/>
    <n v="210000"/>
    <x v="17"/>
    <x v="0"/>
    <x v="1"/>
    <s v="Closed"/>
    <m/>
    <n v="0"/>
    <m/>
    <m/>
    <m/>
    <s v="May-25"/>
    <n v="18"/>
    <s v="2025"/>
  </r>
  <r>
    <d v="2025-05-04T00:00:00"/>
    <s v="Delivery at Lingampally Railway Station"/>
    <s v="F2F"/>
    <s v="Corporate"/>
    <s v="Tourism"/>
    <s v="Ruchita"/>
    <s v="Delivery of VB on 4-5-2025 from Himayathnagar"/>
    <n v="9600"/>
    <n v="9600"/>
    <x v="17"/>
    <x v="0"/>
    <x v="1"/>
    <s v="Closed"/>
    <m/>
    <n v="0"/>
    <m/>
    <m/>
    <m/>
    <s v="May-25"/>
    <n v="18"/>
    <s v="2025"/>
  </r>
  <r>
    <d v="2025-05-04T00:00:00"/>
    <s v="Delivery at charlapally Railway station "/>
    <s v="F2F"/>
    <s v="Corporate"/>
    <s v="Tourism"/>
    <s v="Ruchita"/>
    <s v="Delivery of VB on 4-5-2025 from Himayathnagar"/>
    <n v="14880"/>
    <n v="14880"/>
    <x v="17"/>
    <x v="0"/>
    <x v="1"/>
    <s v="Closed"/>
    <m/>
    <n v="0"/>
    <m/>
    <m/>
    <m/>
    <s v="May-25"/>
    <n v="18"/>
    <s v="2025"/>
  </r>
  <r>
    <d v="2025-05-04T00:00:00"/>
    <s v="Delivery at Kachiguda Railway Station"/>
    <s v="F2F"/>
    <s v="Corporate"/>
    <s v="Tourism"/>
    <s v="Ruchita"/>
    <s v="Delivery of VB on 4-5-2025 from Himayathnagar"/>
    <n v="18240"/>
    <n v="18240"/>
    <x v="17"/>
    <x v="0"/>
    <x v="1"/>
    <s v="Closed"/>
    <m/>
    <n v="0"/>
    <m/>
    <m/>
    <m/>
    <s v="May-25"/>
    <n v="18"/>
    <s v="2025"/>
  </r>
  <r>
    <d v="2025-05-04T00:00:00"/>
    <s v="Dine in at Lingampally"/>
    <s v="F2F"/>
    <s v="Corporate"/>
    <s v="Tourism"/>
    <s v="Ruchita"/>
    <s v="Dine in at Lingampally on 4-5-2025"/>
    <n v="15543"/>
    <n v="15543"/>
    <x v="17"/>
    <x v="0"/>
    <x v="1"/>
    <s v="Closed"/>
    <m/>
    <n v="0"/>
    <m/>
    <m/>
    <m/>
    <s v="May-25"/>
    <n v="18"/>
    <s v="2025"/>
  </r>
  <r>
    <d v="2025-05-04T00:00:00"/>
    <s v="Dine in at Shamshabad"/>
    <s v="F2F"/>
    <s v="Corporate"/>
    <s v="Tourism"/>
    <s v="Ruchita"/>
    <s v="Dinein at Shamshabad on 4-5-2025"/>
    <n v="12600"/>
    <n v="12600"/>
    <x v="17"/>
    <x v="0"/>
    <x v="1"/>
    <s v="Closed"/>
    <m/>
    <n v="0"/>
    <m/>
    <m/>
    <m/>
    <s v="May-25"/>
    <n v="18"/>
    <s v="2025"/>
  </r>
  <r>
    <d v="2025-05-05T00:00:00"/>
    <s v="Tomaterra Festival"/>
    <s v="F2F"/>
    <s v="Corporate"/>
    <s v="Exhibition"/>
    <s v="Varun"/>
    <s v="food stall at event on 11-5-2025"/>
    <n v="120000"/>
    <n v="0"/>
    <x v="17"/>
    <x v="0"/>
    <x v="0"/>
    <s v="Cancelled"/>
    <s v="Cancelled due feisability of event profitability"/>
    <n v="0"/>
    <m/>
    <m/>
    <m/>
    <s v="May-25"/>
    <n v="19"/>
    <s v="2025"/>
  </r>
  <r>
    <d v="2025-05-05T00:00:00"/>
    <s v="Archamedis Labs"/>
    <s v="F2F"/>
    <s v="Corporate"/>
    <s v="Pharma"/>
    <s v="Venkateshwar"/>
    <s v="Introduction to bulk orders and delivery"/>
    <n v="50000"/>
    <m/>
    <x v="19"/>
    <x v="0"/>
    <x v="0"/>
    <s v="Hot"/>
    <m/>
    <n v="0"/>
    <m/>
    <m/>
    <m/>
    <s v="May-25"/>
    <n v="19"/>
    <s v="2025"/>
  </r>
  <r>
    <d v="2025-05-06T00:00:00"/>
    <s v="Tek Systems"/>
    <s v="F2F"/>
    <s v="Corporate"/>
    <s v="IT"/>
    <s v="Anil"/>
    <s v="Introduction to bulk orders"/>
    <n v="0"/>
    <m/>
    <x v="19"/>
    <x v="0"/>
    <x v="0"/>
    <s v="Cold"/>
    <m/>
    <n v="0"/>
    <m/>
    <m/>
    <m/>
    <s v="May-25"/>
    <n v="19"/>
    <s v="2025"/>
  </r>
  <r>
    <d v="2025-05-06T00:00:00"/>
    <s v="Maaganti Electronics"/>
    <s v="F2F"/>
    <s v="Corporate"/>
    <s v="IT"/>
    <s v="Bhargav"/>
    <s v="Follow up for Bulk orders"/>
    <n v="40000"/>
    <n v="0"/>
    <x v="22"/>
    <x v="0"/>
    <x v="0"/>
    <s v="Cancelled"/>
    <s v="No requirement"/>
    <n v="0"/>
    <m/>
    <m/>
    <m/>
    <s v="May-25"/>
    <n v="19"/>
    <s v="2025"/>
  </r>
  <r>
    <d v="2025-05-06T00:00:00"/>
    <s v="Karvi Fintech"/>
    <s v="F2F"/>
    <s v="Corporate"/>
    <s v="IT"/>
    <s v="Praneeth"/>
    <s v="Follow up for further orders"/>
    <n v="55000"/>
    <n v="0"/>
    <x v="17"/>
    <x v="0"/>
    <x v="0"/>
    <s v="Cancelled"/>
    <m/>
    <n v="0"/>
    <m/>
    <m/>
    <m/>
    <s v="May-25"/>
    <n v="19"/>
    <s v="2025"/>
  </r>
  <r>
    <d v="2025-05-07T00:00:00"/>
    <s v="Yatra Groupo"/>
    <s v="F2F"/>
    <s v="Corporate"/>
    <s v="IT"/>
    <s v="Aashrit"/>
    <s v="Dine in at Shamshabad on 8-5-2025"/>
    <n v="41086"/>
    <n v="41086"/>
    <x v="17"/>
    <x v="0"/>
    <x v="1"/>
    <s v="Closed"/>
    <m/>
    <n v="0"/>
    <m/>
    <m/>
    <m/>
    <s v="May-25"/>
    <n v="19"/>
    <s v="2025"/>
  </r>
  <r>
    <d v="2025-05-07T00:00:00"/>
    <s v="Globline Shipping"/>
    <s v="F2F"/>
    <s v="Corporate"/>
    <s v="IT"/>
    <s v="Srinivas"/>
    <s v="Introduction to delivery of packed lunch"/>
    <n v="0"/>
    <m/>
    <x v="19"/>
    <x v="0"/>
    <x v="0"/>
    <s v="Cold"/>
    <m/>
    <n v="0"/>
    <m/>
    <m/>
    <m/>
    <s v="May-25"/>
    <n v="19"/>
    <s v="2025"/>
  </r>
  <r>
    <d v="2025-05-07T00:00:00"/>
    <s v="Delivery at SEBLR Banglore (Compass)"/>
    <s v="Call"/>
    <s v="Corporate"/>
    <s v="F&amp;B Agrigator"/>
    <s v="Saad"/>
    <s v="New Delivery at Compass group on 7-5-2025"/>
    <n v="37918"/>
    <n v="37918"/>
    <x v="17"/>
    <x v="1"/>
    <x v="1"/>
    <s v="Closed"/>
    <m/>
    <n v="0"/>
    <m/>
    <m/>
    <m/>
    <s v="May-25"/>
    <n v="19"/>
    <s v="2025"/>
  </r>
  <r>
    <d v="2025-05-08T00:00:00"/>
    <s v="MSN Labs"/>
    <s v="F2F"/>
    <s v="Corporate"/>
    <s v="Pharma"/>
    <s v="Sandeep"/>
    <s v="Follow up for Payment"/>
    <n v="4207000"/>
    <n v="4207000"/>
    <x v="23"/>
    <x v="0"/>
    <x v="1"/>
    <s v="Closed"/>
    <m/>
    <n v="0"/>
    <m/>
    <m/>
    <m/>
    <s v="May-25"/>
    <n v="19"/>
    <s v="2025"/>
  </r>
  <r>
    <d v="2025-05-09T00:00:00"/>
    <s v="Foody's Group (GMR AIRPORT)"/>
    <s v="Call"/>
    <s v="Corporate"/>
    <s v="F&amp;B Agrigator"/>
    <s v="Venkat"/>
    <s v="Follow up for payment"/>
    <n v="0"/>
    <n v="0"/>
    <x v="17"/>
    <x v="0"/>
    <x v="1"/>
    <s v="Closed"/>
    <m/>
    <n v="0"/>
    <m/>
    <m/>
    <m/>
    <s v="May-25"/>
    <n v="19"/>
    <s v="2025"/>
  </r>
  <r>
    <d v="2025-05-09T00:00:00"/>
    <s v="Delivery at electronic City"/>
    <s v="Call"/>
    <s v="Corporate"/>
    <s v="IT"/>
    <s v="Edwin"/>
    <s v="Delivery of CB and Starter on 14-5-2025"/>
    <n v="35000"/>
    <n v="35000"/>
    <x v="17"/>
    <x v="1"/>
    <x v="1"/>
    <s v="Closed"/>
    <m/>
    <n v="0"/>
    <m/>
    <m/>
    <m/>
    <s v="May-25"/>
    <n v="19"/>
    <s v="2025"/>
  </r>
  <r>
    <d v="2025-05-09T00:00:00"/>
    <s v="Delivery at CB from MG road"/>
    <s v="Call"/>
    <s v="Corporate"/>
    <s v="F&amp;B Agrigator"/>
    <s v="Navneet Singh"/>
    <s v="Delivery of CB on 14-5-2025"/>
    <n v="17000"/>
    <n v="17000"/>
    <x v="17"/>
    <x v="0"/>
    <x v="1"/>
    <s v="Closed"/>
    <m/>
    <n v="0"/>
    <m/>
    <m/>
    <m/>
    <s v="May-25"/>
    <n v="19"/>
    <s v="2025"/>
  </r>
  <r>
    <d v="2025-05-11T00:00:00"/>
    <s v="Delivery at Vanasthalipuram"/>
    <s v="Call"/>
    <s v="Events"/>
    <s v="Family Group"/>
    <s v="Arvind"/>
    <s v="Delivery of CB &amp; MB on 11-5-2025"/>
    <n v="4546"/>
    <n v="4546"/>
    <x v="17"/>
    <x v="0"/>
    <x v="1"/>
    <s v="Closed"/>
    <m/>
    <n v="0"/>
    <m/>
    <m/>
    <m/>
    <s v="May-25"/>
    <n v="19"/>
    <s v="2025"/>
  </r>
  <r>
    <d v="2025-05-12T00:00:00"/>
    <s v="Delivery at uppal "/>
    <s v="Call"/>
    <s v="Events"/>
    <s v="Family Group"/>
    <s v="Mahesh"/>
    <s v="Delivery of MB on 12-5-2025"/>
    <n v="6285"/>
    <n v="6285"/>
    <x v="17"/>
    <x v="0"/>
    <x v="1"/>
    <s v="Closed"/>
    <m/>
    <n v="0"/>
    <m/>
    <m/>
    <m/>
    <s v="May-25"/>
    <n v="20"/>
    <s v="2025"/>
  </r>
  <r>
    <d v="2025-05-13T00:00:00"/>
    <s v="Delivery at Charminar"/>
    <s v="Call"/>
    <s v="Events"/>
    <s v="Family Group"/>
    <s v="Ambika"/>
    <s v="Delivery of VB on 15-5-2025"/>
    <n v="12000"/>
    <n v="12000"/>
    <x v="17"/>
    <x v="0"/>
    <x v="1"/>
    <s v="Closed"/>
    <m/>
    <n v="0"/>
    <m/>
    <m/>
    <m/>
    <s v="May-25"/>
    <n v="20"/>
    <s v="2025"/>
  </r>
  <r>
    <d v="2025-05-13T00:00:00"/>
    <s v="Delivery at Kims Hospital Gachibowli"/>
    <s v="Call"/>
    <s v="Corporate"/>
    <s v="Healthcare"/>
    <s v="Guru Prasad"/>
    <s v="Delivery of CB &amp; VB on 14-5-2025"/>
    <n v="14000"/>
    <n v="14000"/>
    <x v="17"/>
    <x v="0"/>
    <x v="1"/>
    <s v="Closed"/>
    <m/>
    <n v="0"/>
    <m/>
    <m/>
    <m/>
    <s v="May-25"/>
    <n v="20"/>
    <s v="2025"/>
  </r>
  <r>
    <d v="2025-05-14T00:00:00"/>
    <s v="Icfai College"/>
    <s v="F2F"/>
    <s v="College"/>
    <s v="Education"/>
    <s v="Preetam"/>
    <s v="Dine in B Day party at Gachibowli 14-5-2025"/>
    <n v="7300"/>
    <n v="7300"/>
    <x v="17"/>
    <x v="0"/>
    <x v="1"/>
    <s v="Closed"/>
    <m/>
    <n v="0"/>
    <m/>
    <m/>
    <m/>
    <s v="May-25"/>
    <n v="20"/>
    <s v="2025"/>
  </r>
  <r>
    <d v="2025-05-14T00:00:00"/>
    <s v="IIT Hyderabad"/>
    <s v="F2F"/>
    <s v="College"/>
    <s v="Education"/>
    <s v="Abnik"/>
    <s v="Bulk delivery on 25-5-2025"/>
    <n v="32000"/>
    <n v="0"/>
    <x v="17"/>
    <x v="0"/>
    <x v="0"/>
    <s v="Cancelled"/>
    <m/>
    <n v="0"/>
    <m/>
    <m/>
    <m/>
    <s v="May-25"/>
    <n v="20"/>
    <s v="2025"/>
  </r>
  <r>
    <d v="2025-05-14T00:00:00"/>
    <s v="Intel"/>
    <s v="F2F"/>
    <s v="Corporate"/>
    <s v="IT"/>
    <s v="Abhay"/>
    <s v="Discussion in regards with bulk delivery"/>
    <n v="0"/>
    <n v="0"/>
    <x v="18"/>
    <x v="0"/>
    <x v="0"/>
    <s v="Cancelled"/>
    <m/>
    <n v="0"/>
    <s v="Corporate Order"/>
    <m/>
    <m/>
    <s v="May-25"/>
    <n v="20"/>
    <s v="2025"/>
  </r>
  <r>
    <d v="2025-05-14T00:00:00"/>
    <s v="Delivery at SEBLR Banglore (Compass)"/>
    <s v="Call"/>
    <s v="Corporate"/>
    <s v="F&amp;B Agrigator"/>
    <s v="Saad"/>
    <s v="New Delivery at Compass group on 14-5-2025"/>
    <n v="37918"/>
    <n v="37918"/>
    <x v="17"/>
    <x v="1"/>
    <x v="1"/>
    <s v="Closed"/>
    <m/>
    <n v="0"/>
    <m/>
    <m/>
    <m/>
    <s v="May-25"/>
    <n v="20"/>
    <s v="2025"/>
  </r>
  <r>
    <d v="2025-05-16T00:00:00"/>
    <s v="Dr Reddys Lab"/>
    <s v="F2F"/>
    <s v="Corporate"/>
    <s v="Pharma"/>
    <s v="Gururaj"/>
    <s v="Follow up for bulk orders"/>
    <n v="56000"/>
    <m/>
    <x v="24"/>
    <x v="0"/>
    <x v="0"/>
    <s v="Cancelled"/>
    <s v="No requirement"/>
    <n v="0"/>
    <s v="Bulk Order"/>
    <m/>
    <m/>
    <s v="May-25"/>
    <n v="20"/>
    <s v="2025"/>
  </r>
  <r>
    <d v="2025-05-17T00:00:00"/>
    <s v="Dine in at Hitec"/>
    <s v="Call"/>
    <s v="Corporate"/>
    <s v="F&amp;B Agrigator"/>
    <s v="Mudit"/>
    <s v="Dine in on 17-5-25"/>
    <n v="4500"/>
    <n v="4500"/>
    <x v="17"/>
    <x v="0"/>
    <x v="1"/>
    <s v="Closed"/>
    <m/>
    <n v="0"/>
    <m/>
    <m/>
    <m/>
    <s v="May-25"/>
    <n v="20"/>
    <s v="2025"/>
  </r>
  <r>
    <d v="2025-05-18T00:00:00"/>
    <s v="Delivery at Vanasthalipuram"/>
    <s v="Call"/>
    <s v="Events"/>
    <s v="Family Group"/>
    <s v="Srinivas"/>
    <s v="Delivery of CB on 18-5-2025"/>
    <n v="3395"/>
    <n v="3395"/>
    <x v="17"/>
    <x v="0"/>
    <x v="1"/>
    <s v="Closed"/>
    <m/>
    <n v="0"/>
    <m/>
    <m/>
    <m/>
    <s v="May-25"/>
    <n v="20"/>
    <s v="2025"/>
  </r>
  <r>
    <d v="2025-05-19T00:00:00"/>
    <s v="Astrazenica"/>
    <s v="F2F"/>
    <s v="Corporate"/>
    <s v="Pharma"/>
    <s v="Dr Vignesh"/>
    <s v="Delivery of CB on 26-5-2025 from Himayathnagar"/>
    <n v="8500"/>
    <n v="8500"/>
    <x v="17"/>
    <x v="0"/>
    <x v="1"/>
    <s v="Closed"/>
    <m/>
    <n v="0"/>
    <m/>
    <m/>
    <m/>
    <s v="May-25"/>
    <n v="21"/>
    <s v="2025"/>
  </r>
  <r>
    <d v="2025-05-19T00:00:00"/>
    <s v="Delivery at Chandanagar"/>
    <s v="Call"/>
    <s v="Events"/>
    <s v="Family Group"/>
    <s v="Jyoti"/>
    <s v="Delivery of CB &amp; MB on 20-5-2-25"/>
    <n v="8450"/>
    <n v="8450"/>
    <x v="17"/>
    <x v="0"/>
    <x v="1"/>
    <s v="Closed"/>
    <m/>
    <n v="0"/>
    <m/>
    <m/>
    <m/>
    <s v="May-25"/>
    <n v="21"/>
    <s v="2025"/>
  </r>
  <r>
    <d v="2025-05-19T00:00:00"/>
    <s v="Compass Group Freshwork Bangalore"/>
    <s v="Call"/>
    <s v="Corporate"/>
    <s v="F&amp;B Agrigator"/>
    <s v="Pankaj"/>
    <s v="Sampling &amp; Revival of delivery from 28-5-2025"/>
    <n v="0"/>
    <n v="0"/>
    <x v="17"/>
    <x v="1"/>
    <x v="1"/>
    <s v="Closed"/>
    <m/>
    <n v="0"/>
    <m/>
    <m/>
    <m/>
    <s v="May-25"/>
    <n v="21"/>
    <s v="2025"/>
  </r>
  <r>
    <d v="2025-05-19T00:00:00"/>
    <s v="Public Expo at Suncity"/>
    <s v="F2F"/>
    <s v="Corporate"/>
    <s v="F&amp;B Agrigator"/>
    <s v="Varun"/>
    <s v="Site visit for Expo"/>
    <n v="800000"/>
    <n v="0"/>
    <x v="17"/>
    <x v="0"/>
    <x v="0"/>
    <s v="Cancelled"/>
    <m/>
    <n v="0"/>
    <m/>
    <m/>
    <m/>
    <s v="May-25"/>
    <n v="21"/>
    <s v="2025"/>
  </r>
  <r>
    <d v="2025-05-20T00:00:00"/>
    <s v="Delivery at Vanasthalipuram"/>
    <s v="Call"/>
    <s v="Events"/>
    <s v="Family Group"/>
    <s v="Mahesh"/>
    <s v="Delivery of VB &amp; MB on 20-5-2025"/>
    <n v="4305"/>
    <n v="4305"/>
    <x v="17"/>
    <x v="0"/>
    <x v="1"/>
    <s v="Closed"/>
    <m/>
    <n v="0"/>
    <m/>
    <m/>
    <m/>
    <s v="May-25"/>
    <n v="21"/>
    <s v="2025"/>
  </r>
  <r>
    <d v="2025-05-20T00:00:00"/>
    <s v="Aware Hospital LB Nagar"/>
    <s v="F2F"/>
    <s v="Corporate"/>
    <s v="Healthcare"/>
    <s v="Bindhu"/>
    <s v="Conversation in regards with bulk delivery"/>
    <n v="0"/>
    <m/>
    <x v="25"/>
    <x v="0"/>
    <x v="0"/>
    <s v="Hot"/>
    <m/>
    <n v="0"/>
    <s v="Corporate Order"/>
    <m/>
    <m/>
    <s v="May-25"/>
    <n v="21"/>
    <s v="2025"/>
  </r>
  <r>
    <d v="2025-05-20T00:00:00"/>
    <s v="Spectra India"/>
    <s v="F2F"/>
    <s v="Corporate"/>
    <s v="Realestate"/>
    <s v="Jaganmohan"/>
    <s v="Follow up for Bulk orders"/>
    <n v="0"/>
    <m/>
    <x v="19"/>
    <x v="0"/>
    <x v="0"/>
    <s v="Cold"/>
    <m/>
    <n v="0"/>
    <m/>
    <m/>
    <m/>
    <s v="May-25"/>
    <n v="21"/>
    <s v="2025"/>
  </r>
  <r>
    <d v="2025-05-21T00:00:00"/>
    <s v="Delivery at SEBLR Banglore (Compass)"/>
    <s v="Call"/>
    <s v="Corporate"/>
    <s v="F&amp;B Agrigator"/>
    <s v="Saad"/>
    <s v="New Delivery at Compass group on 21-5-2025"/>
    <n v="37918"/>
    <n v="37918"/>
    <x v="17"/>
    <x v="1"/>
    <x v="1"/>
    <s v="Closed"/>
    <m/>
    <n v="0"/>
    <m/>
    <m/>
    <m/>
    <s v="May-25"/>
    <n v="21"/>
    <s v="2025"/>
  </r>
  <r>
    <d v="2025-05-21T00:00:00"/>
    <s v="MSN Labs"/>
    <s v="F2F"/>
    <s v="Corporate"/>
    <s v="Pharma"/>
    <s v="Satya"/>
    <s v="Follow up for Advance Payment for 60100 Kits"/>
    <n v="4207000"/>
    <n v="4207000"/>
    <x v="23"/>
    <x v="0"/>
    <x v="1"/>
    <s v="Closed"/>
    <m/>
    <n v="0"/>
    <m/>
    <m/>
    <m/>
    <s v="May-25"/>
    <n v="21"/>
    <s v="2025"/>
  </r>
  <r>
    <d v="2025-05-21T00:00:00"/>
    <s v="Vertex Netcom Solution"/>
    <s v="F2F"/>
    <s v="Corporate"/>
    <s v="IT"/>
    <s v="Ganesh"/>
    <s v="Introduction to bulk delivery"/>
    <n v="0"/>
    <m/>
    <x v="19"/>
    <x v="0"/>
    <x v="0"/>
    <s v="Cold"/>
    <m/>
    <n v="0"/>
    <m/>
    <m/>
    <m/>
    <s v="May-25"/>
    <n v="21"/>
    <s v="2025"/>
  </r>
  <r>
    <d v="2025-05-21T00:00:00"/>
    <s v="Kairams Event"/>
    <s v="F2F"/>
    <s v="Corporate"/>
    <s v="F&amp;B Agrigator"/>
    <s v="Varun"/>
    <s v="The Giggle fest on 7th &amp; 8 June 2025"/>
    <n v="80000"/>
    <n v="0"/>
    <x v="22"/>
    <x v="0"/>
    <x v="0"/>
    <s v="Cancelled"/>
    <s v="Not profitable"/>
    <n v="0"/>
    <m/>
    <m/>
    <m/>
    <s v="May-25"/>
    <n v="21"/>
    <s v="2025"/>
  </r>
  <r>
    <d v="2025-05-22T00:00:00"/>
    <s v="Giggles Event at Shilparamam"/>
    <s v="F2F"/>
    <s v="Corporate"/>
    <s v="F&amp;B Agrigator"/>
    <s v="Varun"/>
    <s v="Site visit for Expo"/>
    <n v="100000"/>
    <n v="0"/>
    <x v="22"/>
    <x v="0"/>
    <x v="0"/>
    <s v="Cancelled"/>
    <s v="Not profitable"/>
    <n v="0"/>
    <m/>
    <m/>
    <m/>
    <s v="May-25"/>
    <n v="21"/>
    <s v="2025"/>
  </r>
  <r>
    <d v="2025-05-22T00:00:00"/>
    <s v="Bridgestone"/>
    <s v="F2F"/>
    <s v="Corporate"/>
    <s v="Retail"/>
    <s v="Mahesh"/>
    <s v="Introduction to bulk delivery"/>
    <n v="30000"/>
    <m/>
    <x v="23"/>
    <x v="0"/>
    <x v="0"/>
    <s v="Cancelled"/>
    <m/>
    <n v="0"/>
    <m/>
    <m/>
    <m/>
    <s v="May-25"/>
    <n v="21"/>
    <s v="2025"/>
  </r>
  <r>
    <d v="2025-05-23T00:00:00"/>
    <s v="Take away from Secundrabad"/>
    <s v="Call"/>
    <s v="Events"/>
    <s v="Family Group"/>
    <s v="Sharmila"/>
    <s v="Take away of CB on 24-5-2025"/>
    <n v="7000"/>
    <n v="7000"/>
    <x v="17"/>
    <x v="0"/>
    <x v="1"/>
    <s v="Closed"/>
    <m/>
    <n v="0"/>
    <m/>
    <m/>
    <m/>
    <s v="May-25"/>
    <n v="21"/>
    <s v="2025"/>
  </r>
  <r>
    <d v="2025-05-23T00:00:00"/>
    <s v="Delivery at hitec city"/>
    <s v="Call"/>
    <s v="Events"/>
    <s v="Family Group"/>
    <s v="Vikas"/>
    <s v="Delivery of CB on 23-5-2025"/>
    <n v="23484"/>
    <n v="23484"/>
    <x v="17"/>
    <x v="0"/>
    <x v="1"/>
    <s v="Closed"/>
    <m/>
    <n v="0"/>
    <m/>
    <m/>
    <m/>
    <s v="May-25"/>
    <n v="21"/>
    <s v="2025"/>
  </r>
  <r>
    <d v="2025-05-23T00:00:00"/>
    <s v="Tapasya CA College Dilsukhnagar"/>
    <s v="F2F"/>
    <s v="College"/>
    <s v="Education"/>
    <s v="Jagan "/>
    <s v="Introduction to Bulk Orders"/>
    <n v="22000"/>
    <m/>
    <x v="19"/>
    <x v="0"/>
    <x v="0"/>
    <s v="Hot"/>
    <m/>
    <n v="0"/>
    <m/>
    <m/>
    <m/>
    <s v="May-25"/>
    <n v="21"/>
    <s v="2025"/>
  </r>
  <r>
    <d v="2025-05-23T00:00:00"/>
    <s v="Global Junior College"/>
    <s v="F2F"/>
    <s v="College"/>
    <s v="Education"/>
    <s v="Jagdeesh"/>
    <s v="Introduction to Bulk Orders"/>
    <n v="30000"/>
    <m/>
    <x v="19"/>
    <x v="0"/>
    <x v="0"/>
    <s v="Cold"/>
    <m/>
    <n v="0"/>
    <m/>
    <m/>
    <m/>
    <s v="May-25"/>
    <n v="21"/>
    <s v="2025"/>
  </r>
  <r>
    <d v="2025-05-23T00:00:00"/>
    <s v="Thinci Semiconductor"/>
    <s v="F2F"/>
    <s v="Corporate"/>
    <s v="Manufacturing"/>
    <s v="Luna"/>
    <s v="Introduction to bulk delivery"/>
    <n v="0"/>
    <m/>
    <x v="19"/>
    <x v="0"/>
    <x v="0"/>
    <s v="Cold"/>
    <m/>
    <n v="0"/>
    <m/>
    <m/>
    <m/>
    <s v="May-25"/>
    <n v="21"/>
    <s v="2025"/>
  </r>
  <r>
    <d v="2025-05-26T00:00:00"/>
    <s v="ITC Paperboard Division"/>
    <s v="F2F"/>
    <s v="Corporate"/>
    <s v="Manufacturing"/>
    <s v="Sheshagiri"/>
    <s v="Introduction to food delivery at their plant"/>
    <n v="0"/>
    <m/>
    <x v="19"/>
    <x v="0"/>
    <x v="0"/>
    <s v="Cold"/>
    <m/>
    <n v="0"/>
    <m/>
    <m/>
    <m/>
    <s v="May-25"/>
    <n v="22"/>
    <s v="2025"/>
  </r>
  <r>
    <d v="2025-05-26T00:00:00"/>
    <s v="Next tour Kolkata"/>
    <s v="Call"/>
    <s v="Corporate"/>
    <s v="Tourism"/>
    <s v="Alok"/>
    <s v="Shared quote for dine in in June"/>
    <n v="0"/>
    <n v="0"/>
    <x v="25"/>
    <x v="0"/>
    <x v="0"/>
    <s v="Cancelled"/>
    <s v="Event Cancelled"/>
    <n v="0"/>
    <s v="Corporate Order"/>
    <m/>
    <m/>
    <s v="May-25"/>
    <n v="22"/>
    <s v="2025"/>
  </r>
  <r>
    <d v="2025-05-26T00:00:00"/>
    <s v="Natco Pharma"/>
    <s v="Call"/>
    <s v="Corporate"/>
    <s v="Pharma"/>
    <s v="Tanmay"/>
    <s v="Discussion for Corporate Gifting and Bulk order"/>
    <n v="0"/>
    <m/>
    <x v="19"/>
    <x v="0"/>
    <x v="0"/>
    <s v="Hot"/>
    <m/>
    <n v="0"/>
    <m/>
    <m/>
    <m/>
    <s v="May-25"/>
    <n v="22"/>
    <s v="2025"/>
  </r>
  <r>
    <d v="2025-05-26T00:00:00"/>
    <s v="Astrazenica"/>
    <s v="F2F"/>
    <s v="Corporate"/>
    <s v="Pharma"/>
    <s v="Vighnesh"/>
    <s v="Follow up for further orders"/>
    <n v="55000"/>
    <n v="0"/>
    <x v="17"/>
    <x v="0"/>
    <x v="0"/>
    <s v="Cancelled"/>
    <m/>
    <n v="0"/>
    <m/>
    <m/>
    <m/>
    <s v="May-25"/>
    <n v="22"/>
    <s v="2025"/>
  </r>
  <r>
    <d v="2025-05-27T00:00:00"/>
    <s v="Natco Pharma"/>
    <s v="F2F"/>
    <s v="Corporate"/>
    <s v="Pharma"/>
    <s v="Tanmay"/>
    <s v="Biryani Kit Sampling "/>
    <n v="200000"/>
    <m/>
    <x v="25"/>
    <x v="0"/>
    <x v="0"/>
    <s v="Cancelled"/>
    <m/>
    <n v="0"/>
    <s v="Corporate Order"/>
    <m/>
    <m/>
    <s v="May-25"/>
    <n v="22"/>
    <s v="2025"/>
  </r>
  <r>
    <d v="2025-05-27T00:00:00"/>
    <s v="Administrative Amplify"/>
    <s v="F2F"/>
    <s v="Corporate"/>
    <s v="IT"/>
    <s v="Akhil"/>
    <s v="CM &amp; VB on 28-5-2025 from Jublee hills"/>
    <n v="9500"/>
    <n v="9500"/>
    <x v="17"/>
    <x v="0"/>
    <x v="1"/>
    <s v="Closed"/>
    <m/>
    <n v="0"/>
    <m/>
    <m/>
    <m/>
    <s v="May-25"/>
    <n v="22"/>
    <s v="2025"/>
  </r>
  <r>
    <d v="2025-05-27T00:00:00"/>
    <s v="Aurobindo Pharma"/>
    <s v="F2F"/>
    <s v="Corporate"/>
    <s v="Pharma"/>
    <s v="Bapiraju"/>
    <s v="Biryani kits and Meeting with marketing team"/>
    <n v="50000"/>
    <m/>
    <x v="19"/>
    <x v="0"/>
    <x v="0"/>
    <s v="Cold"/>
    <m/>
    <n v="0"/>
    <m/>
    <m/>
    <m/>
    <s v="May-25"/>
    <n v="22"/>
    <s v="2025"/>
  </r>
  <r>
    <d v="2025-05-28T00:00:00"/>
    <s v="Delivery at Compass Group Bangalore"/>
    <s v="Call"/>
    <s v="Corporate"/>
    <s v="F&amp;B Agrigator"/>
    <s v="Pankaj"/>
    <s v="Delivery of Special CB &amp; MB Handi on 26-5-25"/>
    <n v="59053"/>
    <n v="59053"/>
    <x v="17"/>
    <x v="1"/>
    <x v="1"/>
    <s v="Closed"/>
    <m/>
    <n v="0"/>
    <m/>
    <m/>
    <m/>
    <s v="May-25"/>
    <n v="22"/>
    <s v="2025"/>
  </r>
  <r>
    <d v="2025-05-28T00:00:00"/>
    <s v="Delivery at SEBLR Banglore (Compass)"/>
    <s v="Call"/>
    <s v="Corporate"/>
    <s v="F&amp;B Agrigator"/>
    <s v="Saad"/>
    <s v="New Delivery at Compass group on 28-5-2025"/>
    <n v="38939"/>
    <n v="38939"/>
    <x v="17"/>
    <x v="1"/>
    <x v="1"/>
    <s v="Closed"/>
    <m/>
    <n v="0"/>
    <m/>
    <m/>
    <m/>
    <s v="May-25"/>
    <n v="22"/>
    <s v="2025"/>
  </r>
  <r>
    <d v="2025-05-28T00:00:00"/>
    <s v="Delivery at Kompally"/>
    <s v="Call"/>
    <s v="Events"/>
    <s v="Family Group"/>
    <s v="Satish"/>
    <s v="Delivery of MB on 28-5-2025"/>
    <n v="8493"/>
    <n v="8493"/>
    <x v="17"/>
    <x v="0"/>
    <x v="1"/>
    <s v="Closed"/>
    <m/>
    <n v="0"/>
    <m/>
    <m/>
    <m/>
    <s v="May-25"/>
    <n v="22"/>
    <s v="2025"/>
  </r>
  <r>
    <d v="2025-05-28T00:00:00"/>
    <s v="Delivery at Masabtank"/>
    <s v="Call"/>
    <s v="Events"/>
    <s v="Family Group"/>
    <s v="Rahul"/>
    <s v="Delivery of CB &amp; Haleem"/>
    <n v="6892"/>
    <n v="6892"/>
    <x v="17"/>
    <x v="0"/>
    <x v="1"/>
    <s v="Closed"/>
    <m/>
    <n v="0"/>
    <m/>
    <m/>
    <m/>
    <s v="May-25"/>
    <n v="22"/>
    <s v="2025"/>
  </r>
  <r>
    <d v="2025-05-31T00:00:00"/>
    <s v="ROC Event Celebration of Operation Sindoor"/>
    <s v="F2F"/>
    <s v="Corporate"/>
    <s v="Defence &amp; Aerospace"/>
    <s v="Santosh"/>
    <s v="Dinner,CB &amp; VB for 600 Indian Soldiers on 31-5-2025"/>
    <n v="90000"/>
    <n v="90000"/>
    <x v="17"/>
    <x v="0"/>
    <x v="1"/>
    <s v="Closed"/>
    <m/>
    <n v="0"/>
    <m/>
    <m/>
    <m/>
    <s v="May-25"/>
    <n v="22"/>
    <s v="2025"/>
  </r>
  <r>
    <d v="2025-05-31T00:00:00"/>
    <s v="Delivery of Haleem at Foodys group Airport"/>
    <s v="Call"/>
    <s v="Corporate"/>
    <s v="F&amp;B Agrigator"/>
    <s v="Venkat"/>
    <s v="Delivery of Haleem in May month "/>
    <n v="67830"/>
    <n v="67830"/>
    <x v="17"/>
    <x v="0"/>
    <x v="1"/>
    <s v="Closed"/>
    <m/>
    <n v="67830"/>
    <m/>
    <m/>
    <m/>
    <s v="May-25"/>
    <n v="22"/>
    <s v="2025"/>
  </r>
  <r>
    <d v="2025-06-01T00:00:00"/>
    <s v="Delivery at MG Road"/>
    <s v="Call"/>
    <s v="Events"/>
    <s v="Family Group"/>
    <s v="Rakesh"/>
    <s v="Delivery of CB on 01-6-2025"/>
    <n v="3289"/>
    <n v="3289"/>
    <x v="22"/>
    <x v="0"/>
    <x v="1"/>
    <s v="Closed"/>
    <m/>
    <n v="0"/>
    <m/>
    <m/>
    <m/>
    <s v="Jun-25"/>
    <n v="22"/>
    <s v="2025"/>
  </r>
  <r>
    <d v="2025-06-01T00:00:00"/>
    <s v="Delivery at VIP Road"/>
    <s v="Call"/>
    <s v="Events"/>
    <s v="Family Group"/>
    <s v="Srinivas"/>
    <s v="Delivery of CB &amp; MB on 01-6-2025"/>
    <n v="38009"/>
    <n v="38009"/>
    <x v="22"/>
    <x v="0"/>
    <x v="1"/>
    <s v="Closed"/>
    <m/>
    <n v="0"/>
    <m/>
    <m/>
    <m/>
    <s v="Jun-25"/>
    <n v="22"/>
    <s v="2025"/>
  </r>
  <r>
    <d v="2025-06-02T00:00:00"/>
    <s v="Delivery at Malkajgiri"/>
    <s v="Call"/>
    <s v="Events"/>
    <s v="Family Group"/>
    <s v="Arvind"/>
    <s v="Delivery of CB on 02-6-2025"/>
    <n v="5604"/>
    <n v="5604"/>
    <x v="22"/>
    <x v="0"/>
    <x v="1"/>
    <s v="Closed"/>
    <m/>
    <n v="0"/>
    <m/>
    <m/>
    <m/>
    <s v="Jun-25"/>
    <n v="23"/>
    <s v="2025"/>
  </r>
  <r>
    <d v="2025-06-02T00:00:00"/>
    <s v="Delivery at MG Road"/>
    <s v="Call"/>
    <s v="Events"/>
    <s v="Family Group"/>
    <s v="Vinod"/>
    <s v="Delivery of Mutton Biryani on 02-6-2025"/>
    <n v="7561"/>
    <n v="7561"/>
    <x v="22"/>
    <x v="0"/>
    <x v="1"/>
    <s v="Closed"/>
    <m/>
    <n v="0"/>
    <m/>
    <m/>
    <m/>
    <s v="Jun-25"/>
    <n v="23"/>
    <s v="2025"/>
  </r>
  <r>
    <d v="2025-06-02T00:00:00"/>
    <s v="Delivery at Gachibowli"/>
    <s v="Call"/>
    <s v="Corporate"/>
    <s v="F&amp;B Agrigator"/>
    <s v="Sravan"/>
    <s v="Delivery of CB on 02-6-2025"/>
    <n v="8795"/>
    <n v="8795"/>
    <x v="22"/>
    <x v="0"/>
    <x v="1"/>
    <s v="Closed"/>
    <m/>
    <n v="0"/>
    <m/>
    <m/>
    <m/>
    <s v="Jun-25"/>
    <n v="23"/>
    <s v="2025"/>
  </r>
  <r>
    <d v="2025-06-03T00:00:00"/>
    <s v="Convergies"/>
    <s v="F2F"/>
    <s v="Corporate"/>
    <s v="IT"/>
    <s v="Arun"/>
    <s v="Introduction to team lunch and delivery"/>
    <n v="45000"/>
    <m/>
    <x v="19"/>
    <x v="0"/>
    <x v="0"/>
    <s v="Cold"/>
    <m/>
    <n v="0"/>
    <m/>
    <m/>
    <m/>
    <s v="Jun-25"/>
    <n v="23"/>
    <s v="2025"/>
  </r>
  <r>
    <d v="2025-06-03T00:00:00"/>
    <s v="DXC Technologies"/>
    <s v="Call"/>
    <s v="Corporate"/>
    <s v="IT"/>
    <s v="Sreeleran"/>
    <s v="Shared quote for 35 pax on 04-06-2025"/>
    <n v="12000"/>
    <n v="12000"/>
    <x v="22"/>
    <x v="1"/>
    <x v="1"/>
    <s v="Closed"/>
    <m/>
    <n v="0"/>
    <m/>
    <m/>
    <m/>
    <s v="Jun-25"/>
    <n v="23"/>
    <s v="2025"/>
  </r>
  <r>
    <d v="2026-04-03T00:00:00"/>
    <s v="Maruti NEXA"/>
    <s v="F2F"/>
    <s v="Corporate"/>
    <s v="Automobile"/>
    <s v="Balajirao"/>
    <s v="Shared details of Advance booking vouchers"/>
    <n v="30000"/>
    <m/>
    <x v="19"/>
    <x v="0"/>
    <x v="0"/>
    <s v="Cold"/>
    <m/>
    <n v="0"/>
    <m/>
    <m/>
    <m/>
    <s v="Apr-26"/>
    <n v="14"/>
    <s v="2025"/>
  </r>
  <r>
    <d v="2025-06-03T00:00:00"/>
    <s v="Take away at MG Road"/>
    <s v="Call"/>
    <s v="Events"/>
    <s v="Family Group"/>
    <s v="Mukul"/>
    <s v="Delivery of CB"/>
    <n v="3500"/>
    <n v="3500"/>
    <x v="22"/>
    <x v="0"/>
    <x v="1"/>
    <s v="Closed"/>
    <m/>
    <n v="0"/>
    <m/>
    <m/>
    <m/>
    <s v="Jun-25"/>
    <n v="23"/>
    <s v="2025"/>
  </r>
  <r>
    <d v="2025-06-04T00:00:00"/>
    <s v="Delivery at SEBLR Banglore (Compass)"/>
    <s v="Call"/>
    <s v="Corporate"/>
    <s v="F&amp;B Agrigator"/>
    <s v="Saad"/>
    <s v="New Delivery at Compass group on 04-6-2025"/>
    <n v="42974"/>
    <n v="42974"/>
    <x v="22"/>
    <x v="1"/>
    <x v="1"/>
    <s v="Closed"/>
    <m/>
    <n v="0"/>
    <m/>
    <m/>
    <m/>
    <s v="Jun-25"/>
    <n v="23"/>
    <s v="2025"/>
  </r>
  <r>
    <d v="2025-06-04T00:00:00"/>
    <s v="BPCL"/>
    <s v="F2F"/>
    <s v="Corporate"/>
    <s v="Manufacturing"/>
    <s v="Suresh Tripathy"/>
    <s v="Introduction to bulk delivery and gifting"/>
    <n v="0"/>
    <m/>
    <x v="19"/>
    <x v="0"/>
    <x v="0"/>
    <s v="Cold"/>
    <m/>
    <n v="0"/>
    <m/>
    <m/>
    <m/>
    <s v="Jun-25"/>
    <n v="23"/>
    <s v="2025"/>
  </r>
  <r>
    <d v="2025-06-04T00:00:00"/>
    <s v="Hitachi Consulting"/>
    <s v="F2F"/>
    <s v="Corporate"/>
    <s v="IT"/>
    <s v="Yogesh Khandoi"/>
    <s v="Introduction to bulk delivery"/>
    <n v="35000"/>
    <m/>
    <x v="19"/>
    <x v="0"/>
    <x v="0"/>
    <s v="Cold"/>
    <m/>
    <n v="0"/>
    <m/>
    <m/>
    <m/>
    <s v="Jun-25"/>
    <n v="23"/>
    <s v="2025"/>
  </r>
  <r>
    <d v="2025-06-04T00:00:00"/>
    <s v="Tech Mahindra "/>
    <s v="F2F"/>
    <s v="Corporate"/>
    <s v="IT"/>
    <s v="Zia Baig"/>
    <s v="Introduction to Bulk delivery"/>
    <n v="0"/>
    <m/>
    <x v="19"/>
    <x v="0"/>
    <x v="0"/>
    <s v="Cold"/>
    <m/>
    <n v="0"/>
    <m/>
    <m/>
    <m/>
    <s v="Jun-25"/>
    <n v="23"/>
    <s v="2025"/>
  </r>
  <r>
    <d v="2025-06-04T00:00:00"/>
    <s v="Yathapu Consulting"/>
    <s v="F2F"/>
    <s v="Corporate"/>
    <s v="IT"/>
    <s v="Pradeep Reddy"/>
    <s v="Shared quote for 100 pax lunch"/>
    <n v="0"/>
    <m/>
    <x v="19"/>
    <x v="0"/>
    <x v="0"/>
    <s v="Cold"/>
    <m/>
    <n v="0"/>
    <m/>
    <m/>
    <m/>
    <s v="Jun-25"/>
    <n v="23"/>
    <s v="2025"/>
  </r>
  <r>
    <d v="2025-06-05T00:00:00"/>
    <s v="Kairams Event Suncity"/>
    <s v="F2F"/>
    <s v="Corporate"/>
    <s v="F&amp;B Agrigator"/>
    <s v="Varun"/>
    <s v="Site visit and Cancelled the event "/>
    <n v="300000"/>
    <n v="0"/>
    <x v="22"/>
    <x v="0"/>
    <x v="0"/>
    <s v="Cancelled"/>
    <s v="Not Profitable"/>
    <n v="0"/>
    <m/>
    <m/>
    <m/>
    <s v="Jun-25"/>
    <n v="23"/>
    <s v="2025"/>
  </r>
  <r>
    <d v="2025-06-05T00:00:00"/>
    <s v="Quislex Legal Service"/>
    <s v="F2F"/>
    <s v="Corporate"/>
    <s v="IT"/>
    <s v="Nikita"/>
    <s v="Introduction to bulk delivery"/>
    <n v="35000"/>
    <m/>
    <x v="19"/>
    <x v="0"/>
    <x v="0"/>
    <s v="Cold"/>
    <m/>
    <n v="0"/>
    <m/>
    <m/>
    <m/>
    <s v="Jun-25"/>
    <n v="23"/>
    <s v="2025"/>
  </r>
  <r>
    <d v="2025-06-05T00:00:00"/>
    <s v="Yatra MICE"/>
    <s v="Call"/>
    <s v="Corporate"/>
    <s v="Tourism"/>
    <s v="Aashrit"/>
    <s v="Follow up for Bulk Order in Dine in "/>
    <n v="0"/>
    <m/>
    <x v="25"/>
    <x v="0"/>
    <x v="0"/>
    <s v="Cancelled"/>
    <m/>
    <n v="0"/>
    <s v="Corporate Order"/>
    <m/>
    <m/>
    <s v="Jun-25"/>
    <n v="23"/>
    <s v="2025"/>
  </r>
  <r>
    <d v="2025-06-05T00:00:00"/>
    <s v="Lancesoft"/>
    <s v="F2F"/>
    <s v="Corporate"/>
    <s v="IT"/>
    <s v="Abhishek"/>
    <s v="Introduction to bulk delivery"/>
    <n v="0"/>
    <m/>
    <x v="19"/>
    <x v="0"/>
    <x v="0"/>
    <s v="Cold"/>
    <m/>
    <n v="0"/>
    <m/>
    <m/>
    <m/>
    <s v="Jun-25"/>
    <n v="23"/>
    <s v="2025"/>
  </r>
  <r>
    <d v="2025-06-06T00:00:00"/>
    <s v="Delivery at MG Road "/>
    <s v="Call"/>
    <s v="Events"/>
    <s v="Family Group"/>
    <s v="Arun"/>
    <s v="Delivery of CB on 6-06-2025"/>
    <n v="5100"/>
    <n v="5100"/>
    <x v="22"/>
    <x v="0"/>
    <x v="1"/>
    <s v="Closed"/>
    <m/>
    <n v="0"/>
    <m/>
    <m/>
    <m/>
    <s v="Jun-25"/>
    <n v="23"/>
    <s v="2025"/>
  </r>
  <r>
    <d v="2025-06-06T00:00:00"/>
    <s v="Delivery at Vanasthalipuram"/>
    <s v="Call"/>
    <s v="Events"/>
    <s v="Family Group"/>
    <s v="Rafiq"/>
    <s v="Delivery of CB &amp; MB"/>
    <n v="23000"/>
    <n v="23000"/>
    <x v="22"/>
    <x v="0"/>
    <x v="1"/>
    <s v="Closed"/>
    <m/>
    <n v="0"/>
    <m/>
    <m/>
    <m/>
    <s v="Jun-25"/>
    <n v="23"/>
    <s v="2025"/>
  </r>
  <r>
    <d v="2025-06-06T00:00:00"/>
    <s v="Platos"/>
    <s v="F2F"/>
    <s v="Corporate"/>
    <s v="F&amp;B Agrigator"/>
    <s v="Rohan"/>
    <s v="Delivery of Mini rice Bowls at Salarpuria Sattva"/>
    <n v="400000"/>
    <m/>
    <x v="24"/>
    <x v="0"/>
    <x v="0"/>
    <s v="Cancelled"/>
    <s v="Postponed to december"/>
    <n v="0"/>
    <s v="Corporate Order"/>
    <m/>
    <m/>
    <s v="Jun-25"/>
    <n v="23"/>
    <s v="2025"/>
  </r>
  <r>
    <d v="2025-06-06T00:00:00"/>
    <s v="Sumac Pharma"/>
    <s v="F2F"/>
    <s v="Corporate"/>
    <s v="Pharma"/>
    <s v="Bhavani"/>
    <s v="Delivery of 115 Biryani Kits on 7-6-2025, Kukatpally"/>
    <n v="20585"/>
    <n v="20585"/>
    <x v="22"/>
    <x v="0"/>
    <x v="1"/>
    <s v="Closed"/>
    <m/>
    <n v="0"/>
    <m/>
    <m/>
    <m/>
    <s v="Jun-25"/>
    <n v="23"/>
    <s v="2025"/>
  </r>
  <r>
    <d v="2025-06-07T00:00:00"/>
    <s v="Delivery at Vanasthalipuram"/>
    <s v="Call"/>
    <s v="Events"/>
    <s v="Family Group"/>
    <s v="Fiyaz"/>
    <s v="Delivery of CB &amp; MB on 7-6-2025"/>
    <n v="12100"/>
    <n v="12100"/>
    <x v="22"/>
    <x v="0"/>
    <x v="1"/>
    <s v="Closed"/>
    <m/>
    <n v="0"/>
    <m/>
    <m/>
    <m/>
    <s v="Jun-25"/>
    <n v="23"/>
    <s v="2025"/>
  </r>
  <r>
    <d v="2025-06-07T00:00:00"/>
    <s v="Delivery at Secundrabad"/>
    <s v="Call"/>
    <s v="Events"/>
    <s v="Family Group"/>
    <s v="Nayeem"/>
    <s v="Delivery of CB on 7-06-2025"/>
    <n v="7500"/>
    <n v="7500"/>
    <x v="22"/>
    <x v="0"/>
    <x v="1"/>
    <s v="Closed"/>
    <m/>
    <n v="0"/>
    <m/>
    <m/>
    <m/>
    <s v="Jun-25"/>
    <n v="23"/>
    <s v="2025"/>
  </r>
  <r>
    <d v="2025-06-09T00:00:00"/>
    <s v="Delivery of Biryani Kits at Padmaraonagar"/>
    <s v="F2F"/>
    <s v="Events"/>
    <s v="Family Group"/>
    <s v="Dilip Tilwani"/>
    <s v="Delivery of biryani Kits in Bulk"/>
    <n v="0"/>
    <n v="0"/>
    <x v="22"/>
    <x v="0"/>
    <x v="0"/>
    <s v="Cancelled"/>
    <m/>
    <n v="0"/>
    <m/>
    <m/>
    <m/>
    <s v="Jun-25"/>
    <n v="24"/>
    <s v="2025"/>
  </r>
  <r>
    <d v="2025-06-09T00:00:00"/>
    <s v="Gurunanak Univercity Ibrahimpatnam"/>
    <s v="F2F"/>
    <s v="College"/>
    <s v="Education"/>
    <s v="Harish Kundra"/>
    <s v="Introduction to bulk delivery of food and snacks"/>
    <n v="0"/>
    <m/>
    <x v="19"/>
    <x v="0"/>
    <x v="0"/>
    <s v="Hot"/>
    <m/>
    <n v="0"/>
    <m/>
    <m/>
    <m/>
    <s v="Jun-25"/>
    <n v="24"/>
    <s v="2025"/>
  </r>
  <r>
    <d v="2025-06-09T00:00:00"/>
    <s v="IIT Hyderabad"/>
    <s v="Call"/>
    <s v="College"/>
    <s v="Education"/>
    <s v="Abanik"/>
    <s v="Follow up for bulk orders"/>
    <n v="0"/>
    <m/>
    <x v="25"/>
    <x v="0"/>
    <x v="1"/>
    <s v="Closed"/>
    <m/>
    <n v="0"/>
    <s v="Corporate Order"/>
    <m/>
    <m/>
    <s v="Jun-25"/>
    <n v="24"/>
    <s v="2025"/>
  </r>
  <r>
    <d v="2025-06-09T00:00:00"/>
    <s v="Sreeram Bioseeds"/>
    <s v="F2F"/>
    <s v="Corporate"/>
    <s v="Agritech"/>
    <s v="Pankaj"/>
    <s v="Introduction to corporate gifting and Delivery"/>
    <n v="0"/>
    <m/>
    <x v="19"/>
    <x v="0"/>
    <x v="0"/>
    <s v="Cold"/>
    <m/>
    <n v="0"/>
    <m/>
    <m/>
    <m/>
    <s v="Jun-25"/>
    <n v="24"/>
    <s v="2025"/>
  </r>
  <r>
    <d v="2025-06-10T00:00:00"/>
    <s v="Cognizant "/>
    <s v="Call"/>
    <s v="Corporate"/>
    <s v="IT"/>
    <s v="Akash"/>
    <s v="Shared details of Buffet lunch on 28-7-2025"/>
    <n v="0"/>
    <m/>
    <x v="25"/>
    <x v="0"/>
    <x v="0"/>
    <s v="Cancelled"/>
    <m/>
    <n v="0"/>
    <s v="Corporate Order"/>
    <m/>
    <m/>
    <s v="Jun-25"/>
    <n v="24"/>
    <s v="2025"/>
  </r>
  <r>
    <d v="2025-06-10T00:00:00"/>
    <s v="Delivery at Inorbit Mall"/>
    <s v="Call"/>
    <s v="Events"/>
    <s v="Family Group"/>
    <s v="Mukesh"/>
    <s v="Delivery of CB &amp; Kabab"/>
    <n v="6561"/>
    <n v="6561"/>
    <x v="22"/>
    <x v="0"/>
    <x v="1"/>
    <s v="Closed"/>
    <m/>
    <n v="0"/>
    <m/>
    <m/>
    <m/>
    <s v="Jun-25"/>
    <n v="24"/>
    <s v="2025"/>
  </r>
  <r>
    <d v="2025-06-10T00:00:00"/>
    <s v="YOJO"/>
    <s v="Call"/>
    <s v="Corporate"/>
    <s v="F&amp;B Agrigator"/>
    <s v="Anurag"/>
    <s v="Shared packages for ODC Parties"/>
    <n v="50000"/>
    <m/>
    <x v="23"/>
    <x v="0"/>
    <x v="0"/>
    <s v="Cancelled"/>
    <s v="Requirement cancelled"/>
    <n v="0"/>
    <m/>
    <m/>
    <m/>
    <s v="Jun-25"/>
    <n v="24"/>
    <s v="2025"/>
  </r>
  <r>
    <d v="2025-06-10T00:00:00"/>
    <s v="Natco Pharma"/>
    <s v="F2F"/>
    <s v="Corporate"/>
    <s v="Pharma"/>
    <s v="Sravya"/>
    <s v="Follow up for confirmation of Orders"/>
    <n v="200000"/>
    <m/>
    <x v="25"/>
    <x v="0"/>
    <x v="0"/>
    <s v="Cancelled"/>
    <m/>
    <n v="0"/>
    <s v="Corporate Order"/>
    <m/>
    <m/>
    <s v="Jun-25"/>
    <n v="24"/>
    <s v="2025"/>
  </r>
  <r>
    <d v="2025-06-10T00:00:00"/>
    <s v="Jeevan Jor"/>
    <s v="F2F"/>
    <s v="Corporate"/>
    <s v="Distributors"/>
    <s v="Hanumaprasad"/>
    <s v="Introduction to gifting &amp; Bulk delivery"/>
    <n v="30000"/>
    <m/>
    <x v="19"/>
    <x v="0"/>
    <x v="0"/>
    <s v="Cold"/>
    <m/>
    <n v="0"/>
    <m/>
    <m/>
    <m/>
    <s v="Jun-25"/>
    <n v="24"/>
    <s v="2025"/>
  </r>
  <r>
    <d v="2025-06-11T00:00:00"/>
    <s v="Amazon "/>
    <s v="Call"/>
    <s v="Corporate"/>
    <s v="IT"/>
    <s v="Victor"/>
    <s v="Introduction to all the services and Gifting"/>
    <n v="0"/>
    <m/>
    <x v="19"/>
    <x v="0"/>
    <x v="0"/>
    <s v="Cold"/>
    <m/>
    <n v="0"/>
    <m/>
    <m/>
    <m/>
    <s v="Jun-25"/>
    <n v="24"/>
    <s v="2025"/>
  </r>
  <r>
    <d v="2025-06-11T00:00:00"/>
    <s v="Delivery at Compass Group Bangalore"/>
    <s v="Call"/>
    <s v="Corporate"/>
    <s v="F&amp;B Agrigator"/>
    <s v="Pankaj"/>
    <s v="Delivery of Special CB &amp; MB Handi on 11-6-25"/>
    <n v="62072"/>
    <n v="62072"/>
    <x v="22"/>
    <x v="1"/>
    <x v="1"/>
    <s v="Closed"/>
    <m/>
    <n v="0"/>
    <m/>
    <m/>
    <m/>
    <s v="Jun-25"/>
    <n v="24"/>
    <s v="2025"/>
  </r>
  <r>
    <d v="2025-06-11T00:00:00"/>
    <s v="Delivery at SEBLR Banglore (Compass)"/>
    <s v="Call"/>
    <s v="Corporate"/>
    <s v="F&amp;B Agrigator"/>
    <s v="Saad"/>
    <s v="New Delivery at Compass group on 11-6-2025"/>
    <n v="28818"/>
    <n v="28818"/>
    <x v="22"/>
    <x v="1"/>
    <x v="1"/>
    <s v="Closed"/>
    <m/>
    <n v="0"/>
    <m/>
    <m/>
    <m/>
    <s v="Jun-25"/>
    <n v="24"/>
    <s v="2025"/>
  </r>
  <r>
    <d v="2025-06-11T00:00:00"/>
    <s v="Yashoda Krishna Toyota"/>
    <s v="F2F"/>
    <s v="Corporate"/>
    <s v="Automobile"/>
    <s v="Srinivas"/>
    <s v="Introduction to gifting and Bulk orders"/>
    <n v="0"/>
    <m/>
    <x v="19"/>
    <x v="0"/>
    <x v="0"/>
    <s v="Cold"/>
    <m/>
    <n v="0"/>
    <m/>
    <m/>
    <m/>
    <s v="Jun-25"/>
    <n v="24"/>
    <s v="2025"/>
  </r>
  <r>
    <d v="2025-06-12T00:00:00"/>
    <s v="Dyna"/>
    <s v="Call"/>
    <s v="Corporate"/>
    <s v="Pharma"/>
    <s v="Shiva"/>
    <s v="Dine in at Kukatpally on 12-6-2025"/>
    <n v="12835"/>
    <n v="12835"/>
    <x v="22"/>
    <x v="0"/>
    <x v="1"/>
    <s v="Closed"/>
    <m/>
    <n v="0"/>
    <m/>
    <m/>
    <m/>
    <s v="Jun-25"/>
    <n v="24"/>
    <s v="2025"/>
  </r>
  <r>
    <d v="2025-06-12T00:00:00"/>
    <s v="Flea Event at Nagole"/>
    <s v="F2F"/>
    <s v="Corporate"/>
    <s v="F&amp;B Agrigator"/>
    <s v="Varun"/>
    <s v="Event on 17-6-2025"/>
    <n v="50000"/>
    <n v="0"/>
    <x v="22"/>
    <x v="0"/>
    <x v="0"/>
    <s v="Cancelled"/>
    <s v="Less Walkin crowd of 500 with multiple vendors"/>
    <n v="0"/>
    <m/>
    <m/>
    <m/>
    <s v="Jun-25"/>
    <n v="24"/>
    <s v="2025"/>
  </r>
  <r>
    <d v="2025-06-12T00:00:00"/>
    <s v="Aurobindo Pharma"/>
    <s v="Call"/>
    <s v="Corporate"/>
    <s v="Pharma"/>
    <s v="Bapiraju"/>
    <s v="Follow up for further orders"/>
    <n v="0"/>
    <m/>
    <x v="25"/>
    <x v="0"/>
    <x v="0"/>
    <s v="Cancelled"/>
    <m/>
    <n v="0"/>
    <s v="Corporate Order"/>
    <m/>
    <m/>
    <s v="Jun-25"/>
    <n v="24"/>
    <s v="2025"/>
  </r>
  <r>
    <d v="2025-06-12T00:00:00"/>
    <s v="Tech Aspects"/>
    <s v="F2F"/>
    <s v="Corporate"/>
    <s v="IT"/>
    <s v="Akshay"/>
    <s v="Introduction to bulk orders"/>
    <n v="0"/>
    <m/>
    <x v="19"/>
    <x v="0"/>
    <x v="0"/>
    <s v="Hot"/>
    <m/>
    <n v="0"/>
    <m/>
    <m/>
    <m/>
    <s v="Jun-25"/>
    <n v="24"/>
    <s v="2025"/>
  </r>
  <r>
    <d v="2025-06-13T00:00:00"/>
    <s v="Kaveri Seeds"/>
    <s v="F2F"/>
    <s v="Corporate"/>
    <s v="Agritech"/>
    <s v="Malla Reddy"/>
    <s v="Follow up for Lunch and Snacks orders "/>
    <n v="0"/>
    <m/>
    <x v="25"/>
    <x v="0"/>
    <x v="0"/>
    <s v="Cancelled"/>
    <m/>
    <n v="0"/>
    <s v="Corporate Order"/>
    <m/>
    <m/>
    <s v="Jun-25"/>
    <n v="24"/>
    <s v="2025"/>
  </r>
  <r>
    <d v="2025-06-13T00:00:00"/>
    <s v="Delivery at Vanasthalipuram"/>
    <s v="Call"/>
    <s v="Events"/>
    <s v="Family Group"/>
    <s v="Anil"/>
    <s v="Delivery of Biryani and Biscuits"/>
    <n v="5636"/>
    <n v="5636"/>
    <x v="22"/>
    <x v="0"/>
    <x v="1"/>
    <s v="Closed"/>
    <m/>
    <n v="0"/>
    <m/>
    <m/>
    <m/>
    <s v="Jun-25"/>
    <n v="24"/>
    <s v="2025"/>
  </r>
  <r>
    <d v="2025-06-14T00:00:00"/>
    <s v="Delivery at Shamshabad"/>
    <s v="F2F"/>
    <s v="Corporate"/>
    <s v="Tourism"/>
    <s v="Rakesh"/>
    <s v="Delivery of Biryani and Biscuits"/>
    <n v="5900"/>
    <n v="5900"/>
    <x v="22"/>
    <x v="0"/>
    <x v="1"/>
    <s v="Closed"/>
    <m/>
    <n v="0"/>
    <m/>
    <m/>
    <m/>
    <s v="Jun-25"/>
    <n v="24"/>
    <s v="2025"/>
  </r>
  <r>
    <d v="2025-06-16T00:00:00"/>
    <s v="Duri Holidays"/>
    <s v="Call"/>
    <s v="Corporate"/>
    <s v="Tourism"/>
    <s v="Harish Patil"/>
    <s v="Dine in for tourist group"/>
    <n v="18000"/>
    <m/>
    <x v="24"/>
    <x v="0"/>
    <x v="0"/>
    <s v="Cancelled"/>
    <m/>
    <n v="0"/>
    <s v="Corporate Order"/>
    <m/>
    <m/>
    <s v="Jun-25"/>
    <n v="25"/>
    <s v="2025"/>
  </r>
  <r>
    <d v="2025-06-16T00:00:00"/>
    <s v="Saga Events and Holidays"/>
    <s v="F2F"/>
    <s v="Corporate"/>
    <s v="Tourism"/>
    <s v="Vikram"/>
    <s v="Dine in at Secundrabad for tourism group from Raipur"/>
    <n v="8000"/>
    <n v="8000"/>
    <x v="23"/>
    <x v="0"/>
    <x v="1"/>
    <s v="Closed"/>
    <m/>
    <n v="0"/>
    <m/>
    <m/>
    <m/>
    <s v="Jun-25"/>
    <n v="25"/>
    <s v="2025"/>
  </r>
  <r>
    <d v="2025-06-16T00:00:00"/>
    <s v="Hive Space"/>
    <s v="F2F"/>
    <s v="Corporate"/>
    <s v="IT"/>
    <s v="Mallikarjuna"/>
    <s v="follow up for delivery of food at their office"/>
    <n v="0"/>
    <n v="0"/>
    <x v="25"/>
    <x v="0"/>
    <x v="1"/>
    <s v="Closed"/>
    <m/>
    <n v="0"/>
    <s v="Corporate Order"/>
    <m/>
    <m/>
    <s v="Jun-25"/>
    <n v="25"/>
    <s v="2025"/>
  </r>
  <r>
    <d v="2025-06-16T00:00:00"/>
    <s v="Natco Pharma"/>
    <s v="F2F"/>
    <s v="Corporate"/>
    <s v="Pharma"/>
    <s v="Tanmay"/>
    <s v="confirmation of biryani kits by Jan  2026"/>
    <n v="100000"/>
    <m/>
    <x v="26"/>
    <x v="0"/>
    <x v="0"/>
    <s v="Cancelled"/>
    <m/>
    <n v="0"/>
    <s v="Gifting"/>
    <m/>
    <m/>
    <s v="Jun-25"/>
    <n v="25"/>
    <s v="2026"/>
  </r>
  <r>
    <d v="2025-06-16T00:00:00"/>
    <s v="IBM "/>
    <s v="Call"/>
    <s v="Corporate"/>
    <s v="IT"/>
    <s v="Srinivas"/>
    <s v="Follow up for further orders"/>
    <n v="18000"/>
    <m/>
    <x v="19"/>
    <x v="0"/>
    <x v="0"/>
    <s v="Cold"/>
    <m/>
    <n v="0"/>
    <m/>
    <m/>
    <m/>
    <s v="Jun-25"/>
    <n v="25"/>
    <s v="2025"/>
  </r>
  <r>
    <d v="2025-06-16T00:00:00"/>
    <s v="DRS School"/>
    <s v="Call"/>
    <s v="School"/>
    <s v="Education"/>
    <s v="Dinesh"/>
    <s v="Discussion in regards with event in August"/>
    <n v="400000"/>
    <m/>
    <x v="19"/>
    <x v="0"/>
    <x v="0"/>
    <s v="Cancelled"/>
    <m/>
    <n v="0"/>
    <m/>
    <m/>
    <m/>
    <s v="Jun-25"/>
    <n v="25"/>
    <s v="2025"/>
  </r>
  <r>
    <d v="2025-06-17T00:00:00"/>
    <s v="Dine in at Begumpet"/>
    <s v="Call"/>
    <s v="Events"/>
    <s v="Family Group"/>
    <s v="Johnson"/>
    <s v="Dine in of 25 PAX at Begumpet on 18-6-2025"/>
    <n v="15200"/>
    <n v="15200"/>
    <x v="22"/>
    <x v="0"/>
    <x v="1"/>
    <s v="Closed"/>
    <m/>
    <n v="0"/>
    <m/>
    <m/>
    <m/>
    <s v="Jun-25"/>
    <n v="25"/>
    <s v="2025"/>
  </r>
  <r>
    <d v="2025-06-17T00:00:00"/>
    <s v="Platos"/>
    <s v="F2F"/>
    <s v="Corporate"/>
    <s v="F&amp;B Agrigator"/>
    <s v="Hyder"/>
    <s v="Delivery of Biryani at Sattva Building in July"/>
    <n v="0"/>
    <n v="0"/>
    <x v="25"/>
    <x v="0"/>
    <x v="0"/>
    <s v="Cancelled"/>
    <s v="Moved to October"/>
    <n v="0"/>
    <s v="Corporate Order"/>
    <m/>
    <m/>
    <s v="Jun-25"/>
    <n v="25"/>
    <s v="2025"/>
  </r>
  <r>
    <d v="2025-06-17T00:00:00"/>
    <s v="Capgemini"/>
    <s v="F2F"/>
    <s v="Corporate"/>
    <s v="IT"/>
    <s v="Lakshmidhar"/>
    <s v="Introduction to bulk food delivery and gifting"/>
    <n v="200000"/>
    <m/>
    <x v="19"/>
    <x v="0"/>
    <x v="0"/>
    <s v="Cold"/>
    <m/>
    <n v="0"/>
    <m/>
    <m/>
    <m/>
    <s v="Jun-25"/>
    <n v="25"/>
    <s v="2025"/>
  </r>
  <r>
    <d v="2025-06-17T00:00:00"/>
    <s v="Delivery at SEBLR Banglore (Compass)"/>
    <s v="Call"/>
    <s v="Corporate"/>
    <s v="F&amp;B Agrigator"/>
    <s v="Saad"/>
    <s v="New Delivery at Compass group on 18-6-2025"/>
    <n v="42975"/>
    <n v="42975"/>
    <x v="22"/>
    <x v="1"/>
    <x v="1"/>
    <s v="Closed"/>
    <m/>
    <n v="0"/>
    <m/>
    <m/>
    <m/>
    <s v="Jun-25"/>
    <n v="25"/>
    <s v="2025"/>
  </r>
  <r>
    <d v="2025-06-17T00:00:00"/>
    <s v="Franklin Templeton Investments"/>
    <s v="F2F"/>
    <s v="Corporate"/>
    <s v="Banking Finance &amp; Insurance"/>
    <s v="Anil"/>
    <s v="Introduction to team lunch and delivery"/>
    <n v="90000"/>
    <m/>
    <x v="19"/>
    <x v="0"/>
    <x v="0"/>
    <s v="Cold"/>
    <m/>
    <n v="0"/>
    <m/>
    <m/>
    <m/>
    <s v="Jun-25"/>
    <n v="25"/>
    <s v="2025"/>
  </r>
  <r>
    <d v="2025-06-18T00:00:00"/>
    <s v="Microsoft"/>
    <s v="F2F"/>
    <s v="Corporate"/>
    <s v="IT"/>
    <s v="Bhavya"/>
    <s v="Served team lunch at their office"/>
    <n v="10075"/>
    <n v="10075"/>
    <x v="22"/>
    <x v="0"/>
    <x v="1"/>
    <s v="Closed"/>
    <m/>
    <n v="0"/>
    <m/>
    <m/>
    <m/>
    <s v="Jun-25"/>
    <n v="25"/>
    <s v="2025"/>
  </r>
  <r>
    <d v="2025-06-18T00:00:00"/>
    <s v="Meditronics"/>
    <s v="Call"/>
    <s v="Corporate"/>
    <s v="Pharma"/>
    <s v="Arif"/>
    <s v="Follow up for further groups 28-29 November"/>
    <n v="20000"/>
    <m/>
    <x v="24"/>
    <x v="0"/>
    <x v="0"/>
    <s v="Cancelled"/>
    <s v="they have to purchase from Govt Canteen"/>
    <n v="0"/>
    <s v="Corporate Order"/>
    <m/>
    <m/>
    <s v="Jun-25"/>
    <n v="25"/>
    <s v="2025"/>
  </r>
  <r>
    <d v="2025-06-18T00:00:00"/>
    <s v="Ankura Hospital LB Nagar"/>
    <s v="Call"/>
    <s v="Corporate"/>
    <s v="Healthcare"/>
    <s v="Manoj"/>
    <s v="Delivery of Chicken combo on 3-7-2025"/>
    <n v="17000"/>
    <n v="17000"/>
    <x v="23"/>
    <x v="0"/>
    <x v="1"/>
    <s v="Closed"/>
    <m/>
    <n v="0"/>
    <m/>
    <m/>
    <m/>
    <s v="Jun-25"/>
    <n v="25"/>
    <s v="2025"/>
  </r>
  <r>
    <d v="2025-06-18T00:00:00"/>
    <s v="Ankura Hospital Gachibowli"/>
    <s v="F2F"/>
    <s v="Corporate"/>
    <s v="Healthcare"/>
    <s v="Shiva"/>
    <s v="Delivery of Chicken combo on 18-7-2025"/>
    <n v="17800"/>
    <n v="17800"/>
    <x v="23"/>
    <x v="0"/>
    <x v="1"/>
    <s v="Closed"/>
    <m/>
    <n v="0"/>
    <m/>
    <m/>
    <m/>
    <s v="Jun-25"/>
    <n v="25"/>
    <s v="2025"/>
  </r>
  <r>
    <d v="2025-06-18T00:00:00"/>
    <s v="NIMS Panjagutta"/>
    <s v="F2F"/>
    <s v="Corporate"/>
    <s v="Healthcare"/>
    <s v="Rakesh"/>
    <s v="Delivery of chicken combo on 19-7-2025"/>
    <n v="30090"/>
    <n v="30090"/>
    <x v="23"/>
    <x v="0"/>
    <x v="1"/>
    <s v="Closed"/>
    <m/>
    <n v="0"/>
    <m/>
    <m/>
    <m/>
    <s v="Jun-25"/>
    <n v="25"/>
    <s v="2025"/>
  </r>
  <r>
    <d v="2025-06-19T00:00:00"/>
    <s v="Shambhavi Enterprise"/>
    <s v="F2F"/>
    <s v="Corporate"/>
    <s v="Retail"/>
    <s v="Ratnakar"/>
    <s v="Delivery of cb on 22-6-2025 from Kompally at Suchitra"/>
    <n v="12500"/>
    <n v="12500"/>
    <x v="22"/>
    <x v="0"/>
    <x v="1"/>
    <s v="Closed"/>
    <m/>
    <n v="0"/>
    <m/>
    <m/>
    <m/>
    <s v="Jun-25"/>
    <n v="25"/>
    <s v="2025"/>
  </r>
  <r>
    <d v="2025-06-19T00:00:00"/>
    <s v="DRS School"/>
    <s v="F2F"/>
    <s v="School"/>
    <s v="Education"/>
    <s v="Sujata"/>
    <s v="Discussion in regards with food delivery for hostel"/>
    <n v="0"/>
    <m/>
    <x v="25"/>
    <x v="0"/>
    <x v="0"/>
    <s v="Cancelled"/>
    <s v="Not profitable"/>
    <n v="0"/>
    <s v="Corporate Order"/>
    <m/>
    <m/>
    <s v="Jun-25"/>
    <n v="25"/>
    <s v="2025"/>
  </r>
  <r>
    <d v="2025-06-19T00:00:00"/>
    <s v="Deloitte Consulting USI Gurgaon"/>
    <s v="Call"/>
    <s v="Corporate"/>
    <s v="IT"/>
    <s v="Aditya"/>
    <s v="Delivery of CB and VB and Kabab at Gurgaon"/>
    <n v="22052"/>
    <n v="22052"/>
    <x v="22"/>
    <x v="0"/>
    <x v="1"/>
    <s v="Closed"/>
    <m/>
    <n v="0"/>
    <m/>
    <m/>
    <m/>
    <s v="Jun-25"/>
    <n v="25"/>
    <s v="2025"/>
  </r>
  <r>
    <d v="2025-06-19T00:00:00"/>
    <s v="Kirams Event"/>
    <s v="F2F"/>
    <s v="Corporate"/>
    <s v="F&amp;B Agrigator"/>
    <s v="Varun"/>
    <s v="Tie up for Flea and Popup stalls in gated community"/>
    <n v="0"/>
    <n v="0"/>
    <x v="23"/>
    <x v="0"/>
    <x v="1"/>
    <s v="Closed"/>
    <m/>
    <n v="0"/>
    <m/>
    <m/>
    <m/>
    <s v="Jun-25"/>
    <n v="25"/>
    <s v="2025"/>
  </r>
  <r>
    <d v="2025-06-19T00:00:00"/>
    <s v="Amazon "/>
    <s v="Call"/>
    <s v="Corporate"/>
    <s v="IT"/>
    <s v="Victor"/>
    <s v="Discussion in regards ith corporate collabration"/>
    <n v="0"/>
    <m/>
    <x v="25"/>
    <x v="0"/>
    <x v="0"/>
    <s v="Cancelled"/>
    <m/>
    <n v="0"/>
    <s v="Corporate Order"/>
    <m/>
    <m/>
    <s v="Jun-25"/>
    <n v="25"/>
    <s v="2025"/>
  </r>
  <r>
    <d v="2025-06-22T00:00:00"/>
    <s v="Family Group from Kukatpally"/>
    <s v="F2F"/>
    <s v="Events"/>
    <s v="Family Group"/>
    <s v="Sandeep"/>
    <s v="Dine in at kukatpally on 22-6-25"/>
    <n v="27540"/>
    <n v="27540"/>
    <x v="22"/>
    <x v="0"/>
    <x v="1"/>
    <s v="Closed"/>
    <m/>
    <n v="0"/>
    <m/>
    <m/>
    <m/>
    <s v="Jun-25"/>
    <n v="25"/>
    <s v="2025"/>
  </r>
  <r>
    <d v="2025-06-23T00:00:00"/>
    <s v="Cognizant Mindspace"/>
    <s v="F2F"/>
    <s v="Corporate"/>
    <s v="IT"/>
    <s v="Anil"/>
    <s v="Delivery at Mindspace on 25-6-2025"/>
    <n v="12000"/>
    <n v="12000"/>
    <x v="22"/>
    <x v="0"/>
    <x v="1"/>
    <s v="Closed"/>
    <m/>
    <n v="0"/>
    <m/>
    <m/>
    <m/>
    <s v="Jun-25"/>
    <n v="26"/>
    <s v="2025"/>
  </r>
  <r>
    <d v="2025-06-23T00:00:00"/>
    <s v="Platos "/>
    <s v="F2F"/>
    <s v="Corporate"/>
    <s v="F&amp;B Agrigator"/>
    <s v="Hyder"/>
    <s v="Follow up for coming order"/>
    <n v="200000"/>
    <m/>
    <x v="24"/>
    <x v="0"/>
    <x v="0"/>
    <s v="Cancelled"/>
    <s v="No requirement in november"/>
    <n v="0"/>
    <s v="Corporate Order"/>
    <m/>
    <m/>
    <s v="Jun-25"/>
    <n v="26"/>
    <s v="2025"/>
  </r>
  <r>
    <d v="2025-06-23T00:00:00"/>
    <s v="Synergy"/>
    <s v="F2F"/>
    <s v="Corporate"/>
    <s v="IT"/>
    <s v="Abhishek"/>
    <s v="Introduction to Bulk delivery"/>
    <n v="20000"/>
    <m/>
    <x v="19"/>
    <x v="0"/>
    <x v="0"/>
    <s v="Cold"/>
    <m/>
    <n v="0"/>
    <m/>
    <m/>
    <m/>
    <s v="Jun-25"/>
    <n v="26"/>
    <s v="2025"/>
  </r>
  <r>
    <d v="2025-06-23T00:00:00"/>
    <s v="Tericsoft"/>
    <s v="Call"/>
    <s v="Corporate"/>
    <s v="IT"/>
    <s v="Ameesha"/>
    <s v="Introduction to bulk delivery"/>
    <n v="0"/>
    <m/>
    <x v="19"/>
    <x v="0"/>
    <x v="0"/>
    <s v="Cold"/>
    <m/>
    <n v="0"/>
    <m/>
    <m/>
    <m/>
    <s v="Jun-25"/>
    <n v="26"/>
    <s v="2025"/>
  </r>
  <r>
    <d v="2025-06-24T00:00:00"/>
    <s v="HDFC Bank"/>
    <s v="F2F"/>
    <s v="Corporate"/>
    <s v="Banking Finance &amp; Insurance"/>
    <s v="Naveen"/>
    <s v="Shared quote for 689 PAX of Biryani on 27-6-2025"/>
    <n v="0"/>
    <n v="0"/>
    <x v="22"/>
    <x v="0"/>
    <x v="1"/>
    <s v="Closed"/>
    <m/>
    <n v="0"/>
    <m/>
    <m/>
    <m/>
    <s v="Jun-25"/>
    <n v="26"/>
    <s v="2025"/>
  </r>
  <r>
    <d v="2025-06-24T00:00:00"/>
    <s v="ICICI Bank"/>
    <s v="F2F"/>
    <s v="Corporate"/>
    <s v="Banking Finance &amp; Insurance"/>
    <s v="Devyani"/>
    <s v="Follow up for bulk delivery"/>
    <n v="90000"/>
    <m/>
    <x v="19"/>
    <x v="0"/>
    <x v="0"/>
    <s v="Cold"/>
    <m/>
    <n v="0"/>
    <m/>
    <m/>
    <m/>
    <s v="Jun-25"/>
    <n v="26"/>
    <s v="2025"/>
  </r>
  <r>
    <d v="2025-06-24T00:00:00"/>
    <s v="L&amp;T Finance"/>
    <s v="F2F"/>
    <s v="Corporate"/>
    <s v="Banking Finance &amp; Insurance"/>
    <s v="Murali"/>
    <s v="Follow up for Further orders"/>
    <n v="0"/>
    <m/>
    <x v="19"/>
    <x v="0"/>
    <x v="0"/>
    <s v="Cold"/>
    <m/>
    <n v="0"/>
    <m/>
    <m/>
    <m/>
    <s v="Jun-25"/>
    <n v="26"/>
    <s v="2025"/>
  </r>
  <r>
    <d v="2025-06-24T00:00:00"/>
    <s v="Kaveri Seeds"/>
    <s v="F2F"/>
    <s v="Corporate"/>
    <s v="Agritech"/>
    <s v="Indra Reddy"/>
    <s v="Follow up for Lunch &amp; Snacks Delivery"/>
    <n v="0"/>
    <m/>
    <x v="19"/>
    <x v="0"/>
    <x v="0"/>
    <s v="Cold"/>
    <m/>
    <n v="0"/>
    <m/>
    <m/>
    <m/>
    <s v="Jun-25"/>
    <n v="26"/>
    <s v="2025"/>
  </r>
  <r>
    <d v="2025-06-24T00:00:00"/>
    <s v="Ambipam Health Care"/>
    <s v="F2F"/>
    <s v="Corporate"/>
    <s v="Healthcare"/>
    <s v="Pooja"/>
    <s v="Introduction to bulk delivery"/>
    <n v="0"/>
    <m/>
    <x v="25"/>
    <x v="0"/>
    <x v="0"/>
    <s v="Cancelled"/>
    <m/>
    <n v="0"/>
    <s v="Corporate Order"/>
    <m/>
    <m/>
    <s v="Jun-25"/>
    <n v="26"/>
    <s v="2025"/>
  </r>
  <r>
    <d v="2025-06-25T00:00:00"/>
    <s v="HDFC Bank"/>
    <s v="F2F"/>
    <s v="Corporate"/>
    <s v="Banking Finance &amp; Insurance"/>
    <s v="Venkat"/>
    <s v="Confirmed delivery of Biryani on 27-6-2025"/>
    <n v="100000"/>
    <n v="100000"/>
    <x v="22"/>
    <x v="0"/>
    <x v="1"/>
    <s v="Closed"/>
    <m/>
    <n v="0"/>
    <m/>
    <m/>
    <m/>
    <s v="Jun-25"/>
    <n v="26"/>
    <s v="2025"/>
  </r>
  <r>
    <d v="2025-06-25T00:00:00"/>
    <s v="Cognizant DLF"/>
    <s v="F2F"/>
    <s v="Corporate"/>
    <s v="IT"/>
    <s v="Ashwin"/>
    <s v="Follow up for Further orders"/>
    <n v="16000"/>
    <n v="16000"/>
    <x v="22"/>
    <x v="0"/>
    <x v="1"/>
    <s v="Closed"/>
    <m/>
    <n v="0"/>
    <m/>
    <m/>
    <m/>
    <s v="Jun-25"/>
    <n v="26"/>
    <s v="2025"/>
  </r>
  <r>
    <d v="2025-06-25T00:00:00"/>
    <s v="Infosys"/>
    <s v="Call"/>
    <s v="Corporate"/>
    <s v="IT"/>
    <s v="Sathya"/>
    <s v="Follow up for confirmation of Orders"/>
    <n v="40000"/>
    <m/>
    <x v="25"/>
    <x v="0"/>
    <x v="0"/>
    <s v="Cancelled"/>
    <m/>
    <n v="0"/>
    <s v="Corporate Order"/>
    <m/>
    <m/>
    <s v="Jun-25"/>
    <n v="26"/>
    <s v="2025"/>
  </r>
  <r>
    <d v="2025-06-26T00:00:00"/>
    <s v="Shambhavi Enterprise"/>
    <s v="F2F"/>
    <s v="Corporate"/>
    <s v="F&amp;B Agrigator"/>
    <s v="Mahesh"/>
    <s v="Shared quote for 40 PAX "/>
    <n v="18000"/>
    <m/>
    <x v="18"/>
    <x v="0"/>
    <x v="0"/>
    <s v="Cancelled"/>
    <m/>
    <n v="0"/>
    <s v="Corporate Order"/>
    <m/>
    <m/>
    <s v="Jun-25"/>
    <n v="26"/>
    <s v="2025"/>
  </r>
  <r>
    <d v="2025-06-26T00:00:00"/>
    <s v="Saga Events and Holidays"/>
    <s v="F2F"/>
    <s v="Corporate"/>
    <s v="F&amp;B Agrigator"/>
    <s v="Vikram"/>
    <s v="Shared details of food delivery at event in July"/>
    <n v="500000"/>
    <m/>
    <x v="25"/>
    <x v="0"/>
    <x v="0"/>
    <s v="Cancelled"/>
    <m/>
    <n v="0"/>
    <s v="Corporate Order"/>
    <m/>
    <m/>
    <s v="Jun-25"/>
    <n v="26"/>
    <s v="2025"/>
  </r>
  <r>
    <d v="2025-06-26T00:00:00"/>
    <s v="Compass Group Freshwork Bangalore"/>
    <s v="Call"/>
    <s v="Corporate"/>
    <s v="F&amp;B Agrigator"/>
    <s v="Pankaj"/>
    <s v="Discussion in regards with agreement"/>
    <n v="0"/>
    <m/>
    <x v="25"/>
    <x v="0"/>
    <x v="0"/>
    <s v="Cancelled"/>
    <m/>
    <n v="0"/>
    <s v="Bulk Order"/>
    <m/>
    <m/>
    <s v="Jun-25"/>
    <n v="26"/>
    <s v="2025"/>
  </r>
  <r>
    <d v="2025-06-26T00:00:00"/>
    <s v="Amazon "/>
    <s v="Call"/>
    <s v="Corporate"/>
    <s v="IT"/>
    <s v="Victor"/>
    <s v="Discussion in regards with corporate collabration"/>
    <n v="0"/>
    <m/>
    <x v="25"/>
    <x v="0"/>
    <x v="0"/>
    <s v="Cancelled"/>
    <m/>
    <n v="0"/>
    <s v="Corporate Order"/>
    <m/>
    <m/>
    <s v="Jun-25"/>
    <n v="26"/>
    <s v="2025"/>
  </r>
  <r>
    <d v="2025-06-26T00:00:00"/>
    <s v="Qualcomm"/>
    <s v="F2F"/>
    <s v="Corporate"/>
    <s v="IT"/>
    <s v="Abhay"/>
    <s v="Shared details of bulk delivery"/>
    <n v="0"/>
    <m/>
    <x v="25"/>
    <x v="0"/>
    <x v="0"/>
    <s v="Cancelled"/>
    <m/>
    <n v="0"/>
    <s v="Corporate Order"/>
    <m/>
    <m/>
    <s v="Jun-25"/>
    <n v="26"/>
    <s v="2025"/>
  </r>
  <r>
    <d v="2025-06-28T00:00:00"/>
    <s v="Delivery at Bowenpaly"/>
    <s v="Call"/>
    <s v="Events"/>
    <s v="Family Group"/>
    <s v="Nikesh"/>
    <s v="Delivery of CB on 28-06-2025"/>
    <n v="7937"/>
    <n v="7937"/>
    <x v="22"/>
    <x v="0"/>
    <x v="1"/>
    <s v="Closed"/>
    <m/>
    <n v="0"/>
    <m/>
    <m/>
    <m/>
    <s v="Jun-25"/>
    <n v="26"/>
    <s v="2025"/>
  </r>
  <r>
    <d v="2025-06-29T00:00:00"/>
    <s v="Delivery at Vanasthalipuram"/>
    <s v="Call"/>
    <s v="Events"/>
    <s v="Family Group"/>
    <s v="Ajay"/>
    <s v="Delivery of CB on 29-6-2025"/>
    <n v="6279"/>
    <n v="6279"/>
    <x v="22"/>
    <x v="0"/>
    <x v="1"/>
    <s v="Closed"/>
    <m/>
    <n v="0"/>
    <m/>
    <m/>
    <m/>
    <s v="Jun-25"/>
    <n v="26"/>
    <s v="2025"/>
  </r>
  <r>
    <d v="2025-06-30T00:00:00"/>
    <s v="Saga Events and Holidays"/>
    <s v="F2F"/>
    <s v="Corporate"/>
    <s v="F&amp;B Agrigator"/>
    <s v="Vikram"/>
    <s v="Shared Pricing and Negot"/>
    <n v="5000000"/>
    <m/>
    <x v="25"/>
    <x v="0"/>
    <x v="0"/>
    <s v="Cancelled"/>
    <m/>
    <n v="0"/>
    <s v="Bulk Order"/>
    <m/>
    <m/>
    <s v="Jun-25"/>
    <n v="27"/>
    <s v="2025"/>
  </r>
  <r>
    <d v="2025-06-30T00:00:00"/>
    <s v="Compass Group "/>
    <s v="Call"/>
    <s v="Corporate"/>
    <s v="F&amp;B Agrigator"/>
    <s v="Chandrika"/>
    <s v="Service Now event on "/>
    <n v="1200000"/>
    <m/>
    <x v="19"/>
    <x v="0"/>
    <x v="0"/>
    <s v="Cancelled"/>
    <m/>
    <n v="0"/>
    <m/>
    <m/>
    <m/>
    <s v="Jun-25"/>
    <n v="27"/>
    <s v="2025"/>
  </r>
  <r>
    <d v="2025-06-30T00:00:00"/>
    <s v="Delivery at Vanasthalipuram"/>
    <s v="Call"/>
    <s v="Events"/>
    <s v="Family Group"/>
    <s v="Mukesh"/>
    <s v="Delivery of MB Handi on 30-6-2025"/>
    <n v="9500"/>
    <n v="9500"/>
    <x v="22"/>
    <x v="0"/>
    <x v="1"/>
    <s v="Closed"/>
    <m/>
    <n v="0"/>
    <m/>
    <m/>
    <m/>
    <s v="Jun-25"/>
    <n v="27"/>
    <s v="2025"/>
  </r>
  <r>
    <d v="2025-06-30T00:00:00"/>
    <s v="Delivery at Malkajgiri"/>
    <s v="Call"/>
    <s v="Events"/>
    <s v="Family Group"/>
    <s v="Varun"/>
    <s v="Delivery of Biryani and Kabab on 30-6-2025"/>
    <n v="15160"/>
    <n v="15160"/>
    <x v="22"/>
    <x v="0"/>
    <x v="1"/>
    <s v="Closed"/>
    <m/>
    <n v="0"/>
    <m/>
    <m/>
    <m/>
    <s v="Jun-25"/>
    <n v="27"/>
    <s v="2025"/>
  </r>
  <r>
    <d v="2025-07-01T00:00:00"/>
    <s v="Buffet Lunch at Secundrabad"/>
    <s v="F2F"/>
    <s v="Events"/>
    <s v="Family Group"/>
    <s v="Siva"/>
    <s v="Buffet lunch on 24-5-2025"/>
    <n v="0"/>
    <m/>
    <x v="25"/>
    <x v="0"/>
    <x v="0"/>
    <s v="Cancelled"/>
    <s v="Event Cancelled"/>
    <n v="0"/>
    <s v="Corporate Order"/>
    <m/>
    <m/>
    <s v="Jul-25"/>
    <n v="27"/>
    <s v="2025"/>
  </r>
  <r>
    <d v="2025-07-01T00:00:00"/>
    <s v="GHMC Commissionerate"/>
    <s v="F2F"/>
    <s v="Corporate"/>
    <s v="Government"/>
    <s v="Samaiah"/>
    <s v="Follow up for payment and Next orders"/>
    <n v="0"/>
    <m/>
    <x v="25"/>
    <x v="0"/>
    <x v="0"/>
    <s v="Cancelled"/>
    <m/>
    <n v="0"/>
    <s v="Bulk Order"/>
    <m/>
    <m/>
    <s v="Jul-25"/>
    <n v="27"/>
    <s v="2025"/>
  </r>
  <r>
    <d v="2025-07-01T00:00:00"/>
    <s v="Saga Events and Holidays"/>
    <s v="F2F"/>
    <s v="Corporate"/>
    <s v="F&amp;B Agrigator"/>
    <s v="Pradeep"/>
    <s v="Follow up for confirmation of Orders"/>
    <n v="0"/>
    <m/>
    <x v="25"/>
    <x v="0"/>
    <x v="0"/>
    <s v="Cancelled"/>
    <m/>
    <n v="0"/>
    <s v="Corporate Order"/>
    <m/>
    <m/>
    <s v="Jul-25"/>
    <n v="27"/>
    <s v="2025"/>
  </r>
  <r>
    <d v="2025-07-01T00:00:00"/>
    <s v="Dell Technologies"/>
    <s v="F2F"/>
    <s v="Corporate"/>
    <s v="IT"/>
    <s v="Shiva"/>
    <s v="Delivery of Veg and Nonveg combo on 2-7-2025"/>
    <n v="11799"/>
    <n v="11799"/>
    <x v="23"/>
    <x v="0"/>
    <x v="1"/>
    <s v="Closed"/>
    <m/>
    <n v="0"/>
    <m/>
    <m/>
    <m/>
    <s v="Jul-25"/>
    <n v="27"/>
    <s v="2025"/>
  </r>
  <r>
    <d v="2025-07-02T00:00:00"/>
    <s v="Delivery at VIP Road"/>
    <s v="Call"/>
    <s v="Events"/>
    <s v="Family Group"/>
    <s v="Viswa"/>
    <s v="Delivery of Cb &amp; Kababs"/>
    <n v="24275"/>
    <n v="24275"/>
    <x v="23"/>
    <x v="0"/>
    <x v="1"/>
    <s v="Closed"/>
    <m/>
    <n v="0"/>
    <m/>
    <m/>
    <m/>
    <s v="Jul-25"/>
    <n v="27"/>
    <s v="2025"/>
  </r>
  <r>
    <d v="2025-07-02T00:00:00"/>
    <s v="Ameerpet Church"/>
    <s v="F2F"/>
    <s v="Church"/>
    <s v="Community"/>
    <s v="Rajasekhar"/>
    <s v="Serving of CB Dinner for 200 PAX on 3-7-2025"/>
    <n v="38000"/>
    <n v="38000"/>
    <x v="23"/>
    <x v="0"/>
    <x v="1"/>
    <s v="Closed"/>
    <m/>
    <n v="0"/>
    <m/>
    <m/>
    <m/>
    <s v="Jul-25"/>
    <n v="27"/>
    <s v="2025"/>
  </r>
  <r>
    <d v="2025-07-02T00:00:00"/>
    <s v="Delivery at MG Road"/>
    <s v="Call"/>
    <s v="Events"/>
    <s v="Family Group"/>
    <s v="Ganesh"/>
    <s v="Delivery of CB on 2-7-2025"/>
    <n v="8126"/>
    <n v="8126"/>
    <x v="23"/>
    <x v="0"/>
    <x v="1"/>
    <s v="Closed"/>
    <m/>
    <n v="0"/>
    <m/>
    <m/>
    <m/>
    <s v="Jul-25"/>
    <n v="27"/>
    <s v="2025"/>
  </r>
  <r>
    <d v="2025-07-02T00:00:00"/>
    <s v="Ankura Hospital"/>
    <s v="F2F"/>
    <s v="Corporate"/>
    <s v="Healthcare"/>
    <s v="Rekha"/>
    <s v="Followup for further orders"/>
    <n v="20000"/>
    <m/>
    <x v="18"/>
    <x v="0"/>
    <x v="0"/>
    <s v="Cancelled"/>
    <m/>
    <n v="0"/>
    <s v="Corporate Order"/>
    <m/>
    <m/>
    <s v="Jul-25"/>
    <n v="27"/>
    <s v="2025"/>
  </r>
  <r>
    <d v="2025-07-03T00:00:00"/>
    <s v="Amaron Battries"/>
    <s v="F2F"/>
    <s v="Corporate"/>
    <s v="Manufacturing"/>
    <s v="Pavan"/>
    <s v="Gifting"/>
    <n v="98000"/>
    <m/>
    <x v="18"/>
    <x v="0"/>
    <x v="0"/>
    <s v="Cancelled"/>
    <m/>
    <n v="0"/>
    <s v="Gifting"/>
    <m/>
    <m/>
    <s v="Jul-25"/>
    <n v="27"/>
    <s v="2025"/>
  </r>
  <r>
    <d v="2025-07-03T00:00:00"/>
    <s v="Issquard"/>
    <s v="F2F"/>
    <s v="Corporate"/>
    <s v="IT"/>
    <s v="Aditya"/>
    <s v="Introduction to bulk delivery and dine in "/>
    <n v="0"/>
    <m/>
    <x v="25"/>
    <x v="0"/>
    <x v="0"/>
    <s v="Cancelled"/>
    <m/>
    <n v="0"/>
    <s v="Corporate Order"/>
    <m/>
    <m/>
    <s v="Jul-25"/>
    <n v="27"/>
    <s v="2025"/>
  </r>
  <r>
    <d v="2025-07-03T00:00:00"/>
    <s v="Servo Oils"/>
    <s v="F2F"/>
    <s v="Corporate"/>
    <s v="Retail"/>
    <s v="Ganesh"/>
    <s v="Introduction to gifting"/>
    <n v="0"/>
    <m/>
    <x v="25"/>
    <x v="0"/>
    <x v="0"/>
    <s v="Cancelled"/>
    <m/>
    <n v="0"/>
    <s v="Corporate Order"/>
    <m/>
    <m/>
    <s v="Jul-25"/>
    <n v="27"/>
    <s v="2025"/>
  </r>
  <r>
    <d v="2025-07-04T00:00:00"/>
    <s v="DBS Waverock"/>
    <s v="F2F"/>
    <s v="Corporate"/>
    <s v="IT"/>
    <s v="Suresh"/>
    <s v="Shared quote for 100 pax lunch in July"/>
    <n v="85000"/>
    <m/>
    <x v="25"/>
    <x v="0"/>
    <x v="0"/>
    <s v="Cancelled"/>
    <m/>
    <n v="0"/>
    <s v="Corporate Order"/>
    <m/>
    <m/>
    <s v="Jul-25"/>
    <n v="27"/>
    <s v="2025"/>
  </r>
  <r>
    <d v="2025-07-05T00:00:00"/>
    <s v="Delivery at Hitec"/>
    <s v="Call"/>
    <s v="Events"/>
    <s v="Family Group"/>
    <s v="Jitendra"/>
    <s v="Delivery of CB on 5-7-2025"/>
    <n v="8126"/>
    <n v="8126"/>
    <x v="23"/>
    <x v="0"/>
    <x v="1"/>
    <s v="Closed"/>
    <m/>
    <n v="0"/>
    <m/>
    <m/>
    <m/>
    <s v="Jul-25"/>
    <n v="27"/>
    <s v="2025"/>
  </r>
  <r>
    <d v="2025-07-05T00:00:00"/>
    <s v="Delivery at Hitec"/>
    <s v="Call"/>
    <s v="Events"/>
    <s v="Family Group"/>
    <s v="Vikas"/>
    <s v="Delivery of CB on 5-7-2025"/>
    <n v="24257"/>
    <n v="24257"/>
    <x v="23"/>
    <x v="0"/>
    <x v="1"/>
    <s v="Closed"/>
    <m/>
    <n v="0"/>
    <m/>
    <m/>
    <m/>
    <s v="Jul-25"/>
    <n v="27"/>
    <s v="2025"/>
  </r>
  <r>
    <d v="2025-07-07T00:00:00"/>
    <s v="MSN Labs"/>
    <s v="F2F"/>
    <s v="Corporate"/>
    <s v="Pharma"/>
    <s v="Sandeep"/>
    <s v="Follow up for payments"/>
    <n v="0"/>
    <n v="0"/>
    <x v="19"/>
    <x v="0"/>
    <x v="1"/>
    <s v="Closed"/>
    <m/>
    <n v="0"/>
    <m/>
    <m/>
    <m/>
    <s v="Jul-25"/>
    <n v="28"/>
    <s v="2025"/>
  </r>
  <r>
    <d v="2025-07-07T00:00:00"/>
    <s v="Delivery at secundrabad"/>
    <s v="Call"/>
    <s v="Events"/>
    <s v="Family Group"/>
    <s v="Ganesh"/>
    <s v="Delivery of Cb at secundrabad"/>
    <n v="9000"/>
    <n v="9000"/>
    <x v="23"/>
    <x v="0"/>
    <x v="1"/>
    <s v="Closed"/>
    <m/>
    <n v="0"/>
    <m/>
    <m/>
    <m/>
    <s v="Jul-25"/>
    <n v="28"/>
    <s v="2025"/>
  </r>
  <r>
    <d v="2025-07-07T00:00:00"/>
    <s v="Kaushik Enterprise "/>
    <s v="F2F"/>
    <s v="Corporate"/>
    <s v="F&amp;B Agrigator"/>
    <s v="Suresh"/>
    <s v="shared quote for buffet lunch"/>
    <n v="100000"/>
    <m/>
    <x v="18"/>
    <x v="0"/>
    <x v="0"/>
    <s v="Cancelled"/>
    <m/>
    <n v="0"/>
    <s v="Bulk Order"/>
    <m/>
    <m/>
    <s v="Jul-25"/>
    <n v="28"/>
    <s v="2025"/>
  </r>
  <r>
    <d v="2025-07-08T00:00:00"/>
    <s v="Amaron Battery (Amara Raja Battries Ltd)"/>
    <s v="F2F"/>
    <s v="Corporate"/>
    <s v="Manufacturing"/>
    <s v="Pavan"/>
    <s v="dine in of 240 pax on 18-7-2025 at charminar"/>
    <n v="84784"/>
    <n v="84784"/>
    <x v="23"/>
    <x v="0"/>
    <x v="1"/>
    <s v="Closed"/>
    <m/>
    <n v="0"/>
    <m/>
    <m/>
    <m/>
    <s v="Jul-25"/>
    <n v="28"/>
    <s v="2025"/>
  </r>
  <r>
    <d v="2025-07-08T00:00:00"/>
    <s v="Saga Events and Holidays"/>
    <s v="F2F"/>
    <s v="Corporate"/>
    <s v="F&amp;B Agrigator"/>
    <s v="Pradeep"/>
    <s v="Follow up for closure of delivery of bulk order"/>
    <n v="0"/>
    <m/>
    <x v="25"/>
    <x v="0"/>
    <x v="0"/>
    <s v="Cancelled"/>
    <m/>
    <n v="0"/>
    <s v="Corporate Order"/>
    <m/>
    <m/>
    <s v="Jul-25"/>
    <n v="28"/>
    <s v="2025"/>
  </r>
  <r>
    <d v="2025-07-08T00:00:00"/>
    <s v="Cognizant DLF"/>
    <s v="F2F"/>
    <s v="Corporate"/>
    <s v="IT"/>
    <s v="Anil"/>
    <s v="Follow up for further orders"/>
    <n v="0"/>
    <m/>
    <x v="25"/>
    <x v="0"/>
    <x v="0"/>
    <s v="Cancelled"/>
    <m/>
    <n v="0"/>
    <s v="Corporate Order"/>
    <m/>
    <m/>
    <s v="Jul-25"/>
    <n v="28"/>
    <s v="2025"/>
  </r>
  <r>
    <d v="2025-07-09T00:00:00"/>
    <s v="Delivery at Meerpet"/>
    <s v="F2F"/>
    <s v="Events"/>
    <s v="Family Group"/>
    <s v="Pradeep kumar"/>
    <s v="Delivery of CB on 10-7-2025"/>
    <n v="8000"/>
    <n v="8000"/>
    <x v="23"/>
    <x v="0"/>
    <x v="1"/>
    <s v="Closed"/>
    <m/>
    <n v="0"/>
    <m/>
    <m/>
    <m/>
    <s v="Jul-25"/>
    <n v="28"/>
    <s v="2025"/>
  </r>
  <r>
    <d v="2025-07-09T00:00:00"/>
    <s v="Delivery at Secundrabad"/>
    <s v="F2F"/>
    <s v="Events"/>
    <s v="Family Group"/>
    <s v="Giri"/>
    <s v="Delivery of CB on 10-7-2025"/>
    <n v="10000"/>
    <n v="10000"/>
    <x v="23"/>
    <x v="0"/>
    <x v="1"/>
    <s v="Closed"/>
    <m/>
    <n v="0"/>
    <m/>
    <m/>
    <m/>
    <s v="Jul-25"/>
    <n v="28"/>
    <s v="2025"/>
  </r>
  <r>
    <d v="2025-07-09T00:00:00"/>
    <s v="Natco Pharma"/>
    <s v="F2F"/>
    <s v="Corporate"/>
    <s v="Pharma"/>
    <s v="Tanmoy"/>
    <s v="Follow up for Biryani Kits Order"/>
    <n v="0"/>
    <m/>
    <x v="25"/>
    <x v="0"/>
    <x v="0"/>
    <s v="Cancelled"/>
    <m/>
    <n v="0"/>
    <s v="Corporate Order"/>
    <m/>
    <m/>
    <s v="Jul-25"/>
    <n v="28"/>
    <s v="2025"/>
  </r>
  <r>
    <d v="2025-07-09T00:00:00"/>
    <s v="Delivery at SEBLR Banglore (Compass)"/>
    <s v="Call"/>
    <s v="Corporate"/>
    <s v="F&amp;B Agrigator"/>
    <s v="Saad"/>
    <s v="New Delivery at Compass group on 9-7-2025"/>
    <n v="73167"/>
    <n v="73167"/>
    <x v="23"/>
    <x v="1"/>
    <x v="1"/>
    <s v="Closed"/>
    <m/>
    <n v="0"/>
    <m/>
    <m/>
    <m/>
    <s v="Jul-25"/>
    <n v="28"/>
    <s v="2025"/>
  </r>
  <r>
    <d v="2025-07-10T00:00:00"/>
    <s v="Sagarsoft"/>
    <s v="F2F"/>
    <s v="Corporate"/>
    <s v="IT"/>
    <s v="Srinivas"/>
    <s v="Follow up for bulk orders"/>
    <n v="0"/>
    <n v="0"/>
    <x v="25"/>
    <x v="0"/>
    <x v="0"/>
    <s v="Cancelled"/>
    <m/>
    <n v="0"/>
    <s v="Corporate Order"/>
    <m/>
    <m/>
    <s v="Jul-25"/>
    <n v="28"/>
    <s v="2025"/>
  </r>
  <r>
    <d v="2025-07-10T00:00:00"/>
    <s v="SK tours and Travels"/>
    <s v="F2F"/>
    <s v="Corporate"/>
    <s v="Tourism"/>
    <s v="Ashok"/>
    <s v="Introductiopn to bulk delivery and dine in fir tourist"/>
    <n v="0"/>
    <n v="0"/>
    <x v="25"/>
    <x v="0"/>
    <x v="0"/>
    <s v="Cancelled"/>
    <m/>
    <n v="0"/>
    <s v="Corporate Order"/>
    <m/>
    <m/>
    <s v="Jul-25"/>
    <n v="28"/>
    <s v="2025"/>
  </r>
  <r>
    <d v="2025-07-11T00:00:00"/>
    <s v="Delivery of Biryani Kits at Vanasthalipuram"/>
    <s v="Call"/>
    <s v="Corporate"/>
    <s v="Manufacturing"/>
    <s v="Shivakrishna"/>
    <s v="Deliverd Biryani kits on 11-07-2025"/>
    <n v="9666"/>
    <n v="9666"/>
    <x v="23"/>
    <x v="0"/>
    <x v="1"/>
    <s v="Closed"/>
    <m/>
    <n v="0"/>
    <m/>
    <m/>
    <m/>
    <s v="Jul-25"/>
    <n v="28"/>
    <s v="2025"/>
  </r>
  <r>
    <d v="2025-07-11T00:00:00"/>
    <s v="Delivery of CB at Mettuguda"/>
    <s v="F2F"/>
    <s v="Events"/>
    <s v="Family Group"/>
    <s v="Harini"/>
    <s v="Delivery of CB on 12-7-2025"/>
    <n v="12100"/>
    <n v="12100"/>
    <x v="23"/>
    <x v="0"/>
    <x v="1"/>
    <s v="Closed"/>
    <m/>
    <n v="0"/>
    <m/>
    <m/>
    <m/>
    <s v="Jul-25"/>
    <n v="28"/>
    <s v="2025"/>
  </r>
  <r>
    <d v="2025-07-11T00:00:00"/>
    <s v="Delivery at SEBLR Banglore (Compass)"/>
    <s v="Call"/>
    <s v="Corporate"/>
    <s v="F&amp;B Agrigator"/>
    <s v="Saad"/>
    <s v="Delivery of Special CB Handi on 11-7-25"/>
    <n v="53085"/>
    <n v="53085"/>
    <x v="23"/>
    <x v="1"/>
    <x v="1"/>
    <s v="Closed"/>
    <m/>
    <n v="0"/>
    <m/>
    <m/>
    <m/>
    <s v="Jul-25"/>
    <n v="28"/>
    <s v="2025"/>
  </r>
  <r>
    <d v="2025-07-14T00:00:00"/>
    <s v="Aduri Infra Ltd"/>
    <s v="F2F"/>
    <s v="Corporate"/>
    <s v="Realestate"/>
    <s v="MS Reddy"/>
    <s v="Introduction to bulk orders and delivery in events"/>
    <n v="0"/>
    <n v="0"/>
    <x v="25"/>
    <x v="0"/>
    <x v="0"/>
    <s v="Cancelled"/>
    <m/>
    <n v="0"/>
    <s v="Corporate Order"/>
    <m/>
    <m/>
    <s v="Jul-25"/>
    <n v="29"/>
    <s v="2025"/>
  </r>
  <r>
    <d v="2025-07-14T00:00:00"/>
    <s v="Osmania Univercity"/>
    <s v="F2F"/>
    <s v="College"/>
    <s v="Education"/>
    <s v="Soni"/>
    <s v="Delivery of CB &amp; VB on 19-7-2925"/>
    <n v="15000"/>
    <n v="15000"/>
    <x v="23"/>
    <x v="0"/>
    <x v="1"/>
    <s v="Closed"/>
    <m/>
    <n v="0"/>
    <m/>
    <m/>
    <m/>
    <s v="Jul-25"/>
    <n v="29"/>
    <s v="2025"/>
  </r>
  <r>
    <d v="2025-07-14T00:00:00"/>
    <s v="Travel Agency "/>
    <s v="F2F"/>
    <s v="Corporate"/>
    <s v="Tourism"/>
    <s v="Muni Kumar"/>
    <s v="Dine in for travel group in July"/>
    <n v="30000"/>
    <n v="0"/>
    <x v="25"/>
    <x v="0"/>
    <x v="0"/>
    <s v="Cancelled"/>
    <m/>
    <n v="0"/>
    <s v="Corporate Order"/>
    <m/>
    <m/>
    <s v="Jul-25"/>
    <n v="29"/>
    <s v="2025"/>
  </r>
  <r>
    <d v="2025-07-15T00:00:00"/>
    <s v="Wipro Lightings"/>
    <s v="F2F"/>
    <s v="Corporate"/>
    <s v="Manufacturing"/>
    <s v="Vamsikrishna"/>
    <s v="Introduction to corporate gifting and Bulk delivery"/>
    <n v="0"/>
    <n v="0"/>
    <x v="25"/>
    <x v="0"/>
    <x v="0"/>
    <s v="Cancelled"/>
    <m/>
    <n v="0"/>
    <s v="Corporate Order"/>
    <m/>
    <m/>
    <s v="Jul-25"/>
    <n v="29"/>
    <s v="2025"/>
  </r>
  <r>
    <d v="2025-07-15T00:00:00"/>
    <s v="Universal Tours &amp; Travels"/>
    <s v="F2F"/>
    <s v="Corporate"/>
    <s v="Tourism"/>
    <s v="Satya"/>
    <s v="Introduction to bulk dine in and delivery for tourist"/>
    <n v="0"/>
    <n v="0"/>
    <x v="25"/>
    <x v="0"/>
    <x v="0"/>
    <s v="Cancelled"/>
    <m/>
    <n v="0"/>
    <s v="Corporate Order"/>
    <m/>
    <m/>
    <s v="Jul-25"/>
    <n v="29"/>
    <s v="2025"/>
  </r>
  <r>
    <d v="2025-07-15T00:00:00"/>
    <s v="Majestic Travel &amp; Tourism"/>
    <s v="F2F"/>
    <s v="Corporate"/>
    <s v="Tourism"/>
    <s v="Ravi"/>
    <s v="Introductio to bulk orders for tourist"/>
    <n v="0"/>
    <n v="0"/>
    <x v="25"/>
    <x v="0"/>
    <x v="0"/>
    <s v="Cancelled"/>
    <m/>
    <n v="0"/>
    <s v="Corporate Order"/>
    <m/>
    <m/>
    <s v="Jul-25"/>
    <n v="29"/>
    <s v="2025"/>
  </r>
  <r>
    <d v="2025-07-16T00:00:00"/>
    <s v="Delivery at Compass Group Bangalore"/>
    <s v="Call"/>
    <s v="Corporate"/>
    <s v="F&amp;B Agrigator"/>
    <s v="Pankaj"/>
    <s v="Delivery of Special CB &amp; MB Handi on 16-7-25"/>
    <n v="70568"/>
    <n v="70568"/>
    <x v="23"/>
    <x v="1"/>
    <x v="1"/>
    <s v="Closed"/>
    <m/>
    <n v="0"/>
    <m/>
    <m/>
    <m/>
    <s v="Jul-25"/>
    <n v="29"/>
    <s v="2025"/>
  </r>
  <r>
    <d v="2025-07-16T00:00:00"/>
    <s v="Delivery at SEBLR Banglore (Compass)"/>
    <s v="Call"/>
    <s v="Corporate"/>
    <s v="F&amp;B Agrigator"/>
    <s v="Saad"/>
    <s v="New Delivery at Compass group on 16-7-2025"/>
    <n v="46007"/>
    <n v="46007"/>
    <x v="23"/>
    <x v="1"/>
    <x v="1"/>
    <s v="Closed"/>
    <m/>
    <n v="0"/>
    <m/>
    <m/>
    <m/>
    <s v="Jul-25"/>
    <n v="29"/>
    <s v="2025"/>
  </r>
  <r>
    <d v="2025-07-16T00:00:00"/>
    <s v="Millaniums Event "/>
    <s v="F2F"/>
    <s v="Corporate"/>
    <s v="F&amp;B Agrigator"/>
    <s v="Aswin"/>
    <s v="Event at manikonda on 20-7-2025"/>
    <n v="40000"/>
    <m/>
    <x v="25"/>
    <x v="0"/>
    <x v="0"/>
    <s v="Cancelled"/>
    <m/>
    <n v="0"/>
    <s v="Corporate Order"/>
    <m/>
    <m/>
    <s v="Jul-25"/>
    <n v="29"/>
    <s v="2025"/>
  </r>
  <r>
    <d v="2025-07-16T00:00:00"/>
    <s v="JB Ventures Pvt td"/>
    <s v="F2F"/>
    <s v="Corporate"/>
    <s v="Realestate"/>
    <s v="Sravya"/>
    <s v="Introduction to bulk supply at reralestate"/>
    <n v="0"/>
    <n v="0"/>
    <x v="25"/>
    <x v="0"/>
    <x v="0"/>
    <s v="Cancelled"/>
    <m/>
    <n v="0"/>
    <s v="Corporate Order"/>
    <m/>
    <m/>
    <s v="Jul-25"/>
    <n v="29"/>
    <s v="2025"/>
  </r>
  <r>
    <d v="2025-07-16T00:00:00"/>
    <s v="DRS International School"/>
    <s v="F2F"/>
    <s v="School"/>
    <s v="Education"/>
    <s v="Dinesh"/>
    <s v="Follow up for event in August"/>
    <n v="0"/>
    <n v="0"/>
    <x v="25"/>
    <x v="0"/>
    <x v="0"/>
    <s v="Cancelled"/>
    <m/>
    <n v="0"/>
    <s v="Corporate Order"/>
    <m/>
    <m/>
    <s v="Jul-25"/>
    <n v="29"/>
    <s v="2025"/>
  </r>
  <r>
    <d v="2025-07-17T00:00:00"/>
    <s v="Service Now"/>
    <s v="F2F"/>
    <s v="Corporate"/>
    <s v="IT"/>
    <s v="Chandrika"/>
    <s v="Shared quote for delivery of food on 24-7-2025"/>
    <n v="700000"/>
    <n v="0"/>
    <x v="18"/>
    <x v="0"/>
    <x v="0"/>
    <s v="Cancelled"/>
    <m/>
    <n v="0"/>
    <s v="Corporate Order"/>
    <m/>
    <m/>
    <s v="Jul-25"/>
    <n v="29"/>
    <m/>
  </r>
  <r>
    <d v="2025-07-17T00:00:00"/>
    <s v="GHMC Commissionerate"/>
    <s v="F2F"/>
    <s v="Corporate"/>
    <s v="Government"/>
    <s v="Lavanya"/>
    <s v="follow up for past payment"/>
    <n v="0"/>
    <n v="0"/>
    <x v="25"/>
    <x v="0"/>
    <x v="0"/>
    <s v="Cancelled"/>
    <m/>
    <n v="0"/>
    <s v="Corporate Order"/>
    <m/>
    <m/>
    <s v="Jul-25"/>
    <n v="29"/>
    <m/>
  </r>
  <r>
    <d v="2025-07-17T00:00:00"/>
    <s v="Amaron"/>
    <s v="F2F"/>
    <s v="Corporate"/>
    <s v="Manufacturing"/>
    <s v="Pavan"/>
    <s v="Confirmed the order for 18-7-2025"/>
    <n v="0"/>
    <n v="0"/>
    <x v="23"/>
    <x v="0"/>
    <x v="1"/>
    <s v="Closed"/>
    <m/>
    <n v="0"/>
    <m/>
    <m/>
    <m/>
    <s v="Jul-25"/>
    <n v="29"/>
    <m/>
  </r>
  <r>
    <d v="2025-07-18T00:00:00"/>
    <s v="Delivery at Mehdiptanam from kukatpally"/>
    <s v="F2F"/>
    <s v="Corporate"/>
    <s v="Manufacturing"/>
    <s v="Bajid Ansari"/>
    <s v="Delivery of MB and Kabab on 20-7-2025"/>
    <n v="34000"/>
    <n v="34000"/>
    <x v="23"/>
    <x v="0"/>
    <x v="1"/>
    <s v="Closed"/>
    <m/>
    <n v="0"/>
    <m/>
    <m/>
    <m/>
    <s v="Jul-25"/>
    <n v="29"/>
    <m/>
  </r>
  <r>
    <d v="2025-07-21T00:00:00"/>
    <s v="Wipro Consumer &amp; Lightings"/>
    <s v="F2F"/>
    <s v="Corporate"/>
    <s v="Manufacturing"/>
    <s v="Nagaraju"/>
    <s v="Shared details of Wallet gifting to employees"/>
    <n v="200000"/>
    <m/>
    <x v="18"/>
    <x v="0"/>
    <x v="0"/>
    <s v="Cancelled"/>
    <m/>
    <n v="0"/>
    <s v="Corporate Order"/>
    <m/>
    <m/>
    <s v="Jul-25"/>
    <n v="30"/>
    <m/>
  </r>
  <r>
    <d v="2025-07-21T00:00:00"/>
    <s v="Swamy Fooods &amp; Travels"/>
    <s v="F2F"/>
    <s v="Corporate"/>
    <s v="Tourism"/>
    <s v="Swamy"/>
    <s v="Ready to work as a TA, Collected Documents"/>
    <n v="0"/>
    <n v="0"/>
    <x v="23"/>
    <x v="0"/>
    <x v="1"/>
    <s v="Closed"/>
    <m/>
    <n v="0"/>
    <m/>
    <m/>
    <m/>
    <s v="Jul-25"/>
    <n v="30"/>
    <m/>
  </r>
  <r>
    <d v="2025-07-22T00:00:00"/>
    <s v="MY Travel Buddy"/>
    <s v="F2F"/>
    <s v="Corporate"/>
    <s v="Tourism"/>
    <s v="Ravil"/>
    <s v="Interested for inbound tourist"/>
    <n v="0"/>
    <n v="0"/>
    <x v="25"/>
    <x v="0"/>
    <x v="0"/>
    <s v="Cancelled"/>
    <m/>
    <n v="0"/>
    <s v="Corporate Order"/>
    <m/>
    <m/>
    <s v="Jul-25"/>
    <n v="30"/>
    <m/>
  </r>
  <r>
    <d v="2025-07-22T00:00:00"/>
    <s v="Sridevi Travels"/>
    <s v="F2F"/>
    <s v="Corporate"/>
    <s v="Tourism"/>
    <s v="Satish"/>
    <s v="Interested for inbound tourist"/>
    <n v="0"/>
    <n v="0"/>
    <x v="25"/>
    <x v="0"/>
    <x v="0"/>
    <s v="Cancelled"/>
    <m/>
    <n v="0"/>
    <s v="Corporate Order"/>
    <m/>
    <m/>
    <s v="Jul-25"/>
    <n v="30"/>
    <m/>
  </r>
  <r>
    <d v="2025-07-22T00:00:00"/>
    <s v="Aero Space Tours &amp; Travels"/>
    <s v="F2F"/>
    <s v="Corporate"/>
    <s v="Tourism"/>
    <s v="Ramesh"/>
    <s v="Only international trips may send some small groups"/>
    <n v="0"/>
    <n v="0"/>
    <x v="25"/>
    <x v="0"/>
    <x v="0"/>
    <s v="Cancelled"/>
    <m/>
    <n v="0"/>
    <s v="Corporate Order"/>
    <m/>
    <m/>
    <s v="Jul-25"/>
    <n v="30"/>
    <m/>
  </r>
  <r>
    <d v="2025-07-23T00:00:00"/>
    <s v="Green Vecations"/>
    <s v="F2F"/>
    <s v="Corporate"/>
    <s v="Tourism"/>
    <s v="Sampath Gupta"/>
    <s v="Intro regards Tie up,more into uinternational trips"/>
    <n v="0"/>
    <n v="0"/>
    <x v="25"/>
    <x v="0"/>
    <x v="0"/>
    <s v="Cancelled"/>
    <m/>
    <n v="0"/>
    <s v="Corporate Order"/>
    <m/>
    <m/>
    <s v="Jul-25"/>
    <n v="30"/>
    <m/>
  </r>
  <r>
    <d v="2025-07-23T00:00:00"/>
    <s v="Great Holidays"/>
    <s v="F2F"/>
    <s v="Corporate"/>
    <s v="Tourism"/>
    <s v="S Chandra Sekhar"/>
    <s v="Intro to comission based dine in and delivery for tourist"/>
    <n v="0"/>
    <n v="0"/>
    <x v="25"/>
    <x v="0"/>
    <x v="0"/>
    <s v="Cancelled"/>
    <m/>
    <n v="0"/>
    <s v="Corporate Order"/>
    <m/>
    <m/>
    <s v="Jul-25"/>
    <n v="30"/>
    <m/>
  </r>
  <r>
    <d v="2025-07-23T00:00:00"/>
    <s v="68MHolidays"/>
    <s v="F2F"/>
    <s v="Corporate"/>
    <s v="Tourism"/>
    <s v="Syed Murtza Ali"/>
    <s v="will send guest directly, Outbound"/>
    <n v="0"/>
    <n v="0"/>
    <x v="25"/>
    <x v="0"/>
    <x v="0"/>
    <s v="Cancelled"/>
    <m/>
    <n v="0"/>
    <s v="Corporate Order"/>
    <m/>
    <m/>
    <s v="Jul-25"/>
    <n v="30"/>
    <m/>
  </r>
  <r>
    <d v="2025-07-23T00:00:00"/>
    <s v="Akbar Travels of India PVT LTD"/>
    <s v="F2F"/>
    <s v="Corporate"/>
    <s v="Tourism"/>
    <s v="Dr Anita Singh"/>
    <s v="Will send groups directly , more into outbound"/>
    <n v="0"/>
    <n v="0"/>
    <x v="27"/>
    <x v="0"/>
    <x v="2"/>
    <s v="Warm"/>
    <m/>
    <n v="0"/>
    <s v="Corporate Order"/>
    <m/>
    <m/>
    <s v="Jul-25"/>
    <n v="30"/>
    <m/>
  </r>
  <r>
    <d v="2025-07-23T00:00:00"/>
    <s v="Delivery at Compass Group Bangalore"/>
    <s v="Call"/>
    <s v="Corporate"/>
    <s v="F&amp;B Agrigator"/>
    <s v="Pankaj"/>
    <s v="Delivery of Special CB &amp; MB Handi on 23-7-25"/>
    <n v="68111"/>
    <n v="68111"/>
    <x v="23"/>
    <x v="1"/>
    <x v="1"/>
    <s v="Closed"/>
    <m/>
    <n v="0"/>
    <m/>
    <m/>
    <m/>
    <s v="Jul-25"/>
    <n v="30"/>
    <m/>
  </r>
  <r>
    <d v="2025-07-23T00:00:00"/>
    <s v="Take away fron Suncity"/>
    <s v="F2F"/>
    <s v="Corporate"/>
    <s v="F&amp;B Agrigator"/>
    <s v="Sandhya"/>
    <s v="Take away of CB &amp; VB on 23-7-25"/>
    <n v="8000"/>
    <n v="8000"/>
    <x v="23"/>
    <x v="0"/>
    <x v="1"/>
    <s v="Closed"/>
    <m/>
    <n v="0"/>
    <m/>
    <m/>
    <m/>
    <s v="Jul-25"/>
    <n v="30"/>
    <m/>
  </r>
  <r>
    <d v="2025-07-24T00:00:00"/>
    <s v="DBS Waverock"/>
    <s v="F2F"/>
    <s v="Corporate"/>
    <s v="IT"/>
    <s v="Sadhiqua"/>
    <s v="Delivery of Executive Meal Plate for employeee"/>
    <n v="7000"/>
    <n v="7000"/>
    <x v="23"/>
    <x v="0"/>
    <x v="1"/>
    <s v="Closed"/>
    <m/>
    <n v="0"/>
    <m/>
    <m/>
    <m/>
    <s v="Jul-25"/>
    <n v="30"/>
    <m/>
  </r>
  <r>
    <d v="2025-07-25T00:00:00"/>
    <s v="Platos"/>
    <s v="F2F"/>
    <s v="Corporate"/>
    <s v="F&amp;B Agrigator"/>
    <s v="Hyder"/>
    <s v="Follow up for order"/>
    <n v="0"/>
    <n v="0"/>
    <x v="27"/>
    <x v="0"/>
    <x v="3"/>
    <s v="Hot"/>
    <m/>
    <n v="0"/>
    <s v="Corporate Order"/>
    <m/>
    <m/>
    <s v="Jul-25"/>
    <n v="30"/>
    <m/>
  </r>
  <r>
    <d v="2025-07-25T00:00:00"/>
    <s v="Wipro Lightings"/>
    <s v="F2F"/>
    <s v="Corporate"/>
    <s v="Manufacturing"/>
    <s v="Vamshikrishna"/>
    <s v="follow up for wallet recharge"/>
    <n v="0"/>
    <n v="0"/>
    <x v="27"/>
    <x v="0"/>
    <x v="3"/>
    <s v="Hot"/>
    <m/>
    <n v="0"/>
    <s v="Corporate Order"/>
    <m/>
    <m/>
    <s v="Jul-25"/>
    <n v="30"/>
    <m/>
  </r>
  <r>
    <d v="2025-07-27T00:00:00"/>
    <s v="Delivery at Uppal"/>
    <s v="Call"/>
    <s v="Corporate"/>
    <s v="Family Group"/>
    <s v="Mahesh"/>
    <s v="Delivery of CB and kabab at uppal on 27-7-25"/>
    <n v="5445"/>
    <n v="5445"/>
    <x v="23"/>
    <x v="0"/>
    <x v="1"/>
    <s v="Closed"/>
    <m/>
    <n v="0"/>
    <m/>
    <m/>
    <m/>
    <s v="Jul-25"/>
    <n v="30"/>
    <m/>
  </r>
  <r>
    <d v="2025-07-28T00:00:00"/>
    <s v="Sana Travels"/>
    <s v="F2F"/>
    <s v="Corporate"/>
    <s v="Tourism"/>
    <s v="Rashid Amer"/>
    <s v="Introduction to tourist dine in and delivery"/>
    <n v="0"/>
    <n v="0"/>
    <x v="27"/>
    <x v="0"/>
    <x v="2"/>
    <s v="Cold"/>
    <m/>
    <n v="0"/>
    <s v="Corporate Order"/>
    <m/>
    <m/>
    <s v="Jul-25"/>
    <n v="31"/>
    <m/>
  </r>
  <r>
    <d v="2025-07-28T00:00:00"/>
    <s v="Enjoy Travels"/>
    <s v="F2F"/>
    <s v="Corporate"/>
    <s v="Tourism"/>
    <s v="Issa"/>
    <s v="Introduction to tourist dine in and delivery"/>
    <n v="0"/>
    <n v="0"/>
    <x v="27"/>
    <x v="0"/>
    <x v="2"/>
    <s v="Cold"/>
    <m/>
    <n v="0"/>
    <s v="Corporate Order"/>
    <m/>
    <m/>
    <s v="Jul-25"/>
    <n v="31"/>
    <m/>
  </r>
  <r>
    <d v="2025-07-28T00:00:00"/>
    <s v="MSN Lbs"/>
    <s v="F2F"/>
    <s v="Corporate"/>
    <s v="Pharma"/>
    <s v="Satya"/>
    <s v="Follow up for payment,"/>
    <n v="0"/>
    <n v="0"/>
    <x v="23"/>
    <x v="0"/>
    <x v="1"/>
    <s v="Closed"/>
    <m/>
    <n v="0"/>
    <m/>
    <m/>
    <m/>
    <s v="Jul-25"/>
    <n v="31"/>
    <m/>
  </r>
  <r>
    <d v="2025-07-28T00:00:00"/>
    <s v="GHMC Commissionerate"/>
    <s v="F2F"/>
    <s v="Corporate"/>
    <s v="Government"/>
    <s v="Government"/>
    <s v="Follow up for payment"/>
    <n v="0"/>
    <n v="0"/>
    <x v="27"/>
    <x v="0"/>
    <x v="3"/>
    <s v="Cold"/>
    <m/>
    <n v="0"/>
    <s v="Corporate Order"/>
    <m/>
    <m/>
    <s v="Jul-25"/>
    <n v="31"/>
    <m/>
  </r>
  <r>
    <d v="2025-07-29T00:00:00"/>
    <s v="Birthday Party at Kukatpally"/>
    <s v="F2F"/>
    <s v="Events"/>
    <s v="Family Group"/>
    <s v="Kavita"/>
    <s v="Shared buffet and location detail party on 15-8-2025"/>
    <n v="28000"/>
    <n v="28000"/>
    <x v="19"/>
    <x v="0"/>
    <x v="1"/>
    <s v="Closed"/>
    <m/>
    <n v="0"/>
    <m/>
    <m/>
    <m/>
    <s v="Jul-25"/>
    <n v="31"/>
    <m/>
  </r>
  <r>
    <d v="2025-07-29T00:00:00"/>
    <s v="Delivery at Salarpuria Sattva"/>
    <s v="F2F"/>
    <s v="Corporate"/>
    <s v="F&amp;B Agrigator"/>
    <s v="Sandhya"/>
    <s v="Shared details of lunch for 1300 people in august"/>
    <n v="350000"/>
    <m/>
    <x v="18"/>
    <x v="0"/>
    <x v="0"/>
    <s v="Cancelled"/>
    <s v="As we coudnt signagreement with compass"/>
    <n v="0"/>
    <s v="Corporate Order"/>
    <m/>
    <m/>
    <s v="Jul-25"/>
    <n v="31"/>
    <m/>
  </r>
  <r>
    <d v="2025-07-29T00:00:00"/>
    <s v="The Gratitude lane"/>
    <s v="Call"/>
    <s v="Corporate"/>
    <s v="Gifting"/>
    <s v="Abhinav"/>
    <s v="Shared details of Biryani kit for gifting"/>
    <m/>
    <m/>
    <x v="25"/>
    <x v="0"/>
    <x v="4"/>
    <s v="Hot"/>
    <m/>
    <n v="0"/>
    <s v="Corporate Order"/>
    <m/>
    <m/>
    <s v="Jul-25"/>
    <n v="31"/>
    <m/>
  </r>
  <r>
    <d v="2025-07-29T00:00:00"/>
    <s v="Foodys"/>
    <s v="Call"/>
    <s v="Corporate"/>
    <s v="F&amp;B Agrigator"/>
    <s v="Sekhar"/>
    <s v="Follow up for payment"/>
    <m/>
    <m/>
    <x v="27"/>
    <x v="0"/>
    <x v="3"/>
    <s v="Hot"/>
    <m/>
    <n v="0"/>
    <s v="Corporate Order"/>
    <m/>
    <m/>
    <s v="Jul-25"/>
    <n v="31"/>
    <m/>
  </r>
  <r>
    <d v="2025-07-30T00:00:00"/>
    <s v="Delivery at Compass Group Bangalore"/>
    <s v="Call"/>
    <s v="Corporate"/>
    <s v="F&amp;B Agrigator"/>
    <s v="Pankaj"/>
    <s v="Delivery of Special CB &amp; MB Handi on 30-7-25"/>
    <n v="70568"/>
    <n v="70568"/>
    <x v="23"/>
    <x v="1"/>
    <x v="1"/>
    <s v="Closed"/>
    <m/>
    <n v="0"/>
    <m/>
    <m/>
    <m/>
    <s v="Jul-25"/>
    <n v="31"/>
    <m/>
  </r>
  <r>
    <d v="2025-07-30T00:00:00"/>
    <s v="Delivery of Veg Biryani at Secundrabad"/>
    <s v="Call"/>
    <s v="Events"/>
    <s v="Family Group"/>
    <s v="Vijay"/>
    <s v="Delivery of VB on 1-8-2025"/>
    <n v="9000"/>
    <m/>
    <x v="19"/>
    <x v="0"/>
    <x v="1"/>
    <s v="Hot"/>
    <m/>
    <n v="0"/>
    <m/>
    <m/>
    <m/>
    <s v="Jul-25"/>
    <n v="31"/>
    <m/>
  </r>
  <r>
    <d v="2025-08-01T00:00:00"/>
    <s v="Delivery at Malkajgiri"/>
    <s v="Call"/>
    <s v="Events"/>
    <s v="Family Group"/>
    <s v="Mukesh"/>
    <s v="Deli"/>
    <n v="8119"/>
    <n v="8119"/>
    <x v="19"/>
    <x v="0"/>
    <x v="1"/>
    <s v="Closed"/>
    <m/>
    <n v="0"/>
    <m/>
    <m/>
    <m/>
    <s v="Aug-25"/>
    <n v="31"/>
    <m/>
  </r>
  <r>
    <d v="2025-08-04T00:00:00"/>
    <s v="Natco Pharma"/>
    <s v="F2F"/>
    <s v="Corporate"/>
    <s v="Pharma"/>
    <s v="Tanmoy"/>
    <s v="Delivered CB,VB &amp; DKM on 4-8-2025"/>
    <n v="9782"/>
    <n v="9782"/>
    <x v="19"/>
    <x v="0"/>
    <x v="1"/>
    <s v="Closed"/>
    <m/>
    <n v="0"/>
    <m/>
    <m/>
    <m/>
    <s v="Aug-25"/>
    <n v="32"/>
    <m/>
  </r>
  <r>
    <d v="2025-08-04T00:00:00"/>
    <s v="Popup Counter at Capital Land Block A"/>
    <s v="F2F"/>
    <s v="Corporate"/>
    <s v="F&amp;B Agrigator"/>
    <s v="Uday"/>
    <s v="Sale of CB,VB,MB,DKM on 4-8-2025"/>
    <n v="13000"/>
    <n v="13000"/>
    <x v="19"/>
    <x v="0"/>
    <x v="1"/>
    <s v="Closed"/>
    <m/>
    <n v="0"/>
    <m/>
    <m/>
    <m/>
    <s v="Aug-25"/>
    <n v="32"/>
    <m/>
  </r>
  <r>
    <d v="2025-08-04T00:00:00"/>
    <s v="Wipro Vizag"/>
    <s v="Call"/>
    <s v="Corporate"/>
    <s v="IT"/>
    <s v="Anil"/>
    <s v="Site Visit and equipment movement for Popup Cpunter"/>
    <n v="0"/>
    <n v="0"/>
    <x v="19"/>
    <x v="0"/>
    <x v="1"/>
    <s v="Closed"/>
    <m/>
    <n v="0"/>
    <m/>
    <m/>
    <m/>
    <s v="Aug-25"/>
    <n v="32"/>
    <m/>
  </r>
  <r>
    <d v="2025-08-04T00:00:00"/>
    <s v="Neuland Pharma"/>
    <s v="F2F"/>
    <s v="Corporate"/>
    <s v="Pharma"/>
    <s v="Vijay"/>
    <s v="Introduction to Gifting &amp; Bulk orders"/>
    <n v="0"/>
    <n v="0"/>
    <x v="27"/>
    <x v="0"/>
    <x v="2"/>
    <s v="Cold"/>
    <m/>
    <n v="0"/>
    <s v="Corporate Order"/>
    <m/>
    <m/>
    <s v="Aug-25"/>
    <n v="32"/>
    <m/>
  </r>
  <r>
    <d v="2025-08-05T00:00:00"/>
    <s v="Popup Counter at Capital Land Block A"/>
    <s v="F2F"/>
    <s v="Corporate"/>
    <s v="F&amp;B Agrigator"/>
    <s v="Uday"/>
    <s v="Sale of CB,VB,MB,DKM on 5-8-2025"/>
    <n v="17800"/>
    <n v="17800"/>
    <x v="19"/>
    <x v="0"/>
    <x v="1"/>
    <s v="Closed"/>
    <m/>
    <n v="0"/>
    <m/>
    <m/>
    <m/>
    <s v="Aug-25"/>
    <n v="32"/>
    <m/>
  </r>
  <r>
    <d v="2025-08-05T00:00:00"/>
    <s v="Popup Counter At Wipro Vizag"/>
    <s v="Call"/>
    <s v="Corporate"/>
    <s v="IT"/>
    <s v="Ugandhar"/>
    <s v="Popup counter on 5-8-2025"/>
    <n v="11551"/>
    <n v="11551"/>
    <x v="19"/>
    <x v="0"/>
    <x v="1"/>
    <s v="Closed"/>
    <m/>
    <n v="0"/>
    <m/>
    <m/>
    <m/>
    <s v="Aug-25"/>
    <n v="32"/>
    <m/>
  </r>
  <r>
    <d v="2025-08-05T00:00:00"/>
    <s v="Celkon Ltd"/>
    <s v="F2F"/>
    <s v="Corporate"/>
    <s v="IT"/>
    <s v="Srinivas"/>
    <s v="Shared Details of Lunch for 200 Pax"/>
    <n v="0"/>
    <n v="0"/>
    <x v="25"/>
    <x v="0"/>
    <x v="0"/>
    <s v="Cancelled"/>
    <m/>
    <n v="0"/>
    <s v="Corporate Order"/>
    <m/>
    <m/>
    <s v="Aug-25"/>
    <n v="32"/>
    <m/>
  </r>
  <r>
    <d v="2025-08-06T00:00:00"/>
    <s v="Popup Counter at Capital Land Block A"/>
    <s v="F2F"/>
    <s v="Corporate"/>
    <s v="F&amp;B Agrigator"/>
    <s v="Uday"/>
    <s v="Sale of CB,VB,MB,DKM on 6-8-2025"/>
    <n v="29751"/>
    <n v="29751"/>
    <x v="19"/>
    <x v="0"/>
    <x v="1"/>
    <s v="Closed"/>
    <m/>
    <n v="0"/>
    <m/>
    <m/>
    <m/>
    <s v="Aug-25"/>
    <n v="32"/>
    <m/>
  </r>
  <r>
    <d v="2025-08-06T00:00:00"/>
    <s v="Popup Counter At Wipro Vizag"/>
    <s v="Call"/>
    <s v="Corporate"/>
    <s v="IT"/>
    <s v="Ugandhar"/>
    <s v="Popup counter on 6-8-2025"/>
    <n v="13500"/>
    <n v="13500"/>
    <x v="19"/>
    <x v="0"/>
    <x v="1"/>
    <s v="Closed"/>
    <m/>
    <n v="0"/>
    <m/>
    <m/>
    <m/>
    <s v="Aug-25"/>
    <n v="32"/>
    <m/>
  </r>
  <r>
    <d v="2025-08-06T00:00:00"/>
    <s v="Wipro Lightings"/>
    <s v="F2F"/>
    <s v="Corporate"/>
    <s v="Manufacturing"/>
    <s v="Vamshikrishna"/>
    <s v="Followup for further orders"/>
    <n v="0"/>
    <n v="0"/>
    <x v="27"/>
    <x v="0"/>
    <x v="3"/>
    <s v="Cold"/>
    <m/>
    <n v="0"/>
    <s v="Corporate Order"/>
    <m/>
    <m/>
    <s v="Aug-25"/>
    <n v="32"/>
    <m/>
  </r>
  <r>
    <d v="2025-08-06T00:00:00"/>
    <s v="Delivery at Compass Group Bangalore"/>
    <s v="Call"/>
    <s v="Corporate"/>
    <s v="F&amp;B Agrigator"/>
    <s v="Pankaj"/>
    <s v="Delivery of Special CB &amp; MB Handi on 6-8-2025"/>
    <n v="70568"/>
    <n v="70568"/>
    <x v="19"/>
    <x v="1"/>
    <x v="1"/>
    <s v="Closed"/>
    <m/>
    <n v="0"/>
    <m/>
    <m/>
    <m/>
    <s v="Aug-25"/>
    <n v="32"/>
    <m/>
  </r>
  <r>
    <d v="2025-08-06T00:00:00"/>
    <s v="Delivery at SEBLR Banglore (Compass)"/>
    <s v="Call"/>
    <s v="Corporate"/>
    <s v="F&amp;B Agrigator"/>
    <s v="Saad"/>
    <s v="New Delivery at Compass group on 6-8-2025"/>
    <n v="49546"/>
    <n v="49546"/>
    <x v="19"/>
    <x v="1"/>
    <x v="1"/>
    <s v="Closed"/>
    <m/>
    <n v="0"/>
    <m/>
    <m/>
    <m/>
    <s v="Aug-25"/>
    <n v="32"/>
    <m/>
  </r>
  <r>
    <d v="2025-08-07T00:00:00"/>
    <s v="Popup Counter at Capital Land Block A"/>
    <s v="Call"/>
    <s v="Corporate"/>
    <s v="F&amp;B Agrigator"/>
    <s v="Uday"/>
    <s v="Sale of CB,VB,MB,DKM on 7-8-2025"/>
    <n v="26050"/>
    <n v="26050"/>
    <x v="19"/>
    <x v="0"/>
    <x v="1"/>
    <s v="Closed"/>
    <m/>
    <n v="0"/>
    <m/>
    <m/>
    <m/>
    <s v="Aug-25"/>
    <n v="32"/>
    <m/>
  </r>
  <r>
    <d v="2025-08-07T00:00:00"/>
    <s v="Delivery at Vijayada"/>
    <s v="Call"/>
    <s v="Corporate"/>
    <s v="F&amp;B Agregator"/>
    <s v="Sandhya"/>
    <s v="food delivery at Vijaywada on 12-8-2025"/>
    <n v="58809"/>
    <n v="58809"/>
    <x v="19"/>
    <x v="0"/>
    <x v="1"/>
    <s v="Closed"/>
    <m/>
    <n v="0"/>
    <m/>
    <m/>
    <m/>
    <s v="Aug-25"/>
    <n v="32"/>
    <m/>
  </r>
  <r>
    <d v="2025-08-07T00:00:00"/>
    <s v="Rajbhavan"/>
    <s v="F2F"/>
    <s v="Corporate"/>
    <s v="Government"/>
    <s v="Balakrishna"/>
    <s v="Followup for payment"/>
    <n v="0"/>
    <m/>
    <x v="27"/>
    <x v="0"/>
    <x v="3"/>
    <s v="Hot"/>
    <m/>
    <n v="0"/>
    <s v="Corporate Order"/>
    <m/>
    <m/>
    <s v="Aug-25"/>
    <n v="32"/>
    <m/>
  </r>
  <r>
    <d v="2025-08-08T00:00:00"/>
    <s v="Popup Counter at Capital Land Block A"/>
    <s v="Call"/>
    <s v="Corporate"/>
    <s v="F&amp;B Agrigator"/>
    <s v="Uday"/>
    <s v="Sale of CB,VB,MB,DKM on 8-8-2025"/>
    <n v="11495"/>
    <n v="11495"/>
    <x v="19"/>
    <x v="0"/>
    <x v="1"/>
    <s v="Closed"/>
    <m/>
    <n v="0"/>
    <m/>
    <m/>
    <m/>
    <s v="Aug-25"/>
    <n v="32"/>
    <m/>
  </r>
  <r>
    <d v="2025-08-08T00:00:00"/>
    <s v="Delivery at Uppal"/>
    <s v="F2F"/>
    <s v="Events"/>
    <s v="Family Group"/>
    <s v="Vamshi"/>
    <s v="Delivery of CB &amp; VB on 9-8-2025"/>
    <n v="12500"/>
    <n v="12500"/>
    <x v="19"/>
    <x v="0"/>
    <x v="1"/>
    <s v="Closed"/>
    <m/>
    <n v="0"/>
    <m/>
    <m/>
    <m/>
    <s v="Aug-25"/>
    <n v="32"/>
    <m/>
  </r>
  <r>
    <d v="2025-08-11T00:00:00"/>
    <s v="Popup Counter at Capital Land Block A"/>
    <s v="Call"/>
    <s v="Corporate"/>
    <s v="F&amp;B Agrigator"/>
    <s v="Uday"/>
    <s v="Sale of CB,VB,MB,DKM on 11-8-2025"/>
    <n v="13405"/>
    <n v="13405"/>
    <x v="19"/>
    <x v="0"/>
    <x v="1"/>
    <s v="Closed"/>
    <m/>
    <n v="0"/>
    <m/>
    <m/>
    <m/>
    <s v="Aug-25"/>
    <n v="33"/>
    <m/>
  </r>
  <r>
    <d v="2025-08-12T00:00:00"/>
    <s v="Popup Counter at Capital Land Block A"/>
    <s v="Call"/>
    <s v="Corporate"/>
    <s v="F&amp;B Agrigator"/>
    <s v="Uday"/>
    <s v="Sale of CB,VB,MB,DKM on 12-8-2025"/>
    <n v="20800"/>
    <n v="20800"/>
    <x v="19"/>
    <x v="0"/>
    <x v="1"/>
    <s v="Closed"/>
    <m/>
    <n v="0"/>
    <m/>
    <m/>
    <m/>
    <s v="Aug-25"/>
    <n v="33"/>
    <m/>
  </r>
  <r>
    <d v="2025-08-13T00:00:00"/>
    <s v="T HUB"/>
    <s v="Call"/>
    <s v="Corporate"/>
    <s v="IT"/>
    <s v="Sheshendra"/>
    <s v="Follow up for appointment"/>
    <n v="0"/>
    <m/>
    <x v="27"/>
    <x v="0"/>
    <x v="3"/>
    <s v="Cold"/>
    <m/>
    <n v="0"/>
    <s v="Corporate Order"/>
    <m/>
    <m/>
    <s v="Aug-25"/>
    <n v="33"/>
    <m/>
  </r>
  <r>
    <d v="2025-08-13T00:00:00"/>
    <s v="Delivery at Compass Group Bangalore"/>
    <s v="Call"/>
    <s v="Corporate"/>
    <s v="F&amp;B Agrigator"/>
    <s v="Pankaj"/>
    <s v="Delivery of Special CB &amp; MB Handi on 13-8-2025"/>
    <n v="67549"/>
    <n v="67549"/>
    <x v="19"/>
    <x v="1"/>
    <x v="1"/>
    <s v="Closed"/>
    <m/>
    <n v="0"/>
    <m/>
    <m/>
    <m/>
    <s v="Aug-25"/>
    <n v="33"/>
    <m/>
  </r>
  <r>
    <d v="2025-08-13T00:00:00"/>
    <s v="Delivery at SEBLR Banglore (Compass)"/>
    <s v="Call"/>
    <s v="Corporate"/>
    <s v="F&amp;B Agrigator"/>
    <s v="Saad"/>
    <s v="New Delivery at Compass group on 13-8-2025"/>
    <n v="65725"/>
    <n v="65725"/>
    <x v="19"/>
    <x v="1"/>
    <x v="1"/>
    <s v="Closed"/>
    <m/>
    <n v="0"/>
    <m/>
    <m/>
    <m/>
    <s v="Aug-25"/>
    <n v="33"/>
    <m/>
  </r>
  <r>
    <d v="2025-08-13T00:00:00"/>
    <s v="Popup Counter at Capital Land Block A"/>
    <s v="Call"/>
    <s v="Corporate"/>
    <s v="F&amp;B Agrigator"/>
    <s v="Uday"/>
    <s v="Sale of CB,VB,MB,DKM on 13-8-2025"/>
    <n v="19058"/>
    <n v="19058"/>
    <x v="19"/>
    <x v="0"/>
    <x v="1"/>
    <s v="Closed"/>
    <m/>
    <n v="0"/>
    <m/>
    <m/>
    <m/>
    <s v="Aug-25"/>
    <n v="33"/>
    <m/>
  </r>
  <r>
    <d v="2025-08-13T00:00:00"/>
    <s v="Birthday Party at Kukatpally"/>
    <s v="F2F"/>
    <s v="Events"/>
    <s v="Family Group"/>
    <s v="Kavita"/>
    <s v="Collected advance  for Party on 15-8-25"/>
    <n v="0"/>
    <n v="0"/>
    <x v="19"/>
    <x v="0"/>
    <x v="1"/>
    <s v="Closed"/>
    <m/>
    <n v="0"/>
    <m/>
    <m/>
    <m/>
    <s v="Aug-25"/>
    <n v="33"/>
    <m/>
  </r>
  <r>
    <d v="2025-08-13T00:00:00"/>
    <s v="Delivery at Inorbit Mall"/>
    <s v="Call"/>
    <s v="Corporate"/>
    <s v="IT"/>
    <s v="Rakesh"/>
    <s v="Delivery of Puff"/>
    <n v="4800"/>
    <n v="4800"/>
    <x v="19"/>
    <x v="0"/>
    <x v="1"/>
    <s v="Closed"/>
    <m/>
    <n v="0"/>
    <m/>
    <m/>
    <m/>
    <s v="Aug-25"/>
    <n v="33"/>
    <m/>
  </r>
  <r>
    <d v="2025-08-13T00:00:00"/>
    <s v="Delivery of CB at secundrabad Church"/>
    <s v="F2F"/>
    <s v="Events"/>
    <s v="Family Group"/>
    <s v="Aaron"/>
    <s v="Shared quote for CB on 15-8-2025"/>
    <n v="12000"/>
    <n v="12000"/>
    <x v="19"/>
    <x v="0"/>
    <x v="1"/>
    <s v="Closed"/>
    <m/>
    <n v="0"/>
    <m/>
    <m/>
    <m/>
    <s v="Aug-25"/>
    <n v="33"/>
    <m/>
  </r>
  <r>
    <d v="2025-08-14T00:00:00"/>
    <s v="Popup Counter at Capital Land Block A"/>
    <s v="Call"/>
    <s v="Corporate"/>
    <s v="F&amp;B Agrigator"/>
    <s v="Vamsi"/>
    <s v="Sale of CB,VB,MB,DKM on 14-8-2025"/>
    <n v="22000"/>
    <n v="22000"/>
    <x v="19"/>
    <x v="0"/>
    <x v="1"/>
    <s v="Closed"/>
    <m/>
    <n v="0"/>
    <m/>
    <m/>
    <m/>
    <s v="Aug-25"/>
    <n v="33"/>
    <m/>
  </r>
  <r>
    <d v="2025-08-14T00:00:00"/>
    <s v="ITS Global (Tourism)"/>
    <s v="F2F"/>
    <s v="Corporate"/>
    <s v="Tourism"/>
    <s v="Dhoni"/>
    <s v="Dine in at Charminar on 18-8-2025"/>
    <n v="12000"/>
    <n v="12000"/>
    <x v="19"/>
    <x v="0"/>
    <x v="1"/>
    <s v="Closed"/>
    <m/>
    <n v="0"/>
    <m/>
    <m/>
    <m/>
    <s v="Aug-25"/>
    <n v="33"/>
    <m/>
  </r>
  <r>
    <d v="2025-08-15T00:00:00"/>
    <s v="Delivery at Malkajgiri"/>
    <s v="Call"/>
    <s v="Corporate"/>
    <s v="Manufacturing"/>
    <s v="Ajay"/>
    <s v="Delivery of CB at Malkajgiri on 15-8-2025"/>
    <n v="21795"/>
    <n v="21795"/>
    <x v="19"/>
    <x v="0"/>
    <x v="1"/>
    <s v="Closed"/>
    <m/>
    <n v="0"/>
    <m/>
    <m/>
    <m/>
    <s v="Aug-25"/>
    <n v="33"/>
    <m/>
  </r>
  <r>
    <d v="2025-08-17T00:00:00"/>
    <s v="Dine in at Vanasthalipuram"/>
    <s v="Call"/>
    <s v="Events"/>
    <s v="Family Group"/>
    <s v="Arun"/>
    <s v="Dine in at Vanasthalipuram on 17-8-2025"/>
    <n v="4344"/>
    <n v="4344"/>
    <x v="19"/>
    <x v="0"/>
    <x v="1"/>
    <s v="Closed"/>
    <m/>
    <n v="0"/>
    <m/>
    <m/>
    <m/>
    <s v="Aug-25"/>
    <n v="33"/>
    <m/>
  </r>
  <r>
    <d v="2025-08-17T00:00:00"/>
    <s v="Delivery at Secundrabad"/>
    <s v="Call"/>
    <s v="Events"/>
    <s v="Family Group"/>
    <s v="Apoorva"/>
    <s v="Delivery of CB &amp; VB at Secundrabad"/>
    <n v="9500"/>
    <n v="9500"/>
    <x v="19"/>
    <x v="0"/>
    <x v="1"/>
    <s v="Closed"/>
    <m/>
    <n v="0"/>
    <m/>
    <m/>
    <m/>
    <s v="Aug-25"/>
    <n v="33"/>
    <m/>
  </r>
  <r>
    <d v="2025-08-18T00:00:00"/>
    <s v="Nvedia Grabhics"/>
    <s v="F2F"/>
    <s v="Corporate"/>
    <s v="IT"/>
    <s v="Rajendra"/>
    <s v="Followup for further orders"/>
    <n v="0"/>
    <m/>
    <x v="27"/>
    <x v="0"/>
    <x v="3"/>
    <s v="Cold"/>
    <m/>
    <n v="0"/>
    <s v="Corporate Order"/>
    <m/>
    <m/>
    <s v="Aug-25"/>
    <n v="34"/>
    <m/>
  </r>
  <r>
    <d v="2025-08-18T00:00:00"/>
    <s v="Intel"/>
    <s v="F2F"/>
    <s v="Corporate"/>
    <s v="IT"/>
    <s v="Abhay "/>
    <s v="Followup for further orders"/>
    <n v="0"/>
    <m/>
    <x v="27"/>
    <x v="0"/>
    <x v="3"/>
    <s v="Cold"/>
    <m/>
    <n v="0"/>
    <s v="Corporate Order"/>
    <m/>
    <m/>
    <s v="Aug-25"/>
    <n v="34"/>
    <m/>
  </r>
  <r>
    <d v="2025-08-18T00:00:00"/>
    <s v="Realpage"/>
    <s v="F2F"/>
    <s v="Corporate"/>
    <s v="IT"/>
    <s v="Sarika"/>
    <s v="Introduction to bulk orders"/>
    <n v="0"/>
    <m/>
    <x v="27"/>
    <x v="0"/>
    <x v="2"/>
    <s v="Cold"/>
    <m/>
    <n v="0"/>
    <s v="Corporate Order"/>
    <m/>
    <m/>
    <s v="Aug-25"/>
    <n v="34"/>
    <m/>
  </r>
  <r>
    <d v="2025-08-19T00:00:00"/>
    <s v="Woxen univercity Fest"/>
    <s v="F2F"/>
    <s v="College"/>
    <s v="Education"/>
    <s v="Varun"/>
    <s v="8-10 September 3 day event"/>
    <n v="0"/>
    <m/>
    <x v="25"/>
    <x v="0"/>
    <x v="0"/>
    <s v="Hot"/>
    <s v="Not profitable"/>
    <n v="0"/>
    <s v="Corporate Order"/>
    <m/>
    <m/>
    <s v="Aug-25"/>
    <n v="34"/>
    <m/>
  </r>
  <r>
    <d v="2025-08-19T00:00:00"/>
    <s v="ICFAI Business School"/>
    <s v="F2F"/>
    <s v="College"/>
    <s v="Education"/>
    <s v="Naman"/>
    <s v="Event on 19 September"/>
    <n v="80000"/>
    <m/>
    <x v="25"/>
    <x v="0"/>
    <x v="0"/>
    <s v="Hot"/>
    <s v="Not profitable"/>
    <n v="0"/>
    <s v="Corporate Order"/>
    <m/>
    <m/>
    <s v="Aug-25"/>
    <n v="34"/>
    <m/>
  </r>
  <r>
    <d v="2025-08-19T00:00:00"/>
    <s v="United Church Tarnaka"/>
    <s v="F2F"/>
    <s v="Church"/>
    <s v="Community"/>
    <s v="Melvin"/>
    <s v="Follow up for further Business"/>
    <n v="40000"/>
    <m/>
    <x v="18"/>
    <x v="0"/>
    <x v="0"/>
    <s v="Cancelled"/>
    <m/>
    <n v="0"/>
    <s v="Corporate Order"/>
    <m/>
    <m/>
    <s v="Aug-25"/>
    <n v="34"/>
    <m/>
  </r>
  <r>
    <d v="2025-08-20T00:00:00"/>
    <s v="Gokhana"/>
    <s v="F2F"/>
    <s v="Corporate"/>
    <s v="F&amp;B Agregator"/>
    <s v="Sandhya"/>
    <s v="Restart of Popup countar at Capital Land"/>
    <n v="0"/>
    <n v="0"/>
    <x v="19"/>
    <x v="0"/>
    <x v="1"/>
    <s v="Closed"/>
    <m/>
    <n v="0"/>
    <m/>
    <m/>
    <m/>
    <s v="Aug-25"/>
    <n v="34"/>
    <m/>
  </r>
  <r>
    <d v="2025-08-20T00:00:00"/>
    <s v="Delivery at Compass Group Bangalore"/>
    <s v="Call"/>
    <s v="Corporate"/>
    <s v="F&amp;B Agrigator"/>
    <s v="Pankaj"/>
    <s v="Delivery of Special CB &amp; MB Handi on 13-8-2020"/>
    <n v="59544"/>
    <n v="59544"/>
    <x v="19"/>
    <x v="1"/>
    <x v="1"/>
    <s v="Closed"/>
    <m/>
    <n v="0"/>
    <m/>
    <m/>
    <m/>
    <s v="Aug-25"/>
    <n v="34"/>
    <m/>
  </r>
  <r>
    <d v="2025-08-20T00:00:00"/>
    <s v="Delivery at SEBLR Banglore (Compass)"/>
    <s v="Call"/>
    <s v="Corporate"/>
    <s v="F&amp;B Agrigator"/>
    <s v="Saad"/>
    <s v="New Delivery at Compass group on 20-8-2025"/>
    <n v="65725"/>
    <n v="65725"/>
    <x v="19"/>
    <x v="1"/>
    <x v="1"/>
    <s v="Closed"/>
    <m/>
    <n v="0"/>
    <m/>
    <m/>
    <m/>
    <s v="Aug-25"/>
    <n v="34"/>
    <m/>
  </r>
  <r>
    <d v="2025-08-20T00:00:00"/>
    <s v="Nice Tours &amp; Travels"/>
    <s v="F2F"/>
    <s v="Corporate"/>
    <s v="Tourism"/>
    <s v="Sajjad"/>
    <s v="Introduction to delivery and dine in for tourist"/>
    <n v="0"/>
    <m/>
    <x v="27"/>
    <x v="0"/>
    <x v="2"/>
    <s v="Cold"/>
    <m/>
    <n v="0"/>
    <s v="Corporate Order"/>
    <m/>
    <m/>
    <s v="Aug-25"/>
    <n v="34"/>
    <m/>
  </r>
  <r>
    <d v="2025-08-20T00:00:00"/>
    <s v="Swamy foods &amp;Travels"/>
    <s v="F2F"/>
    <s v="Corporate"/>
    <s v="Tourism"/>
    <s v="Swamy"/>
    <s v="Follow up for groups and delivery"/>
    <n v="30000"/>
    <m/>
    <x v="18"/>
    <x v="0"/>
    <x v="0"/>
    <s v="Cancelled"/>
    <m/>
    <n v="0"/>
    <s v="Corporate Order"/>
    <m/>
    <m/>
    <s v="Aug-25"/>
    <n v="34"/>
    <m/>
  </r>
  <r>
    <d v="2025-08-20T00:00:00"/>
    <s v="GHMC Group"/>
    <s v="Call"/>
    <s v="Corporate "/>
    <s v="Government"/>
    <s v="Venkat Nagendra"/>
    <s v="Dine in at secbad on 20-8-2025"/>
    <n v="22352"/>
    <n v="22352"/>
    <x v="19"/>
    <x v="0"/>
    <x v="1"/>
    <s v="Closed"/>
    <m/>
    <n v="0"/>
    <m/>
    <m/>
    <m/>
    <s v="Aug-25"/>
    <n v="34"/>
    <m/>
  </r>
  <r>
    <d v="2025-08-21T00:00:00"/>
    <s v="Popup Counter at Capital Land Block A"/>
    <s v="Call"/>
    <s v="Corporate"/>
    <s v="F&amp;B Agrigator"/>
    <s v="Vamsi"/>
    <s v="Sale of CB,VB,MB,DKM on 21-8-2025"/>
    <n v="20650"/>
    <n v="20650"/>
    <x v="19"/>
    <x v="0"/>
    <x v="1"/>
    <s v="Closed"/>
    <m/>
    <n v="0"/>
    <m/>
    <m/>
    <m/>
    <s v="Aug-25"/>
    <n v="34"/>
    <m/>
  </r>
  <r>
    <d v="2025-08-22T00:00:00"/>
    <s v="Popup Counter at Capital Land Block A"/>
    <s v="Call"/>
    <s v="Corporate"/>
    <s v="F&amp;B Agrigator"/>
    <s v="Vamsi"/>
    <s v="Sale of CB,VB,MB,DKM on 22-8-2025"/>
    <n v="13546"/>
    <n v="13546"/>
    <x v="19"/>
    <x v="0"/>
    <x v="1"/>
    <s v="Closed"/>
    <m/>
    <n v="0"/>
    <m/>
    <m/>
    <m/>
    <s v="Aug-25"/>
    <n v="34"/>
    <m/>
  </r>
  <r>
    <d v="2025-08-22T00:00:00"/>
    <s v="Destination World Holidays"/>
    <s v="F2F"/>
    <s v="Corporate"/>
    <s v="Tourism"/>
    <s v="Saltanat"/>
    <s v="Lunch at Charminar on 25/8/2025"/>
    <n v="35000"/>
    <n v="35000"/>
    <x v="19"/>
    <x v="0"/>
    <x v="1"/>
    <s v="Closed"/>
    <m/>
    <n v="0"/>
    <m/>
    <m/>
    <m/>
    <s v="Aug-25"/>
    <n v="34"/>
    <m/>
  </r>
  <r>
    <d v="2025-08-25T00:00:00"/>
    <s v="Popup Counter at Capital Land Block A"/>
    <s v="Call"/>
    <s v="Corporate"/>
    <s v="F&amp;B Agrigator"/>
    <s v="Vamsi"/>
    <s v="Sale of CB,VB,MB,DKM on 25-8-2025"/>
    <n v="17487"/>
    <n v="17487"/>
    <x v="19"/>
    <x v="0"/>
    <x v="1"/>
    <s v="Closed"/>
    <m/>
    <n v="0"/>
    <m/>
    <m/>
    <m/>
    <s v="Aug-25"/>
    <n v="35"/>
    <m/>
  </r>
  <r>
    <d v="2025-08-25T00:00:00"/>
    <s v="Anthea Pharma"/>
    <s v="F2F"/>
    <s v="Corporate"/>
    <s v="Pharma"/>
    <s v="Jaipal"/>
    <s v="monthly food requirement with B to C"/>
    <n v="0"/>
    <n v="0"/>
    <x v="25"/>
    <x v="0"/>
    <x v="4"/>
    <s v="Hot"/>
    <m/>
    <n v="0"/>
    <s v="Corporate Order"/>
    <m/>
    <m/>
    <s v="Aug-25"/>
    <n v="35"/>
    <m/>
  </r>
  <r>
    <d v="2025-08-25T00:00:00"/>
    <s v="Delivery at SEBLR Banglore (Compass)"/>
    <s v="Call"/>
    <s v="Corporate"/>
    <s v="F&amp;B Agrigator"/>
    <s v="Saad"/>
    <s v="New Delivery at Compass group on 25-8-2025"/>
    <n v="51569"/>
    <n v="51569"/>
    <x v="19"/>
    <x v="1"/>
    <x v="1"/>
    <s v="Closed"/>
    <m/>
    <n v="0"/>
    <m/>
    <m/>
    <m/>
    <s v="Aug-25"/>
    <n v="35"/>
    <m/>
  </r>
  <r>
    <d v="2025-08-25T00:00:00"/>
    <s v="Medtronics"/>
    <s v="F2F"/>
    <s v="Corporate"/>
    <s v="Pharma"/>
    <s v="Asad"/>
    <s v="combo delivery on 29-8-2025 at Vizag and Panjagutta"/>
    <n v="30000"/>
    <m/>
    <x v="19"/>
    <x v="0"/>
    <x v="1"/>
    <s v="Closed"/>
    <m/>
    <n v="0"/>
    <m/>
    <m/>
    <m/>
    <s v="Aug-25"/>
    <n v="35"/>
    <m/>
  </r>
  <r>
    <d v="2025-08-26T00:00:00"/>
    <s v="Delivery at Medchal Farm house"/>
    <s v="Call"/>
    <s v="Corporate"/>
    <s v="Manufacturing"/>
    <s v="Anudeep"/>
    <s v="Delivery of food in Sepetmber"/>
    <n v="0"/>
    <n v="0"/>
    <x v="25"/>
    <x v="0"/>
    <x v="1"/>
    <s v="Closed"/>
    <m/>
    <n v="0"/>
    <s v="Corporate Order"/>
    <m/>
    <m/>
    <s v="Aug-25"/>
    <n v="35"/>
    <m/>
  </r>
  <r>
    <d v="2025-08-26T00:00:00"/>
    <s v="Popup Counter at Capital Land Block A"/>
    <s v="Call"/>
    <s v="Corporate"/>
    <s v="F&amp;B Agrigator"/>
    <s v="Vamsi"/>
    <s v="Sale of CB,VB,MB,DKM on 26-8-2025"/>
    <n v="19461"/>
    <n v="19461"/>
    <x v="19"/>
    <x v="0"/>
    <x v="1"/>
    <s v="Closed"/>
    <m/>
    <n v="0"/>
    <m/>
    <m/>
    <m/>
    <s v="Aug-25"/>
    <n v="35"/>
    <m/>
  </r>
  <r>
    <d v="2025-08-28T00:00:00"/>
    <s v="Popup Counter at Capital Land Block A"/>
    <s v="Call"/>
    <s v="Corporate"/>
    <s v="F&amp;B Agrigator"/>
    <s v="Vamsi"/>
    <s v="Sale of CB,VB,MB,DKM on 28-8-2025"/>
    <n v="18552"/>
    <n v="18552"/>
    <x v="19"/>
    <x v="0"/>
    <x v="1"/>
    <s v="Closed"/>
    <m/>
    <n v="0"/>
    <m/>
    <m/>
    <m/>
    <s v="Aug-25"/>
    <n v="35"/>
    <m/>
  </r>
  <r>
    <d v="2025-08-28T00:00:00"/>
    <s v="Delivery at Bowenpally"/>
    <s v="F2F"/>
    <s v="Event"/>
    <s v="Family Group"/>
    <s v="Sreeramlu"/>
    <s v="Delivery of CB on 31-8-2025"/>
    <n v="12000"/>
    <m/>
    <x v="19"/>
    <x v="0"/>
    <x v="1"/>
    <s v="Closed"/>
    <m/>
    <n v="0"/>
    <m/>
    <m/>
    <m/>
    <s v="Aug-25"/>
    <n v="35"/>
    <m/>
  </r>
  <r>
    <d v="2025-08-28T00:00:00"/>
    <s v="Sanofi"/>
    <s v="F2F"/>
    <s v="Corporate"/>
    <s v="Pharma"/>
    <s v="Harish"/>
    <s v="Introduction to Bulk order"/>
    <n v="0"/>
    <m/>
    <x v="27"/>
    <x v="0"/>
    <x v="2"/>
    <s v="Cold"/>
    <m/>
    <n v="0"/>
    <s v="Corporate Order"/>
    <m/>
    <m/>
    <s v="Aug-25"/>
    <n v="35"/>
    <m/>
  </r>
  <r>
    <d v="2025-08-29T00:00:00"/>
    <s v="Popup Counter at Capital Land Block A"/>
    <s v="Call"/>
    <s v="Corporate"/>
    <s v="F&amp;B Agrigator"/>
    <s v="Vamsi"/>
    <s v="Sale of CB,VB,MB,DKM on 29-8-2025"/>
    <n v="19200"/>
    <n v="19200"/>
    <x v="19"/>
    <x v="0"/>
    <x v="1"/>
    <s v="Closed"/>
    <m/>
    <n v="0"/>
    <m/>
    <m/>
    <m/>
    <s v="Aug-25"/>
    <n v="35"/>
    <m/>
  </r>
  <r>
    <d v="2025-09-01T00:00:00"/>
    <s v="Popup Counter at Capital Land Block A"/>
    <s v="Call"/>
    <s v="Corporate"/>
    <s v="F&amp;B Agrigator"/>
    <s v="Vamsi"/>
    <s v="Sale of CB,VB,MB,DKM on 1-9-2025"/>
    <n v="16200"/>
    <n v="16200"/>
    <x v="25"/>
    <x v="0"/>
    <x v="1"/>
    <s v="Closed"/>
    <m/>
    <n v="0"/>
    <s v="Corporate Order"/>
    <m/>
    <m/>
    <s v="Sep-25"/>
    <n v="36"/>
    <m/>
  </r>
  <r>
    <d v="2025-09-01T00:00:00"/>
    <s v="Reliance Trends"/>
    <s v="F2F"/>
    <s v="Corporate"/>
    <s v="Retail"/>
    <s v="Sampat Mykela"/>
    <s v="Introduction to bulk order "/>
    <n v="0"/>
    <m/>
    <x v="27"/>
    <x v="0"/>
    <x v="2"/>
    <s v="Cold"/>
    <m/>
    <n v="0"/>
    <s v="Corporate Order"/>
    <m/>
    <m/>
    <s v="Sep-25"/>
    <n v="36"/>
    <m/>
  </r>
  <r>
    <d v="2025-09-01T00:00:00"/>
    <s v="InnovaSolutions"/>
    <s v="F2F"/>
    <s v="Corporate"/>
    <s v="IT"/>
    <s v="Partha"/>
    <s v="Delivery of Starters and CB on 1-9-2025"/>
    <n v="14500"/>
    <n v="14500"/>
    <x v="25"/>
    <x v="0"/>
    <x v="1"/>
    <s v="Closed"/>
    <m/>
    <n v="0"/>
    <s v="Corporate Order"/>
    <m/>
    <m/>
    <s v="Sep-25"/>
    <n v="36"/>
    <m/>
  </r>
  <r>
    <d v="2025-09-02T00:00:00"/>
    <s v="Popup Counter at Capital Land Block A"/>
    <s v="Call"/>
    <s v="Corporate"/>
    <s v="F&amp;B Agrigator"/>
    <s v="Vamsi"/>
    <s v="Sale of CB,VB,MB,DKM on 2-9-2025"/>
    <n v="18211"/>
    <n v="18211"/>
    <x v="25"/>
    <x v="0"/>
    <x v="1"/>
    <s v="Closed"/>
    <m/>
    <n v="0"/>
    <s v="Corporate Order"/>
    <m/>
    <m/>
    <s v="Sep-25"/>
    <n v="36"/>
    <m/>
  </r>
  <r>
    <d v="2025-09-02T00:00:00"/>
    <s v="Nalsar Univercity"/>
    <s v="F2F"/>
    <s v="College"/>
    <s v="Education"/>
    <s v="Hafsha"/>
    <s v="Event on 5,6,7 September"/>
    <n v="0"/>
    <n v="0"/>
    <x v="25"/>
    <x v="0"/>
    <x v="0"/>
    <s v="Cancelled"/>
    <m/>
    <n v="0"/>
    <s v="Corporate Order"/>
    <m/>
    <m/>
    <s v="Sep-25"/>
    <n v="36"/>
    <m/>
  </r>
  <r>
    <d v="2025-09-02T00:00:00"/>
    <s v="Hungersate"/>
    <s v="F2F"/>
    <s v="Corporate"/>
    <s v="F&amp;B Agregator"/>
    <s v="Srinivas"/>
    <s v="Discussion about delivering food interstste"/>
    <n v="500000"/>
    <m/>
    <x v="24"/>
    <x v="0"/>
    <x v="0"/>
    <s v="Cancelled"/>
    <s v="Not feisable"/>
    <n v="0"/>
    <s v="Corporate Order"/>
    <m/>
    <m/>
    <s v="Sep-25"/>
    <n v="36"/>
    <m/>
  </r>
  <r>
    <d v="2025-09-02T00:00:00"/>
    <s v="Kirams Events"/>
    <s v="F2F"/>
    <s v="Corporate"/>
    <s v="F&amp;B Agregator"/>
    <s v="Varun"/>
    <s v="Discussion about beverage stall at Taj Deccan"/>
    <n v="0"/>
    <n v="0"/>
    <x v="25"/>
    <x v="0"/>
    <x v="0"/>
    <s v="Cancelled"/>
    <s v="Not profitable"/>
    <n v="0"/>
    <s v="Corporate Order"/>
    <m/>
    <m/>
    <s v="Sep-25"/>
    <n v="36"/>
    <m/>
  </r>
  <r>
    <d v="2025-09-03T00:00:00"/>
    <s v="Popup Counter at Capital Land Block A"/>
    <s v="Call"/>
    <s v="Corporate"/>
    <s v="F&amp;B Agrigator"/>
    <s v="Vamsi"/>
    <s v="Sale of CB,VB,MB,DKM on 3-9-2025"/>
    <n v="24398"/>
    <n v="24398"/>
    <x v="25"/>
    <x v="0"/>
    <x v="1"/>
    <s v="Closed"/>
    <m/>
    <n v="0"/>
    <s v="Corporate Order"/>
    <m/>
    <m/>
    <s v="Sep-25"/>
    <n v="36"/>
    <m/>
  </r>
  <r>
    <d v="2025-09-04T00:00:00"/>
    <s v="Popup Counter at Capital Land Block A"/>
    <s v="Call"/>
    <s v="Corporate"/>
    <s v="F&amp;B Agrigator"/>
    <s v="Vamsi"/>
    <s v="Sale of CB,VB,MB,DKM on 4-9-2025"/>
    <n v="15200"/>
    <n v="15200"/>
    <x v="25"/>
    <x v="0"/>
    <x v="1"/>
    <s v="Closed"/>
    <m/>
    <n v="0"/>
    <s v="Corporate Order"/>
    <m/>
    <m/>
    <s v="Sep-25"/>
    <n v="36"/>
    <m/>
  </r>
  <r>
    <d v="2025-09-05T00:00:00"/>
    <s v="Popup Counter at Capital Land Block A"/>
    <s v="Call"/>
    <s v="Corporate"/>
    <s v="F&amp;B Agrigator"/>
    <s v="Vamsi"/>
    <s v="Sale of CB,VB,MB,DKM on 5-9-2025"/>
    <n v="10500"/>
    <n v="10500"/>
    <x v="25"/>
    <x v="0"/>
    <x v="1"/>
    <s v="Closed"/>
    <m/>
    <n v="0"/>
    <s v="Corporate Order"/>
    <m/>
    <m/>
    <s v="Sep-25"/>
    <n v="36"/>
    <m/>
  </r>
  <r>
    <d v="2025-09-06T00:00:00"/>
    <s v="Take away from Malkajgiri"/>
    <s v="Call"/>
    <s v="Events"/>
    <s v="Family Group"/>
    <s v="Jyoti"/>
    <s v="Take away of CB from Malkajgiri on 6-9-2025"/>
    <n v="9500"/>
    <n v="9500"/>
    <x v="25"/>
    <x v="0"/>
    <x v="1"/>
    <s v="Closed"/>
    <m/>
    <n v="0"/>
    <s v="Corporate Order"/>
    <m/>
    <m/>
    <s v="Sep-25"/>
    <n v="36"/>
    <m/>
  </r>
  <r>
    <d v="2025-09-06T00:00:00"/>
    <s v="District Food Officer "/>
    <s v="Call"/>
    <s v="Corporate"/>
    <s v="Government"/>
    <s v="Narayan"/>
    <s v="Take away on VB from Heritage on 6-9-2025"/>
    <n v="29500"/>
    <n v="29500"/>
    <x v="25"/>
    <x v="0"/>
    <x v="1"/>
    <s v="Closed"/>
    <m/>
    <n v="0"/>
    <s v="Corporate Order"/>
    <m/>
    <m/>
    <s v="Sep-25"/>
    <n v="36"/>
    <m/>
  </r>
  <r>
    <d v="2025-09-07T00:00:00"/>
    <s v="Popup counter at Skyview"/>
    <s v="Call"/>
    <s v="Corporate"/>
    <s v="F&amp;B Agrigator"/>
    <s v="Sandhya"/>
    <s v="Sale at popup counter on 7-9-2025"/>
    <n v="32500"/>
    <n v="32500"/>
    <x v="25"/>
    <x v="0"/>
    <x v="1"/>
    <s v="Closed"/>
    <m/>
    <n v="0"/>
    <s v="Corporate Order"/>
    <m/>
    <m/>
    <s v="Sep-25"/>
    <n v="36"/>
    <m/>
  </r>
  <r>
    <d v="2025-09-08T00:00:00"/>
    <s v="Popup Counter at Capital Land Block A"/>
    <s v="Call"/>
    <s v="Corporate"/>
    <s v="F&amp;B Agrigator"/>
    <s v="Vamsi"/>
    <s v="Sale of CB,VB,MB,DKM on 8-9-2025"/>
    <n v="18500"/>
    <n v="18500"/>
    <x v="25"/>
    <x v="0"/>
    <x v="1"/>
    <s v="Closed"/>
    <m/>
    <n v="0"/>
    <s v="Corporate Order"/>
    <m/>
    <m/>
    <s v="Sep-25"/>
    <n v="37"/>
    <m/>
  </r>
  <r>
    <d v="2025-09-08T00:00:00"/>
    <s v="Hungersate"/>
    <s v="F2F"/>
    <s v="Corporate"/>
    <s v="F&amp;B Agrigator"/>
    <s v="Srinivas"/>
    <s v="Discussion in regards with takeaway from Bangalore"/>
    <m/>
    <m/>
    <x v="27"/>
    <x v="0"/>
    <x v="3"/>
    <s v="Cold"/>
    <m/>
    <n v="0"/>
    <s v="Corporate Order"/>
    <m/>
    <m/>
    <s v="Sep-25"/>
    <n v="37"/>
    <m/>
  </r>
  <r>
    <d v="2025-09-08T00:00:00"/>
    <s v="Capgemini"/>
    <s v="F2F"/>
    <s v="Corporate"/>
    <s v="IT"/>
    <s v="Ajesh"/>
    <s v="Gokhana Popup counter on 9 sept 2025 at Capgemini Campus &amp; GAR"/>
    <n v="34500"/>
    <n v="34500"/>
    <x v="25"/>
    <x v="0"/>
    <x v="1"/>
    <s v="Closed"/>
    <m/>
    <n v="0"/>
    <s v="Corporate Order"/>
    <m/>
    <m/>
    <s v="Sep-25"/>
    <n v="37"/>
    <m/>
  </r>
  <r>
    <d v="2025-09-09T00:00:00"/>
    <s v="IIT Hyderabad"/>
    <s v="F2F"/>
    <s v="College"/>
    <s v="Education"/>
    <s v="Gopinath"/>
    <s v="Sitevisit and discussion in regards with Permenant counter"/>
    <n v="0"/>
    <n v="0"/>
    <x v="25"/>
    <x v="0"/>
    <x v="1"/>
    <s v="Closed"/>
    <m/>
    <n v="0"/>
    <s v="Corporate Order"/>
    <m/>
    <m/>
    <s v="Sep-25"/>
    <n v="37"/>
    <m/>
  </r>
  <r>
    <d v="2025-09-09T00:00:00"/>
    <s v="Accenture"/>
    <s v="F2F"/>
    <s v="Corporate"/>
    <s v="IT"/>
    <s v="Shiva"/>
    <s v="Site visit for Biryani popup on 12 &amp; 15 Sept 2025"/>
    <n v="0"/>
    <n v="0"/>
    <x v="25"/>
    <x v="0"/>
    <x v="1"/>
    <s v="Closed"/>
    <m/>
    <n v="0"/>
    <s v="Corporate Order"/>
    <m/>
    <m/>
    <s v="Sep-25"/>
    <n v="37"/>
    <m/>
  </r>
  <r>
    <d v="2025-09-09T00:00:00"/>
    <s v="Katria Hotel"/>
    <s v="F2F"/>
    <s v="Corporate"/>
    <s v="Tourism"/>
    <s v="Bhavik Shah"/>
    <s v="Delivery of packed lunch on 16-9-2025"/>
    <n v="0"/>
    <n v="0"/>
    <x v="25"/>
    <x v="0"/>
    <x v="1"/>
    <s v="Closed"/>
    <m/>
    <n v="0"/>
    <s v="Corporate Order"/>
    <m/>
    <m/>
    <s v="Sep-25"/>
    <n v="37"/>
    <m/>
  </r>
  <r>
    <d v="2025-09-09T00:00:00"/>
    <s v="Vardhaman Engineering college"/>
    <s v="F2F"/>
    <s v="College"/>
    <s v="Education"/>
    <s v="Aron"/>
    <s v="Delivery of Biryani on 20-9-2025"/>
    <n v="0"/>
    <n v="0"/>
    <x v="25"/>
    <x v="0"/>
    <x v="1"/>
    <s v="Closed"/>
    <m/>
    <n v="0"/>
    <s v="Corporate Order"/>
    <m/>
    <m/>
    <s v="Sep-25"/>
    <n v="37"/>
    <m/>
  </r>
  <r>
    <d v="2025-09-09T00:00:00"/>
    <s v="Popup Counter at Capital Land Block A"/>
    <s v="Call"/>
    <s v="Corporate"/>
    <s v="F&amp;B Agrigator"/>
    <s v="Vamsi"/>
    <s v="Sale of CB,VB,MB,DKM on 9-9-2025"/>
    <n v="15200"/>
    <n v="15200"/>
    <x v="25"/>
    <x v="0"/>
    <x v="1"/>
    <s v="Closed"/>
    <m/>
    <n v="0"/>
    <s v="Corporate Order"/>
    <m/>
    <m/>
    <s v="Sep-25"/>
    <n v="37"/>
    <m/>
  </r>
  <r>
    <d v="2025-09-10T00:00:00"/>
    <s v="Apex Technology "/>
    <s v="F2F"/>
    <s v="Corporate"/>
    <s v="IT"/>
    <s v="Uttej"/>
    <s v="Snacks for employees on 11-9-25"/>
    <n v="5600"/>
    <n v="5600"/>
    <x v="25"/>
    <x v="0"/>
    <x v="1"/>
    <s v="Closed"/>
    <m/>
    <n v="0"/>
    <s v="Corporate Order"/>
    <m/>
    <m/>
    <s v="Sep-25"/>
    <n v="37"/>
    <m/>
  </r>
  <r>
    <d v="2025-09-10T00:00:00"/>
    <s v="Delivery at SEBLR Banglore (Compass)"/>
    <s v="Call"/>
    <s v="Corporate"/>
    <s v="F&amp;B Agrigator"/>
    <s v="Saad"/>
    <s v="New Delivery at Compass group on 10-9-2025"/>
    <n v="53085"/>
    <n v="53085"/>
    <x v="25"/>
    <x v="1"/>
    <x v="1"/>
    <s v="Closed"/>
    <m/>
    <n v="0"/>
    <s v="Corporate Order"/>
    <m/>
    <m/>
    <s v="Sep-25"/>
    <n v="37"/>
    <m/>
  </r>
  <r>
    <d v="2025-09-10T00:00:00"/>
    <s v="Delivery at Medchal Farm House"/>
    <s v="Call"/>
    <s v="Corporate"/>
    <s v="Tourism"/>
    <s v="Anudeep"/>
    <s v="Delivery of CB,VB,MB on 11-9-2025"/>
    <n v="12500"/>
    <n v="12500"/>
    <x v="25"/>
    <x v="0"/>
    <x v="1"/>
    <s v="Closed"/>
    <m/>
    <n v="0"/>
    <s v="Corporate Order"/>
    <m/>
    <m/>
    <s v="Sep-25"/>
    <n v="37"/>
    <m/>
  </r>
  <r>
    <d v="2025-09-10T00:00:00"/>
    <s v="Popup Counter at Capital Land Block A"/>
    <s v="Call"/>
    <s v="Corporate"/>
    <s v="F&amp;B Agrigator"/>
    <s v="Vamsi"/>
    <s v="Sale of CB,VB,MB,DKM on 10-9-2025"/>
    <n v="15500"/>
    <n v="15500"/>
    <x v="25"/>
    <x v="0"/>
    <x v="1"/>
    <s v="Closed"/>
    <m/>
    <n v="0"/>
    <s v="Corporate Order"/>
    <m/>
    <m/>
    <s v="Sep-25"/>
    <n v="37"/>
    <m/>
  </r>
  <r>
    <d v="2025-09-10T00:00:00"/>
    <s v="Capgemini"/>
    <s v="F2F"/>
    <s v="Corporate"/>
    <s v="IT"/>
    <s v="Ajesh"/>
    <s v="Popup counter on 10 sept 2025 at Capgemini Campus &amp; GAR"/>
    <n v="52210"/>
    <n v="52210"/>
    <x v="25"/>
    <x v="0"/>
    <x v="1"/>
    <s v="Closed"/>
    <m/>
    <n v="0"/>
    <s v="Corporate Order"/>
    <m/>
    <m/>
    <s v="Sep-25"/>
    <n v="37"/>
    <m/>
  </r>
  <r>
    <d v="2025-09-11T00:00:00"/>
    <s v="Capgemini"/>
    <s v="Call"/>
    <s v="Corporate"/>
    <s v="IT"/>
    <s v="Ajesh"/>
    <s v=" Gokhana Popup counter on 11 sept 2025 at Capgemini Campus &amp; GAR"/>
    <n v="44050"/>
    <n v="44050"/>
    <x v="25"/>
    <x v="0"/>
    <x v="1"/>
    <s v="Closed"/>
    <m/>
    <n v="0"/>
    <s v="Corporate Order"/>
    <m/>
    <m/>
    <s v="Sep-25"/>
    <n v="37"/>
    <m/>
  </r>
  <r>
    <d v="2025-09-11T00:00:00"/>
    <s v="Kairams Event"/>
    <s v="F2F"/>
    <s v="Corporate"/>
    <s v="F&amp;B Agregator"/>
    <s v="Varun"/>
    <s v="Popup counter at Taj Deccan for 11 days Bevarage Stall."/>
    <n v="0"/>
    <n v="0"/>
    <x v="25"/>
    <x v="0"/>
    <x v="0"/>
    <s v="Cancelled"/>
    <s v="Not Profitable"/>
    <n v="0"/>
    <s v="Corporate Order"/>
    <m/>
    <m/>
    <s v="Sep-25"/>
    <n v="37"/>
    <m/>
  </r>
  <r>
    <d v="2025-09-11T00:00:00"/>
    <s v="Saga Events &amp; Holidays"/>
    <s v="F2F"/>
    <s v="Corporate"/>
    <s v="Tourism"/>
    <s v="Vikranth"/>
    <s v="Followup for Further business"/>
    <m/>
    <m/>
    <x v="27"/>
    <x v="0"/>
    <x v="3"/>
    <s v="Cold"/>
    <m/>
    <n v="0"/>
    <s v="Corporate Order"/>
    <m/>
    <m/>
    <s v="Sep-25"/>
    <n v="37"/>
    <m/>
  </r>
  <r>
    <d v="2025-09-12T00:00:00"/>
    <s v="ODC at Accunture"/>
    <s v="F2F"/>
    <s v="Corporate"/>
    <s v="IT"/>
    <s v="Shiva"/>
    <s v="Biryani Counter sale on 12-9-2025"/>
    <n v="74531"/>
    <n v="74531"/>
    <x v="25"/>
    <x v="0"/>
    <x v="1"/>
    <s v="Closed"/>
    <m/>
    <n v="0"/>
    <s v="Corporate Order"/>
    <m/>
    <m/>
    <s v="Sep-25"/>
    <n v="37"/>
    <m/>
  </r>
  <r>
    <d v="2025-09-12T00:00:00"/>
    <s v="Azad Engineering"/>
    <s v="F2F"/>
    <s v="Corporate"/>
    <s v="Manufacturing"/>
    <s v="Bharat/Badulla"/>
    <s v="Delivery of Gift Vouchers for employees"/>
    <n v="2150000"/>
    <n v="2150000"/>
    <x v="28"/>
    <x v="0"/>
    <x v="1"/>
    <s v="Closed"/>
    <m/>
    <n v="0"/>
    <s v="Bulk Order"/>
    <m/>
    <m/>
    <s v="Sep-25"/>
    <n v="37"/>
    <m/>
  </r>
  <r>
    <d v="2025-09-12T00:00:00"/>
    <s v="Delivery at Masabtank"/>
    <s v="Call"/>
    <s v="Events"/>
    <s v="Family Group"/>
    <s v="Kind "/>
    <s v="Deliveryof Biryani on 12-9-2025"/>
    <n v="10360"/>
    <n v="10360"/>
    <x v="25"/>
    <x v="0"/>
    <x v="1"/>
    <s v="Closed"/>
    <m/>
    <n v="0"/>
    <s v="Corporate Order"/>
    <m/>
    <m/>
    <s v="Sep-25"/>
    <n v="37"/>
    <m/>
  </r>
  <r>
    <d v="2025-09-13T00:00:00"/>
    <s v="IIT Hyderabad"/>
    <s v="F2F"/>
    <s v="College"/>
    <s v="Education"/>
    <s v="Mohan"/>
    <s v="Biryani popup counter on 13-9-2024"/>
    <n v="40456"/>
    <n v="40456"/>
    <x v="25"/>
    <x v="0"/>
    <x v="1"/>
    <s v="Closed"/>
    <m/>
    <n v="0"/>
    <s v="Corporate Order"/>
    <m/>
    <m/>
    <s v="Sep-25"/>
    <n v="37"/>
    <m/>
  </r>
  <r>
    <d v="2025-09-13T00:00:00"/>
    <s v="Delivery at Himayathnagar"/>
    <s v="Call"/>
    <s v="Event"/>
    <s v="Family Group"/>
    <s v="Dilawar"/>
    <s v="Delivery of Mini CB on  13-9-2025"/>
    <n v="65025"/>
    <n v="65025"/>
    <x v="25"/>
    <x v="0"/>
    <x v="1"/>
    <s v="Closed"/>
    <m/>
    <n v="0"/>
    <s v="Corporate Order"/>
    <m/>
    <m/>
    <s v="Sep-25"/>
    <n v="37"/>
    <m/>
  </r>
  <r>
    <d v="2025-09-14T00:00:00"/>
    <s v="IIT Hyderabad"/>
    <s v="F2F"/>
    <s v="College"/>
    <s v="Education"/>
    <s v="Mohan"/>
    <s v="Biryani popup counter on 14-9-2024"/>
    <n v="19700"/>
    <n v="19700"/>
    <x v="25"/>
    <x v="0"/>
    <x v="1"/>
    <s v="Closed"/>
    <m/>
    <n v="0"/>
    <s v="Corporate Order"/>
    <m/>
    <m/>
    <s v="Sep-25"/>
    <n v="37"/>
    <m/>
  </r>
  <r>
    <d v="2025-09-14T00:00:00"/>
    <s v="Delivery at Yapral Golf Event"/>
    <s v="Call"/>
    <s v="Corporate"/>
    <s v="Defence"/>
    <s v="Ajay"/>
    <s v="Delivery of VB &amp; CB on 14-9-2025"/>
    <n v="50467"/>
    <n v="50467"/>
    <x v="25"/>
    <x v="0"/>
    <x v="1"/>
    <s v="Closed"/>
    <m/>
    <n v="0"/>
    <s v="Corporate Order"/>
    <m/>
    <m/>
    <s v="Sep-25"/>
    <n v="37"/>
    <m/>
  </r>
  <r>
    <d v="2025-09-15T00:00:00"/>
    <s v="IIT Hyderabad"/>
    <s v="F2F"/>
    <s v="College"/>
    <s v="Education"/>
    <s v="Mohan"/>
    <s v="Biryani popup counter on 15-9-2024"/>
    <n v="22500"/>
    <n v="22500"/>
    <x v="25"/>
    <x v="0"/>
    <x v="1"/>
    <s v="Closed"/>
    <m/>
    <n v="0"/>
    <s v="Corporate Order"/>
    <m/>
    <m/>
    <s v="Sep-25"/>
    <n v="38"/>
    <m/>
  </r>
  <r>
    <d v="2025-09-15T00:00:00"/>
    <s v="ODC at Accunture"/>
    <s v="F2F"/>
    <s v="Corporate"/>
    <s v="IT"/>
    <s v="Shiva"/>
    <s v="Biryani Counter sale on 15-9-2025"/>
    <n v="34500"/>
    <n v="34500"/>
    <x v="25"/>
    <x v="0"/>
    <x v="1"/>
    <s v="Closed"/>
    <m/>
    <n v="0"/>
    <s v="Corporate Order"/>
    <m/>
    <m/>
    <s v="Sep-25"/>
    <n v="38"/>
    <m/>
  </r>
  <r>
    <d v="2025-09-15T00:00:00"/>
    <s v="Delivery at Malkajgiri "/>
    <s v="Call"/>
    <s v="Event"/>
    <s v="Family Group"/>
    <s v="Mahesh"/>
    <s v="Delivery of CB at Malkajgiri on 15-9-2025"/>
    <n v="10099"/>
    <n v="10099"/>
    <x v="25"/>
    <x v="0"/>
    <x v="1"/>
    <s v="Closed"/>
    <m/>
    <n v="0"/>
    <s v="Corporate Order"/>
    <m/>
    <m/>
    <s v="Sep-25"/>
    <n v="38"/>
    <m/>
  </r>
  <r>
    <d v="2025-09-16T00:00:00"/>
    <s v="IIT Hyderabad"/>
    <s v="F2F"/>
    <s v="College"/>
    <s v="Education"/>
    <s v="Mohan"/>
    <s v="Biryani popup counter on 16-9-2024"/>
    <n v="18859"/>
    <n v="18859"/>
    <x v="25"/>
    <x v="0"/>
    <x v="1"/>
    <s v="Closed"/>
    <m/>
    <n v="0"/>
    <s v="Corporate Order"/>
    <m/>
    <m/>
    <s v="Sep-25"/>
    <n v="38"/>
    <m/>
  </r>
  <r>
    <d v="2025-09-16T00:00:00"/>
    <s v="Katria Hotel"/>
    <s v="F2F"/>
    <s v="Corporate"/>
    <s v="Tourism"/>
    <s v="Bhavik Shah"/>
    <s v="Delivery of packed lunch on 16-9-2025"/>
    <n v="83500"/>
    <n v="83500"/>
    <x v="25"/>
    <x v="0"/>
    <x v="1"/>
    <s v="Closed"/>
    <m/>
    <n v="0"/>
    <s v="Bulk Order"/>
    <m/>
    <m/>
    <s v="Sep-25"/>
    <n v="38"/>
    <m/>
  </r>
  <r>
    <d v="2025-09-16T00:00:00"/>
    <s v="NVIDIA Graphics (Smart Q)"/>
    <s v="Call"/>
    <s v="Corporate"/>
    <s v="IT"/>
    <s v="Naveen"/>
    <s v="Delivery of MB on 19-9-2025"/>
    <n v="43500"/>
    <n v="43500"/>
    <x v="25"/>
    <x v="0"/>
    <x v="1"/>
    <s v="Closed"/>
    <m/>
    <n v="0"/>
    <s v="Corporate Order"/>
    <m/>
    <m/>
    <s v="Sep-25"/>
    <n v="38"/>
    <m/>
  </r>
  <r>
    <d v="2025-09-17T00:00:00"/>
    <s v="Delivery at SEBLR Banglore (Compass)"/>
    <s v="Call"/>
    <s v="Corporate"/>
    <s v="F&amp;B Agrigator"/>
    <s v="Saad"/>
    <s v="New Delivery at Compass group on 17-9-2025"/>
    <n v="39940"/>
    <n v="39940"/>
    <x v="25"/>
    <x v="1"/>
    <x v="1"/>
    <s v="Closed"/>
    <m/>
    <n v="0"/>
    <s v="Corporate Order"/>
    <m/>
    <m/>
    <s v="Sep-25"/>
    <n v="38"/>
    <m/>
  </r>
  <r>
    <d v="2025-09-17T00:00:00"/>
    <s v="IIT Hyderabad"/>
    <s v="F2F"/>
    <s v="College"/>
    <s v="Education"/>
    <s v="Mohan"/>
    <s v="Biryani popup counter on 17-9-2024"/>
    <n v="19859"/>
    <n v="19859"/>
    <x v="25"/>
    <x v="0"/>
    <x v="1"/>
    <s v="Closed"/>
    <m/>
    <n v="0"/>
    <s v="Corporate Order"/>
    <m/>
    <m/>
    <s v="Sep-25"/>
    <n v="38"/>
    <m/>
  </r>
  <r>
    <d v="2025-09-17T00:00:00"/>
    <s v="NVIDIA Graphics"/>
    <s v="Call"/>
    <s v="Corporate"/>
    <s v="IT"/>
    <s v="Naveen"/>
    <s v="Delivery of MB on 18-9-2025, Sight Visit"/>
    <n v="0"/>
    <n v="0"/>
    <x v="25"/>
    <x v="0"/>
    <x v="1"/>
    <s v="Closed"/>
    <m/>
    <n v="0"/>
    <s v="Corporate Order"/>
    <m/>
    <m/>
    <s v="Sep-25"/>
    <n v="38"/>
    <m/>
  </r>
  <r>
    <d v="2025-09-17T00:00:00"/>
    <s v="Popup Counter at Capital Land Block A"/>
    <s v="Call"/>
    <s v="Corporate"/>
    <s v="F&amp;B Agrigator"/>
    <s v="Vamsi"/>
    <s v="Sale of CB,VB,MB,DKM on 17-9-2025"/>
    <n v="22000"/>
    <n v="22000"/>
    <x v="25"/>
    <x v="0"/>
    <x v="1"/>
    <s v="Closed"/>
    <m/>
    <n v="0"/>
    <s v="Corporate Order"/>
    <m/>
    <m/>
    <s v="Sep-25"/>
    <n v="38"/>
    <m/>
  </r>
  <r>
    <d v="2025-09-18T00:00:00"/>
    <s v="IIT Hyderabad"/>
    <s v="F2F"/>
    <s v="College"/>
    <s v="Education"/>
    <s v="Mohan"/>
    <s v="Biryani popup counter on 18-9-2024"/>
    <n v="19859"/>
    <n v="19859"/>
    <x v="25"/>
    <x v="0"/>
    <x v="1"/>
    <s v="Closed"/>
    <m/>
    <n v="0"/>
    <s v="Corporate Order"/>
    <m/>
    <m/>
    <s v="Sep-25"/>
    <n v="38"/>
    <m/>
  </r>
  <r>
    <d v="2025-09-18T00:00:00"/>
    <s v="Popup Counter at Capital Land Block A"/>
    <s v="Call"/>
    <s v="Corporate"/>
    <s v="F&amp;B Agrigator"/>
    <s v="Vamsi"/>
    <s v="Sale of CB,VB,MB,DKM on 18-9-2025"/>
    <n v="14850"/>
    <n v="14850"/>
    <x v="25"/>
    <x v="0"/>
    <x v="1"/>
    <s v="Closed"/>
    <m/>
    <n v="0"/>
    <s v="Corporate Order"/>
    <m/>
    <m/>
    <s v="Sep-25"/>
    <n v="38"/>
    <m/>
  </r>
  <r>
    <d v="2025-09-18T00:00:00"/>
    <s v="Delivery at Shamshabad"/>
    <s v="Call"/>
    <s v="Corporate"/>
    <s v="Tourism"/>
    <s v="Mahesh"/>
    <s v="Delivery of CB &amp; MB on 18-9-2025"/>
    <n v="19248"/>
    <n v="19248"/>
    <x v="25"/>
    <x v="0"/>
    <x v="1"/>
    <s v="Closed"/>
    <m/>
    <n v="0"/>
    <s v="Corporate Order"/>
    <m/>
    <m/>
    <s v="Sep-25"/>
    <n v="38"/>
    <m/>
  </r>
  <r>
    <d v="2025-09-19T00:00:00"/>
    <s v="IIT Hyderabad"/>
    <s v="F2F"/>
    <s v="College"/>
    <s v="Education"/>
    <s v="Mohan"/>
    <s v="Biryani popup counter on 19-9-2024"/>
    <n v="20500"/>
    <n v="20500"/>
    <x v="25"/>
    <x v="0"/>
    <x v="1"/>
    <s v="Closed"/>
    <m/>
    <n v="0"/>
    <s v="Corporate Order"/>
    <m/>
    <m/>
    <s v="Sep-25"/>
    <n v="38"/>
    <m/>
  </r>
  <r>
    <d v="2025-09-19T00:00:00"/>
    <s v="Popup Counter at Capital Land Block A"/>
    <s v="Call"/>
    <s v="Corporate"/>
    <s v="F&amp;B Agrigator"/>
    <s v="Vamsi"/>
    <s v="Sale of CB,VB,MB,DKM on 18-9-2025"/>
    <n v="22000"/>
    <n v="22000"/>
    <x v="25"/>
    <x v="0"/>
    <x v="1"/>
    <s v="Closed"/>
    <m/>
    <n v="0"/>
    <s v="Corporate Order"/>
    <m/>
    <m/>
    <s v="Sep-25"/>
    <n v="38"/>
    <m/>
  </r>
  <r>
    <d v="2025-09-19T00:00:00"/>
    <s v="Delivery at Hitex"/>
    <s v="Call"/>
    <s v="Corporate"/>
    <s v="Government"/>
    <s v="Srinu"/>
    <s v="Delivery of CB &amp; Chicken 65 on 18,19&amp;20 Sept 2025"/>
    <n v="217000"/>
    <n v="217000"/>
    <x v="25"/>
    <x v="0"/>
    <x v="1"/>
    <s v="Closed"/>
    <m/>
    <n v="0"/>
    <s v="Corporate Order"/>
    <m/>
    <m/>
    <s v="Sep-25"/>
    <n v="38"/>
    <m/>
  </r>
  <r>
    <d v="2025-09-20T00:00:00"/>
    <s v="vardhaman Engineering College"/>
    <s v="F2F"/>
    <s v="College"/>
    <s v="Education"/>
    <s v="Aron"/>
    <s v="Delivery of Biryani on 20-9-2025"/>
    <n v="180700"/>
    <n v="180700"/>
    <x v="25"/>
    <x v="0"/>
    <x v="1"/>
    <s v="Closed"/>
    <m/>
    <n v="0"/>
    <s v="Corporate Order"/>
    <m/>
    <m/>
    <s v="Sep-25"/>
    <n v="38"/>
    <m/>
  </r>
  <r>
    <d v="2025-09-20T00:00:00"/>
    <s v="IIT Hyderabad"/>
    <s v="Call"/>
    <s v="College"/>
    <s v="Education"/>
    <s v="Mohan"/>
    <s v="Biryani popup counter on 20-9-2024"/>
    <n v="22500"/>
    <n v="22500"/>
    <x v="25"/>
    <x v="0"/>
    <x v="1"/>
    <s v="Closed"/>
    <m/>
    <n v="0"/>
    <s v="Corporate Order"/>
    <m/>
    <m/>
    <s v="Sep-25"/>
    <n v="38"/>
    <m/>
  </r>
  <r>
    <d v="2025-09-21T00:00:00"/>
    <s v="IIT Hyderabad"/>
    <s v="Call"/>
    <s v="College"/>
    <s v="Education"/>
    <s v="Mohan"/>
    <s v="Biryani popup counter on 21-9-2024"/>
    <n v="23200"/>
    <n v="23200"/>
    <x v="25"/>
    <x v="0"/>
    <x v="1"/>
    <s v="Closed"/>
    <m/>
    <n v="0"/>
    <s v="Corporate Order"/>
    <m/>
    <m/>
    <s v="Sep-25"/>
    <n v="38"/>
    <m/>
  </r>
  <r>
    <d v="2025-09-21T00:00:00"/>
    <s v="Take away from Uppal"/>
    <s v="Call"/>
    <s v="Events"/>
    <s v="Family Group"/>
    <s v="Ramya"/>
    <s v="Take away of Cb on 21-9-2025"/>
    <n v="9500"/>
    <n v="9500"/>
    <x v="25"/>
    <x v="0"/>
    <x v="1"/>
    <s v="Closed"/>
    <m/>
    <n v="0"/>
    <s v="Corporate Order"/>
    <m/>
    <m/>
    <s v="Sep-25"/>
    <n v="38"/>
    <m/>
  </r>
  <r>
    <d v="2025-09-22T00:00:00"/>
    <s v="IIT Hyderabad"/>
    <s v="F2F"/>
    <s v="College"/>
    <s v="Education"/>
    <s v="Mohan"/>
    <s v="Biryani popup counter on 22-9-2024"/>
    <n v="18500"/>
    <n v="18500"/>
    <x v="25"/>
    <x v="0"/>
    <x v="1"/>
    <s v="Closed"/>
    <m/>
    <n v="0"/>
    <s v="Corporate Order"/>
    <m/>
    <m/>
    <s v="Sep-25"/>
    <n v="39"/>
    <m/>
  </r>
  <r>
    <d v="2025-09-22T00:00:00"/>
    <s v="Popup Counter at Capital Land Block A"/>
    <s v="Call"/>
    <s v="Corporate"/>
    <s v="F&amp;B Agrigator"/>
    <s v="Vamsi"/>
    <s v="Sale of CB,VB,MB,DKM on 22-9-2025"/>
    <n v="19200"/>
    <n v="19200"/>
    <x v="25"/>
    <x v="0"/>
    <x v="1"/>
    <s v="Closed"/>
    <m/>
    <n v="0"/>
    <s v="Corporate Order"/>
    <m/>
    <m/>
    <s v="Sep-25"/>
    <n v="39"/>
    <m/>
  </r>
  <r>
    <d v="2025-09-22T00:00:00"/>
    <s v="Astrazenica"/>
    <s v="Call"/>
    <s v="Corporate"/>
    <s v="Pharma"/>
    <s v="Sandeep"/>
    <s v="Delivery of CB on 26-9-2025"/>
    <n v="12275"/>
    <n v="12275"/>
    <x v="25"/>
    <x v="0"/>
    <x v="1"/>
    <s v="Closed"/>
    <m/>
    <n v="0"/>
    <s v="Corporate Order"/>
    <m/>
    <m/>
    <s v="Sep-25"/>
    <n v="39"/>
    <m/>
  </r>
  <r>
    <d v="2025-09-23T00:00:00"/>
    <s v="IIT Hyderabad"/>
    <s v="Call"/>
    <s v="College"/>
    <s v="Education"/>
    <s v="Mohan"/>
    <s v="Biryani popup counter on 23-9-2024"/>
    <n v="22500"/>
    <n v="22500"/>
    <x v="25"/>
    <x v="0"/>
    <x v="1"/>
    <s v="Closed"/>
    <m/>
    <n v="0"/>
    <s v="Corporate Order"/>
    <m/>
    <m/>
    <s v="Sep-25"/>
    <n v="39"/>
    <m/>
  </r>
  <r>
    <d v="2025-09-23T00:00:00"/>
    <s v="Popup Counter at Capital Land Block A"/>
    <s v="F2F"/>
    <s v="Corporate"/>
    <s v="F&amp;B Agrigator"/>
    <s v="Vamsi"/>
    <s v="Sale of CB,VB,MB,DKM on 23-9-2025"/>
    <n v="16500"/>
    <n v="16500"/>
    <x v="25"/>
    <x v="0"/>
    <x v="1"/>
    <s v="Closed"/>
    <m/>
    <n v="0"/>
    <s v="Corporate Order"/>
    <m/>
    <m/>
    <s v="Sep-25"/>
    <n v="39"/>
    <m/>
  </r>
  <r>
    <d v="2025-09-23T00:00:00"/>
    <s v="Intercity Transport Logistics"/>
    <s v="F2F"/>
    <s v="Corporate"/>
    <s v="IT"/>
    <s v="Mallikarjuna"/>
    <s v="Dusshera Lunch for 700 "/>
    <n v="0"/>
    <n v="0"/>
    <x v="25"/>
    <x v="0"/>
    <x v="1"/>
    <s v="Closed"/>
    <m/>
    <n v="0"/>
    <s v="Bulk Order"/>
    <m/>
    <m/>
    <s v="Sep-25"/>
    <n v="39"/>
    <m/>
  </r>
  <r>
    <d v="2025-09-23T00:00:00"/>
    <s v="Vardhaman Engineering College"/>
    <s v="F2F"/>
    <s v="College"/>
    <s v="Education"/>
    <s v="Jabbar"/>
    <s v="Delivery of CB on 26-9-2025"/>
    <n v="60000"/>
    <m/>
    <x v="25"/>
    <x v="0"/>
    <x v="0"/>
    <s v="Cancelled"/>
    <s v="Less Budget"/>
    <n v="0"/>
    <s v="Bulk Order"/>
    <m/>
    <m/>
    <s v="Sep-25"/>
    <n v="39"/>
    <m/>
  </r>
  <r>
    <d v="2025-09-24T00:00:00"/>
    <s v="IIT Hyderabad"/>
    <s v="Call"/>
    <s v="College"/>
    <s v="Education"/>
    <s v="Mohan"/>
    <s v="Biryani popup counter on 24-9-2024"/>
    <n v="19500"/>
    <n v="19500"/>
    <x v="25"/>
    <x v="0"/>
    <x v="1"/>
    <s v="Closed"/>
    <m/>
    <n v="0"/>
    <s v="Corporate Order"/>
    <m/>
    <m/>
    <s v="Sep-25"/>
    <n v="39"/>
    <m/>
  </r>
  <r>
    <d v="2025-09-24T00:00:00"/>
    <s v="Popup Counter at Capital Land Block A"/>
    <s v="F2F"/>
    <s v="Corporate"/>
    <s v="F&amp;B Agrigator"/>
    <s v="Vamsi"/>
    <s v="Sale of CB,VB,MB,DKM on 24-9-2025"/>
    <n v="16330"/>
    <n v="16330"/>
    <x v="25"/>
    <x v="0"/>
    <x v="1"/>
    <s v="Closed"/>
    <m/>
    <n v="0"/>
    <s v="Corporate Order"/>
    <m/>
    <m/>
    <s v="Sep-25"/>
    <n v="39"/>
    <m/>
  </r>
  <r>
    <d v="2025-09-24T00:00:00"/>
    <s v="Delivery at SEBLR Banglore (Compass)"/>
    <s v="Call"/>
    <s v="Corporate"/>
    <s v="F&amp;B Agrigator"/>
    <s v="Saad"/>
    <s v="New Delivery at Compass group on 24-9-2025"/>
    <n v="39940"/>
    <n v="39940"/>
    <x v="25"/>
    <x v="1"/>
    <x v="1"/>
    <s v="Closed"/>
    <m/>
    <n v="0"/>
    <s v="Bulk Order"/>
    <m/>
    <m/>
    <s v="Sep-25"/>
    <n v="39"/>
    <m/>
  </r>
  <r>
    <d v="2025-09-24T00:00:00"/>
    <s v="Platos"/>
    <s v="F2F"/>
    <s v="Corporate"/>
    <s v="F&amp;B Agregator"/>
    <s v="Teja"/>
    <s v="Delivery of CB in Bangalore"/>
    <n v="700000"/>
    <m/>
    <x v="18"/>
    <x v="0"/>
    <x v="0"/>
    <s v="Cancelled"/>
    <m/>
    <n v="0"/>
    <s v="Corporate Order"/>
    <m/>
    <m/>
    <s v="Sep-25"/>
    <n v="39"/>
    <m/>
  </r>
  <r>
    <d v="2025-09-24T00:00:00"/>
    <s v="Intercity Transport Logistics"/>
    <s v="F2F"/>
    <s v="Corporate"/>
    <s v="IT"/>
    <s v="Mallikarjuna"/>
    <s v="Dusshera Lunch for 700 on 28-09-2025"/>
    <n v="0"/>
    <n v="0"/>
    <x v="25"/>
    <x v="0"/>
    <x v="1"/>
    <s v="Closed"/>
    <m/>
    <n v="0"/>
    <s v="Bulk Order"/>
    <m/>
    <m/>
    <s v="Sep-25"/>
    <n v="39"/>
    <m/>
  </r>
  <r>
    <d v="2025-09-25T00:00:00"/>
    <s v="IIT Hyderabad"/>
    <s v="Call"/>
    <s v="College"/>
    <s v="Education"/>
    <s v="Mohan"/>
    <s v="Biryani popup counter on 24-9-2024"/>
    <n v="19500"/>
    <n v="19500"/>
    <x v="25"/>
    <x v="0"/>
    <x v="1"/>
    <s v="Closed"/>
    <m/>
    <n v="0"/>
    <s v="Corporate Order"/>
    <m/>
    <m/>
    <s v="Sep-25"/>
    <n v="39"/>
    <m/>
  </r>
  <r>
    <d v="2025-09-25T00:00:00"/>
    <s v="Popup Counter at Capital Land Block A"/>
    <s v="F2F"/>
    <s v="Corporate"/>
    <s v="F&amp;B Agrigator"/>
    <s v="Vamsi"/>
    <s v="Sale of CB,VB,MB,DKM on 25-9-2025"/>
    <n v="18330"/>
    <n v="18330"/>
    <x v="25"/>
    <x v="0"/>
    <x v="1"/>
    <s v="Closed"/>
    <m/>
    <n v="0"/>
    <s v="Corporate Order"/>
    <m/>
    <m/>
    <s v="Sep-25"/>
    <n v="39"/>
    <m/>
  </r>
  <r>
    <d v="2025-09-25T00:00:00"/>
    <s v="Accenture"/>
    <s v="F2F"/>
    <s v="Corporate"/>
    <s v="IT"/>
    <s v="Afroz"/>
    <s v="ODC in October"/>
    <n v="0"/>
    <m/>
    <x v="28"/>
    <x v="0"/>
    <x v="1"/>
    <s v="Closed"/>
    <m/>
    <n v="0"/>
    <s v="Corporate Order"/>
    <m/>
    <m/>
    <s v="Sep-25"/>
    <n v="39"/>
    <m/>
  </r>
  <r>
    <d v="2025-09-25T00:00:00"/>
    <s v="IIT Hyderabad"/>
    <s v="Call"/>
    <s v="College"/>
    <s v="Education"/>
    <s v="Gopinath"/>
    <s v="Popup counter "/>
    <n v="0"/>
    <n v="0"/>
    <x v="24"/>
    <x v="0"/>
    <x v="1"/>
    <s v="Closed"/>
    <s v=" "/>
    <n v="0"/>
    <s v="Corporate Order"/>
    <m/>
    <m/>
    <s v="Sep-25"/>
    <n v="39"/>
    <m/>
  </r>
  <r>
    <d v="2025-09-25T00:00:00"/>
    <s v="Anthea Prarma "/>
    <s v="F2F"/>
    <s v="Corporate"/>
    <s v="Pharma"/>
    <s v="Jaipal"/>
    <s v="Take away for October month"/>
    <n v="0"/>
    <n v="0"/>
    <x v="24"/>
    <x v="0"/>
    <x v="1"/>
    <s v="Closed"/>
    <m/>
    <n v="0"/>
    <s v="Corporate Order"/>
    <m/>
    <m/>
    <s v="Sep-25"/>
    <n v="39"/>
    <m/>
  </r>
  <r>
    <d v="2025-09-26T00:00:00"/>
    <s v="IIT Hyderabad"/>
    <s v="Call"/>
    <s v="College"/>
    <s v="Education"/>
    <s v="Mohan"/>
    <s v="Biryani popup counter on 26-9-2024"/>
    <n v="15000"/>
    <n v="15000"/>
    <x v="25"/>
    <x v="0"/>
    <x v="1"/>
    <s v="Closed"/>
    <m/>
    <n v="0"/>
    <s v="Corporate Order"/>
    <m/>
    <m/>
    <s v="Sep-25"/>
    <n v="39"/>
    <m/>
  </r>
  <r>
    <d v="2025-09-26T00:00:00"/>
    <s v="Popup Counter at Capital Land Block A"/>
    <s v="F2F"/>
    <s v="Corporate"/>
    <s v="F&amp;B Agrigator"/>
    <s v="Vamsi"/>
    <s v="Sale of CB,VB,MB,DKM on 26-9-2025"/>
    <n v="18330"/>
    <n v="18330"/>
    <x v="25"/>
    <x v="0"/>
    <x v="1"/>
    <s v="Closed"/>
    <m/>
    <n v="0"/>
    <s v="Corporate Order"/>
    <m/>
    <m/>
    <s v="Sep-25"/>
    <n v="39"/>
    <m/>
  </r>
  <r>
    <d v="2025-09-26T00:00:00"/>
    <s v="Axix Securities"/>
    <s v="F2F"/>
    <s v="Corporate"/>
    <s v="Banking Finance &amp; Insurance"/>
    <s v="Nilesh"/>
    <s v="Delivery of VB &amp; Kabab on 29-9-2025"/>
    <n v="11200"/>
    <n v="11200"/>
    <x v="25"/>
    <x v="0"/>
    <x v="1"/>
    <s v="Closed"/>
    <m/>
    <n v="0"/>
    <s v="Corporate Order"/>
    <m/>
    <m/>
    <s v="Sep-25"/>
    <n v="39"/>
    <m/>
  </r>
  <r>
    <d v="2025-09-27T00:00:00"/>
    <s v="IIT Hyderabad"/>
    <s v="Call"/>
    <s v="College"/>
    <s v="Education"/>
    <s v="Mohan"/>
    <s v="Biryani popup counter on 27-9-2024"/>
    <n v="14000"/>
    <n v="14000"/>
    <x v="25"/>
    <x v="0"/>
    <x v="1"/>
    <s v="Closed"/>
    <m/>
    <n v="0"/>
    <s v="Corporate Order"/>
    <m/>
    <m/>
    <s v="Sep-25"/>
    <n v="39"/>
    <m/>
  </r>
  <r>
    <d v="2025-09-28T00:00:00"/>
    <s v="IIT Hyderabad"/>
    <s v="Call"/>
    <s v="College"/>
    <s v="Education"/>
    <s v="Mohan"/>
    <s v="Biryani popup counter on 27-9-2024"/>
    <n v="6500"/>
    <n v="6500"/>
    <x v="25"/>
    <x v="0"/>
    <x v="1"/>
    <s v="Closed"/>
    <m/>
    <n v="0"/>
    <s v="Corporate Order"/>
    <m/>
    <m/>
    <s v="Sep-25"/>
    <n v="39"/>
    <m/>
  </r>
  <r>
    <d v="2025-09-28T00:00:00"/>
    <s v="Intercity Transport Logistics"/>
    <s v="F2F"/>
    <s v="Corporate"/>
    <s v="IT"/>
    <s v="Mallikarjuna"/>
    <s v="Dusshera Lunch for 700 on 28-09-2025"/>
    <n v="199120"/>
    <n v="199120"/>
    <x v="25"/>
    <x v="0"/>
    <x v="1"/>
    <s v="Closed"/>
    <m/>
    <n v="0"/>
    <s v="Bulk Order"/>
    <m/>
    <m/>
    <s v="Sep-25"/>
    <n v="39"/>
    <m/>
  </r>
  <r>
    <d v="2025-09-29T00:00:00"/>
    <s v="IIT Hyderabad"/>
    <s v="Call"/>
    <s v="College"/>
    <s v="Education"/>
    <s v="Mohan"/>
    <s v="Biryani popup counter on 29-9-2024"/>
    <n v="16500"/>
    <n v="16500"/>
    <x v="25"/>
    <x v="0"/>
    <x v="1"/>
    <s v="Closed"/>
    <m/>
    <n v="0"/>
    <s v="Corporate Order"/>
    <m/>
    <m/>
    <s v="Sep-25"/>
    <n v="40"/>
    <m/>
  </r>
  <r>
    <d v="2025-09-29T00:00:00"/>
    <s v="Popup Counter at Capital Land Block A"/>
    <s v="Call"/>
    <s v="Corporate"/>
    <s v="F&amp;B Agrigator"/>
    <s v="Vamsi"/>
    <s v="Sale of CB,VB,MB,DKM on 29-9-2025"/>
    <n v="10267"/>
    <n v="10267"/>
    <x v="25"/>
    <x v="0"/>
    <x v="1"/>
    <s v="Closed"/>
    <m/>
    <n v="0"/>
    <s v="Corporate Order"/>
    <m/>
    <m/>
    <s v="Sep-25"/>
    <n v="40"/>
    <m/>
  </r>
  <r>
    <d v="2025-09-29T00:00:00"/>
    <s v="Intercity Transport Logistics"/>
    <s v="F2F"/>
    <s v="Corporate"/>
    <s v="IT"/>
    <s v="Mallikarjuna"/>
    <s v="Payment followup and delivery on 1-10-2025"/>
    <n v="63000"/>
    <n v="63000"/>
    <x v="28"/>
    <x v="0"/>
    <x v="1"/>
    <s v="Closed"/>
    <m/>
    <n v="0"/>
    <s v="Bulk Order"/>
    <m/>
    <m/>
    <s v="Sep-25"/>
    <n v="40"/>
    <m/>
  </r>
  <r>
    <d v="2025-09-29T00:00:00"/>
    <s v="Anthea Pharma"/>
    <s v="F2F"/>
    <s v="Corporate"/>
    <s v="Pharma"/>
    <s v="Jaipal"/>
    <s v="Take away of CB &amp; VB in September month "/>
    <n v="20500"/>
    <n v="20500"/>
    <x v="25"/>
    <x v="0"/>
    <x v="1"/>
    <s v="Closed"/>
    <m/>
    <n v="0"/>
    <s v="Corporate Order"/>
    <m/>
    <m/>
    <s v="Sep-25"/>
    <n v="40"/>
    <m/>
  </r>
  <r>
    <d v="2025-09-30T00:00:00"/>
    <s v="IIT Hyderabad"/>
    <s v="Call"/>
    <s v="College"/>
    <s v="Education"/>
    <s v="Mohan"/>
    <s v="Biryani popup counter on 30-9-2024"/>
    <n v="12500"/>
    <n v="12500"/>
    <x v="25"/>
    <x v="0"/>
    <x v="1"/>
    <s v="Closed"/>
    <m/>
    <n v="0"/>
    <s v="Corporate Order"/>
    <m/>
    <m/>
    <s v="Sep-25"/>
    <n v="40"/>
    <m/>
  </r>
  <r>
    <d v="2025-09-30T00:00:00"/>
    <s v="Popup Counter at Capital Land Block A"/>
    <s v="Call"/>
    <s v="Corporate"/>
    <s v="F&amp;B Agrigator"/>
    <s v="Vamsi"/>
    <s v="Sale of CB,VB,MB,DKM on 29-9-2025"/>
    <n v="9550"/>
    <n v="9550"/>
    <x v="25"/>
    <x v="0"/>
    <x v="1"/>
    <s v="Closed"/>
    <m/>
    <n v="0"/>
    <s v="Corporate Order"/>
    <m/>
    <m/>
    <s v="Sep-25"/>
    <n v="40"/>
    <m/>
  </r>
  <r>
    <d v="2025-09-30T00:00:00"/>
    <s v="Intercity Transport Logistics"/>
    <s v="F2F"/>
    <s v="Corporate"/>
    <s v="IT"/>
    <s v="Mallikarjuna"/>
    <s v="Confirmation of delivery 3 location on 1-10-2025"/>
    <n v="0"/>
    <n v="0"/>
    <x v="28"/>
    <x v="0"/>
    <x v="1"/>
    <s v="Closed"/>
    <m/>
    <n v="0"/>
    <s v="Bulk Order"/>
    <m/>
    <m/>
    <s v="Sep-25"/>
    <n v="40"/>
    <m/>
  </r>
  <r>
    <d v="2025-10-01T00:00:00"/>
    <s v="Popup Counter at Capital Land Block A"/>
    <s v="Call"/>
    <s v="Corporate"/>
    <s v="F&amp;B Agrigator"/>
    <s v="Vamsi"/>
    <s v="Sale of CB,VB,MB,DKM on 1-10-2025"/>
    <n v="6355"/>
    <n v="6355"/>
    <x v="28"/>
    <x v="0"/>
    <x v="1"/>
    <s v="Closed"/>
    <m/>
    <n v="0"/>
    <s v="Corporate Order"/>
    <m/>
    <m/>
    <s v="Oct-25"/>
    <n v="40"/>
    <m/>
  </r>
  <r>
    <d v="2025-10-01T00:00:00"/>
    <s v="Delivery at SEBLR Banglore (Compass)"/>
    <s v="Call"/>
    <s v="Corporate"/>
    <s v="F&amp;B Agrigator"/>
    <s v="Saad"/>
    <s v="New Delivery at Compass group on 1-10-2025"/>
    <n v="25279"/>
    <n v="25279"/>
    <x v="28"/>
    <x v="1"/>
    <x v="1"/>
    <s v="Closed"/>
    <m/>
    <n v="0"/>
    <s v="Bulk Order"/>
    <m/>
    <m/>
    <s v="Oct-25"/>
    <n v="40"/>
    <m/>
  </r>
  <r>
    <d v="2025-10-02T00:00:00"/>
    <s v="Vollyball Leaug Gachibowli stadium"/>
    <s v="F2F"/>
    <s v="Corporate"/>
    <s v="F&amp;B Agrigator"/>
    <s v="Varun"/>
    <s v="Popup counter on 02-20-2025"/>
    <n v="5500"/>
    <n v="5500"/>
    <x v="28"/>
    <x v="0"/>
    <x v="1"/>
    <s v="Closed"/>
    <m/>
    <n v="0"/>
    <s v="Corporate Order"/>
    <m/>
    <m/>
    <s v="Oct-25"/>
    <n v="40"/>
    <m/>
  </r>
  <r>
    <d v="2025-10-03T00:00:00"/>
    <s v="JCNM Church"/>
    <s v="Call "/>
    <s v="Church"/>
    <s v="Community"/>
    <s v="Daniel Pramod"/>
    <s v="Followup for delivery of CB on 25-12-2025"/>
    <n v="3224730"/>
    <n v="3224730"/>
    <x v="18"/>
    <x v="0"/>
    <x v="1"/>
    <s v="Closed"/>
    <m/>
    <n v="0"/>
    <s v="Corporate Order"/>
    <m/>
    <m/>
    <s v="Oct-25"/>
    <n v="40"/>
    <m/>
  </r>
  <r>
    <d v="2025-10-03T00:00:00"/>
    <s v="Popup Counter at Capital Land Block A"/>
    <s v="Call"/>
    <s v="Corporate"/>
    <s v="F&amp;B Agrigator"/>
    <s v="Vamsi"/>
    <s v="Sale of CB,VB,MB,DKM on 3-10-2025"/>
    <n v="4935"/>
    <n v="4935"/>
    <x v="28"/>
    <x v="0"/>
    <x v="1"/>
    <s v="Closed"/>
    <m/>
    <n v="0"/>
    <s v="Corporate Order"/>
    <m/>
    <m/>
    <s v="Oct-25"/>
    <n v="40"/>
    <m/>
  </r>
  <r>
    <d v="2025-10-03T00:00:00"/>
    <s v="IIT Hyderabad"/>
    <s v="Call"/>
    <s v="College"/>
    <s v="Education"/>
    <s v="Mohan"/>
    <s v="Biryani popup counter on 3-10-2025"/>
    <n v="8000"/>
    <n v="8000"/>
    <x v="28"/>
    <x v="0"/>
    <x v="1"/>
    <s v="Closed"/>
    <m/>
    <n v="0"/>
    <s v="Corporate Order"/>
    <m/>
    <m/>
    <s v="Oct-25"/>
    <n v="40"/>
    <m/>
  </r>
  <r>
    <d v="2025-10-05T00:00:00"/>
    <s v="Delivery at Malkajgiri"/>
    <s v="Call"/>
    <s v="Events"/>
    <s v="Family Group"/>
    <s v="Vijay"/>
    <s v="Delivery of Cb on 5-10-2025"/>
    <n v="11569"/>
    <n v="11569"/>
    <x v="28"/>
    <x v="0"/>
    <x v="1"/>
    <s v="Closed"/>
    <m/>
    <n v="0"/>
    <s v="Corporate Order"/>
    <m/>
    <m/>
    <s v="Oct-25"/>
    <n v="40"/>
    <m/>
  </r>
  <r>
    <d v="2025-10-06T00:00:00"/>
    <s v="Popup Counter at Capital Land Block A"/>
    <s v="Call"/>
    <s v="Corporate"/>
    <s v="F&amp;B Agrigator"/>
    <s v="Vamsi"/>
    <s v="Sale of CB,VB,MB,DKM on 6-10-2025"/>
    <n v="9500"/>
    <n v="9500"/>
    <x v="28"/>
    <x v="0"/>
    <x v="1"/>
    <s v="Closed"/>
    <m/>
    <n v="0"/>
    <s v="Corporate Order"/>
    <m/>
    <m/>
    <s v="Oct-25"/>
    <n v="41"/>
    <m/>
  </r>
  <r>
    <d v="2025-10-07T00:00:00"/>
    <s v="Popup Counter at Capital Land Block A"/>
    <s v="Call"/>
    <s v="Corporate"/>
    <s v="F&amp;B Agrigator"/>
    <s v="Vamsi"/>
    <s v="Sale of CB,VB,MB,DKM on 7-10-2025"/>
    <n v="13657"/>
    <n v="13657"/>
    <x v="28"/>
    <x v="0"/>
    <x v="1"/>
    <s v="Closed"/>
    <m/>
    <n v="0"/>
    <s v="Corporate Order"/>
    <m/>
    <m/>
    <s v="Oct-25"/>
    <n v="41"/>
    <m/>
  </r>
  <r>
    <d v="2025-10-07T00:00:00"/>
    <s v="IIT Hyderabad"/>
    <s v="Call"/>
    <s v="College"/>
    <s v="Education"/>
    <s v="Mohan"/>
    <s v="Biryani popup counter on 7-10-2025"/>
    <n v="12000"/>
    <n v="12000"/>
    <x v="28"/>
    <x v="0"/>
    <x v="1"/>
    <s v="Closed"/>
    <m/>
    <n v="0"/>
    <s v="Corporate Order"/>
    <m/>
    <m/>
    <s v="Oct-25"/>
    <n v="41"/>
    <m/>
  </r>
  <r>
    <d v="2025-10-07T00:00:00"/>
    <s v="Accenture"/>
    <s v="F2F"/>
    <s v="Corporate"/>
    <s v="IT"/>
    <s v="Sasidevi"/>
    <s v="Popup of at Accenture on 7-10-2025"/>
    <n v="47590"/>
    <n v="47590"/>
    <x v="28"/>
    <x v="0"/>
    <x v="1"/>
    <s v="Closed"/>
    <m/>
    <n v="0"/>
    <s v="Bulk Order"/>
    <m/>
    <m/>
    <s v="Oct-25"/>
    <n v="41"/>
    <m/>
  </r>
  <r>
    <d v="2025-10-08T00:00:00"/>
    <s v="Popup Counter at Capital Land Block A"/>
    <s v="Call"/>
    <s v="Corporate"/>
    <s v="F&amp;B Agrigator"/>
    <s v="Vamsi"/>
    <s v="Sale of CB,VB,MB,DKM on 8-10-2025"/>
    <n v="12634"/>
    <n v="12634"/>
    <x v="28"/>
    <x v="0"/>
    <x v="1"/>
    <s v="Closed"/>
    <m/>
    <n v="0"/>
    <s v="Corporate Order"/>
    <m/>
    <m/>
    <s v="Oct-25"/>
    <n v="41"/>
    <m/>
  </r>
  <r>
    <d v="2025-10-08T00:00:00"/>
    <s v="IIT Hyderabad"/>
    <s v="Call"/>
    <s v="College"/>
    <s v="Education"/>
    <s v="Mohan"/>
    <s v="Biryani popup counter on 8-10-2025"/>
    <n v="15500"/>
    <n v="15500"/>
    <x v="28"/>
    <x v="0"/>
    <x v="1"/>
    <s v="Closed"/>
    <m/>
    <n v="0"/>
    <s v="Corporate Order"/>
    <m/>
    <m/>
    <s v="Oct-25"/>
    <n v="41"/>
    <m/>
  </r>
  <r>
    <d v="2025-10-08T00:00:00"/>
    <s v="Accenture"/>
    <s v="F2F"/>
    <s v="Corporate"/>
    <s v="IT"/>
    <s v="Sasidevi"/>
    <s v="Popup of at Accenture on 8-10-2025"/>
    <n v="35700"/>
    <n v="35700"/>
    <x v="28"/>
    <x v="0"/>
    <x v="1"/>
    <s v="Closed"/>
    <m/>
    <n v="0"/>
    <s v="Bulk Order"/>
    <m/>
    <m/>
    <s v="Oct-25"/>
    <n v="41"/>
    <m/>
  </r>
  <r>
    <d v="2025-10-08T00:00:00"/>
    <s v="Delivery at SEBLR Banglore (Compass)"/>
    <s v="Call"/>
    <s v="Corporate"/>
    <s v="F&amp;B Agrigator"/>
    <s v="Saad"/>
    <s v="New Delivery at Compass group on 8-10-2025"/>
    <n v="29333"/>
    <n v="29333"/>
    <x v="28"/>
    <x v="1"/>
    <x v="1"/>
    <s v="Closed"/>
    <m/>
    <n v="0"/>
    <s v="Bulk Order"/>
    <m/>
    <m/>
    <s v="Oct-25"/>
    <n v="41"/>
    <m/>
  </r>
  <r>
    <d v="2025-10-08T00:00:00"/>
    <s v="Hari Transport Maharashtra"/>
    <s v="F2F"/>
    <s v="Corporate "/>
    <s v="Tourism"/>
    <s v="Srinivas"/>
    <s v="Dine in of Tourist group from Maharashtra at IMAX"/>
    <n v="70786"/>
    <n v="70786"/>
    <x v="28"/>
    <x v="0"/>
    <x v="0"/>
    <s v="Cancelled"/>
    <m/>
    <n v="0"/>
    <s v="Bulk Order"/>
    <m/>
    <m/>
    <s v="Oct-25"/>
    <n v="41"/>
    <m/>
  </r>
  <r>
    <d v="2025-10-08T00:00:00"/>
    <s v="Platos"/>
    <s v="F2F"/>
    <s v="Corporate"/>
    <s v="F&amp;B Agrigator"/>
    <s v="Rohan"/>
    <s v="Followup for  Delivery of employee lunch on 13-10-2025"/>
    <n v="100000"/>
    <m/>
    <x v="18"/>
    <x v="0"/>
    <x v="0"/>
    <s v="Cancelled"/>
    <m/>
    <n v="0"/>
    <s v="Bulk Order"/>
    <m/>
    <m/>
    <s v="Oct-25"/>
    <n v="41"/>
    <m/>
  </r>
  <r>
    <d v="2025-10-09T00:00:00"/>
    <s v="Cube Highways"/>
    <s v="F2F"/>
    <s v="Corporate"/>
    <s v="Realestate"/>
    <s v="Saikiran"/>
    <s v="Shared details of Buffet lunch on 16-9-2025  160017"/>
    <n v="161700"/>
    <n v="161700"/>
    <x v="28"/>
    <x v="0"/>
    <x v="1"/>
    <s v="Closed"/>
    <m/>
    <n v="0"/>
    <s v="Bulk Order"/>
    <m/>
    <m/>
    <s v="Oct-25"/>
    <n v="41"/>
    <m/>
  </r>
  <r>
    <d v="2025-10-09T00:00:00"/>
    <s v="Popup Counter at Capital Land Block A"/>
    <s v="Call"/>
    <s v="Corporate"/>
    <s v="F&amp;B Agrigator"/>
    <s v="Vamsi"/>
    <s v="Sale of CB,VB,MB,DKM on 9-10-2025"/>
    <n v="14500"/>
    <n v="14500"/>
    <x v="28"/>
    <x v="0"/>
    <x v="1"/>
    <s v="Closed"/>
    <m/>
    <n v="0"/>
    <s v="Corporate Order"/>
    <m/>
    <m/>
    <s v="Oct-25"/>
    <n v="41"/>
    <m/>
  </r>
  <r>
    <d v="2025-10-09T00:00:00"/>
    <s v="AO Production "/>
    <s v="F2F"/>
    <s v="Corporate"/>
    <s v="Tourism"/>
    <s v="Srinivas"/>
    <s v="Dine in at Shamshabad &amp; Imax on 12-10-2025"/>
    <n v="216348"/>
    <n v="216348"/>
    <x v="28"/>
    <x v="0"/>
    <x v="1"/>
    <s v="Closed"/>
    <m/>
    <n v="0"/>
    <s v="Bulk Order"/>
    <m/>
    <m/>
    <s v="Oct-25"/>
    <n v="41"/>
    <m/>
  </r>
  <r>
    <d v="2025-10-09T00:00:00"/>
    <s v="Accenture Waverock"/>
    <s v="F2F"/>
    <s v="Corporate"/>
    <s v="IT"/>
    <s v="Sasidevi"/>
    <s v="Popup of at Accenture on 9-10-2025"/>
    <n v="23500"/>
    <n v="23500"/>
    <x v="28"/>
    <x v="0"/>
    <x v="1"/>
    <s v="Closed"/>
    <m/>
    <n v="0"/>
    <s v="Bulk Order"/>
    <m/>
    <m/>
    <s v="Oct-25"/>
    <n v="41"/>
    <m/>
  </r>
  <r>
    <d v="2025-10-10T00:00:00"/>
    <s v="Popup Counter at Capital Land Block A"/>
    <s v="Call"/>
    <s v="Corporate"/>
    <s v="F&amp;B Agrigator"/>
    <s v="Vamsi"/>
    <s v="Sale of CB,VB,MB,DKM on 10-10-2025"/>
    <n v="13850"/>
    <n v="13850"/>
    <x v="28"/>
    <x v="0"/>
    <x v="1"/>
    <s v="Closed"/>
    <m/>
    <n v="0"/>
    <s v="Corporate Order"/>
    <m/>
    <m/>
    <s v="Oct-25"/>
    <n v="41"/>
    <m/>
  </r>
  <r>
    <d v="2025-10-10T00:00:00"/>
    <s v="Department of Agriculture"/>
    <s v="F2F"/>
    <s v="Corporate"/>
    <s v="Government"/>
    <s v="Chandrashekhar"/>
    <s v="Delivery of CB and Kabab on 11-10-2025"/>
    <n v="18080"/>
    <n v="18080"/>
    <x v="28"/>
    <x v="0"/>
    <x v="1"/>
    <s v="Closed"/>
    <m/>
    <n v="0"/>
    <s v="Corporate Order"/>
    <m/>
    <m/>
    <s v="Oct-25"/>
    <n v="41"/>
    <m/>
  </r>
  <r>
    <d v="2025-10-11T00:00:00"/>
    <s v="IIT Hyderibad (Delivery)"/>
    <s v="Call"/>
    <s v="College"/>
    <s v="Education"/>
    <s v="Aditya"/>
    <s v="Delivery of CB &amp; VB on 11-10-2025 from Lingampally"/>
    <n v="25600"/>
    <n v="25600"/>
    <x v="28"/>
    <x v="0"/>
    <x v="1"/>
    <s v="Closed"/>
    <m/>
    <n v="0"/>
    <s v="Corporate Order"/>
    <m/>
    <m/>
    <s v="Oct-25"/>
    <n v="41"/>
    <m/>
  </r>
  <r>
    <d v="2025-10-11T00:00:00"/>
    <s v="Tourist Group from Maharashtra"/>
    <s v="Call"/>
    <s v="Corporate"/>
    <s v="Tourism"/>
    <s v="Vinay"/>
    <s v="Dine in at IMAX 50 PAX on 11-10-2025"/>
    <n v="16423"/>
    <n v="16423"/>
    <x v="28"/>
    <x v="0"/>
    <x v="0"/>
    <s v="Cancelled"/>
    <m/>
    <n v="0"/>
    <s v="Corporate Order"/>
    <m/>
    <m/>
    <s v="Oct-25"/>
    <n v="41"/>
    <m/>
  </r>
  <r>
    <d v="2025-10-11T00:00:00"/>
    <s v="Orphanage Secundrabad"/>
    <s v="Call"/>
    <s v="Corporate"/>
    <s v="Orphnage"/>
    <s v="Satish"/>
    <s v="Take away of Supreme biryany on 11-10-2025 Secbad"/>
    <n v="13500"/>
    <n v="13500"/>
    <x v="28"/>
    <x v="0"/>
    <x v="1"/>
    <s v="Closed"/>
    <m/>
    <n v="0"/>
    <s v="Corporate Order"/>
    <m/>
    <m/>
    <s v="Oct-25"/>
    <n v="41"/>
    <m/>
  </r>
  <r>
    <d v="2025-10-12T00:00:00"/>
    <s v="Delivery at Shamshabad Airport"/>
    <s v="Call"/>
    <s v="Corporate"/>
    <s v="Tourism"/>
    <s v="Ajay"/>
    <s v="Delivery of Snacks on 12-10-2025"/>
    <n v="8500"/>
    <n v="8500"/>
    <x v="28"/>
    <x v="0"/>
    <x v="0"/>
    <s v="Cancelled"/>
    <m/>
    <n v="0"/>
    <s v="Corporate Order"/>
    <m/>
    <m/>
    <s v="Oct-25"/>
    <n v="41"/>
    <m/>
  </r>
  <r>
    <d v="2025-10-12T00:00:00"/>
    <s v="Nims Hospital Panjagutta"/>
    <s v="Call"/>
    <s v="Corporate"/>
    <s v="Healthcare"/>
    <s v="Rupesh"/>
    <s v="Delivery of Executive Thali fromBegumpet on 12-10-2025"/>
    <n v="15044"/>
    <n v="15044"/>
    <x v="28"/>
    <x v="0"/>
    <x v="1"/>
    <s v="Closed"/>
    <m/>
    <n v="0"/>
    <s v="Corporate Order"/>
    <m/>
    <m/>
    <s v="Oct-25"/>
    <n v="41"/>
    <m/>
  </r>
  <r>
    <d v="2025-10-13T00:00:00"/>
    <s v="Department of Agriculture"/>
    <s v="F2F"/>
    <s v="Corporate"/>
    <s v="Government"/>
    <s v="Chandrashekhar"/>
    <s v="Delivery of CB on 15-10-2025"/>
    <n v="30000"/>
    <m/>
    <x v="28"/>
    <x v="0"/>
    <x v="0"/>
    <s v="Cancelled"/>
    <m/>
    <n v="0"/>
    <s v="Corporate Order"/>
    <m/>
    <m/>
    <s v="Oct-25"/>
    <n v="42"/>
    <m/>
  </r>
  <r>
    <d v="2025-10-13T00:00:00"/>
    <s v="Platos"/>
    <s v="F2F"/>
    <s v="Corporate"/>
    <s v="F&amp;B Agrigator"/>
    <s v="Rohan"/>
    <s v="Delivery of employee lunch on 13-10-2025"/>
    <n v="39555"/>
    <n v="39555"/>
    <x v="28"/>
    <x v="0"/>
    <x v="1"/>
    <s v="Closed"/>
    <m/>
    <n v="0"/>
    <s v="Bulk Order"/>
    <m/>
    <m/>
    <s v="Oct-25"/>
    <n v="42"/>
    <m/>
  </r>
  <r>
    <d v="2025-10-13T00:00:00"/>
    <s v="Popup Counter at Capital Land Block A"/>
    <s v="Call"/>
    <s v="Corporate"/>
    <s v="F&amp;B Agrigator"/>
    <s v="Vamsi"/>
    <s v="Sale of CB,VB,MB,DKM on 13-10-2025"/>
    <n v="11830"/>
    <n v="11830"/>
    <x v="28"/>
    <x v="0"/>
    <x v="1"/>
    <s v="Closed"/>
    <m/>
    <n v="0"/>
    <s v="Corporate Order"/>
    <m/>
    <m/>
    <s v="Oct-25"/>
    <n v="42"/>
    <m/>
  </r>
  <r>
    <d v="2025-10-13T00:00:00"/>
    <s v="IIT Hyderabad"/>
    <s v="Call"/>
    <s v="College"/>
    <s v="Education"/>
    <s v="Mohan"/>
    <s v="Biryani popup counter on 13-10-2025"/>
    <n v="15500"/>
    <n v="15500"/>
    <x v="28"/>
    <x v="0"/>
    <x v="1"/>
    <s v="Closed"/>
    <m/>
    <n v="0"/>
    <s v="Corporate Order"/>
    <m/>
    <m/>
    <s v="Oct-25"/>
    <n v="42"/>
    <m/>
  </r>
  <r>
    <d v="2025-10-13T00:00:00"/>
    <s v="Railway Hospital"/>
    <s v="F2F"/>
    <s v="Corporate"/>
    <s v="Healthcare"/>
    <s v="Vishwam"/>
    <s v="Delivery of Packed lunch in Jan 2026"/>
    <n v="0"/>
    <n v="0"/>
    <x v="26"/>
    <x v="0"/>
    <x v="0"/>
    <s v="Cancelled"/>
    <m/>
    <n v="0"/>
    <s v="Bulk Order"/>
    <m/>
    <m/>
    <s v="Oct-25"/>
    <n v="42"/>
    <m/>
  </r>
  <r>
    <d v="2025-10-13T00:00:00"/>
    <s v="Onesta Nanakramguda"/>
    <s v="F2F"/>
    <s v="Corporate"/>
    <s v="Realestate"/>
    <s v="Prabhu"/>
    <s v="Shared Details of Biryani Buffet 100 PAX 16-10-2025"/>
    <n v="80000"/>
    <m/>
    <x v="24"/>
    <x v="0"/>
    <x v="0"/>
    <s v="Cancelled"/>
    <m/>
    <n v="0"/>
    <s v="Bulk Order"/>
    <m/>
    <m/>
    <s v="Oct-25"/>
    <n v="42"/>
    <m/>
  </r>
  <r>
    <d v="2025-10-13T00:00:00"/>
    <s v="Delivery at Hanmakonda"/>
    <s v="Call"/>
    <s v="Events"/>
    <s v="Family Group"/>
    <s v="Rakesh"/>
    <s v="Delivery of Biryani &amp; Kabab on 13-10-2025"/>
    <n v="13979"/>
    <n v="13979"/>
    <x v="28"/>
    <x v="0"/>
    <x v="1"/>
    <s v="Closed"/>
    <m/>
    <n v="0"/>
    <s v="Corporte Order"/>
    <m/>
    <m/>
    <s v="Oct-25"/>
    <n v="42"/>
    <m/>
  </r>
  <r>
    <d v="2025-10-13T00:00:00"/>
    <s v="Travel Group from Maharashtra"/>
    <s v="Call"/>
    <s v="Corporate"/>
    <s v="Tourism"/>
    <s v="MD Munavir"/>
    <s v="Dine in at IMAX for Tourist Students "/>
    <n v="21041"/>
    <n v="21041"/>
    <x v="28"/>
    <x v="0"/>
    <x v="0"/>
    <s v="Cancelled"/>
    <m/>
    <n v="0"/>
    <s v="Corporte Order"/>
    <m/>
    <m/>
    <s v="Oct-25"/>
    <n v="42"/>
    <m/>
  </r>
  <r>
    <d v="2025-10-13T00:00:00"/>
    <s v="Delivery of Chicken Handi at BRS Party Meet"/>
    <s v="Call"/>
    <s v="Corporate"/>
    <s v="Government"/>
    <s v="Mahesh"/>
    <s v="Delivery of 5 CB Handi from Begumpet on 13-10-2025"/>
    <n v="34500"/>
    <n v="34500"/>
    <x v="28"/>
    <x v="0"/>
    <x v="0"/>
    <s v="Cancelled"/>
    <m/>
    <n v="0"/>
    <s v="Corporte Order"/>
    <m/>
    <m/>
    <s v="Oct-25"/>
    <n v="42"/>
    <m/>
  </r>
  <r>
    <d v="2025-10-13T00:00:00"/>
    <s v="Vasanta Tools"/>
    <s v="F2F"/>
    <s v="Corporate"/>
    <s v="Manufacturing"/>
    <s v="Ashrf"/>
    <s v="Introiduction to Gifting and Bulk order"/>
    <n v="0"/>
    <m/>
    <x v="18"/>
    <x v="0"/>
    <x v="0"/>
    <s v="Cancelled"/>
    <m/>
    <n v="0"/>
    <s v="Corporte Order"/>
    <m/>
    <m/>
    <s v="Oct-25"/>
    <n v="42"/>
    <m/>
  </r>
  <r>
    <d v="2025-10-13T00:00:00"/>
    <s v="MTAR "/>
    <s v="F2F"/>
    <s v="Corporate"/>
    <s v="Manufacturing"/>
    <s v="Jagan"/>
    <s v="Introiduction to Gifting and Bulk order"/>
    <n v="0"/>
    <m/>
    <x v="18"/>
    <x v="0"/>
    <x v="0"/>
    <s v="Cancelled"/>
    <m/>
    <n v="0"/>
    <s v="Corporte Order"/>
    <m/>
    <m/>
    <s v="Oct-25"/>
    <n v="42"/>
    <m/>
  </r>
  <r>
    <d v="2025-10-14T00:00:00"/>
    <s v="Popup Counter at Capital Land Block A"/>
    <s v="Call"/>
    <s v="Corporate"/>
    <s v="F&amp;B Agrigator"/>
    <s v="Vamsi"/>
    <s v="Sale of CB,VB,MB,DKM on 14-10-2025"/>
    <n v="10240"/>
    <n v="10240"/>
    <x v="28"/>
    <x v="0"/>
    <x v="1"/>
    <s v="Closed"/>
    <m/>
    <n v="0"/>
    <s v="Corporate Order"/>
    <m/>
    <m/>
    <s v="Oct-25"/>
    <n v="42"/>
    <m/>
  </r>
  <r>
    <d v="2025-10-14T00:00:00"/>
    <s v="Platos"/>
    <s v="F2F"/>
    <s v="Corporate"/>
    <s v="F&amp;B Agrigator"/>
    <s v="Hyder"/>
    <s v="Delivery of employee lunch on 14-10-2025"/>
    <n v="58185"/>
    <n v="58185"/>
    <x v="28"/>
    <x v="0"/>
    <x v="1"/>
    <s v="Closed"/>
    <m/>
    <n v="0"/>
    <s v="Bulk Order"/>
    <m/>
    <m/>
    <s v="Oct-25"/>
    <n v="42"/>
    <m/>
  </r>
  <r>
    <d v="2025-10-14T00:00:00"/>
    <s v="S&amp;P Capital IQ"/>
    <s v="Call "/>
    <s v="Corporate"/>
    <s v="IT"/>
    <s v="Kiran"/>
    <s v="Delivery of CB and VB on 15-10-2025"/>
    <n v="6640"/>
    <n v="6640"/>
    <x v="28"/>
    <x v="0"/>
    <x v="1"/>
    <s v="Closed"/>
    <m/>
    <n v="0"/>
    <s v="Corporate Order"/>
    <m/>
    <m/>
    <s v="Oct-25"/>
    <n v="42"/>
    <m/>
  </r>
  <r>
    <d v="2025-10-15T00:00:00"/>
    <s v="IIT Hyderabad"/>
    <s v="Call"/>
    <s v="College"/>
    <s v="Education"/>
    <s v="Mohan"/>
    <s v="Biryani popup counter on 15-10-2025"/>
    <n v="16100"/>
    <n v="16100"/>
    <x v="28"/>
    <x v="0"/>
    <x v="1"/>
    <s v="Closed"/>
    <m/>
    <n v="0"/>
    <s v="Corporate Order"/>
    <m/>
    <m/>
    <s v="Oct-25"/>
    <n v="42"/>
    <m/>
  </r>
  <r>
    <d v="2025-10-15T00:00:00"/>
    <s v="Popup Counter at Capital Land Block A"/>
    <s v="Call"/>
    <s v="Corporate"/>
    <s v="F&amp;B Agrigator"/>
    <s v="Vamsi"/>
    <s v="Sale of CB,VB,MB,DKM on 15-10-2025"/>
    <n v="21680"/>
    <n v="21680"/>
    <x v="28"/>
    <x v="0"/>
    <x v="1"/>
    <s v="Closed"/>
    <m/>
    <n v="0"/>
    <s v="Corporate Order"/>
    <m/>
    <m/>
    <s v="Oct-25"/>
    <n v="42"/>
    <m/>
  </r>
  <r>
    <d v="2025-10-15T00:00:00"/>
    <s v="Platos"/>
    <s v="F2F"/>
    <s v="Corporate"/>
    <s v="F&amp;B Agrigator"/>
    <s v="Hyder"/>
    <s v="Delivery of employee lunch on 15-10-2025"/>
    <n v="43200"/>
    <n v="43200"/>
    <x v="28"/>
    <x v="0"/>
    <x v="1"/>
    <s v="Closed"/>
    <m/>
    <n v="0"/>
    <s v="Bulk Order"/>
    <m/>
    <m/>
    <s v="Oct-25"/>
    <n v="42"/>
    <m/>
  </r>
  <r>
    <d v="2025-10-15T00:00:00"/>
    <s v="Delivery at SEBLR Banglore (Compass)"/>
    <s v="Call"/>
    <s v="Corporate"/>
    <s v="F&amp;B Agrigator"/>
    <s v="Saad"/>
    <s v="New Delivery at Compass group on 15-10-2025"/>
    <n v="36208"/>
    <n v="36208"/>
    <x v="28"/>
    <x v="1"/>
    <x v="1"/>
    <s v="Closed"/>
    <m/>
    <n v="0"/>
    <s v="Bulk Order"/>
    <m/>
    <m/>
    <s v="Oct-25"/>
    <n v="42"/>
    <m/>
  </r>
  <r>
    <d v="2025-10-16T00:00:00"/>
    <s v="IIT Hyderabad"/>
    <s v="Call"/>
    <s v="College"/>
    <s v="Education"/>
    <s v="Mohan"/>
    <s v="Biryani popup counter on 16-10-2025"/>
    <n v="15000"/>
    <n v="16100"/>
    <x v="28"/>
    <x v="0"/>
    <x v="1"/>
    <s v="Closed"/>
    <m/>
    <n v="0"/>
    <s v="Corporate Order"/>
    <m/>
    <m/>
    <s v="Oct-25"/>
    <n v="42"/>
    <m/>
  </r>
  <r>
    <d v="2025-10-16T00:00:00"/>
    <s v="Popup Counter at Capital Land Block A"/>
    <s v="Call"/>
    <s v="Corporate"/>
    <s v="F&amp;B Agrigator"/>
    <s v="Vamsi"/>
    <s v="Sale of CB,VB,MB,DKM on 16-10-2025"/>
    <n v="17576"/>
    <n v="17576"/>
    <x v="28"/>
    <x v="0"/>
    <x v="1"/>
    <s v="Closed"/>
    <m/>
    <n v="0"/>
    <s v="Corporate Order"/>
    <m/>
    <m/>
    <s v="Oct-25"/>
    <n v="42"/>
    <m/>
  </r>
  <r>
    <d v="2025-10-16T00:00:00"/>
    <s v="Platos"/>
    <s v="F2F"/>
    <s v="Corporate"/>
    <s v="F&amp;B Agrigator"/>
    <s v="Hyder"/>
    <s v="Delivery of employee lunch on 16-10-2025"/>
    <n v="40905"/>
    <n v="40905"/>
    <x v="28"/>
    <x v="0"/>
    <x v="1"/>
    <s v="Closed"/>
    <m/>
    <n v="0"/>
    <s v="Bulk Order"/>
    <m/>
    <m/>
    <s v="Oct-25"/>
    <n v="42"/>
    <m/>
  </r>
  <r>
    <d v="2025-10-17T00:00:00"/>
    <s v="IIT Hyderabad"/>
    <s v="Call"/>
    <s v="College"/>
    <s v="Education"/>
    <s v="Mohan"/>
    <s v="Biryani popup counter on 17-10-2025"/>
    <n v="12000"/>
    <n v="16100"/>
    <x v="28"/>
    <x v="0"/>
    <x v="1"/>
    <s v="Closed"/>
    <m/>
    <n v="0"/>
    <s v="Corporate Order"/>
    <m/>
    <m/>
    <s v="Oct-25"/>
    <n v="42"/>
    <m/>
  </r>
  <r>
    <d v="2025-10-17T00:00:00"/>
    <s v="Popup Counter at Capital Land Block A"/>
    <s v="Call"/>
    <s v="Corporate"/>
    <s v="F&amp;B Agrigator"/>
    <s v="Vamsi"/>
    <s v="Sale of CB,VB,MB,DKM on 17-10-2025"/>
    <n v="12297"/>
    <n v="12297"/>
    <x v="28"/>
    <x v="0"/>
    <x v="1"/>
    <s v="Closed"/>
    <m/>
    <n v="0"/>
    <s v="Corporate Order"/>
    <m/>
    <m/>
    <s v="Oct-25"/>
    <n v="42"/>
    <m/>
  </r>
  <r>
    <d v="2025-10-18T00:00:00"/>
    <s v="IIT Hyderabad"/>
    <s v="Call"/>
    <s v="College"/>
    <s v="Education"/>
    <s v="Mohan"/>
    <s v="Biryani popup counter on 18-10-2025"/>
    <n v="5500"/>
    <n v="5500"/>
    <x v="28"/>
    <x v="0"/>
    <x v="1"/>
    <s v="Closed"/>
    <m/>
    <n v="0"/>
    <s v="Corporate Order"/>
    <m/>
    <m/>
    <s v="Oct-25"/>
    <n v="42"/>
    <m/>
  </r>
  <r>
    <d v="2025-10-21T00:00:00"/>
    <s v="IIT Hyderabad"/>
    <s v="Call"/>
    <s v="College"/>
    <s v="Education"/>
    <s v="Mohan"/>
    <s v="Biryani popup counter on 18-10-2025"/>
    <n v="2500"/>
    <n v="2500"/>
    <x v="28"/>
    <x v="0"/>
    <x v="1"/>
    <s v="Closed"/>
    <m/>
    <n v="0"/>
    <s v="Corporate Order"/>
    <m/>
    <m/>
    <s v="Oct-25"/>
    <n v="43"/>
    <m/>
  </r>
  <r>
    <d v="2025-10-21T00:00:00"/>
    <s v="Popup Counter at Capital Land Block A"/>
    <s v="Call"/>
    <s v="Corporate"/>
    <s v="F&amp;B Agrigator"/>
    <s v="Vamsi"/>
    <s v="Sale of CB,VB,MB,DKM on 21-10-2025"/>
    <n v="3160"/>
    <n v="3160"/>
    <x v="28"/>
    <x v="0"/>
    <x v="1"/>
    <s v="Closed"/>
    <m/>
    <n v="0"/>
    <s v="Corporate Order"/>
    <m/>
    <m/>
    <s v="Oct-25"/>
    <n v="43"/>
    <m/>
  </r>
  <r>
    <d v="2025-10-22T00:00:00"/>
    <s v="Popup Counter at Capital Land Block A"/>
    <s v="Call"/>
    <s v="Corporate"/>
    <s v="F&amp;B Agrigator"/>
    <s v="Vamsi"/>
    <s v="Sale of CB,VB,MB,DKM on 22-10-2025"/>
    <n v="10215"/>
    <n v="10215"/>
    <x v="28"/>
    <x v="0"/>
    <x v="1"/>
    <s v="Closed"/>
    <m/>
    <n v="0"/>
    <s v="Corporate Order"/>
    <m/>
    <m/>
    <s v="Oct-25"/>
    <n v="43"/>
    <m/>
  </r>
  <r>
    <d v="2025-10-22T00:00:00"/>
    <s v="Delivery at SEBLR Banglore (Compass)"/>
    <s v="Call"/>
    <s v="Corporate"/>
    <s v="F&amp;B Agrigator"/>
    <s v="Saad"/>
    <s v="New Delivery at Compass group on 22-10-2025"/>
    <n v="39416"/>
    <n v="39416"/>
    <x v="28"/>
    <x v="1"/>
    <x v="1"/>
    <s v="Closed"/>
    <m/>
    <n v="0"/>
    <s v="Bulk Order"/>
    <m/>
    <m/>
    <s v="Oct-25"/>
    <n v="43"/>
    <m/>
  </r>
  <r>
    <d v="2025-10-23T00:00:00"/>
    <s v="Popup Counter at Capital Land Block A"/>
    <s v="Call"/>
    <s v="Corporate"/>
    <s v="F&amp;B Agrigator"/>
    <s v="Vamsi"/>
    <s v="Sale of CB,VB,MB,DKM on 23-10-2025"/>
    <n v="10215"/>
    <n v="10215"/>
    <x v="28"/>
    <x v="0"/>
    <x v="1"/>
    <s v="Closed"/>
    <m/>
    <n v="0"/>
    <s v="Corporate Order"/>
    <m/>
    <m/>
    <s v="Oct-25"/>
    <n v="43"/>
    <m/>
  </r>
  <r>
    <d v="2025-10-24T00:00:00"/>
    <s v="Popup Counter at Capital Land Block A"/>
    <s v="Call"/>
    <s v="Corporate"/>
    <s v="F&amp;B Agrigator"/>
    <s v="Vamsi"/>
    <s v="Sale of CB,VB,MB,DKM on 24-10-2025"/>
    <n v="11371"/>
    <n v="11371"/>
    <x v="28"/>
    <x v="0"/>
    <x v="1"/>
    <s v="Closed"/>
    <m/>
    <n v="0"/>
    <s v="Corporate Order"/>
    <m/>
    <m/>
    <s v="Oct-25"/>
    <n v="43"/>
    <m/>
  </r>
  <r>
    <d v="2025-10-24T00:00:00"/>
    <s v="Birla Sunlife Insurance"/>
    <s v="Call"/>
    <s v="Corporate"/>
    <s v="Banking Finance &amp; Insurance"/>
    <s v="Karishma"/>
    <s v="Buffet lunch on 29-10-2025"/>
    <n v="230000"/>
    <n v="0"/>
    <x v="28"/>
    <x v="0"/>
    <x v="0"/>
    <s v="Cancelled"/>
    <s v="Less budget for Buffet, Opted for Pista House"/>
    <n v="0"/>
    <s v="Bulk Order"/>
    <m/>
    <m/>
    <s v="Oct-25"/>
    <n v="43"/>
    <m/>
  </r>
  <r>
    <d v="2025-10-27T00:00:00"/>
    <s v="Delivery of CB at Musheerabad"/>
    <s v="F2F"/>
    <s v="Events"/>
    <s v="Family Group"/>
    <s v="Rajasekhar"/>
    <s v="Delivery of CB on 02-11-2025"/>
    <n v="18000"/>
    <m/>
    <x v="24"/>
    <x v="0"/>
    <x v="0"/>
    <s v="Cancelled"/>
    <m/>
    <n v="0"/>
    <s v="Bulk Order"/>
    <m/>
    <m/>
    <s v="Oct-25"/>
    <n v="44"/>
    <m/>
  </r>
  <r>
    <d v="2025-10-27T00:00:00"/>
    <s v="Popup Counter at Capital Land Block A"/>
    <s v="Call"/>
    <s v="Corporate"/>
    <s v="F&amp;B Agrigator"/>
    <s v="Vamsi"/>
    <s v="Sale of CB,VB,MB,DKM on 27-10-2025"/>
    <n v="12500"/>
    <n v="12500"/>
    <x v="28"/>
    <x v="0"/>
    <x v="1"/>
    <s v="Closed"/>
    <m/>
    <n v="0"/>
    <s v="Agregator"/>
    <m/>
    <m/>
    <s v="Oct-25"/>
    <n v="44"/>
    <m/>
  </r>
  <r>
    <d v="2025-10-28T00:00:00"/>
    <s v="Popup Counter at Capital Land Block A"/>
    <s v="Call"/>
    <s v="Corporate"/>
    <s v="F&amp;B Agrigator"/>
    <s v="Vamsi"/>
    <s v="Sale of CB,VB,MB,DKM on 28-10-2025"/>
    <n v="15000"/>
    <n v="15000"/>
    <x v="28"/>
    <x v="0"/>
    <x v="1"/>
    <s v="Closed"/>
    <m/>
    <n v="0"/>
    <s v="Agregator"/>
    <m/>
    <m/>
    <s v="Oct-25"/>
    <n v="44"/>
    <m/>
  </r>
  <r>
    <d v="2025-10-28T00:00:00"/>
    <s v="MSN Labs"/>
    <s v="Call"/>
    <s v="Corporate"/>
    <s v="Pharma"/>
    <s v="Satya"/>
    <s v="Delivery of Biryani Kits in November"/>
    <n v="7599375"/>
    <n v="7599375"/>
    <x v="24"/>
    <x v="0"/>
    <x v="1"/>
    <s v="Closed"/>
    <m/>
    <n v="0"/>
    <s v="Corporate Order"/>
    <m/>
    <m/>
    <s v="Oct-25"/>
    <n v="4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0">
  <r>
    <d v="2023-11-08T00:00:00"/>
    <s v="Turning Minds"/>
    <s v="Call"/>
    <s v="Corporate"/>
    <x v="0"/>
    <s v="Sairam"/>
    <s v="Shared details about bulk booking"/>
    <n v="20000"/>
    <n v="0"/>
    <x v="0"/>
    <x v="0"/>
    <x v="0"/>
    <s v="Cancelled"/>
    <s v="No requirement"/>
    <m/>
    <m/>
    <m/>
    <m/>
    <s v="Nov-23"/>
    <n v="45"/>
    <s v="2024"/>
  </r>
  <r>
    <d v="2023-11-08T00:00:00"/>
    <s v="Computer Generated Solutions PVT LTD"/>
    <s v="Call"/>
    <s v="Corporate"/>
    <x v="0"/>
    <s v="Madhvi"/>
    <s v="Shared details about bulk booking"/>
    <n v="10000"/>
    <n v="0"/>
    <x v="0"/>
    <x v="0"/>
    <x v="0"/>
    <s v="Cancelled"/>
    <s v="No requirement"/>
    <n v="0"/>
    <m/>
    <m/>
    <m/>
    <s v="Nov-23"/>
    <n v="45"/>
    <s v="2024"/>
  </r>
  <r>
    <d v="2023-11-08T00:00:00"/>
    <s v="Newyork Global"/>
    <s v="Call"/>
    <s v="Corporate"/>
    <x v="0"/>
    <s v="Ugesh"/>
    <s v="Shared details about bulk booking"/>
    <n v="20000"/>
    <n v="0"/>
    <x v="0"/>
    <x v="0"/>
    <x v="0"/>
    <s v="Cancelled"/>
    <s v="No requirement"/>
    <m/>
    <m/>
    <m/>
    <m/>
    <s v="Nov-23"/>
    <n v="45"/>
    <s v="2024"/>
  </r>
  <r>
    <d v="2023-11-16T00:00:00"/>
    <s v="Splash Entertainments"/>
    <s v="F2F"/>
    <s v="Events"/>
    <x v="1"/>
    <s v="Ghouse"/>
    <s v="Shared proposal for discount on Bulk Orders for travelling students."/>
    <n v="100000"/>
    <n v="0"/>
    <x v="1"/>
    <x v="0"/>
    <x v="0"/>
    <s v="Cancelled"/>
    <s v="Less budget of students"/>
    <m/>
    <m/>
    <m/>
    <m/>
    <s v="Nov-23"/>
    <n v="46"/>
    <s v="2024"/>
  </r>
  <r>
    <d v="2023-11-20T00:00:00"/>
    <s v="NextSphere Technology"/>
    <s v="Call"/>
    <s v="Corporate"/>
    <x v="0"/>
    <s v="Meenakshi"/>
    <s v="Shaired details about bulk booking and ODC"/>
    <n v="12000"/>
    <n v="0"/>
    <x v="0"/>
    <x v="0"/>
    <x v="0"/>
    <s v="Cancelled"/>
    <s v="No requirement"/>
    <m/>
    <m/>
    <m/>
    <m/>
    <s v="Nov-23"/>
    <n v="47"/>
    <s v="2024"/>
  </r>
  <r>
    <d v="2023-11-20T00:00:00"/>
    <s v="Fiserve"/>
    <s v="Call"/>
    <s v="Corporate"/>
    <x v="0"/>
    <s v="Saran (Admin)"/>
    <s v="Shared details about Bulk orders "/>
    <n v="100000"/>
    <n v="0"/>
    <x v="1"/>
    <x v="0"/>
    <x v="0"/>
    <s v="Cancelled"/>
    <s v="Event Cancelled"/>
    <m/>
    <m/>
    <m/>
    <m/>
    <s v="Nov-23"/>
    <n v="47"/>
    <s v="2024"/>
  </r>
  <r>
    <d v="2023-11-23T00:00:00"/>
    <s v="Fiserve"/>
    <s v="Call"/>
    <s v="Corporate"/>
    <x v="0"/>
    <s v="Sameena"/>
    <s v="Shaired details about bulk booking and ODC"/>
    <n v="7000"/>
    <n v="0"/>
    <x v="1"/>
    <x v="0"/>
    <x v="0"/>
    <s v="Cancelled"/>
    <s v="Event Cancelled"/>
    <m/>
    <m/>
    <m/>
    <m/>
    <s v="Nov-23"/>
    <n v="47"/>
    <s v="2024"/>
  </r>
  <r>
    <d v="2023-11-23T00:00:00"/>
    <s v="Hyderabad Metro Rail LTD"/>
    <s v="F2F"/>
    <s v="Corporate"/>
    <x v="2"/>
    <s v="Sulakshna Shukla ( Admin Head)"/>
    <s v="Duiscussed Bulk Order, they want Bakery counter at their office"/>
    <n v="5000"/>
    <n v="5000"/>
    <x v="1"/>
    <x v="0"/>
    <x v="1"/>
    <s v="Closed"/>
    <m/>
    <m/>
    <m/>
    <m/>
    <d v="2023-11-23T00:00:00"/>
    <s v="Nov-23"/>
    <n v="47"/>
    <s v="2024"/>
  </r>
  <r>
    <d v="2023-11-24T00:00:00"/>
    <s v="Stumag"/>
    <s v="F2F"/>
    <s v="College"/>
    <x v="3"/>
    <s v="Pooja"/>
    <s v="Event on 12 Dec 2023 Looking for sponsorship"/>
    <n v="0"/>
    <n v="0"/>
    <x v="1"/>
    <x v="0"/>
    <x v="0"/>
    <s v="Cancelled"/>
    <s v="Charging 50,000 and very less potential event "/>
    <m/>
    <m/>
    <m/>
    <m/>
    <s v="Nov-23"/>
    <n v="47"/>
    <s v="2024"/>
  </r>
  <r>
    <d v="2023-11-24T00:00:00"/>
    <s v="Express Events"/>
    <s v="F2F"/>
    <s v="Events"/>
    <x v="3"/>
    <s v="Avinash Bharadwaj"/>
    <s v="Cancelled as they were charging 50,000 + GST which was not profitable"/>
    <n v="100000"/>
    <n v="0"/>
    <x v="2"/>
    <x v="0"/>
    <x v="0"/>
    <s v="Cancelled"/>
    <s v="Dropped as not profitable event"/>
    <m/>
    <m/>
    <m/>
    <m/>
    <s v="Nov-23"/>
    <n v="47"/>
    <s v="2023"/>
  </r>
  <r>
    <d v="2023-11-26T00:00:00"/>
    <s v="SIP Event at Shamshabad"/>
    <s v="F2F"/>
    <s v="Events"/>
    <x v="4"/>
    <s v="Arun"/>
    <s v="Participated in Event with 12000 footfall"/>
    <n v="216000"/>
    <n v="216000"/>
    <x v="3"/>
    <x v="0"/>
    <x v="1"/>
    <s v="Closed"/>
    <m/>
    <m/>
    <m/>
    <m/>
    <m/>
    <s v="Nov-23"/>
    <n v="47"/>
    <s v="2023"/>
  </r>
  <r>
    <d v="2023-11-27T00:00:00"/>
    <s v="GGR International School"/>
    <s v="F2F"/>
    <s v="School"/>
    <x v="4"/>
    <s v="Jyotsna ( Principal)"/>
    <s v="Shared details for bulk orders and school event."/>
    <n v="10000"/>
    <n v="0"/>
    <x v="0"/>
    <x v="0"/>
    <x v="0"/>
    <s v="Cancelled"/>
    <s v="No requirement"/>
    <m/>
    <m/>
    <m/>
    <m/>
    <s v="Nov-23"/>
    <n v="48"/>
    <s v="2024"/>
  </r>
  <r>
    <d v="2023-11-27T00:00:00"/>
    <s v="Bijli Rides"/>
    <s v="F2F"/>
    <s v="Corporate"/>
    <x v="2"/>
    <s v="Shivam Sisodia (MD)"/>
    <s v="Shared details about our offerings, will plan for team lunch."/>
    <n v="3000"/>
    <n v="0"/>
    <x v="0"/>
    <x v="0"/>
    <x v="0"/>
    <s v="Cancelled"/>
    <s v="No requirement"/>
    <m/>
    <m/>
    <m/>
    <m/>
    <s v="Nov-23"/>
    <n v="48"/>
    <s v="2024"/>
  </r>
  <r>
    <d v="2023-11-27T00:00:00"/>
    <s v="Infinity Holidays"/>
    <s v="F2F"/>
    <s v="Events"/>
    <x v="3"/>
    <s v="Vikas"/>
    <s v="Shared proposal for discount on Bulk Orders for travelling students."/>
    <n v="10000"/>
    <n v="0"/>
    <x v="1"/>
    <x v="0"/>
    <x v="0"/>
    <s v="Cancelled"/>
    <s v="Dropped as less budget of students"/>
    <m/>
    <m/>
    <m/>
    <m/>
    <s v="Nov-23"/>
    <n v="48"/>
    <s v="2024"/>
  </r>
  <r>
    <d v="2023-11-28T00:00:00"/>
    <s v="Alliance Pro IT"/>
    <s v="F2F"/>
    <s v="Corporate"/>
    <x v="0"/>
    <s v="Mrudula ( HR &amp; Admin)"/>
    <s v="They will plan for team lunch and bulk orders"/>
    <n v="10000"/>
    <n v="0"/>
    <x v="4"/>
    <x v="0"/>
    <x v="0"/>
    <s v="Cancelled"/>
    <s v="Event Cancelled"/>
    <m/>
    <m/>
    <m/>
    <m/>
    <s v="Nov-23"/>
    <n v="48"/>
    <s v="2024"/>
  </r>
  <r>
    <d v="2023-11-28T00:00:00"/>
    <s v="Delta Technologies"/>
    <s v="F2F"/>
    <s v="Corporate"/>
    <x v="0"/>
    <s v="Amit ( Head HR)"/>
    <s v="Introduction of our products and offerings, Need to meet Admin head shortly for Annual function and bulk orders"/>
    <n v="10000"/>
    <n v="0"/>
    <x v="4"/>
    <x v="0"/>
    <x v="0"/>
    <s v="Cancelled"/>
    <s v="No requirement"/>
    <m/>
    <m/>
    <m/>
    <m/>
    <s v="Nov-23"/>
    <n v="48"/>
    <s v="2024"/>
  </r>
  <r>
    <d v="2023-11-28T00:00:00"/>
    <s v="Puneria Events"/>
    <s v="Call"/>
    <s v="Corporate"/>
    <x v="3"/>
    <s v="Sandeep (MD)"/>
    <s v="Shared introduction about Bulk order and ODC"/>
    <n v="5000"/>
    <n v="0"/>
    <x v="0"/>
    <x v="0"/>
    <x v="0"/>
    <s v="Cancelled"/>
    <s v="No requirement"/>
    <m/>
    <m/>
    <m/>
    <m/>
    <s v="Nov-23"/>
    <n v="48"/>
    <s v="2024"/>
  </r>
  <r>
    <d v="2023-11-28T00:00:00"/>
    <s v="Shankar Agencies"/>
    <s v="Call"/>
    <s v="Events"/>
    <x v="3"/>
    <s v="Shankar"/>
    <s v="Shared proposal for discount on Bulk Orders for travelling students."/>
    <n v="30000"/>
    <n v="0"/>
    <x v="1"/>
    <x v="0"/>
    <x v="0"/>
    <s v="Cancelled"/>
    <s v="Less budget of travelling students"/>
    <m/>
    <m/>
    <m/>
    <m/>
    <s v="Nov-23"/>
    <n v="48"/>
    <s v="2024"/>
  </r>
  <r>
    <d v="2023-11-29T00:00:00"/>
    <s v="Tashee Linux "/>
    <s v="F2F"/>
    <s v="Corporate"/>
    <x v="0"/>
    <s v="Anita Baranwal (HR)"/>
    <s v="Introduction of our products for bulk orders"/>
    <n v="8000"/>
    <n v="0"/>
    <x v="4"/>
    <x v="0"/>
    <x v="0"/>
    <s v="Cancelled"/>
    <s v="No requirement"/>
    <m/>
    <m/>
    <m/>
    <m/>
    <s v="Nov-23"/>
    <n v="48"/>
    <s v="2024"/>
  </r>
  <r>
    <d v="2023-11-29T00:00:00"/>
    <s v="Celon Labs"/>
    <s v="F2F"/>
    <s v="Corporate"/>
    <x v="5"/>
    <s v="Gulab Singh Rajput (GM HR)"/>
    <s v="Shared corporate offerings "/>
    <n v="10000"/>
    <n v="0"/>
    <x v="4"/>
    <x v="0"/>
    <x v="0"/>
    <s v="Cancelled"/>
    <s v="No requirement"/>
    <m/>
    <m/>
    <m/>
    <m/>
    <s v="Nov-23"/>
    <n v="48"/>
    <s v="2024"/>
  </r>
  <r>
    <d v="2023-11-30T00:00:00"/>
    <s v="National Manpower"/>
    <s v="Call"/>
    <s v="Corporate"/>
    <x v="0"/>
    <s v="Swamy"/>
    <s v="Discoussed about bulk food delevery at events"/>
    <n v="8000"/>
    <n v="0"/>
    <x v="5"/>
    <x v="0"/>
    <x v="0"/>
    <s v="Cancelled"/>
    <s v="Preparing their own food"/>
    <m/>
    <m/>
    <m/>
    <m/>
    <s v="Nov-23"/>
    <n v="48"/>
    <s v="2024"/>
  </r>
  <r>
    <d v="2023-11-30T00:00:00"/>
    <s v="Capgemini"/>
    <s v="Call"/>
    <s v="Corporate"/>
    <x v="0"/>
    <s v="Amol"/>
    <s v="Dine in of 25 capgemini employees on 13 Dec 2023"/>
    <n v="13200"/>
    <n v="13200"/>
    <x v="2"/>
    <x v="0"/>
    <x v="1"/>
    <s v="Closed"/>
    <m/>
    <m/>
    <m/>
    <m/>
    <m/>
    <s v="Nov-23"/>
    <n v="48"/>
    <s v="2023"/>
  </r>
  <r>
    <d v="2023-12-01T00:00:00"/>
    <s v="Balaji Agencies"/>
    <s v="Call"/>
    <s v="Corporate"/>
    <x v="1"/>
    <s v="Venkateshwar"/>
    <s v="Shared proposal for bulk Biryani orders"/>
    <n v="50000"/>
    <n v="0"/>
    <x v="5"/>
    <x v="0"/>
    <x v="0"/>
    <s v="Cancelled"/>
    <s v="Budget constrains for travelling students"/>
    <m/>
    <m/>
    <m/>
    <m/>
    <s v="Dec-23"/>
    <n v="48"/>
    <s v="2024"/>
  </r>
  <r>
    <d v="2023-12-01T00:00:00"/>
    <s v="Wonderla"/>
    <s v="Call"/>
    <s v="Corporate"/>
    <x v="6"/>
    <s v="Souvik"/>
    <s v="bulk order of plum cakes they purchased from kochi due to influence of MD"/>
    <n v="150000"/>
    <n v="0"/>
    <x v="2"/>
    <x v="0"/>
    <x v="0"/>
    <s v="Cancelled"/>
    <s v="Dropped as they procured inhouse from Kochi"/>
    <m/>
    <m/>
    <m/>
    <m/>
    <s v="Dec-23"/>
    <n v="48"/>
    <s v="2023"/>
  </r>
  <r>
    <d v="2023-12-01T00:00:00"/>
    <s v="Medha Servo Drives"/>
    <s v="Call"/>
    <s v="Corporate"/>
    <x v="7"/>
    <s v="Vinay Yadav"/>
    <s v="Shared details about Bulk orders "/>
    <n v="20000"/>
    <n v="0"/>
    <x v="4"/>
    <x v="0"/>
    <x v="0"/>
    <s v="Cancelled"/>
    <s v="No requirement"/>
    <m/>
    <m/>
    <m/>
    <m/>
    <s v="Dec-23"/>
    <n v="48"/>
    <s v="2024"/>
  </r>
  <r>
    <d v="2023-12-01T00:00:00"/>
    <s v="St Anns College"/>
    <s v="F2F"/>
    <s v="College"/>
    <x v="4"/>
    <s v="Pravalika"/>
    <s v="Shared details of bulk orders"/>
    <n v="0"/>
    <n v="0"/>
    <x v="2"/>
    <x v="0"/>
    <x v="0"/>
    <s v="Cancelled"/>
    <s v="They procured inhouse for Christmas"/>
    <m/>
    <m/>
    <m/>
    <m/>
    <s v="Dec-23"/>
    <n v="48"/>
    <s v="2023"/>
  </r>
  <r>
    <d v="2023-12-04T00:00:00"/>
    <s v="OG'S Wonderland Flea"/>
    <s v="Call"/>
    <s v="Events"/>
    <x v="6"/>
    <s v="Onegolf "/>
    <s v="Discussing for participation , event on 24 Dec 2023"/>
    <n v="100000"/>
    <n v="0"/>
    <x v="2"/>
    <x v="0"/>
    <x v="0"/>
    <s v="Cancelled"/>
    <s v="Event Cancelled"/>
    <m/>
    <m/>
    <m/>
    <m/>
    <s v="Dec-23"/>
    <n v="49"/>
    <s v="2023"/>
  </r>
  <r>
    <d v="2023-12-05T00:00:00"/>
    <s v="Sunburn"/>
    <s v="Call"/>
    <s v="Events"/>
    <x v="6"/>
    <s v="Hitesh"/>
    <s v="Discussed, This year they have inhouse F&amp;B"/>
    <n v="100000"/>
    <n v="0"/>
    <x v="2"/>
    <x v="0"/>
    <x v="0"/>
    <s v="Cancelled"/>
    <s v="F&amp;B Was done inhouse by PUB"/>
    <m/>
    <m/>
    <m/>
    <m/>
    <s v="Dec-23"/>
    <n v="49"/>
    <s v="2023"/>
  </r>
  <r>
    <d v="2023-12-06T00:00:00"/>
    <s v="Kirby Building Technology"/>
    <s v="F2F"/>
    <s v="Corporate"/>
    <x v="0"/>
    <s v="Naveen"/>
    <s v="Shared proposal for bulk orders , given first order for 12 Nov 2023"/>
    <n v="5500"/>
    <n v="5500"/>
    <x v="2"/>
    <x v="0"/>
    <x v="1"/>
    <s v="Closed"/>
    <m/>
    <m/>
    <m/>
    <m/>
    <m/>
    <s v="Dec-23"/>
    <n v="49"/>
    <s v="2023"/>
  </r>
  <r>
    <d v="2023-12-06T00:00:00"/>
    <s v="Mooving D Needle"/>
    <s v="F2F"/>
    <s v="Corporate"/>
    <x v="0"/>
    <s v="Bhargav"/>
    <s v="Shared details about discount on bulk orders"/>
    <n v="10000"/>
    <n v="0"/>
    <x v="4"/>
    <x v="0"/>
    <x v="0"/>
    <s v="Cancelled"/>
    <s v="No requirement"/>
    <m/>
    <m/>
    <m/>
    <m/>
    <s v="Dec-23"/>
    <n v="49"/>
    <s v="2024"/>
  </r>
  <r>
    <d v="2023-12-06T00:00:00"/>
    <s v="Granules India Limited"/>
    <s v="F2F"/>
    <s v="Corporate"/>
    <x v="5"/>
    <s v="Uma Rao (CHRO)"/>
    <s v="Shared details for bulk food deliveries for their Factory Unit"/>
    <n v="20000"/>
    <n v="0"/>
    <x v="4"/>
    <x v="0"/>
    <x v="0"/>
    <s v="Cancelled"/>
    <s v="No Budget"/>
    <m/>
    <m/>
    <m/>
    <m/>
    <s v="Dec-23"/>
    <n v="49"/>
    <s v="2024"/>
  </r>
  <r>
    <d v="2023-12-06T00:00:00"/>
    <s v="St Anns College"/>
    <s v="F2F"/>
    <s v="College"/>
    <x v="4"/>
    <s v="Mounika"/>
    <s v=" event on 21 &amp; 22 Dec 2023"/>
    <n v="80000"/>
    <n v="0"/>
    <x v="2"/>
    <x v="0"/>
    <x v="0"/>
    <s v="Cancelled"/>
    <s v="Dropped due to less potential"/>
    <m/>
    <m/>
    <m/>
    <n v="45261"/>
    <s v="Dec-23"/>
    <n v="49"/>
    <s v="2023"/>
  </r>
  <r>
    <d v="2023-12-07T00:00:00"/>
    <s v="TCS"/>
    <s v="Call"/>
    <s v="Corporate"/>
    <x v="0"/>
    <s v="Nimesh Verma (Admin)"/>
    <s v="Shared introduction given appointment on Monday"/>
    <n v="15000"/>
    <n v="0"/>
    <x v="6"/>
    <x v="0"/>
    <x v="0"/>
    <s v="Cancelled"/>
    <m/>
    <m/>
    <m/>
    <m/>
    <m/>
    <s v="Dec-23"/>
    <n v="49"/>
    <s v="2024"/>
  </r>
  <r>
    <d v="2023-12-07T00:00:00"/>
    <s v="Novartis"/>
    <s v="Call"/>
    <s v="Corporate"/>
    <x v="5"/>
    <s v="Sneha Mamidwar (Admin)"/>
    <s v="Shared introduction given appointment on "/>
    <n v="20000"/>
    <n v="0"/>
    <x v="4"/>
    <x v="0"/>
    <x v="0"/>
    <s v="Cancelled"/>
    <s v="Event Cancelled"/>
    <m/>
    <m/>
    <m/>
    <m/>
    <s v="Dec-23"/>
    <n v="49"/>
    <s v="2024"/>
  </r>
  <r>
    <d v="2023-12-07T00:00:00"/>
    <s v="Glam Parikrama Event "/>
    <s v="F2F"/>
    <s v="Events"/>
    <x v="3"/>
    <s v="Lalitha George (Founder)"/>
    <s v="Done reckey for event on 8th &amp; 9 Dec 2023"/>
    <n v="24000"/>
    <n v="24000"/>
    <x v="2"/>
    <x v="0"/>
    <x v="1"/>
    <s v="Closed"/>
    <m/>
    <m/>
    <m/>
    <m/>
    <m/>
    <s v="Dec-23"/>
    <n v="49"/>
    <s v="2023"/>
  </r>
  <r>
    <d v="2023-12-08T00:00:00"/>
    <s v="St Mathews Church"/>
    <s v="F2F"/>
    <s v="Christmas"/>
    <x v="8"/>
    <s v="Sabitha"/>
    <s v="Shared Bakery menu"/>
    <n v="10000"/>
    <n v="0"/>
    <x v="0"/>
    <x v="0"/>
    <x v="0"/>
    <s v="Cancelled"/>
    <s v="They procured inhouse for Christmas"/>
    <m/>
    <m/>
    <m/>
    <m/>
    <s v="Dec-23"/>
    <n v="49"/>
    <s v="2024"/>
  </r>
  <r>
    <d v="2023-12-11T00:00:00"/>
    <s v="Aakruti School"/>
    <s v="F2F"/>
    <s v="Corporate"/>
    <x v="0"/>
    <s v="Sarika"/>
    <s v="Shared introduction about Bulk order and ODC"/>
    <n v="20000"/>
    <n v="0"/>
    <x v="4"/>
    <x v="0"/>
    <x v="0"/>
    <s v="Cancelled"/>
    <s v="Event Cancelled"/>
    <m/>
    <m/>
    <m/>
    <m/>
    <s v="Dec-23"/>
    <n v="50"/>
    <s v="2024"/>
  </r>
  <r>
    <d v="2023-12-12T00:00:00"/>
    <s v="EGHM Church"/>
    <s v="F2F"/>
    <s v="Events"/>
    <x v="8"/>
    <s v="Hema"/>
    <s v="Introduction about bulk orders and bakery items"/>
    <n v="10000"/>
    <n v="10000"/>
    <x v="1"/>
    <x v="0"/>
    <x v="1"/>
    <s v="Closed"/>
    <s v="They purchased from Heritage Branch"/>
    <m/>
    <m/>
    <m/>
    <m/>
    <s v="Dec-23"/>
    <n v="50"/>
    <s v="2024"/>
  </r>
  <r>
    <d v="2023-12-12T00:00:00"/>
    <s v="Mirackles &amp; Testimony Church"/>
    <s v="Call"/>
    <s v="Events"/>
    <x v="8"/>
    <s v="Rahul"/>
    <s v="Introduction about bulk orders and bakery items"/>
    <n v="8000"/>
    <n v="0"/>
    <x v="1"/>
    <x v="0"/>
    <x v="0"/>
    <s v="Cancelled"/>
    <s v="They Have low budget "/>
    <m/>
    <m/>
    <m/>
    <m/>
    <s v="Dec-23"/>
    <n v="50"/>
    <s v="2024"/>
  </r>
  <r>
    <d v="2023-12-12T00:00:00"/>
    <s v="ECIL Church"/>
    <s v="Call"/>
    <s v="Events"/>
    <x v="8"/>
    <s v="Suman"/>
    <s v="Introduction about bulk orders and bakery items"/>
    <n v="10000"/>
    <n v="0"/>
    <x v="1"/>
    <x v="0"/>
    <x v="0"/>
    <s v="Cancelled"/>
    <s v="Less Budget"/>
    <m/>
    <m/>
    <m/>
    <m/>
    <s v="Dec-23"/>
    <n v="50"/>
    <s v="2024"/>
  </r>
  <r>
    <d v="2023-12-12T00:00:00"/>
    <s v="Malakpet Church"/>
    <s v="Call"/>
    <s v="Events"/>
    <x v="8"/>
    <s v="Keerthi Daniel"/>
    <s v="Introduction about bulk orders and bakery items"/>
    <n v="8000"/>
    <n v="0"/>
    <x v="1"/>
    <x v="0"/>
    <x v="0"/>
    <s v="Cancelled"/>
    <s v="Purchased locally"/>
    <m/>
    <m/>
    <m/>
    <m/>
    <s v="Dec-23"/>
    <n v="50"/>
    <s v="2024"/>
  </r>
  <r>
    <d v="2023-12-12T00:00:00"/>
    <s v="AG Group Church"/>
    <s v="Call"/>
    <s v="Events"/>
    <x v="8"/>
    <s v="Susan Vangala"/>
    <s v="Introduction about bulk orders and bakery items"/>
    <n v="6000"/>
    <n v="0"/>
    <x v="1"/>
    <x v="0"/>
    <x v="0"/>
    <s v="Cancelled"/>
    <s v="Prepared Inhouse"/>
    <m/>
    <m/>
    <m/>
    <m/>
    <s v="Dec-23"/>
    <n v="50"/>
    <s v="2024"/>
  </r>
  <r>
    <d v="2023-12-12T00:00:00"/>
    <s v="Honda Big Wings"/>
    <s v="F2F"/>
    <s v="Events"/>
    <x v="9"/>
    <s v="Vijay Kumar"/>
    <s v="Discussed about food supply in Rides and Destination Lunch at away stores"/>
    <n v="10000"/>
    <n v="0"/>
    <x v="5"/>
    <x v="0"/>
    <x v="0"/>
    <s v="Cancelled"/>
    <s v="No requirement"/>
    <m/>
    <m/>
    <m/>
    <m/>
    <s v="Dec-23"/>
    <n v="50"/>
    <s v="2024"/>
  </r>
  <r>
    <d v="2023-12-12T00:00:00"/>
    <s v="Royal Enfield"/>
    <s v="F2F"/>
    <s v="Events"/>
    <x v="9"/>
    <s v="Kumar"/>
    <s v="Discussed about food supply in Rides and Destination Lunch at away stores"/>
    <n v="12000"/>
    <n v="0"/>
    <x v="4"/>
    <x v="0"/>
    <x v="0"/>
    <s v="Cancelled"/>
    <s v="No requirement"/>
    <m/>
    <m/>
    <m/>
    <m/>
    <s v="Dec-23"/>
    <n v="50"/>
    <s v="2024"/>
  </r>
  <r>
    <d v="2023-12-12T00:00:00"/>
    <s v="Penniwisw Solution/Oglivy"/>
    <s v="F2F"/>
    <s v="Corporate"/>
    <x v="0"/>
    <s v="Sasikala Vedam"/>
    <s v="Shared Details about bulk orders and Corporate Gifting"/>
    <n v="10000"/>
    <n v="0"/>
    <x v="6"/>
    <x v="0"/>
    <x v="0"/>
    <s v="Cancelled"/>
    <m/>
    <m/>
    <m/>
    <m/>
    <m/>
    <s v="Dec-23"/>
    <n v="50"/>
    <s v="2024"/>
  </r>
  <r>
    <d v="2023-12-13T00:00:00"/>
    <s v="Aakruti School"/>
    <s v="Call"/>
    <s v="School"/>
    <x v="4"/>
    <s v="Shyamla Reddy"/>
    <s v="Shared details of bulk orders"/>
    <n v="5000"/>
    <n v="0"/>
    <x v="0"/>
    <x v="0"/>
    <x v="0"/>
    <s v="Cancelled"/>
    <s v="No requirement"/>
    <m/>
    <m/>
    <m/>
    <m/>
    <s v="Dec-23"/>
    <n v="50"/>
    <s v="2024"/>
  </r>
  <r>
    <d v="2023-12-13T00:00:00"/>
    <s v="Academic Heights School"/>
    <s v="F2F"/>
    <s v="School"/>
    <x v="4"/>
    <s v="Madhukar Reddy (MD)"/>
    <s v="Introduced for supply of food for Bulk Orders"/>
    <n v="50000"/>
    <n v="0"/>
    <x v="5"/>
    <x v="0"/>
    <x v="0"/>
    <s v="Cancelled"/>
    <m/>
    <m/>
    <m/>
    <m/>
    <m/>
    <s v="Dec-23"/>
    <n v="50"/>
    <s v="2024"/>
  </r>
  <r>
    <d v="2023-12-13T00:00:00"/>
    <s v="NMRIT College"/>
    <s v="F2F"/>
    <s v="College"/>
    <x v="4"/>
    <s v="Sneha Nalla"/>
    <s v="Discussed about bulk orders for college fest"/>
    <n v="8000"/>
    <n v="0"/>
    <x v="5"/>
    <x v="0"/>
    <x v="0"/>
    <s v="Cancelled"/>
    <s v="No requirement"/>
    <m/>
    <m/>
    <m/>
    <m/>
    <s v="Dec-23"/>
    <n v="50"/>
    <s v="2024"/>
  </r>
  <r>
    <d v="2023-12-13T00:00:00"/>
    <s v="Tata Motors"/>
    <s v="Call"/>
    <s v="Corporate"/>
    <x v="9"/>
    <s v="Kiran Kumar(GM)"/>
    <s v="Shared details about discount on bulk orders ( Gift and Discount Vouchers)"/>
    <n v="10000"/>
    <n v="0"/>
    <x v="6"/>
    <x v="0"/>
    <x v="0"/>
    <s v="Cancelled"/>
    <s v="Event Cancelled"/>
    <m/>
    <m/>
    <m/>
    <m/>
    <s v="Dec-23"/>
    <n v="50"/>
    <s v="2024"/>
  </r>
  <r>
    <d v="2023-12-13T00:00:00"/>
    <s v="Vikas Degree College"/>
    <s v="Call"/>
    <s v="College"/>
    <x v="4"/>
    <s v="Mateen"/>
    <s v="Introduced for supply of food for Bulk Orders in college fest"/>
    <n v="5000"/>
    <n v="0"/>
    <x v="1"/>
    <x v="0"/>
    <x v="0"/>
    <s v="Cancelled"/>
    <s v="College Fest Cancelled"/>
    <m/>
    <m/>
    <m/>
    <m/>
    <s v="Dec-23"/>
    <n v="50"/>
    <s v="2024"/>
  </r>
  <r>
    <d v="2023-12-13T00:00:00"/>
    <s v="New Chaitanya JR College"/>
    <s v="F2F"/>
    <s v="College"/>
    <x v="4"/>
    <s v="Imran (MD)"/>
    <s v="Shared details of bulk orders"/>
    <n v="5000"/>
    <n v="0"/>
    <x v="0"/>
    <x v="0"/>
    <x v="0"/>
    <s v="Cancelled"/>
    <s v="No requirement"/>
    <m/>
    <m/>
    <m/>
    <m/>
    <s v="Dec-23"/>
    <n v="50"/>
    <s v="2024"/>
  </r>
  <r>
    <d v="2023-12-13T00:00:00"/>
    <s v="St Anns College"/>
    <s v="F2F"/>
    <s v="College"/>
    <x v="4"/>
    <s v="ST. Lucy (ADMIN)"/>
    <s v="Bulk food delivery and Bakery items for Christmas"/>
    <n v="5000"/>
    <n v="0"/>
    <x v="5"/>
    <x v="0"/>
    <x v="0"/>
    <s v="Cancelled"/>
    <s v="Prepared Inhouse"/>
    <m/>
    <m/>
    <m/>
    <m/>
    <s v="Dec-23"/>
    <n v="50"/>
    <s v="2024"/>
  </r>
  <r>
    <d v="2023-12-14T00:00:00"/>
    <s v="Nextracker"/>
    <s v="F2F"/>
    <s v="Corporate"/>
    <x v="0"/>
    <s v="Raghava Naidu (Admin)"/>
    <s v="Shared details about bulk food delivery"/>
    <n v="8000"/>
    <n v="0"/>
    <x v="5"/>
    <x v="0"/>
    <x v="0"/>
    <s v="Cancelled"/>
    <s v="No requirement"/>
    <m/>
    <m/>
    <m/>
    <m/>
    <s v="Dec-23"/>
    <n v="50"/>
    <s v="2024"/>
  </r>
  <r>
    <d v="2023-12-14T00:00:00"/>
    <s v="OS Degree college College"/>
    <s v="Call"/>
    <s v="Events"/>
    <x v="4"/>
    <s v="Abdul"/>
    <s v="Shared details of supplyof food in events"/>
    <n v="4000"/>
    <n v="0"/>
    <x v="5"/>
    <x v="0"/>
    <x v="0"/>
    <s v="Cancelled"/>
    <s v="No requirement"/>
    <m/>
    <m/>
    <m/>
    <m/>
    <s v="Dec-23"/>
    <n v="50"/>
    <s v="2024"/>
  </r>
  <r>
    <d v="2023-12-14T00:00:00"/>
    <s v="Littl Amigos School"/>
    <s v="F2F"/>
    <s v="School"/>
    <x v="4"/>
    <s v="Nikita (Principal)"/>
    <s v="Introduced about bakery items and ODC, Looking for bakery items "/>
    <n v="2200"/>
    <n v="2200"/>
    <x v="2"/>
    <x v="0"/>
    <x v="1"/>
    <s v="Closed"/>
    <m/>
    <m/>
    <m/>
    <m/>
    <m/>
    <s v="Dec-23"/>
    <n v="50"/>
    <s v="2023"/>
  </r>
  <r>
    <d v="2023-12-14T00:00:00"/>
    <s v="Qualcomm"/>
    <s v="Call"/>
    <s v="Corporate"/>
    <x v="0"/>
    <s v="Shobha (Admin)"/>
    <s v="Shared details about bulk order and corporate gifting"/>
    <n v="5000"/>
    <n v="0"/>
    <x v="6"/>
    <x v="0"/>
    <x v="0"/>
    <s v="Cancelled"/>
    <s v="Event Cancelled"/>
    <m/>
    <m/>
    <m/>
    <m/>
    <s v="Dec-23"/>
    <n v="50"/>
    <s v="2024"/>
  </r>
  <r>
    <d v="2023-12-14T00:00:00"/>
    <s v="St Joseph School(Santoshnagar)"/>
    <s v="Call"/>
    <s v="School"/>
    <x v="4"/>
    <s v="Anoop"/>
    <s v="Shared details of bulk orders"/>
    <n v="5000"/>
    <n v="0"/>
    <x v="6"/>
    <x v="0"/>
    <x v="0"/>
    <s v="Cancelled"/>
    <s v="Event Cancelled"/>
    <m/>
    <m/>
    <m/>
    <m/>
    <s v="Dec-23"/>
    <n v="50"/>
    <s v="2024"/>
  </r>
  <r>
    <d v="2023-12-14T00:00:00"/>
    <s v="Sty Anthonys School(Rampally)"/>
    <s v="Call"/>
    <s v="School "/>
    <x v="4"/>
    <s v="Ajit"/>
    <s v="Shared details of bulk orders"/>
    <n v="5000"/>
    <n v="0"/>
    <x v="5"/>
    <x v="0"/>
    <x v="0"/>
    <s v="Cancelled"/>
    <s v="Event Cancelled"/>
    <m/>
    <m/>
    <m/>
    <m/>
    <s v="Dec-23"/>
    <n v="50"/>
    <s v="2024"/>
  </r>
  <r>
    <d v="2023-12-14T00:00:00"/>
    <s v="Morning Star School (DSNR)"/>
    <s v="Call"/>
    <s v="School"/>
    <x v="4"/>
    <s v="Chandana"/>
    <s v="Shared details of bulk orders"/>
    <n v="5000"/>
    <n v="0"/>
    <x v="6"/>
    <x v="0"/>
    <x v="0"/>
    <s v="Cancelled"/>
    <s v="Event Cancelled"/>
    <m/>
    <m/>
    <m/>
    <m/>
    <s v="Dec-23"/>
    <n v="50"/>
    <s v="2024"/>
  </r>
  <r>
    <d v="2023-12-14T00:00:00"/>
    <s v="St Peters Model High School (Nacharam)"/>
    <s v="F2F"/>
    <s v="School"/>
    <x v="4"/>
    <s v="Irroni"/>
    <s v="Shared details of bulk orders, Will inform if they have requirements for christmas"/>
    <n v="7000"/>
    <n v="0"/>
    <x v="6"/>
    <x v="0"/>
    <x v="0"/>
    <s v="Cancelled"/>
    <s v="Event Cancelled"/>
    <m/>
    <m/>
    <m/>
    <m/>
    <s v="Dec-23"/>
    <n v="50"/>
    <s v="2024"/>
  </r>
  <r>
    <d v="2023-12-14T00:00:00"/>
    <s v="St Johns High School (Ramanthapur)"/>
    <s v="F2F"/>
    <s v="School"/>
    <x v="4"/>
    <s v="Ram Reddy"/>
    <s v="Shared details about bulk delivery and Christmas gifting, Will confirm shortly for any requirements."/>
    <n v="12000"/>
    <n v="0"/>
    <x v="7"/>
    <x v="0"/>
    <x v="0"/>
    <s v="Cancelled"/>
    <s v="Procured Inhouse"/>
    <m/>
    <m/>
    <m/>
    <m/>
    <s v="Dec-23"/>
    <n v="50"/>
    <s v="2024"/>
  </r>
  <r>
    <d v="2023-12-15T00:00:00"/>
    <s v="Synchrony"/>
    <s v="F2F"/>
    <s v="Corporate"/>
    <x v="0"/>
    <s v="Moumita (AVP)"/>
    <s v="Shared details about Bulk orders &amp; Corporate Gifting"/>
    <n v="10000"/>
    <n v="0"/>
    <x v="5"/>
    <x v="0"/>
    <x v="0"/>
    <s v="Cancelled"/>
    <s v="No requirement"/>
    <m/>
    <m/>
    <m/>
    <m/>
    <s v="Dec-23"/>
    <n v="50"/>
    <s v="2024"/>
  </r>
  <r>
    <d v="2023-12-15T00:00:00"/>
    <s v="Gowtham Grammar School"/>
    <s v="F2F"/>
    <s v="School"/>
    <x v="4"/>
    <s v="Ramesh"/>
    <s v="Shared detail;s about bulk orders"/>
    <n v="10000"/>
    <n v="0"/>
    <x v="6"/>
    <x v="0"/>
    <x v="0"/>
    <s v="Cancelled"/>
    <s v="Event Cancelled"/>
    <m/>
    <m/>
    <m/>
    <m/>
    <s v="Dec-23"/>
    <n v="50"/>
    <s v="2024"/>
  </r>
  <r>
    <d v="2023-12-15T00:00:00"/>
    <s v="Arya Vysya Group, Begumpet"/>
    <s v="F2F"/>
    <s v="Events"/>
    <x v="8"/>
    <s v="Narendra"/>
    <s v="Shared details of bulk orders"/>
    <n v="30000"/>
    <n v="0"/>
    <x v="0"/>
    <x v="0"/>
    <x v="0"/>
    <s v="Cancelled"/>
    <s v="No requirement"/>
    <m/>
    <m/>
    <m/>
    <m/>
    <s v="Dec-23"/>
    <n v="50"/>
    <s v="2024"/>
  </r>
  <r>
    <d v="2023-12-15T00:00:00"/>
    <s v="Hyderabad Public School"/>
    <s v="F2F"/>
    <s v="Events"/>
    <x v="4"/>
    <s v="Gaurav"/>
    <s v="Confirmed event for 25th and 26th Dec 2023, Went for site visit with Begumpet RCEO"/>
    <n v="100000"/>
    <n v="100000"/>
    <x v="2"/>
    <x v="0"/>
    <x v="1"/>
    <s v="Closed"/>
    <m/>
    <n v="6600"/>
    <m/>
    <m/>
    <m/>
    <s v="Dec-23"/>
    <n v="50"/>
    <s v="2023"/>
  </r>
  <r>
    <d v="2023-12-15T00:00:00"/>
    <s v="Intel"/>
    <s v="Call"/>
    <s v="Corporate"/>
    <x v="0"/>
    <s v="Abhay Joshi"/>
    <s v="Shared details about bulk orders"/>
    <n v="20000"/>
    <n v="0"/>
    <x v="4"/>
    <x v="0"/>
    <x v="0"/>
    <s v="Cancelled"/>
    <s v="No Budget"/>
    <m/>
    <m/>
    <m/>
    <m/>
    <s v="Dec-23"/>
    <n v="50"/>
    <s v="2024"/>
  </r>
  <r>
    <d v="2023-12-15T00:00:00"/>
    <s v="AMD"/>
    <s v="Call"/>
    <s v="Corporate"/>
    <x v="0"/>
    <s v="Pradeesh Kumar"/>
    <s v="Shared details about bulk orders"/>
    <n v="20000"/>
    <n v="0"/>
    <x v="4"/>
    <x v="0"/>
    <x v="0"/>
    <s v="Cancelled"/>
    <s v="No Budget"/>
    <m/>
    <m/>
    <m/>
    <m/>
    <s v="Dec-23"/>
    <n v="50"/>
    <s v="2024"/>
  </r>
  <r>
    <d v="2023-12-15T00:00:00"/>
    <s v="NVEDIA"/>
    <s v="Call"/>
    <s v="Corporate"/>
    <x v="0"/>
    <s v="Rajendra"/>
    <s v="Shared details about bulk orders"/>
    <n v="5000"/>
    <n v="0"/>
    <x v="4"/>
    <x v="0"/>
    <x v="0"/>
    <s v="Cancelled"/>
    <s v="No requirement"/>
    <m/>
    <m/>
    <m/>
    <m/>
    <s v="Dec-23"/>
    <n v="50"/>
    <s v="2024"/>
  </r>
  <r>
    <d v="2023-12-15T00:00:00"/>
    <s v="Root Brown "/>
    <s v="Call"/>
    <s v="Corporate"/>
    <x v="0"/>
    <s v="Abhinesh"/>
    <s v="Shared details of corporate bulk bookings"/>
    <n v="5000"/>
    <n v="0"/>
    <x v="0"/>
    <x v="0"/>
    <x v="0"/>
    <s v="Cancelled"/>
    <s v="No requirement"/>
    <m/>
    <m/>
    <m/>
    <m/>
    <s v="Dec-23"/>
    <n v="50"/>
    <s v="2024"/>
  </r>
  <r>
    <d v="2023-12-15T00:00:00"/>
    <s v="Masterminds School"/>
    <s v="Call"/>
    <s v="Events"/>
    <x v="4"/>
    <s v="Adarsh Reddy"/>
    <s v="Shared details of bulk orders and bakery items."/>
    <n v="5000"/>
    <n v="0"/>
    <x v="0"/>
    <x v="0"/>
    <x v="0"/>
    <s v="Cancelled"/>
    <s v="No requirement"/>
    <m/>
    <m/>
    <m/>
    <m/>
    <s v="Dec-23"/>
    <n v="50"/>
    <s v="2024"/>
  </r>
  <r>
    <d v="2023-12-15T00:00:00"/>
    <s v="Naveena Degree college"/>
    <s v="Call"/>
    <s v="Events"/>
    <x v="4"/>
    <s v="Adinarayan (Principal)"/>
    <s v="Shared details of bulk bookings"/>
    <n v="20000"/>
    <n v="0"/>
    <x v="1"/>
    <x v="0"/>
    <x v="0"/>
    <s v="Cancelled"/>
    <m/>
    <m/>
    <m/>
    <m/>
    <m/>
    <s v="Dec-23"/>
    <n v="50"/>
    <s v="2024"/>
  </r>
  <r>
    <d v="2023-12-16T00:00:00"/>
    <s v="Birthday Party"/>
    <s v="Call"/>
    <s v="Events"/>
    <x v="10"/>
    <s v="MD Amaan"/>
    <s v="Shared quote for Biryani and Dessert"/>
    <n v="18000"/>
    <n v="0"/>
    <x v="2"/>
    <x v="0"/>
    <x v="0"/>
    <s v="Cancelled"/>
    <s v="Less Budget"/>
    <m/>
    <m/>
    <m/>
    <m/>
    <s v="Dec-23"/>
    <n v="50"/>
    <s v="2023"/>
  </r>
  <r>
    <d v="2023-12-16T00:00:00"/>
    <s v="Nizamabad Church Function"/>
    <s v="Call"/>
    <s v="Events"/>
    <x v="8"/>
    <s v="Agness Rose"/>
    <s v="Biryani and Cake for 200 PAX , Shared details, NizamabadBranch closed"/>
    <n v="40000"/>
    <n v="0"/>
    <x v="5"/>
    <x v="0"/>
    <x v="0"/>
    <s v="Cancelled"/>
    <s v="Nizamabad Branch Closed"/>
    <m/>
    <m/>
    <m/>
    <m/>
    <s v="Dec-23"/>
    <n v="50"/>
    <s v="2024"/>
  </r>
  <r>
    <d v="2023-12-16T00:00:00"/>
    <s v="ICFAI College Fest"/>
    <s v="Call"/>
    <s v="Events"/>
    <x v="4"/>
    <s v="Shivang Singh"/>
    <s v="Planning for stall at ICFAI fest in jan"/>
    <n v="100000"/>
    <n v="0"/>
    <x v="1"/>
    <x v="0"/>
    <x v="0"/>
    <s v="Cancelled"/>
    <s v="50 k for college fest was not profitable."/>
    <m/>
    <m/>
    <m/>
    <m/>
    <s v="Dec-23"/>
    <n v="50"/>
    <s v="2024"/>
  </r>
  <r>
    <d v="2023-12-16T00:00:00"/>
    <s v="Dell Technologies"/>
    <s v="Call"/>
    <s v="Corporate"/>
    <x v="0"/>
    <s v="Deepak Pandey"/>
    <s v="Sold gift voucher of 2000"/>
    <n v="2000"/>
    <n v="2000"/>
    <x v="2"/>
    <x v="0"/>
    <x v="1"/>
    <s v="Closed"/>
    <m/>
    <m/>
    <m/>
    <m/>
    <m/>
    <s v="Dec-23"/>
    <n v="50"/>
    <s v="2023"/>
  </r>
  <r>
    <d v="2023-12-17T00:00:00"/>
    <s v="VVC Automobiles"/>
    <s v="Call"/>
    <s v="Corporate"/>
    <x v="9"/>
    <s v="Jilani"/>
    <s v="Shared introduction about Bulk order and ODC"/>
    <n v="20000"/>
    <n v="0"/>
    <x v="4"/>
    <x v="0"/>
    <x v="0"/>
    <s v="Cancelled"/>
    <s v="No requirement"/>
    <m/>
    <m/>
    <m/>
    <m/>
    <s v="Dec-23"/>
    <n v="50"/>
    <s v="2024"/>
  </r>
  <r>
    <d v="2023-12-17T00:00:00"/>
    <s v="Kia Automotive"/>
    <s v="Call"/>
    <s v="Corporate"/>
    <x v="9"/>
    <s v="Martin"/>
    <s v="Shared introduction about Bulk order and ODC"/>
    <n v="30000"/>
    <n v="0"/>
    <x v="0"/>
    <x v="0"/>
    <x v="0"/>
    <s v="Cancelled"/>
    <s v="No requirement"/>
    <m/>
    <m/>
    <m/>
    <m/>
    <s v="Dec-23"/>
    <n v="50"/>
    <s v="2024"/>
  </r>
  <r>
    <d v="2023-12-18T00:00:00"/>
    <s v="Aurora PG College"/>
    <s v="Call"/>
    <s v="Corporate"/>
    <x v="4"/>
    <s v="Grishmanth"/>
    <s v="College Event and ODC"/>
    <n v="30000"/>
    <n v="0"/>
    <x v="1"/>
    <x v="0"/>
    <x v="0"/>
    <s v="Cancelled"/>
    <s v="60000 rent was not profitable"/>
    <m/>
    <m/>
    <m/>
    <m/>
    <s v="Dec-23"/>
    <n v="51"/>
    <s v="2024"/>
  </r>
  <r>
    <d v="2023-12-18T00:00:00"/>
    <s v="Parade Ground Event , MNR Education CMP"/>
    <s v="Call"/>
    <s v="Events"/>
    <x v="3"/>
    <s v="Kumar Yayath"/>
    <s v="requirement of 1250 Veg biryani on 20 Dec 2023 ( Paid advance 1,50,000/-)"/>
    <n v="150000"/>
    <n v="150000"/>
    <x v="2"/>
    <x v="0"/>
    <x v="1"/>
    <s v="Closed"/>
    <m/>
    <m/>
    <m/>
    <m/>
    <m/>
    <s v="Dec-23"/>
    <n v="51"/>
    <s v="2023"/>
  </r>
  <r>
    <d v="2023-12-18T00:00:00"/>
    <s v="Karl Public School"/>
    <s v="F2F"/>
    <s v="School"/>
    <x v="4"/>
    <s v="Daniel"/>
    <s v="Shared details of bulk order and christmas gifting"/>
    <n v="10000"/>
    <n v="0"/>
    <x v="1"/>
    <x v="0"/>
    <x v="0"/>
    <s v="Cancelled"/>
    <s v="Low budget "/>
    <m/>
    <m/>
    <m/>
    <m/>
    <s v="Dec-23"/>
    <n v="51"/>
    <s v="2024"/>
  </r>
  <r>
    <d v="2023-12-18T00:00:00"/>
    <s v="St Teresa School"/>
    <s v="F2F"/>
    <s v="School"/>
    <x v="4"/>
    <s v="Madhu"/>
    <s v="Shared details of bulk orders"/>
    <n v="10000"/>
    <n v="0"/>
    <x v="1"/>
    <x v="0"/>
    <x v="0"/>
    <s v="Cancelled"/>
    <s v="Procured Inhouse"/>
    <m/>
    <m/>
    <m/>
    <m/>
    <s v="Dec-23"/>
    <n v="51"/>
    <s v="2024"/>
  </r>
  <r>
    <d v="2023-12-18T00:00:00"/>
    <s v="St Joseph School (ECIL)"/>
    <s v="F2F"/>
    <s v="School"/>
    <x v="4"/>
    <s v="Aneesh"/>
    <s v="Shared details of christmas and New year gifting "/>
    <n v="10000"/>
    <n v="0"/>
    <x v="0"/>
    <x v="0"/>
    <x v="0"/>
    <s v="Cancelled"/>
    <s v="No requirement"/>
    <m/>
    <m/>
    <m/>
    <m/>
    <s v="Dec-23"/>
    <n v="51"/>
    <s v="2024"/>
  </r>
  <r>
    <d v="2023-12-18T00:00:00"/>
    <s v="Get Together"/>
    <s v="Call"/>
    <s v="Events"/>
    <x v="10"/>
    <s v="Manavya"/>
    <s v="planning for 100 pax biryani in Jan"/>
    <n v="25000"/>
    <n v="0"/>
    <x v="1"/>
    <x v="0"/>
    <x v="0"/>
    <s v="Cancelled"/>
    <s v="Event Cancelled"/>
    <m/>
    <m/>
    <m/>
    <m/>
    <s v="Dec-23"/>
    <n v="51"/>
    <s v="2024"/>
  </r>
  <r>
    <d v="2023-12-18T00:00:00"/>
    <s v="Celebtration Event Management"/>
    <s v="Call"/>
    <s v="Corporate"/>
    <x v="3"/>
    <s v="Priyanshi Jain"/>
    <s v="Planning event in hitex in first week of jan"/>
    <n v="20000"/>
    <n v="0"/>
    <x v="1"/>
    <x v="0"/>
    <x v="0"/>
    <s v="Cancelled"/>
    <s v="Dropped as was not profitable"/>
    <m/>
    <m/>
    <m/>
    <m/>
    <s v="Dec-23"/>
    <n v="51"/>
    <s v="2024"/>
  </r>
  <r>
    <d v="2023-12-18T00:00:00"/>
    <s v="Bharat Serum Limited"/>
    <s v="Call"/>
    <s v="Corporate"/>
    <x v="5"/>
    <s v="Priya"/>
    <s v="Co branding and Discount vouchers for doctors"/>
    <n v="50000"/>
    <n v="0"/>
    <x v="1"/>
    <x v="0"/>
    <x v="0"/>
    <s v="Cancelled"/>
    <s v="Dropped due to high discount demand"/>
    <m/>
    <m/>
    <m/>
    <m/>
    <s v="Dec-23"/>
    <n v="51"/>
    <s v="2024"/>
  </r>
  <r>
    <d v="2023-12-18T00:00:00"/>
    <s v="Cake Order(Lingampally)"/>
    <s v="Call"/>
    <s v="Events"/>
    <x v="10"/>
    <s v="Balu"/>
    <s v="Order for cake on 27 Dec 2023, Shared with concerned"/>
    <n v="2500"/>
    <n v="0"/>
    <x v="2"/>
    <x v="0"/>
    <x v="0"/>
    <s v="Cancelled"/>
    <s v="Didn’t turned up for order"/>
    <m/>
    <m/>
    <m/>
    <m/>
    <s v="Dec-23"/>
    <n v="51"/>
    <s v="2023"/>
  </r>
  <r>
    <d v="2023-12-19T00:00:00"/>
    <s v="Mettuguda Church"/>
    <s v="F2F"/>
    <s v="Corporate"/>
    <x v="3"/>
    <s v="Gladson"/>
    <s v="They are managing food internally for christmas"/>
    <n v="30000"/>
    <n v="0"/>
    <x v="2"/>
    <x v="0"/>
    <x v="0"/>
    <s v="Cancelled"/>
    <s v="Managed food internally"/>
    <m/>
    <m/>
    <m/>
    <m/>
    <s v="Dec-23"/>
    <n v="51"/>
    <s v="2023"/>
  </r>
  <r>
    <d v="2023-12-19T00:00:00"/>
    <s v="AMD"/>
    <s v="F2F"/>
    <s v="Corporate"/>
    <x v="0"/>
    <s v="Kiran"/>
    <s v="Closed 130 PAX Biryani and Double ka meetha , for 21 Dec 2023 payment will be done on 20 Dec."/>
    <n v="27684"/>
    <n v="27684"/>
    <x v="2"/>
    <x v="0"/>
    <x v="1"/>
    <s v="Closed"/>
    <m/>
    <m/>
    <m/>
    <m/>
    <m/>
    <s v="Dec-23"/>
    <n v="51"/>
    <s v="2023"/>
  </r>
  <r>
    <d v="2023-12-19T00:00:00"/>
    <s v="Abhibus"/>
    <s v="Call"/>
    <s v="Corporate"/>
    <x v="2"/>
    <s v="Ajinkya"/>
    <s v="Bulk orders for traveling customers"/>
    <n v="0"/>
    <n v="0"/>
    <x v="1"/>
    <x v="0"/>
    <x v="0"/>
    <s v="Cancelled"/>
    <s v="Cancelled Due to payment issues."/>
    <m/>
    <m/>
    <m/>
    <m/>
    <s v="Dec-23"/>
    <n v="51"/>
    <s v="2024"/>
  </r>
  <r>
    <d v="2023-12-19T00:00:00"/>
    <s v="Comic Con "/>
    <s v="Call"/>
    <s v="Events"/>
    <x v="3"/>
    <s v="Anmol"/>
    <s v="Cancelled due to hi cost 40% revenue sharing"/>
    <n v="0"/>
    <n v="0"/>
    <x v="1"/>
    <x v="0"/>
    <x v="0"/>
    <s v="Cancelled"/>
    <s v="Cancelled due to hi cost 40% revenue sharing"/>
    <m/>
    <m/>
    <m/>
    <m/>
    <s v="Dec-23"/>
    <n v="51"/>
    <s v="2024"/>
  </r>
  <r>
    <d v="2023-12-19T00:00:00"/>
    <s v="Academic Heights School"/>
    <s v="Call"/>
    <s v="Events"/>
    <x v="4"/>
    <s v="Vandana"/>
    <s v="Shared details about food Delivery at events"/>
    <n v="20000"/>
    <n v="0"/>
    <x v="0"/>
    <x v="0"/>
    <x v="0"/>
    <s v="Cancelled"/>
    <s v="No requirement"/>
    <m/>
    <m/>
    <m/>
    <m/>
    <s v="Dec-23"/>
    <n v="51"/>
    <s v="2024"/>
  </r>
  <r>
    <d v="2023-12-19T00:00:00"/>
    <s v="Dawn High School"/>
    <s v="Call"/>
    <s v="Events"/>
    <x v="4"/>
    <s v="Akhtar"/>
    <s v="Shared details about food Delivery at events"/>
    <n v="10000"/>
    <n v="0"/>
    <x v="0"/>
    <x v="0"/>
    <x v="0"/>
    <s v="Cancelled"/>
    <s v="No requirement"/>
    <m/>
    <m/>
    <m/>
    <m/>
    <s v="Dec-23"/>
    <n v="51"/>
    <s v="2024"/>
  </r>
  <r>
    <d v="2023-12-19T00:00:00"/>
    <s v="United Health Group"/>
    <s v="Call"/>
    <s v="Corporate"/>
    <x v="0"/>
    <s v="Ajit Rai"/>
    <s v="Shared details of bulk orders"/>
    <n v="30000"/>
    <n v="0"/>
    <x v="4"/>
    <x v="0"/>
    <x v="0"/>
    <s v="Cancelled"/>
    <s v="Event Cancelled"/>
    <m/>
    <m/>
    <m/>
    <m/>
    <s v="Dec-23"/>
    <n v="51"/>
    <s v="2024"/>
  </r>
  <r>
    <d v="2023-12-19T00:00:00"/>
    <s v="Hitachi"/>
    <s v="Call"/>
    <s v="Corporate"/>
    <x v="0"/>
    <s v="Amin Shroff"/>
    <s v="Shared details of bulk orders"/>
    <n v="20000"/>
    <n v="0"/>
    <x v="4"/>
    <x v="0"/>
    <x v="0"/>
    <s v="Cancelled"/>
    <s v="Event Cancelled"/>
    <m/>
    <m/>
    <m/>
    <m/>
    <s v="Dec-23"/>
    <n v="51"/>
    <s v="2024"/>
  </r>
  <r>
    <d v="2023-12-19T00:00:00"/>
    <s v="Tourist group from Gulbarga"/>
    <s v="Call"/>
    <s v="Events"/>
    <x v="1"/>
    <s v="Narsa Reddy"/>
    <s v="Tourist group from gulbarga visited imax branch for lunch"/>
    <n v="26000"/>
    <n v="26000"/>
    <x v="2"/>
    <x v="0"/>
    <x v="1"/>
    <s v="Closed"/>
    <m/>
    <m/>
    <m/>
    <m/>
    <m/>
    <s v="Dec-23"/>
    <n v="51"/>
    <s v="2023"/>
  </r>
  <r>
    <d v="2023-12-20T00:00:00"/>
    <s v="Coznizant Technology Solutions"/>
    <s v="F2F"/>
    <s v="Corporate"/>
    <x v="0"/>
    <s v="Vijay"/>
    <s v="They have some yearend budget to be utilized with 1 month validity vouchers"/>
    <n v="25000"/>
    <n v="25000"/>
    <x v="1"/>
    <x v="0"/>
    <x v="1"/>
    <s v="Closed"/>
    <m/>
    <m/>
    <m/>
    <m/>
    <m/>
    <s v="Dec-23"/>
    <n v="51"/>
    <s v="2024"/>
  </r>
  <r>
    <d v="2023-12-20T00:00:00"/>
    <s v="Wells Fargo"/>
    <s v="F2F"/>
    <s v="Corporate"/>
    <x v="0"/>
    <s v="Aashutosh Goyal"/>
    <s v="Introduced about bulk orders and ODC"/>
    <n v="10000"/>
    <n v="0"/>
    <x v="4"/>
    <x v="0"/>
    <x v="0"/>
    <s v="Cancelled"/>
    <s v="No requirement"/>
    <m/>
    <m/>
    <m/>
    <m/>
    <s v="Dec-23"/>
    <n v="51"/>
    <s v="2024"/>
  </r>
  <r>
    <d v="2023-12-20T00:00:00"/>
    <s v="Issquard"/>
    <s v="Call"/>
    <s v="Corporate"/>
    <x v="0"/>
    <s v="Aditya Challa"/>
    <s v="Introduction about bulk orders and corporate discount"/>
    <n v="10000"/>
    <n v="0"/>
    <x v="0"/>
    <x v="0"/>
    <x v="0"/>
    <s v="Cancelled"/>
    <s v="No requirement"/>
    <m/>
    <m/>
    <m/>
    <m/>
    <s v="Dec-23"/>
    <n v="51"/>
    <s v="2024"/>
  </r>
  <r>
    <d v="2023-12-20T00:00:00"/>
    <s v="Tech Aspects"/>
    <s v="Call"/>
    <s v="Corporate"/>
    <x v="0"/>
    <s v="Akash"/>
    <s v="Introduce about bulk food delivery"/>
    <n v="5000"/>
    <n v="0"/>
    <x v="0"/>
    <x v="0"/>
    <x v="0"/>
    <s v="Cancelled"/>
    <s v="No requirement"/>
    <m/>
    <m/>
    <m/>
    <m/>
    <s v="Dec-23"/>
    <n v="51"/>
    <s v="2024"/>
  </r>
  <r>
    <d v="2023-12-20T00:00:00"/>
    <s v="Volkswagen Hyd"/>
    <s v="Call"/>
    <s v="Corporate"/>
    <x v="9"/>
    <s v="Giri"/>
    <s v="Introducting about client gifting"/>
    <n v="20000"/>
    <n v="0"/>
    <x v="0"/>
    <x v="0"/>
    <x v="0"/>
    <s v="Cancelled"/>
    <s v="No requirement"/>
    <m/>
    <m/>
    <m/>
    <m/>
    <s v="Dec-23"/>
    <n v="51"/>
    <s v="2024"/>
  </r>
  <r>
    <d v="2023-12-20T00:00:00"/>
    <s v="Global Indian International School"/>
    <s v="Call"/>
    <s v="Events"/>
    <x v="4"/>
    <s v="Anuradha"/>
    <s v="Introduction for Bulk delivery at fest"/>
    <n v="30000"/>
    <n v="0"/>
    <x v="0"/>
    <x v="0"/>
    <x v="0"/>
    <s v="Cancelled"/>
    <s v="No requirement"/>
    <m/>
    <m/>
    <m/>
    <m/>
    <s v="Dec-23"/>
    <n v="51"/>
    <s v="2024"/>
  </r>
  <r>
    <d v="2023-12-20T00:00:00"/>
    <s v="Hyderabad Metro Rail"/>
    <s v="F2F"/>
    <s v="Corporate"/>
    <x v="2"/>
    <s v="Sulakshna"/>
    <s v="Deliverd lunch first order, Received Good feedback "/>
    <n v="6800"/>
    <n v="6800"/>
    <x v="2"/>
    <x v="0"/>
    <x v="1"/>
    <s v="Closed"/>
    <m/>
    <m/>
    <m/>
    <m/>
    <m/>
    <s v="Dec-23"/>
    <n v="51"/>
    <s v="2023"/>
  </r>
  <r>
    <d v="2023-12-21T00:00:00"/>
    <s v="Sagarsoft India Pvt Ltd"/>
    <s v="F2F"/>
    <s v="Corporate"/>
    <x v="0"/>
    <s v="Srinivas Reddy (Admin)"/>
    <s v="shared quotation for 250 pax buffet lunch on 2 Jan 2024"/>
    <n v="250000"/>
    <n v="0"/>
    <x v="1"/>
    <x v="0"/>
    <x v="0"/>
    <s v="Cancelled"/>
    <s v="They procured fron Vijaylakshmi tiffins due to less budget"/>
    <m/>
    <m/>
    <m/>
    <m/>
    <s v="Dec-23"/>
    <n v="51"/>
    <s v="2024"/>
  </r>
  <r>
    <d v="2023-12-21T00:00:00"/>
    <s v="Birthday Party"/>
    <s v="Call"/>
    <s v="Events"/>
    <x v="10"/>
    <s v="Chandan"/>
    <s v="Shared details of 35 pax Dinner on 22 Dec 2023"/>
    <n v="15000"/>
    <n v="0"/>
    <x v="1"/>
    <x v="0"/>
    <x v="0"/>
    <s v="Cancelled"/>
    <s v="They prepared in house due to budget constrains"/>
    <m/>
    <m/>
    <m/>
    <m/>
    <s v="Dec-23"/>
    <n v="51"/>
    <s v="2024"/>
  </r>
  <r>
    <d v="2023-12-21T00:00:00"/>
    <s v="SVNT Infotech"/>
    <s v="Call"/>
    <s v="Corporate"/>
    <x v="0"/>
    <s v="Gupta"/>
    <s v="Introduction about bulk orders and corporate discount"/>
    <n v="5000"/>
    <n v="0"/>
    <x v="6"/>
    <x v="0"/>
    <x v="0"/>
    <s v="Cancelled"/>
    <s v="Nizamabad Branch Closed"/>
    <m/>
    <m/>
    <m/>
    <m/>
    <s v="Dec-23"/>
    <n v="51"/>
    <s v="2024"/>
  </r>
  <r>
    <d v="2023-12-21T00:00:00"/>
    <s v="Gatik Junior college"/>
    <s v="Call"/>
    <s v="Corporate"/>
    <x v="0"/>
    <s v="Vijaya Lakshmi"/>
    <s v="Introduction about bulk orders and corporate discount"/>
    <n v="3000"/>
    <n v="0"/>
    <x v="5"/>
    <x v="0"/>
    <x v="0"/>
    <s v="Cancelled"/>
    <s v="No requirement"/>
    <m/>
    <m/>
    <m/>
    <m/>
    <s v="Dec-23"/>
    <n v="51"/>
    <s v="2024"/>
  </r>
  <r>
    <d v="2023-12-21T00:00:00"/>
    <s v="nucleusteq Consulting "/>
    <s v="Call"/>
    <s v="Corporate"/>
    <x v="0"/>
    <s v="varun"/>
    <s v="Introduction about bulk orders and corporate discount"/>
    <n v="3000"/>
    <n v="0"/>
    <x v="5"/>
    <x v="0"/>
    <x v="0"/>
    <s v="Cancelled"/>
    <s v="No requirement"/>
    <m/>
    <m/>
    <m/>
    <m/>
    <s v="Dec-23"/>
    <n v="51"/>
    <s v="2024"/>
  </r>
  <r>
    <d v="2023-12-21T00:00:00"/>
    <s v="Galcon Infra and Constructions"/>
    <s v="Call"/>
    <s v="Corporate"/>
    <x v="0"/>
    <s v="Akshay"/>
    <s v="Introduction about bulk orders and corporate discount"/>
    <n v="5000"/>
    <n v="0"/>
    <x v="5"/>
    <x v="0"/>
    <x v="0"/>
    <s v="Cancelled"/>
    <s v="No requirement"/>
    <m/>
    <m/>
    <m/>
    <m/>
    <s v="Dec-23"/>
    <n v="51"/>
    <s v="2024"/>
  </r>
  <r>
    <d v="2023-12-21T00:00:00"/>
    <s v="Bizgaze Limited"/>
    <s v="Call"/>
    <s v="Corporate"/>
    <x v="0"/>
    <s v="beula"/>
    <s v="Introduction about bulk orders and corporate discount"/>
    <n v="8000"/>
    <n v="0"/>
    <x v="5"/>
    <x v="0"/>
    <x v="0"/>
    <s v="Cancelled"/>
    <s v="Budget constrains"/>
    <m/>
    <m/>
    <m/>
    <m/>
    <s v="Dec-23"/>
    <n v="51"/>
    <s v="2024"/>
  </r>
  <r>
    <d v="2023-12-21T00:00:00"/>
    <s v="SRM Holdings"/>
    <s v="Call"/>
    <s v="Corporate"/>
    <x v="0"/>
    <s v="John"/>
    <s v="Introduced about bulk orders and ODC"/>
    <n v="5000"/>
    <n v="0"/>
    <x v="5"/>
    <x v="0"/>
    <x v="0"/>
    <s v="Cancelled"/>
    <s v="No requirement"/>
    <m/>
    <m/>
    <m/>
    <m/>
    <s v="Dec-23"/>
    <n v="51"/>
    <s v="2024"/>
  </r>
  <r>
    <d v="2023-12-21T00:00:00"/>
    <s v="Achala IT Solutions"/>
    <s v="Call"/>
    <s v="Corporate"/>
    <x v="0"/>
    <s v="Gayatri"/>
    <s v="Introduced about bulk orders and ODC"/>
    <n v="4000"/>
    <n v="0"/>
    <x v="5"/>
    <x v="0"/>
    <x v="0"/>
    <s v="Cancelled"/>
    <s v="No requirement"/>
    <m/>
    <m/>
    <m/>
    <m/>
    <s v="Dec-23"/>
    <n v="51"/>
    <s v="2024"/>
  </r>
  <r>
    <d v="2023-12-21T00:00:00"/>
    <s v="Knot solutions"/>
    <s v="Call"/>
    <s v="Corporate"/>
    <x v="0"/>
    <s v="savio fernandez"/>
    <s v="Introduced about bulk orders and ODC"/>
    <n v="5000"/>
    <n v="0"/>
    <x v="5"/>
    <x v="0"/>
    <x v="0"/>
    <s v="Cancelled"/>
    <s v="No requirement"/>
    <m/>
    <m/>
    <m/>
    <m/>
    <s v="Dec-23"/>
    <n v="51"/>
    <s v="2024"/>
  </r>
  <r>
    <d v="2023-12-21T00:00:00"/>
    <s v="Verity Knowledge solutions"/>
    <s v="Call"/>
    <s v="Corporate"/>
    <x v="0"/>
    <s v="pachima swain"/>
    <s v="Introduced about bulk orders and ODC"/>
    <n v="20000"/>
    <n v="0"/>
    <x v="6"/>
    <x v="0"/>
    <x v="0"/>
    <s v="Cancelled"/>
    <s v="Event Cancelled"/>
    <m/>
    <m/>
    <m/>
    <m/>
    <s v="Dec-23"/>
    <n v="51"/>
    <s v="2024"/>
  </r>
  <r>
    <d v="2023-12-22T00:00:00"/>
    <s v="Menonite Brethren Bethel Church"/>
    <s v="F2F"/>
    <s v="Events"/>
    <x v="8"/>
    <s v="Bro. Shyam Prasad"/>
    <s v="They are preparing in house due to budget"/>
    <n v="150000"/>
    <n v="0"/>
    <x v="2"/>
    <x v="0"/>
    <x v="0"/>
    <s v="Cancelled"/>
    <s v="Prepared Inhouse"/>
    <m/>
    <m/>
    <m/>
    <m/>
    <s v="Dec-23"/>
    <n v="51"/>
    <s v="2023"/>
  </r>
  <r>
    <d v="2023-12-22T00:00:00"/>
    <s v="Uppal Stadium"/>
    <s v="F2F"/>
    <s v="Events"/>
    <x v="11"/>
    <s v="Prakash Singh"/>
    <s v="Planning for 170 Pax Biryani"/>
    <n v="30000"/>
    <n v="0"/>
    <x v="1"/>
    <x v="0"/>
    <x v="0"/>
    <s v="Cancelled"/>
    <s v="Event Cancelled"/>
    <m/>
    <m/>
    <m/>
    <m/>
    <s v="Dec-23"/>
    <n v="51"/>
    <s v="2024"/>
  </r>
  <r>
    <d v="2023-12-22T00:00:00"/>
    <s v="Gaudium School"/>
    <s v="Call"/>
    <s v="Events"/>
    <x v="4"/>
    <s v="Sriman"/>
    <s v="Shared details of bulk order delivery in fest"/>
    <n v="25000"/>
    <n v="0"/>
    <x v="6"/>
    <x v="0"/>
    <x v="0"/>
    <s v="Cancelled"/>
    <s v="Event Cancelled"/>
    <m/>
    <m/>
    <m/>
    <m/>
    <s v="Dec-23"/>
    <n v="51"/>
    <s v="2024"/>
  </r>
  <r>
    <d v="2023-12-22T00:00:00"/>
    <s v="Sreenidhi College Ghatkesar"/>
    <s v="F2F"/>
    <s v="Events"/>
    <x v="4"/>
    <s v="Srikanth"/>
    <s v="Introduced about bulk orders and ODC"/>
    <n v="20000"/>
    <n v="0"/>
    <x v="5"/>
    <x v="0"/>
    <x v="0"/>
    <s v="Cancelled"/>
    <s v="Budget constrains"/>
    <m/>
    <m/>
    <m/>
    <m/>
    <s v="Dec-23"/>
    <n v="51"/>
    <s v="2024"/>
  </r>
  <r>
    <d v="2023-12-22T00:00:00"/>
    <s v="Blooming Buds School Suraram"/>
    <s v="Call"/>
    <s v="Events"/>
    <x v="4"/>
    <s v="Aleem"/>
    <s v="Shared details of Bulk food delivery"/>
    <n v="15000"/>
    <n v="0"/>
    <x v="5"/>
    <x v="0"/>
    <x v="0"/>
    <s v="Cancelled"/>
    <s v="No requirement"/>
    <m/>
    <m/>
    <m/>
    <m/>
    <s v="Dec-23"/>
    <n v="51"/>
    <s v="2024"/>
  </r>
  <r>
    <d v="2023-12-22T00:00:00"/>
    <s v="Sri Akash School"/>
    <s v="Call"/>
    <s v="Events"/>
    <x v="4"/>
    <s v="Anjali"/>
    <s v="Shared details of Bulk food delivery"/>
    <n v="5000"/>
    <n v="0"/>
    <x v="5"/>
    <x v="0"/>
    <x v="0"/>
    <s v="Cancelled"/>
    <s v="Not Interested"/>
    <m/>
    <m/>
    <m/>
    <m/>
    <s v="Dec-23"/>
    <n v="51"/>
    <s v="2024"/>
  </r>
  <r>
    <d v="2023-12-22T00:00:00"/>
    <s v="JD Sports Fashion"/>
    <s v="Call"/>
    <s v="Corporate"/>
    <x v="11"/>
    <s v="Anjushree"/>
    <s v="Shared details of bulk orders"/>
    <n v="10000"/>
    <n v="0"/>
    <x v="5"/>
    <x v="0"/>
    <x v="0"/>
    <s v="Cancelled"/>
    <s v="No requirement"/>
    <m/>
    <m/>
    <m/>
    <m/>
    <s v="Dec-23"/>
    <n v="51"/>
    <s v="2024"/>
  </r>
  <r>
    <d v="2023-12-23T00:00:00"/>
    <s v="Turkyamjal Church"/>
    <s v="Call"/>
    <s v="Events"/>
    <x v="8"/>
    <s v="Jwanish"/>
    <s v="Deliverd food for 35 People"/>
    <n v="17500"/>
    <n v="17500"/>
    <x v="2"/>
    <x v="0"/>
    <x v="1"/>
    <s v="Closed"/>
    <m/>
    <m/>
    <m/>
    <m/>
    <m/>
    <s v="Dec-23"/>
    <n v="51"/>
    <s v="2023"/>
  </r>
  <r>
    <d v="2023-12-23T00:00:00"/>
    <s v="Food Delivery at Park Hayat"/>
    <s v="Call"/>
    <s v="Events"/>
    <x v="12"/>
    <s v="Subramanyam"/>
    <s v="Food delivery for 75 people"/>
    <n v="20000"/>
    <n v="20000"/>
    <x v="2"/>
    <x v="0"/>
    <x v="1"/>
    <s v="Closed"/>
    <m/>
    <m/>
    <m/>
    <m/>
    <m/>
    <s v="Dec-23"/>
    <n v="51"/>
    <s v="2023"/>
  </r>
  <r>
    <d v="2023-12-23T00:00:00"/>
    <s v="House Party at Sikh Village"/>
    <s v="Call"/>
    <s v="Events"/>
    <x v="10"/>
    <s v="Vamshi Chowdary"/>
    <s v="Shared quote for 35 pax, food delivery"/>
    <n v="12000"/>
    <n v="0"/>
    <x v="1"/>
    <x v="0"/>
    <x v="0"/>
    <s v="Cancelled"/>
    <s v="Event Cancelled"/>
    <m/>
    <m/>
    <m/>
    <m/>
    <s v="Dec-23"/>
    <n v="51"/>
    <s v="2024"/>
  </r>
  <r>
    <d v="2023-12-23T00:00:00"/>
    <s v="Yodha Healthcare"/>
    <s v="Call"/>
    <s v="Corporate"/>
    <x v="13"/>
    <s v="Pooja Mahavir"/>
    <s v="Shared detaild of bulk food delivery"/>
    <n v="0"/>
    <n v="0"/>
    <x v="5"/>
    <x v="0"/>
    <x v="0"/>
    <s v="Cancelled"/>
    <s v="No requirement"/>
    <m/>
    <m/>
    <m/>
    <m/>
    <s v="Dec-23"/>
    <n v="51"/>
    <s v="2024"/>
  </r>
  <r>
    <d v="2023-12-24T00:00:00"/>
    <s v="St Marks School"/>
    <s v="Call"/>
    <s v="Events"/>
    <x v="4"/>
    <s v="Anand"/>
    <s v="Shared detaild of bulk food delivery"/>
    <n v="5000"/>
    <n v="0"/>
    <x v="5"/>
    <x v="0"/>
    <x v="0"/>
    <s v="Cancelled"/>
    <s v="No requirement"/>
    <m/>
    <m/>
    <m/>
    <m/>
    <s v="Dec-23"/>
    <n v="51"/>
    <s v="2024"/>
  </r>
  <r>
    <d v="2023-12-24T00:00:00"/>
    <s v="Loyola High School"/>
    <s v="Call"/>
    <s v="Events"/>
    <x v="4"/>
    <s v="Amruth Wani"/>
    <s v="Shared detaild of bulk food delivery"/>
    <n v="3000"/>
    <n v="0"/>
    <x v="5"/>
    <x v="0"/>
    <x v="0"/>
    <s v="Cancelled"/>
    <s v="No requirement"/>
    <m/>
    <m/>
    <m/>
    <m/>
    <s v="Dec-23"/>
    <n v="51"/>
    <s v="2024"/>
  </r>
  <r>
    <d v="2023-12-24T00:00:00"/>
    <s v="Little Flower School"/>
    <s v="Call"/>
    <s v="Events"/>
    <x v="4"/>
    <s v="Aparna"/>
    <s v="Bulk orders for fest"/>
    <n v="10000"/>
    <n v="0"/>
    <x v="7"/>
    <x v="0"/>
    <x v="0"/>
    <s v="Cancelled"/>
    <s v="Event Cancelled"/>
    <m/>
    <m/>
    <m/>
    <m/>
    <s v="Dec-23"/>
    <n v="51"/>
    <s v="2024"/>
  </r>
  <r>
    <d v="2023-12-24T00:00:00"/>
    <s v="Kothapet NGO"/>
    <s v="Call"/>
    <s v="Events"/>
    <x v="14"/>
    <s v="Anand Nag"/>
    <s v="Bulk food delivery"/>
    <n v="10000"/>
    <n v="0"/>
    <x v="5"/>
    <x v="0"/>
    <x v="0"/>
    <s v="Cancelled"/>
    <s v="Event Cancelled"/>
    <m/>
    <m/>
    <m/>
    <m/>
    <s v="Dec-23"/>
    <n v="51"/>
    <s v="2024"/>
  </r>
  <r>
    <d v="2023-12-25T00:00:00"/>
    <s v="Mechanized Tank"/>
    <s v="Call"/>
    <s v="Corporate"/>
    <x v="7"/>
    <s v="Vinoid"/>
    <s v="Bulk food delivery"/>
    <n v="14000"/>
    <n v="0"/>
    <x v="1"/>
    <x v="0"/>
    <x v="0"/>
    <s v="Cancelled"/>
    <s v="Event Cancelled"/>
    <m/>
    <m/>
    <m/>
    <m/>
    <s v="Dec-23"/>
    <n v="52"/>
    <s v="2024"/>
  </r>
  <r>
    <d v="2023-12-25T00:00:00"/>
    <s v="St Alphonso School"/>
    <s v="Call"/>
    <s v="Events"/>
    <x v="4"/>
    <s v="Goud"/>
    <s v="Bulk Orders"/>
    <n v="10000"/>
    <n v="0"/>
    <x v="0"/>
    <x v="0"/>
    <x v="0"/>
    <s v="Cancelled"/>
    <s v="No requirement"/>
    <m/>
    <m/>
    <m/>
    <m/>
    <s v="Dec-23"/>
    <n v="52"/>
    <s v="2024"/>
  </r>
  <r>
    <d v="2023-12-26T00:00:00"/>
    <s v="Bulk Order for 60 People on 28 Dec"/>
    <s v="Call"/>
    <s v="Events"/>
    <x v="10"/>
    <s v="Vijay Kumar"/>
    <s v="Bulk Order for 60 People"/>
    <n v="30000"/>
    <n v="0"/>
    <x v="1"/>
    <x v="0"/>
    <x v="0"/>
    <s v="Cancelled"/>
    <s v="Event Cancelled"/>
    <m/>
    <m/>
    <m/>
    <m/>
    <s v="Dec-23"/>
    <n v="52"/>
    <s v="2024"/>
  </r>
  <r>
    <d v="2023-12-26T00:00:00"/>
    <s v="Bulk delivery at shamshabad"/>
    <s v="Call"/>
    <s v="Events"/>
    <x v="10"/>
    <s v="Aridoss"/>
    <s v="Bulk delivery at shamshabad for 20 people"/>
    <n v="5000"/>
    <n v="5000"/>
    <x v="2"/>
    <x v="0"/>
    <x v="1"/>
    <s v="Closed"/>
    <m/>
    <m/>
    <m/>
    <m/>
    <m/>
    <s v="Dec-23"/>
    <n v="52"/>
    <s v="2023"/>
  </r>
  <r>
    <d v="2023-12-26T00:00:00"/>
    <s v="Delivery at Saroornagar on 27-12-2023"/>
    <s v="Call"/>
    <s v="Events"/>
    <x v="10"/>
    <s v="Sunil"/>
    <s v="Bulk delivery for 40 people, Cancelled due to costing"/>
    <n v="12000"/>
    <n v="0"/>
    <x v="2"/>
    <x v="0"/>
    <x v="0"/>
    <s v="Cancelled"/>
    <s v="Event Cancelled"/>
    <m/>
    <m/>
    <m/>
    <m/>
    <s v="Dec-23"/>
    <n v="52"/>
    <s v="2023"/>
  </r>
  <r>
    <d v="2023-12-27T00:00:00"/>
    <s v="Hyderabad Metro Rail"/>
    <s v="F2F"/>
    <s v="Corporate"/>
    <x v="2"/>
    <s v="Arvind Srikanth"/>
    <s v="Discussion Regarding bakery outlet at there office to be finalized , for six month they wont be collecting any rent , post that 5000 per month."/>
    <n v="10000"/>
    <n v="10000"/>
    <x v="1"/>
    <x v="0"/>
    <x v="1"/>
    <s v="Closed"/>
    <m/>
    <m/>
    <m/>
    <m/>
    <m/>
    <s v="Dec-23"/>
    <n v="52"/>
    <s v="2024"/>
  </r>
  <r>
    <d v="2023-12-27T00:00:00"/>
    <s v="Bulk Delivery at Boduppal"/>
    <s v="Call"/>
    <s v="Events"/>
    <x v="10"/>
    <s v="Srikanth"/>
    <s v="Bulk Delivery of Handi and chinese at Boaduppal"/>
    <n v="18000"/>
    <n v="18000"/>
    <x v="2"/>
    <x v="0"/>
    <x v="1"/>
    <s v="Closed"/>
    <m/>
    <m/>
    <m/>
    <m/>
    <m/>
    <s v="Dec-23"/>
    <n v="52"/>
    <s v="2023"/>
  </r>
  <r>
    <d v="2023-12-27T00:00:00"/>
    <s v="Delivery at Begumbet "/>
    <s v="F2F"/>
    <s v="Events"/>
    <x v="4"/>
    <s v="Gaurav"/>
    <s v="deliverd 40 Biryani "/>
    <n v="20000"/>
    <n v="20000"/>
    <x v="2"/>
    <x v="0"/>
    <x v="1"/>
    <s v="Closed"/>
    <m/>
    <m/>
    <m/>
    <m/>
    <m/>
    <s v="Dec-23"/>
    <n v="52"/>
    <s v="2023"/>
  </r>
  <r>
    <d v="2023-12-27T00:00:00"/>
    <s v="BHEL"/>
    <s v="Call"/>
    <s v="Corporate"/>
    <x v="7"/>
    <s v="Maya"/>
    <s v="Shared quote for 1000 Pax Biryani"/>
    <n v="214000"/>
    <n v="0"/>
    <x v="1"/>
    <x v="0"/>
    <x v="0"/>
    <s v="Cancelled"/>
    <s v="Less Budget"/>
    <m/>
    <m/>
    <m/>
    <m/>
    <s v="Dec-23"/>
    <n v="52"/>
    <s v="2024"/>
  </r>
  <r>
    <d v="2023-12-27T00:00:00"/>
    <s v="Ambipam"/>
    <s v="Call"/>
    <s v="Corporate"/>
    <x v="13"/>
    <s v="Pooja Mahavir"/>
    <s v="Shared details for bulk delivery for healthcare employees"/>
    <n v="30000"/>
    <n v="0"/>
    <x v="0"/>
    <x v="0"/>
    <x v="0"/>
    <s v="Cancelled"/>
    <s v="No requirement"/>
    <m/>
    <m/>
    <m/>
    <m/>
    <s v="Dec-23"/>
    <n v="52"/>
    <s v="2024"/>
  </r>
  <r>
    <d v="2023-12-27T00:00:00"/>
    <s v="Axis Clinicals"/>
    <s v="Call"/>
    <s v="Events"/>
    <x v="5"/>
    <s v="Anusha"/>
    <s v="introduced about bulk delivery"/>
    <n v="15000"/>
    <n v="0"/>
    <x v="4"/>
    <x v="0"/>
    <x v="0"/>
    <s v="Cancelled"/>
    <m/>
    <m/>
    <m/>
    <m/>
    <m/>
    <s v="Dec-23"/>
    <n v="52"/>
    <s v="2024"/>
  </r>
  <r>
    <d v="2023-12-27T00:00:00"/>
    <s v="Cognizant"/>
    <s v="Call"/>
    <s v="Corporate"/>
    <x v="0"/>
    <s v="Anil"/>
    <s v="Team Lunch"/>
    <n v="4000"/>
    <n v="4000"/>
    <x v="2"/>
    <x v="0"/>
    <x v="1"/>
    <s v="Closed"/>
    <m/>
    <m/>
    <m/>
    <m/>
    <m/>
    <s v="Dec-23"/>
    <n v="52"/>
    <s v="2023"/>
  </r>
  <r>
    <d v="2023-12-27T00:00:00"/>
    <s v="MJ College"/>
    <s v="Call"/>
    <s v="Events"/>
    <x v="4"/>
    <s v="Abdul"/>
    <s v="Introduced about bulk dilevery in College"/>
    <n v="12000"/>
    <n v="0"/>
    <x v="0"/>
    <x v="0"/>
    <x v="0"/>
    <s v="Cancelled"/>
    <s v="No requirement"/>
    <m/>
    <m/>
    <m/>
    <m/>
    <s v="Dec-23"/>
    <n v="52"/>
    <s v="2024"/>
  </r>
  <r>
    <d v="2023-12-27T00:00:00"/>
    <s v="Corp Systems"/>
    <s v="Call"/>
    <s v="Events"/>
    <x v="0"/>
    <s v="Ajay"/>
    <s v="Shared details for catering vat team events"/>
    <n v="15000"/>
    <n v="0"/>
    <x v="0"/>
    <x v="0"/>
    <x v="0"/>
    <s v="Cancelled"/>
    <s v="No requirement"/>
    <m/>
    <m/>
    <m/>
    <m/>
    <s v="Dec-23"/>
    <n v="52"/>
    <s v="2024"/>
  </r>
  <r>
    <d v="2023-12-28T00:00:00"/>
    <s v="Spectrum Biosides"/>
    <s v="F2F"/>
    <s v="Corporate"/>
    <x v="5"/>
    <s v="Jagdish"/>
    <s v="Introduced about bulk food delivery for their events and team lunch"/>
    <n v="4000"/>
    <n v="0"/>
    <x v="8"/>
    <x v="0"/>
    <x v="0"/>
    <s v="Cancelled"/>
    <s v="No requirement as of now"/>
    <m/>
    <m/>
    <m/>
    <m/>
    <s v="Dec-23"/>
    <n v="52"/>
    <s v="2024"/>
  </r>
  <r>
    <d v="2023-12-28T00:00:00"/>
    <s v="Sai Life Science"/>
    <s v="Call"/>
    <s v="Corporate"/>
    <x v="5"/>
    <s v="Rajendra Prasad"/>
    <s v="Introduced about bulk food delivery"/>
    <n v="10000"/>
    <n v="0"/>
    <x v="8"/>
    <x v="0"/>
    <x v="0"/>
    <s v="Cancelled"/>
    <s v="No requirement as of now"/>
    <m/>
    <m/>
    <m/>
    <m/>
    <s v="Dec-23"/>
    <n v="52"/>
    <s v="2024"/>
  </r>
  <r>
    <d v="2023-12-28T00:00:00"/>
    <s v="Spectra India"/>
    <s v="Call"/>
    <s v="Corporate"/>
    <x v="15"/>
    <s v="Sreenu Nayak"/>
    <s v="Introduced about bulk food delivery"/>
    <n v="8000"/>
    <n v="0"/>
    <x v="8"/>
    <x v="0"/>
    <x v="0"/>
    <s v="Cancelled"/>
    <s v="No requirement as of now"/>
    <m/>
    <m/>
    <m/>
    <m/>
    <s v="Dec-23"/>
    <n v="52"/>
    <s v="2024"/>
  </r>
  <r>
    <d v="2023-12-28T00:00:00"/>
    <s v="Real Vision"/>
    <s v="Call"/>
    <s v="Corporate"/>
    <x v="15"/>
    <s v="Nagaraju"/>
    <s v="Introduced about bulk food delivery"/>
    <n v="4000"/>
    <n v="0"/>
    <x v="8"/>
    <x v="0"/>
    <x v="0"/>
    <s v="Cancelled"/>
    <s v="No requirement as of now"/>
    <m/>
    <m/>
    <m/>
    <m/>
    <s v="Dec-23"/>
    <n v="52"/>
    <s v="2024"/>
  </r>
  <r>
    <d v="2023-12-28T00:00:00"/>
    <s v="Tricolour Holidays"/>
    <s v="Call"/>
    <s v="Events"/>
    <x v="1"/>
    <s v="Sunil Kumar"/>
    <s v="Shared quote for 60 Biryanis for students ontbd"/>
    <n v="12000"/>
    <n v="0"/>
    <x v="7"/>
    <x v="0"/>
    <x v="0"/>
    <s v="Cancelled"/>
    <s v="Event Cancelled"/>
    <m/>
    <m/>
    <m/>
    <m/>
    <s v="Dec-23"/>
    <n v="52"/>
    <s v="2024"/>
  </r>
  <r>
    <d v="2023-12-28T00:00:00"/>
    <s v="Bulk Delivery at Suncity"/>
    <s v="Call"/>
    <s v="Events"/>
    <x v="10"/>
    <s v="Syed Kazmi"/>
    <s v="Shared quotation for 40 pax order"/>
    <n v="24000"/>
    <n v="0"/>
    <x v="7"/>
    <x v="0"/>
    <x v="0"/>
    <s v="Cancelled"/>
    <s v="cancelled due to low budget"/>
    <m/>
    <m/>
    <m/>
    <m/>
    <s v="Dec-23"/>
    <n v="52"/>
    <s v="2024"/>
  </r>
  <r>
    <d v="2023-12-28T00:00:00"/>
    <s v="Bulk Delivery at Nizamabad"/>
    <s v="Call"/>
    <s v="Events"/>
    <x v="10"/>
    <s v="Raghu Goud"/>
    <s v="Shared quotation for 150 pax"/>
    <n v="27000"/>
    <n v="0"/>
    <x v="2"/>
    <x v="0"/>
    <x v="0"/>
    <s v="Cancelled"/>
    <s v="Prepared Inhouse"/>
    <m/>
    <m/>
    <m/>
    <m/>
    <s v="Dec-23"/>
    <n v="52"/>
    <s v="2023"/>
  </r>
  <r>
    <d v="2023-12-28T00:00:00"/>
    <s v="Sri Vajra Infra"/>
    <s v="Call"/>
    <s v="Corporate"/>
    <x v="15"/>
    <s v="Tharun"/>
    <s v="Introduced about bulk food delivery"/>
    <n v="8000"/>
    <n v="0"/>
    <x v="0"/>
    <x v="0"/>
    <x v="0"/>
    <s v="Cancelled"/>
    <s v="No requirement"/>
    <m/>
    <m/>
    <m/>
    <m/>
    <s v="Dec-23"/>
    <n v="52"/>
    <s v="2024"/>
  </r>
  <r>
    <d v="2023-12-28T00:00:00"/>
    <s v="Madhu Agencies Nizamabad"/>
    <s v="Call"/>
    <s v="Corporate"/>
    <x v="16"/>
    <s v="Madhu"/>
    <s v="Introduced about bulk food delivery"/>
    <n v="5000"/>
    <n v="0"/>
    <x v="0"/>
    <x v="0"/>
    <x v="0"/>
    <s v="Cancelled"/>
    <s v="No requirement"/>
    <m/>
    <m/>
    <m/>
    <m/>
    <s v="Dec-23"/>
    <n v="52"/>
    <s v="2024"/>
  </r>
  <r>
    <d v="2023-12-28T00:00:00"/>
    <s v="Dell Technologies"/>
    <s v="F2F"/>
    <s v="Corporate"/>
    <x v="0"/>
    <s v="Raghunath"/>
    <s v="Introduced about bulk food delivery, Team lunch"/>
    <n v="10000"/>
    <n v="0"/>
    <x v="8"/>
    <x v="0"/>
    <x v="0"/>
    <s v="Cancelled"/>
    <s v="No requirement as of now"/>
    <m/>
    <m/>
    <m/>
    <m/>
    <s v="Dec-23"/>
    <n v="52"/>
    <s v="2024"/>
  </r>
  <r>
    <d v="2023-12-29T00:00:00"/>
    <s v="Balaji School"/>
    <s v="Call"/>
    <s v="Events"/>
    <x v="4"/>
    <s v="Ganesh"/>
    <s v="Shared introduction about Bulk order and ODC"/>
    <n v="10000"/>
    <n v="0"/>
    <x v="0"/>
    <x v="0"/>
    <x v="0"/>
    <s v="Cancelled"/>
    <s v="No requirement"/>
    <m/>
    <m/>
    <m/>
    <m/>
    <s v="Dec-23"/>
    <n v="52"/>
    <s v="2024"/>
  </r>
  <r>
    <d v="2023-12-29T00:00:00"/>
    <s v="IHC Tourism"/>
    <s v="Call"/>
    <s v="Events"/>
    <x v="1"/>
    <s v="Geeta"/>
    <s v="Shared details of bulk orders for tourist"/>
    <n v="15000"/>
    <n v="0"/>
    <x v="0"/>
    <x v="0"/>
    <x v="0"/>
    <s v="Cancelled"/>
    <s v="No requirement"/>
    <m/>
    <m/>
    <m/>
    <m/>
    <s v="Dec-23"/>
    <n v="52"/>
    <s v="2024"/>
  </r>
  <r>
    <d v="2023-12-29T00:00:00"/>
    <s v="Oxford School of Nursing"/>
    <s v="Call"/>
    <s v="Events"/>
    <x v="4"/>
    <s v="Himani"/>
    <s v="Introduced about bulk delivery in fest"/>
    <n v="20000"/>
    <n v="0"/>
    <x v="0"/>
    <x v="0"/>
    <x v="0"/>
    <s v="Cancelled"/>
    <s v="No requirement"/>
    <m/>
    <m/>
    <m/>
    <m/>
    <s v="Dec-23"/>
    <n v="52"/>
    <s v="2024"/>
  </r>
  <r>
    <d v="2023-12-29T00:00:00"/>
    <s v="Green Groove School"/>
    <s v="Call"/>
    <s v="Events"/>
    <x v="4"/>
    <s v="Giri"/>
    <s v="Shared introduction about Bulk order and ODC"/>
    <n v="10000"/>
    <n v="0"/>
    <x v="0"/>
    <x v="0"/>
    <x v="0"/>
    <s v="Cancelled"/>
    <s v="No requirement"/>
    <m/>
    <m/>
    <m/>
    <m/>
    <s v="Dec-23"/>
    <n v="52"/>
    <s v="2024"/>
  </r>
  <r>
    <d v="2023-12-29T00:00:00"/>
    <s v="24/7"/>
    <s v="Call"/>
    <s v="Events"/>
    <x v="0"/>
    <s v="Padma"/>
    <s v="Shared details about bulk delivery and gift vouchers"/>
    <n v="20000"/>
    <n v="0"/>
    <x v="6"/>
    <x v="0"/>
    <x v="0"/>
    <s v="Cancelled"/>
    <s v="Event Cancelled"/>
    <m/>
    <m/>
    <m/>
    <m/>
    <s v="Dec-23"/>
    <n v="52"/>
    <s v="2024"/>
  </r>
  <r>
    <d v="2023-12-30T00:00:00"/>
    <s v="Delivery at Compass Group Bangalore"/>
    <s v="Call"/>
    <s v="Events"/>
    <x v="17"/>
    <s v="Manoj"/>
    <s v="Confirmed 65 Nizami biryani on 3 Jan 2024"/>
    <n v="27339"/>
    <n v="27339"/>
    <x v="1"/>
    <x v="1"/>
    <x v="1"/>
    <s v="Closed"/>
    <m/>
    <n v="0"/>
    <m/>
    <m/>
    <m/>
    <s v="Dec-23"/>
    <n v="52"/>
    <s v="2024"/>
  </r>
  <r>
    <d v="2023-12-30T00:00:00"/>
    <s v="Group in Banglore"/>
    <s v="Call"/>
    <s v="Events"/>
    <x v="10"/>
    <s v="Kumar"/>
    <s v="Bulk delivery of 30 PAX"/>
    <n v="10000"/>
    <n v="10000"/>
    <x v="1"/>
    <x v="1"/>
    <x v="1"/>
    <s v="Closed"/>
    <m/>
    <m/>
    <m/>
    <m/>
    <m/>
    <s v="Dec-23"/>
    <n v="52"/>
    <s v="2024"/>
  </r>
  <r>
    <d v="2023-12-31T00:00:00"/>
    <s v="Resvisas"/>
    <s v="Call"/>
    <s v="Corporate"/>
    <x v="0"/>
    <s v="Mohit"/>
    <s v="Introduced about bulk orders and ODC"/>
    <n v="5000"/>
    <n v="0"/>
    <x v="0"/>
    <x v="0"/>
    <x v="0"/>
    <s v="Cancelled"/>
    <s v="No requirement"/>
    <m/>
    <m/>
    <m/>
    <m/>
    <s v="Dec-23"/>
    <n v="52"/>
    <s v="2024"/>
  </r>
  <r>
    <d v="2023-12-31T00:00:00"/>
    <s v="Bulk Delivery Nagole"/>
    <s v="Call"/>
    <s v="Events"/>
    <x v="10"/>
    <s v="Poornima"/>
    <s v="200 pax Biryani on 2nd jan"/>
    <n v="30000"/>
    <n v="0"/>
    <x v="1"/>
    <x v="0"/>
    <x v="0"/>
    <s v="Cancelled"/>
    <s v="Event Cancelled"/>
    <m/>
    <m/>
    <m/>
    <m/>
    <s v="Dec-23"/>
    <n v="52"/>
    <s v="2024"/>
  </r>
  <r>
    <d v="2023-12-31T00:00:00"/>
    <s v="Bulk Delivery at Banglore"/>
    <s v="Call"/>
    <s v="Events"/>
    <x v="10"/>
    <s v="Shiva"/>
    <s v="Delivery of 25 PAX lunch on 2 JAN 2024"/>
    <n v="5000"/>
    <n v="5000"/>
    <x v="1"/>
    <x v="1"/>
    <x v="1"/>
    <s v="Closed"/>
    <m/>
    <m/>
    <m/>
    <m/>
    <m/>
    <s v="Dec-23"/>
    <n v="52"/>
    <s v="2024"/>
  </r>
  <r>
    <d v="2024-01-01T00:00:00"/>
    <s v="Bulk Delivery at vidya Nagar"/>
    <s v="Call"/>
    <s v="Events"/>
    <x v="10"/>
    <s v="Suma"/>
    <s v="30 Pax veg Biryani"/>
    <n v="5500"/>
    <n v="5500"/>
    <x v="1"/>
    <x v="0"/>
    <x v="1"/>
    <s v="Closed"/>
    <m/>
    <m/>
    <m/>
    <m/>
    <m/>
    <s v="Jan-24"/>
    <n v="1"/>
    <s v="2024"/>
  </r>
  <r>
    <d v="2024-01-01T00:00:00"/>
    <s v="Qualcomm"/>
    <s v="Call"/>
    <s v="Corporate"/>
    <x v="0"/>
    <s v="Abhay"/>
    <s v="Introduced about bulk orders and ODC"/>
    <n v="10000"/>
    <n v="0"/>
    <x v="6"/>
    <x v="0"/>
    <x v="0"/>
    <s v="Cancelled"/>
    <s v="Event Cancelled"/>
    <m/>
    <m/>
    <m/>
    <m/>
    <s v="Jan-24"/>
    <n v="1"/>
    <s v="2024"/>
  </r>
  <r>
    <d v="2024-01-01T00:00:00"/>
    <s v="Chemvedas"/>
    <s v="Call"/>
    <s v="Corporate"/>
    <x v="5"/>
    <s v="Kalyan Rachuri"/>
    <s v="Introduced about bulK food delivery at their office"/>
    <n v="8000"/>
    <n v="0"/>
    <x v="6"/>
    <x v="0"/>
    <x v="0"/>
    <s v="Cancelled"/>
    <s v="Event Cancelled"/>
    <m/>
    <m/>
    <m/>
    <m/>
    <s v="Jan-24"/>
    <n v="1"/>
    <s v="2024"/>
  </r>
  <r>
    <d v="2024-01-02T00:00:00"/>
    <s v="Gandhi Hospital"/>
    <s v="Call"/>
    <s v="Corporate"/>
    <x v="13"/>
    <s v="Bhanu Prakash"/>
    <s v="Shared quotation for 40 pax order on 6th jan"/>
    <n v="10000"/>
    <n v="10000"/>
    <x v="1"/>
    <x v="0"/>
    <x v="1"/>
    <s v="Closed"/>
    <m/>
    <m/>
    <m/>
    <m/>
    <m/>
    <s v="Jan-24"/>
    <n v="1"/>
    <s v="2024"/>
  </r>
  <r>
    <d v="2024-01-02T00:00:00"/>
    <s v="Bulk Delivery at Aurobindo premier League"/>
    <s v="F2F"/>
    <s v="Corporate"/>
    <x v="5"/>
    <s v="Bapiraju"/>
    <s v="Bulk Deloivery of 2000 Nizami biryani at Shamshabad on 5th Jan, Shared Quotation"/>
    <n v="292500"/>
    <n v="292500"/>
    <x v="1"/>
    <x v="0"/>
    <x v="1"/>
    <s v="Closed"/>
    <m/>
    <m/>
    <m/>
    <m/>
    <m/>
    <s v="Jan-24"/>
    <n v="1"/>
    <s v="2024"/>
  </r>
  <r>
    <d v="2024-01-02T00:00:00"/>
    <s v="Epam"/>
    <s v="Call"/>
    <s v="Corporate"/>
    <x v="0"/>
    <s v="Emmanuel"/>
    <s v="Shared introduction about Bulk order and ODC"/>
    <n v="10000"/>
    <n v="0"/>
    <x v="6"/>
    <x v="0"/>
    <x v="0"/>
    <s v="Cancelled"/>
    <s v="Event Cancelled"/>
    <m/>
    <m/>
    <m/>
    <m/>
    <s v="Jan-24"/>
    <n v="1"/>
    <s v="2024"/>
  </r>
  <r>
    <d v="2024-01-02T00:00:00"/>
    <s v="Bendal School"/>
    <s v="Call"/>
    <s v="School"/>
    <x v="4"/>
    <s v="Anil"/>
    <s v="Shared introduction about Bulk order and ODC"/>
    <n v="5000"/>
    <n v="0"/>
    <x v="5"/>
    <x v="0"/>
    <x v="0"/>
    <s v="Cancelled"/>
    <s v="No requirement"/>
    <m/>
    <m/>
    <m/>
    <m/>
    <s v="Jan-24"/>
    <n v="1"/>
    <s v="2024"/>
  </r>
  <r>
    <d v="2024-01-02T00:00:00"/>
    <s v="Granules India"/>
    <s v="Call"/>
    <s v="Corporate"/>
    <x v="5"/>
    <s v="B Sravan Kumar"/>
    <s v="Shared introduction about Bulk order and ODC"/>
    <n v="4000"/>
    <n v="0"/>
    <x v="8"/>
    <x v="0"/>
    <x v="0"/>
    <s v="Cancelled"/>
    <s v="No requirement as of now"/>
    <m/>
    <m/>
    <m/>
    <m/>
    <s v="Jan-24"/>
    <n v="1"/>
    <s v="2024"/>
  </r>
  <r>
    <d v="2024-01-02T00:00:00"/>
    <s v="V Guard"/>
    <s v="Call"/>
    <s v="Corporate"/>
    <x v="16"/>
    <s v="Babu"/>
    <s v="Shared introduction about Bulk order and ODC"/>
    <n v="0"/>
    <n v="0"/>
    <x v="8"/>
    <x v="0"/>
    <x v="0"/>
    <s v="Cancelled"/>
    <s v="No requirement as of now"/>
    <m/>
    <m/>
    <m/>
    <m/>
    <s v="Jan-24"/>
    <n v="1"/>
    <s v="2024"/>
  </r>
  <r>
    <d v="2024-01-03T00:00:00"/>
    <s v="MRF "/>
    <s v="Call"/>
    <s v="Corporate"/>
    <x v="16"/>
    <s v="Sameer (Telangana Head)"/>
    <s v="Shared details of bulk orders"/>
    <n v="10000"/>
    <n v="0"/>
    <x v="5"/>
    <x v="0"/>
    <x v="0"/>
    <s v="Cancelled"/>
    <s v="No requirement"/>
    <m/>
    <m/>
    <m/>
    <m/>
    <s v="Jan-24"/>
    <n v="1"/>
    <s v="2024"/>
  </r>
  <r>
    <d v="2024-01-03T00:00:00"/>
    <s v="Global Edge"/>
    <s v="Call"/>
    <s v="Events"/>
    <x v="4"/>
    <s v="Chitra"/>
    <s v="Shared bulk order details for school events"/>
    <n v="5000"/>
    <n v="0"/>
    <x v="1"/>
    <x v="0"/>
    <x v="0"/>
    <s v="Cancelled"/>
    <m/>
    <m/>
    <m/>
    <m/>
    <m/>
    <s v="Jan-24"/>
    <n v="1"/>
    <s v="2024"/>
  </r>
  <r>
    <d v="2024-01-03T00:00:00"/>
    <s v="Kirby "/>
    <s v="F2F"/>
    <s v="Corporate"/>
    <x v="15"/>
    <s v="Saleem"/>
    <s v="Folloup for next order, planning in Jan"/>
    <n v="10000"/>
    <n v="0"/>
    <x v="1"/>
    <x v="0"/>
    <x v="0"/>
    <s v="Cancelled"/>
    <m/>
    <m/>
    <m/>
    <m/>
    <m/>
    <s v="Jan-24"/>
    <n v="1"/>
    <s v="2024"/>
  </r>
  <r>
    <d v="2024-01-03T00:00:00"/>
    <s v="Sparkling events"/>
    <s v="Call"/>
    <s v="Corporate"/>
    <x v="3"/>
    <s v="Omersheikh"/>
    <s v="In Discussion for Bulk Supply for events"/>
    <n v="20000"/>
    <n v="0"/>
    <x v="7"/>
    <x v="0"/>
    <x v="0"/>
    <s v="Cancelled"/>
    <m/>
    <m/>
    <m/>
    <m/>
    <m/>
    <s v="Jan-24"/>
    <n v="1"/>
    <s v="2024"/>
  </r>
  <r>
    <d v="2024-01-03T00:00:00"/>
    <s v="Urbane IIT JEE"/>
    <s v="F2F"/>
    <s v="Corporate"/>
    <x v="4"/>
    <s v="Aruna"/>
    <s v="shared details for staff lunch supply "/>
    <n v="10000"/>
    <n v="0"/>
    <x v="1"/>
    <x v="0"/>
    <x v="0"/>
    <s v="Cancelled"/>
    <m/>
    <m/>
    <m/>
    <m/>
    <m/>
    <s v="Jan-24"/>
    <n v="1"/>
    <s v="2024"/>
  </r>
  <r>
    <d v="2024-01-03T00:00:00"/>
    <s v="Delivery at Rasoolpura"/>
    <s v="Call"/>
    <s v="Events"/>
    <x v="10"/>
    <s v="Afreen"/>
    <s v="Shared quote for 25 pax, food delivery"/>
    <n v="8000"/>
    <n v="0"/>
    <x v="1"/>
    <x v="0"/>
    <x v="0"/>
    <s v="Cancelled"/>
    <s v="Low budget "/>
    <m/>
    <m/>
    <m/>
    <m/>
    <s v="Jan-24"/>
    <n v="1"/>
    <s v="2024"/>
  </r>
  <r>
    <d v="2024-01-03T00:00:00"/>
    <s v="Laughingout By Swiggy"/>
    <s v="Call"/>
    <s v="Corporate"/>
    <x v="0"/>
    <s v="Novel Raj"/>
    <s v="Shared introduction about Bulk order and ODC"/>
    <n v="20000"/>
    <n v="20000"/>
    <x v="1"/>
    <x v="0"/>
    <x v="1"/>
    <s v="Closed"/>
    <m/>
    <m/>
    <m/>
    <m/>
    <m/>
    <s v="Jan-24"/>
    <n v="1"/>
    <s v="2024"/>
  </r>
  <r>
    <d v="2024-01-03T00:00:00"/>
    <s v="Ravindra Bharthi"/>
    <s v="F2F"/>
    <s v="Events"/>
    <x v="4"/>
    <s v="Kishore Watti"/>
    <s v="Shared bulk delivery options for events"/>
    <n v="30000"/>
    <n v="0"/>
    <x v="0"/>
    <x v="0"/>
    <x v="0"/>
    <s v="Cancelled"/>
    <s v="No requirement"/>
    <m/>
    <m/>
    <m/>
    <m/>
    <s v="Jan-24"/>
    <n v="1"/>
    <s v="2024"/>
  </r>
  <r>
    <d v="2024-01-04T00:00:00"/>
    <s v="Sutherland Global Solutions"/>
    <s v="Call"/>
    <s v="Corporate"/>
    <x v="0"/>
    <s v="Srinivas Gupta"/>
    <s v="Shared options for bulk delivery to their corporate office "/>
    <n v="10000"/>
    <n v="0"/>
    <x v="0"/>
    <x v="0"/>
    <x v="0"/>
    <s v="Cancelled"/>
    <s v="No requirement"/>
    <m/>
    <m/>
    <m/>
    <m/>
    <s v="Jan-24"/>
    <n v="1"/>
    <s v="2024"/>
  </r>
  <r>
    <d v="2024-01-04T00:00:00"/>
    <s v="Cyient Limited"/>
    <s v="F2F"/>
    <s v="Corporate"/>
    <x v="0"/>
    <s v="Vijay Reddy (Admin Head)"/>
    <s v="Introduction on our offerings for their 10000 Employees"/>
    <n v="0"/>
    <n v="0"/>
    <x v="8"/>
    <x v="0"/>
    <x v="0"/>
    <s v="Cancelled"/>
    <s v="No requirement as of now"/>
    <m/>
    <m/>
    <m/>
    <m/>
    <s v="Jan-24"/>
    <n v="1"/>
    <s v="2024"/>
  </r>
  <r>
    <d v="2024-01-04T00:00:00"/>
    <s v="Amazon"/>
    <s v="Call"/>
    <s v="Corporate"/>
    <x v="0"/>
    <s v="Srikanth"/>
    <s v="Bulk Delivery for150 people at shamshabad cancelled due to their budget "/>
    <n v="33000"/>
    <n v="0"/>
    <x v="1"/>
    <x v="0"/>
    <x v="0"/>
    <s v="Cancelled"/>
    <s v="Budget 110 per biryani"/>
    <m/>
    <m/>
    <m/>
    <m/>
    <s v="Jan-24"/>
    <n v="1"/>
    <s v="2024"/>
  </r>
  <r>
    <d v="2024-01-04T00:00:00"/>
    <s v="Foundit"/>
    <s v="Call"/>
    <s v="Corporate"/>
    <x v="0"/>
    <s v="Amudha"/>
    <s v="Introiduction about food supply for office fiest"/>
    <n v="10000"/>
    <n v="0"/>
    <x v="0"/>
    <x v="0"/>
    <x v="0"/>
    <s v="Cancelled"/>
    <s v="No requirement"/>
    <m/>
    <m/>
    <m/>
    <m/>
    <s v="Jan-24"/>
    <n v="1"/>
    <s v="2024"/>
  </r>
  <r>
    <d v="2024-01-04T00:00:00"/>
    <s v="Birthday Party at Kompally"/>
    <s v="Call"/>
    <s v="Events"/>
    <x v="10"/>
    <s v="Harmeet Arora"/>
    <s v="Dilevery for Birthday party on 4 Feb 2024 for 45 pax"/>
    <n v="16000"/>
    <n v="0"/>
    <x v="7"/>
    <x v="0"/>
    <x v="0"/>
    <s v="Cancelled"/>
    <s v="Prepared food at home"/>
    <m/>
    <m/>
    <m/>
    <m/>
    <s v="Jan-24"/>
    <n v="1"/>
    <s v="2024"/>
  </r>
  <r>
    <d v="2024-01-04T00:00:00"/>
    <s v="Bulk Delivery at kothapet"/>
    <s v="Call"/>
    <s v="Events"/>
    <x v="10"/>
    <s v="Keerthi"/>
    <s v="Bulk delivery for 40 People on 7 Jan 2024"/>
    <n v="15000"/>
    <n v="0"/>
    <x v="1"/>
    <x v="0"/>
    <x v="0"/>
    <s v="Cancelled"/>
    <s v="Purchased from local vendor"/>
    <m/>
    <m/>
    <m/>
    <m/>
    <s v="Jan-24"/>
    <n v="1"/>
    <s v="2024"/>
  </r>
  <r>
    <d v="2024-01-04T00:00:00"/>
    <s v="Naveena School"/>
    <s v="F2F"/>
    <s v="Events"/>
    <x v="4"/>
    <s v="Aruna"/>
    <s v="Introduction about bulk food orders"/>
    <n v="5000"/>
    <n v="0"/>
    <x v="5"/>
    <x v="0"/>
    <x v="0"/>
    <s v="Cancelled"/>
    <s v="Event Cancelled"/>
    <m/>
    <m/>
    <m/>
    <m/>
    <s v="Jan-24"/>
    <n v="1"/>
    <s v="2024"/>
  </r>
  <r>
    <d v="2024-01-04T00:00:00"/>
    <s v="KTS Boduppal"/>
    <s v="Call"/>
    <s v="Events"/>
    <x v="4"/>
    <s v="Chittibabu"/>
    <s v="Introduction about bulk food orders"/>
    <n v="10000"/>
    <n v="0"/>
    <x v="5"/>
    <x v="0"/>
    <x v="0"/>
    <s v="Cancelled"/>
    <s v="Event Cancelled"/>
    <m/>
    <m/>
    <m/>
    <m/>
    <s v="Jan-24"/>
    <n v="1"/>
    <s v="2024"/>
  </r>
  <r>
    <d v="2024-01-05T00:00:00"/>
    <s v="Marino Foods"/>
    <s v="Call"/>
    <s v="Corporate"/>
    <x v="7"/>
    <s v="Abhishek"/>
    <s v="Introduction about bulk food orders"/>
    <n v="0"/>
    <n v="0"/>
    <x v="8"/>
    <x v="0"/>
    <x v="0"/>
    <s v="Cancelled"/>
    <s v="No requirement as of now"/>
    <m/>
    <m/>
    <m/>
    <m/>
    <s v="Jan-24"/>
    <n v="1"/>
    <s v="2024"/>
  </r>
  <r>
    <d v="2024-01-05T00:00:00"/>
    <s v="Hitachi Consulting"/>
    <s v="Call"/>
    <s v="Corporate"/>
    <x v="0"/>
    <s v="Ajith"/>
    <s v="Introduction about bulk orders and corporate discount"/>
    <n v="0"/>
    <n v="0"/>
    <x v="8"/>
    <x v="0"/>
    <x v="0"/>
    <s v="Cancelled"/>
    <s v="No requirement as of now"/>
    <m/>
    <m/>
    <m/>
    <m/>
    <s v="Jan-24"/>
    <n v="1"/>
    <s v="2024"/>
  </r>
  <r>
    <d v="2024-01-05T00:00:00"/>
    <s v="Schindler Electronics"/>
    <s v="Call"/>
    <s v="Corporate"/>
    <x v="7"/>
    <s v="Karthik Melkote"/>
    <s v="Introduction of bulk food supply"/>
    <n v="0"/>
    <n v="0"/>
    <x v="8"/>
    <x v="0"/>
    <x v="0"/>
    <s v="Cancelled"/>
    <s v="No requirement as of now"/>
    <m/>
    <m/>
    <m/>
    <m/>
    <s v="Jan-24"/>
    <n v="1"/>
    <s v="2024"/>
  </r>
  <r>
    <d v="2024-01-05T00:00:00"/>
    <s v="Rasee Seeds "/>
    <s v="Call"/>
    <s v="Corporate"/>
    <x v="18"/>
    <s v="Karunakar Reddy"/>
    <s v="Introduced for food supply for their corporate events"/>
    <n v="0"/>
    <n v="0"/>
    <x v="8"/>
    <x v="0"/>
    <x v="0"/>
    <s v="Cancelled"/>
    <s v="No requirement as of now"/>
    <m/>
    <m/>
    <m/>
    <m/>
    <s v="Jan-24"/>
    <n v="1"/>
    <s v="2024"/>
  </r>
  <r>
    <d v="2024-01-06T00:00:00"/>
    <s v="Delivery At Gandhi Hospital"/>
    <s v="Call"/>
    <s v="Corporate"/>
    <x v="13"/>
    <s v="Bhanu Prakash"/>
    <s v="Delivery of 30 Pax on 7 Jan 2024"/>
    <n v="7660"/>
    <n v="7660"/>
    <x v="1"/>
    <x v="0"/>
    <x v="1"/>
    <s v="Closed"/>
    <m/>
    <m/>
    <m/>
    <m/>
    <m/>
    <s v="Jan-24"/>
    <n v="1"/>
    <s v="2024"/>
  </r>
  <r>
    <d v="2024-01-06T00:00:00"/>
    <s v="Delivery of 85 Pax at Electronic city"/>
    <s v="Call"/>
    <s v="Corporate"/>
    <x v="16"/>
    <s v="Ashish"/>
    <s v="Delivery of 85 Pax on  7 Jan 2024"/>
    <n v="22000"/>
    <n v="22000"/>
    <x v="1"/>
    <x v="1"/>
    <x v="1"/>
    <s v="Closed"/>
    <m/>
    <m/>
    <m/>
    <m/>
    <m/>
    <s v="Jan-24"/>
    <n v="1"/>
    <s v="2024"/>
  </r>
  <r>
    <d v="2024-01-06T00:00:00"/>
    <s v="Reliance Trends Kothapet"/>
    <s v="Call"/>
    <s v="Corporate"/>
    <x v="19"/>
    <s v="Om"/>
    <s v="Introduced Bulk Delivery for Employee fest"/>
    <n v="0"/>
    <n v="0"/>
    <x v="8"/>
    <x v="0"/>
    <x v="0"/>
    <s v="Cancelled"/>
    <s v="No requirement as of now"/>
    <m/>
    <m/>
    <m/>
    <m/>
    <s v="Jan-24"/>
    <n v="1"/>
    <s v="2024"/>
  </r>
  <r>
    <d v="2024-01-06T00:00:00"/>
    <s v="Shantiniketan Highschool Gadkesar"/>
    <s v="Call"/>
    <s v="School"/>
    <x v="4"/>
    <s v="Padma"/>
    <s v="Introduced bulk delivery of Lunch and Snacks"/>
    <n v="0"/>
    <n v="0"/>
    <x v="8"/>
    <x v="0"/>
    <x v="0"/>
    <s v="Cancelled"/>
    <s v="No requirement as of now"/>
    <m/>
    <m/>
    <m/>
    <m/>
    <s v="Jan-24"/>
    <n v="1"/>
    <s v="2024"/>
  </r>
  <r>
    <d v="2024-01-06T00:00:00"/>
    <s v="Deloitte"/>
    <s v="Call"/>
    <s v="Corporate"/>
    <x v="0"/>
    <s v="Pankaj Sharma"/>
    <s v="Intriduction about team lunch"/>
    <n v="0"/>
    <n v="0"/>
    <x v="8"/>
    <x v="0"/>
    <x v="0"/>
    <s v="Cancelled"/>
    <s v="No requirement as of now"/>
    <m/>
    <m/>
    <m/>
    <m/>
    <s v="Jan-24"/>
    <n v="1"/>
    <s v="2024"/>
  </r>
  <r>
    <d v="2024-01-07T00:00:00"/>
    <s v="Laughingout By Swiggy"/>
    <s v="F2F"/>
    <s v="Events"/>
    <x v="17"/>
    <s v="Arpita"/>
    <s v="Standup comedy with 5000 people on 7th Jan , Done sale of 45,920/- Sold biryani and haleem"/>
    <n v="45920"/>
    <n v="45920"/>
    <x v="1"/>
    <x v="0"/>
    <x v="1"/>
    <s v="Closed"/>
    <m/>
    <n v="7700"/>
    <m/>
    <m/>
    <m/>
    <s v="Jan-24"/>
    <n v="1"/>
    <s v="2024"/>
  </r>
  <r>
    <d v="2024-01-07T00:00:00"/>
    <s v="GITAM Univercity"/>
    <s v="Call"/>
    <s v="Events"/>
    <x v="4"/>
    <s v="Lavanya"/>
    <s v="College fest ay GITAM VIZAG, Not agreeing for revenue share"/>
    <n v="10000"/>
    <n v="10000"/>
    <x v="1"/>
    <x v="0"/>
    <x v="1"/>
    <s v="Closed"/>
    <m/>
    <m/>
    <m/>
    <m/>
    <m/>
    <s v="Jan-24"/>
    <n v="1"/>
    <s v="2024"/>
  </r>
  <r>
    <d v="2024-01-07T00:00:00"/>
    <s v="Dinner for 65 pax at Himayathnagar"/>
    <s v="Call"/>
    <s v="Events"/>
    <x v="10"/>
    <s v="Sameena"/>
    <s v="Looking for buffet dinner"/>
    <n v="30000"/>
    <n v="0"/>
    <x v="1"/>
    <x v="0"/>
    <x v="0"/>
    <s v="Cancelled"/>
    <s v="not fesable due to logistics and Banquet hall"/>
    <m/>
    <m/>
    <m/>
    <m/>
    <s v="Jan-24"/>
    <n v="1"/>
    <s v="2024"/>
  </r>
  <r>
    <d v="2024-01-08T00:00:00"/>
    <s v="Value labs"/>
    <s v="F2F"/>
    <s v="Corporate"/>
    <x v="0"/>
    <s v="Aditya"/>
    <s v="Introduced about team lunch and events"/>
    <n v="0"/>
    <n v="0"/>
    <x v="8"/>
    <x v="0"/>
    <x v="0"/>
    <s v="Cancelled"/>
    <s v="No requirement as of now"/>
    <m/>
    <m/>
    <m/>
    <m/>
    <s v="Jan-24"/>
    <n v="2"/>
    <s v="2024"/>
  </r>
  <r>
    <d v="2024-01-08T00:00:00"/>
    <s v="Meridian School "/>
    <s v="F2F"/>
    <s v="School"/>
    <x v="4"/>
    <s v="Ajay"/>
    <s v="Introduced about bulk delivery in fest"/>
    <n v="0"/>
    <n v="0"/>
    <x v="8"/>
    <x v="0"/>
    <x v="0"/>
    <s v="Cancelled"/>
    <s v="No requirement as of now"/>
    <m/>
    <m/>
    <m/>
    <m/>
    <s v="Jan-24"/>
    <n v="2"/>
    <s v="2024"/>
  </r>
  <r>
    <d v="2024-01-08T00:00:00"/>
    <s v="Pasura Crop Care"/>
    <s v="Call"/>
    <s v="Corporate"/>
    <x v="18"/>
    <s v="Ayesha"/>
    <s v="Shared details about team lunch and bulk delivery"/>
    <n v="0"/>
    <n v="0"/>
    <x v="8"/>
    <x v="0"/>
    <x v="0"/>
    <s v="Cancelled"/>
    <s v="No requirement as of now"/>
    <m/>
    <m/>
    <m/>
    <m/>
    <s v="Jan-24"/>
    <n v="2"/>
    <s v="2024"/>
  </r>
  <r>
    <d v="2024-01-09T00:00:00"/>
    <s v="Team Lunch of 20 PAX Indian Post Group "/>
    <s v="Call"/>
    <s v="Corporate"/>
    <x v="20"/>
    <s v="Shravan"/>
    <s v="Team Lunch of 20 PAX Indian Post Group at Heritage on 9 Jan 2024"/>
    <n v="9500"/>
    <n v="9500"/>
    <x v="1"/>
    <x v="0"/>
    <x v="1"/>
    <s v="Closed"/>
    <m/>
    <m/>
    <m/>
    <m/>
    <m/>
    <s v="Jan-24"/>
    <n v="2"/>
    <s v="2024"/>
  </r>
  <r>
    <d v="2024-01-09T00:00:00"/>
    <s v="Delivery at Bowenpally"/>
    <s v="Call"/>
    <s v="Events"/>
    <x v="10"/>
    <m/>
    <s v="Delivery of 40 PAX on 10 Jan 2024"/>
    <n v="10000"/>
    <n v="0"/>
    <x v="1"/>
    <x v="0"/>
    <x v="0"/>
    <s v="Cancelled"/>
    <s v="Less Budget"/>
    <m/>
    <m/>
    <m/>
    <m/>
    <s v="Jan-24"/>
    <n v="2"/>
    <s v="2024"/>
  </r>
  <r>
    <d v="2024-01-09T00:00:00"/>
    <s v="Delivery at Compass Group Bangalore"/>
    <s v="Call"/>
    <s v="Corporate"/>
    <x v="17"/>
    <s v="Pankaj"/>
    <s v="Delivery of 80 KG biryani at Electronic city"/>
    <n v="32000"/>
    <n v="32000"/>
    <x v="1"/>
    <x v="1"/>
    <x v="1"/>
    <s v="Closed"/>
    <m/>
    <n v="0"/>
    <m/>
    <m/>
    <m/>
    <s v="Jan-24"/>
    <n v="2"/>
    <s v="2024"/>
  </r>
  <r>
    <d v="2024-01-09T00:00:00"/>
    <s v="Delivery of Lunch &amp; Snacks at ICICI Towers"/>
    <s v="Call"/>
    <s v="Corporate"/>
    <x v="21"/>
    <s v="Savu"/>
    <s v="Delivery of Lunch &amp; Snacks at ICICI Towers on 16 Jan 2024"/>
    <n v="30000"/>
    <n v="0"/>
    <x v="5"/>
    <x v="0"/>
    <x v="0"/>
    <s v="Cancelled"/>
    <m/>
    <m/>
    <m/>
    <m/>
    <m/>
    <s v="Jan-24"/>
    <n v="2"/>
    <s v="2024"/>
  </r>
  <r>
    <d v="2024-01-10T00:00:00"/>
    <s v="Onsurity"/>
    <s v="F2F"/>
    <s v="Corporate"/>
    <x v="21"/>
    <s v="Akshada"/>
    <s v="Shared details of delivery at Hyderabad and Banglore office "/>
    <n v="0"/>
    <n v="0"/>
    <x v="8"/>
    <x v="0"/>
    <x v="0"/>
    <s v="Cancelled"/>
    <s v="No requirement as of now"/>
    <m/>
    <m/>
    <m/>
    <m/>
    <s v="Jan-24"/>
    <n v="2"/>
    <s v="2024"/>
  </r>
  <r>
    <d v="2024-01-10T00:00:00"/>
    <s v="HDFC BanK Ltd Ameerpet"/>
    <s v="F2F"/>
    <s v="Corporate"/>
    <x v="21"/>
    <s v="Jagjeeven Reddy"/>
    <s v="Shared details of team lunch and bulk orders"/>
    <n v="5000"/>
    <n v="0"/>
    <x v="6"/>
    <x v="0"/>
    <x v="0"/>
    <s v="Cancelled"/>
    <s v="Event Cancelled"/>
    <m/>
    <m/>
    <m/>
    <m/>
    <s v="Jan-24"/>
    <n v="2"/>
    <s v="2024"/>
  </r>
  <r>
    <d v="2024-01-10T00:00:00"/>
    <s v="Dhruva College of Fashion Technology"/>
    <s v="F2F"/>
    <s v="Events"/>
    <x v="4"/>
    <s v="Kamal Vas"/>
    <s v="Introduced about bulk orders and ODC"/>
    <n v="3000"/>
    <n v="0"/>
    <x v="6"/>
    <x v="0"/>
    <x v="0"/>
    <s v="Cancelled"/>
    <s v="Event Cancelled"/>
    <m/>
    <m/>
    <m/>
    <m/>
    <s v="Jan-24"/>
    <n v="2"/>
    <s v="2024"/>
  </r>
  <r>
    <d v="2024-01-10T00:00:00"/>
    <s v="Reliance College "/>
    <s v="Call"/>
    <s v="Events"/>
    <x v="4"/>
    <s v="Adiba"/>
    <s v="Introduction about bulk orders"/>
    <n v="0"/>
    <n v="0"/>
    <x v="6"/>
    <x v="0"/>
    <x v="0"/>
    <s v="Cancelled"/>
    <s v="Event Cancelled"/>
    <m/>
    <m/>
    <m/>
    <m/>
    <s v="Jan-24"/>
    <n v="2"/>
    <s v="2024"/>
  </r>
  <r>
    <d v="2024-01-10T00:00:00"/>
    <s v="Accenture "/>
    <s v="Call"/>
    <s v="Corporate"/>
    <x v="0"/>
    <s v="Aditya Runiyar"/>
    <s v="Introduced about bukl orders"/>
    <n v="10000"/>
    <n v="0"/>
    <x v="6"/>
    <x v="0"/>
    <x v="0"/>
    <s v="Cancelled"/>
    <s v="Event Cancelled"/>
    <m/>
    <m/>
    <m/>
    <m/>
    <s v="Jan-24"/>
    <n v="2"/>
    <s v="2024"/>
  </r>
  <r>
    <d v="2024-01-10T00:00:00"/>
    <s v="Hyundai Motors"/>
    <s v="Call"/>
    <s v="Corporate"/>
    <x v="9"/>
    <s v="Ajay Gokapai"/>
    <s v="Introduced for food supply for their corporate events"/>
    <n v="20000"/>
    <n v="0"/>
    <x v="6"/>
    <x v="0"/>
    <x v="0"/>
    <s v="Cancelled"/>
    <s v="Event Cancelled"/>
    <m/>
    <m/>
    <m/>
    <m/>
    <s v="Jan-24"/>
    <n v="2"/>
    <s v="2024"/>
  </r>
  <r>
    <d v="2024-01-10T00:00:00"/>
    <s v="Med Plus"/>
    <s v="Call"/>
    <s v="Corporate"/>
    <x v="5"/>
    <s v="Amit Kale"/>
    <s v="shared details of bulk delivery and team lunch"/>
    <n v="2000"/>
    <n v="0"/>
    <x v="6"/>
    <x v="0"/>
    <x v="0"/>
    <s v="Cancelled"/>
    <s v="Event Cancelled"/>
    <m/>
    <m/>
    <m/>
    <m/>
    <s v="Jan-24"/>
    <n v="2"/>
    <s v="2024"/>
  </r>
  <r>
    <d v="2024-01-11T00:00:00"/>
    <s v="Tata Trent Limiteed Kothapet"/>
    <s v="F2F"/>
    <s v="Corporate"/>
    <x v="19"/>
    <s v="Verma"/>
    <s v="Looking for 400 PAX banquet in feb for R&amp;R"/>
    <n v="300000"/>
    <n v="0"/>
    <x v="7"/>
    <x v="0"/>
    <x v="0"/>
    <s v="Cancelled"/>
    <s v="Cancelled as they want Banquet hall for 500 PAX "/>
    <m/>
    <m/>
    <m/>
    <m/>
    <s v="Jan-24"/>
    <n v="2"/>
    <s v="2024"/>
  </r>
  <r>
    <d v="2024-01-11T00:00:00"/>
    <s v="Chicken Handi Delivery at Rampally"/>
    <s v="Call"/>
    <s v="Events"/>
    <x v="10"/>
    <s v="Suresh"/>
    <s v="Deliverd on 10 Jan 2024"/>
    <n v="8400"/>
    <n v="8400"/>
    <x v="1"/>
    <x v="0"/>
    <x v="1"/>
    <s v="Closed"/>
    <m/>
    <m/>
    <m/>
    <m/>
    <m/>
    <s v="Jan-24"/>
    <n v="2"/>
    <s v="2024"/>
  </r>
  <r>
    <d v="2024-01-11T00:00:00"/>
    <s v="Delivery at Amazon Shamshabad"/>
    <s v="Call"/>
    <s v="Corporate"/>
    <x v="0"/>
    <s v="Srikanth"/>
    <s v="Looking for 2500 Biryani on 15 Jan 2024"/>
    <n v="300000"/>
    <n v="0"/>
    <x v="1"/>
    <x v="0"/>
    <x v="0"/>
    <s v="Cancelled"/>
    <s v="Less budget, 110 per head"/>
    <m/>
    <m/>
    <m/>
    <m/>
    <s v="Jan-24"/>
    <n v="2"/>
    <s v="2024"/>
  </r>
  <r>
    <d v="2024-01-11T00:00:00"/>
    <s v="Delivery at Fusion Church Jublee Hills"/>
    <s v="F2F"/>
    <s v="Events"/>
    <x v="10"/>
    <s v="Sadguna"/>
    <s v="Delivery of Mutton Handi on 12 Jan2024"/>
    <n v="10000"/>
    <n v="10000"/>
    <x v="1"/>
    <x v="0"/>
    <x v="1"/>
    <s v="Closed"/>
    <m/>
    <m/>
    <m/>
    <m/>
    <m/>
    <s v="Jan-24"/>
    <n v="2"/>
    <s v="2024"/>
  </r>
  <r>
    <d v="2024-01-11T00:00:00"/>
    <s v="Ozon Hospital Kothapet"/>
    <s v="F2F"/>
    <s v="Corporate"/>
    <x v="13"/>
    <s v="Madhusudan Reddy (MD)"/>
    <s v="Introduced delivbery of lunch and snacks for staff"/>
    <n v="5000"/>
    <n v="0"/>
    <x v="6"/>
    <x v="0"/>
    <x v="0"/>
    <s v="Cancelled"/>
    <s v="Event Cancelled"/>
    <m/>
    <m/>
    <m/>
    <m/>
    <s v="Jan-24"/>
    <n v="2"/>
    <s v="2024"/>
  </r>
  <r>
    <d v="2024-01-11T00:00:00"/>
    <s v="Cricket league at Nagole"/>
    <s v="F2F"/>
    <s v="Events"/>
    <x v="11"/>
    <s v="Venkat"/>
    <s v="Delivery of biryani at sports ground on 20,21, 22 Jan 2024"/>
    <n v="500000"/>
    <n v="0"/>
    <x v="1"/>
    <x v="0"/>
    <x v="0"/>
    <s v="Cancelled"/>
    <s v="Event Cancelled"/>
    <m/>
    <m/>
    <m/>
    <m/>
    <s v="Jan-24"/>
    <n v="2"/>
    <s v="2024"/>
  </r>
  <r>
    <d v="2024-01-12T00:00:00"/>
    <s v="Medha Traction Equipments Ghatkesar"/>
    <s v="F2F"/>
    <s v="Corporate"/>
    <x v="7"/>
    <s v="Santosh"/>
    <s v="Introduces about bulk food and bakery items"/>
    <n v="10000"/>
    <n v="0"/>
    <x v="8"/>
    <x v="0"/>
    <x v="0"/>
    <s v="Cancelled"/>
    <s v="No requirement as of now"/>
    <m/>
    <m/>
    <m/>
    <m/>
    <s v="Jan-24"/>
    <n v="2"/>
    <s v="2024"/>
  </r>
  <r>
    <d v="2024-01-12T00:00:00"/>
    <s v="Reliance Trends KPHB"/>
    <s v="F2F"/>
    <s v="Corporate"/>
    <x v="19"/>
    <s v="Chakravarthi"/>
    <s v="Intoduction about bulk food delivery"/>
    <n v="12000"/>
    <n v="0"/>
    <x v="8"/>
    <x v="0"/>
    <x v="0"/>
    <s v="Cancelled"/>
    <s v="No requirement"/>
    <m/>
    <m/>
    <m/>
    <m/>
    <s v="Jan-24"/>
    <n v="2"/>
    <s v="2024"/>
  </r>
  <r>
    <d v="2024-01-12T00:00:00"/>
    <s v="Delivery at Miyapur"/>
    <s v="Call"/>
    <s v="Events"/>
    <x v="10"/>
    <s v="Arvind Reddu"/>
    <s v="Delivered food foe 25 Pax on 12 Jan 2024"/>
    <n v="8000"/>
    <n v="8000"/>
    <x v="1"/>
    <x v="0"/>
    <x v="1"/>
    <s v="Closed"/>
    <m/>
    <m/>
    <m/>
    <m/>
    <m/>
    <s v="Jan-24"/>
    <n v="2"/>
    <s v="2024"/>
  </r>
  <r>
    <d v="2024-01-12T00:00:00"/>
    <s v="Sheenlac Paints"/>
    <s v="F2F"/>
    <s v="Corporate"/>
    <x v="16"/>
    <s v="Anand"/>
    <s v="Introduction about dealers meet and Gifting"/>
    <n v="10000"/>
    <n v="0"/>
    <x v="0"/>
    <x v="0"/>
    <x v="0"/>
    <s v="Cancelled"/>
    <s v="No requirement"/>
    <m/>
    <m/>
    <m/>
    <m/>
    <s v="Jan-24"/>
    <n v="2"/>
    <s v="2024"/>
  </r>
  <r>
    <d v="2024-01-12T00:00:00"/>
    <s v="Chaitanya Bharthi School"/>
    <s v="F2F"/>
    <s v="School"/>
    <x v="4"/>
    <s v="Kasim"/>
    <s v="Introduction of bulk food supply at school fest"/>
    <n v="12000"/>
    <n v="0"/>
    <x v="8"/>
    <x v="0"/>
    <x v="0"/>
    <s v="Cancelled"/>
    <s v="No requirement"/>
    <n v="2400"/>
    <m/>
    <m/>
    <m/>
    <s v="Jan-24"/>
    <n v="2"/>
    <s v="2024"/>
  </r>
  <r>
    <d v="2024-01-13T00:00:00"/>
    <s v="Group from Kolkata "/>
    <s v="Call"/>
    <s v="Travel"/>
    <x v="10"/>
    <s v="Suparna"/>
    <s v="Delivery to Group from kolkata"/>
    <n v="2800"/>
    <n v="2800"/>
    <x v="1"/>
    <x v="0"/>
    <x v="1"/>
    <s v="Closed"/>
    <m/>
    <s v="No"/>
    <m/>
    <m/>
    <m/>
    <s v="Jan-24"/>
    <n v="2"/>
    <s v="2024"/>
  </r>
  <r>
    <d v="2024-01-13T00:00:00"/>
    <s v="Group from Suryapeta"/>
    <s v="Call"/>
    <s v="Travel"/>
    <x v="10"/>
    <s v="Sampat"/>
    <s v="Dine in at kothapet"/>
    <n v="2500"/>
    <n v="2500"/>
    <x v="1"/>
    <x v="0"/>
    <x v="1"/>
    <s v="Closed"/>
    <m/>
    <s v="No"/>
    <m/>
    <m/>
    <m/>
    <s v="Jan-24"/>
    <n v="2"/>
    <s v="2024"/>
  </r>
  <r>
    <d v="2024-01-13T00:00:00"/>
    <s v="Delivery at Ramanthapur"/>
    <s v="Call"/>
    <s v="Events"/>
    <x v="10"/>
    <s v="Anil"/>
    <s v="Delivery of Handi on 15 Jan 2024"/>
    <n v="15000"/>
    <n v="0"/>
    <x v="1"/>
    <x v="0"/>
    <x v="0"/>
    <s v="Cancelled"/>
    <s v="Budget Issue"/>
    <n v="3000"/>
    <m/>
    <m/>
    <m/>
    <s v="Jan-24"/>
    <n v="2"/>
    <s v="2024"/>
  </r>
  <r>
    <d v="2024-01-13T00:00:00"/>
    <s v="Delivery at Compass Group Bangalore"/>
    <s v="Call"/>
    <s v="Corporate"/>
    <x v="17"/>
    <s v="Pankaj"/>
    <s v="Delivery of 100 Special Biryani at Banglore on 17 Jan 2024"/>
    <n v="53487"/>
    <n v="53487"/>
    <x v="1"/>
    <x v="1"/>
    <x v="1"/>
    <s v="Closed"/>
    <m/>
    <n v="0"/>
    <m/>
    <m/>
    <m/>
    <s v="Jan-24"/>
    <n v="2"/>
    <s v="2024"/>
  </r>
  <r>
    <d v="2024-01-13T00:00:00"/>
    <s v="Servo Oils"/>
    <s v="Call"/>
    <s v="Corporate"/>
    <x v="16"/>
    <s v="Ganesh Biradar"/>
    <s v="Introduction of Bulk Orders"/>
    <n v="5000"/>
    <n v="0"/>
    <x v="8"/>
    <x v="0"/>
    <x v="0"/>
    <s v="Cancelled"/>
    <s v="No requirement"/>
    <n v="1000"/>
    <m/>
    <m/>
    <m/>
    <s v="Jan-24"/>
    <n v="2"/>
    <s v="2024"/>
  </r>
  <r>
    <d v="2024-01-14T00:00:00"/>
    <s v="Delivery at Lal Bazar "/>
    <s v="Call"/>
    <s v="Events"/>
    <x v="10"/>
    <s v="Jyothi"/>
    <s v="Delivery of Handi on 15 Jan 2024"/>
    <n v="10500"/>
    <n v="0"/>
    <x v="1"/>
    <x v="0"/>
    <x v="0"/>
    <s v="Cancelled"/>
    <s v="Budget Issue"/>
    <n v="2100"/>
    <m/>
    <m/>
    <m/>
    <s v="Jan-24"/>
    <n v="2"/>
    <s v="2024"/>
  </r>
  <r>
    <d v="2024-01-14T00:00:00"/>
    <s v="Techwave"/>
    <s v="Call"/>
    <s v="Corporate"/>
    <x v="0"/>
    <s v="Pandu"/>
    <s v="Introduction about bulk food and Haleem"/>
    <n v="5000"/>
    <n v="0"/>
    <x v="8"/>
    <x v="0"/>
    <x v="0"/>
    <s v="Cancelled"/>
    <s v="No requirement"/>
    <n v="1000"/>
    <m/>
    <m/>
    <m/>
    <s v="Jan-24"/>
    <n v="2"/>
    <s v="2024"/>
  </r>
  <r>
    <d v="2024-01-14T00:00:00"/>
    <s v="Alakriti"/>
    <s v="Call"/>
    <s v="Corporate"/>
    <x v="0"/>
    <s v="Padma"/>
    <s v="Introduction about bulk food and Haleem"/>
    <n v="6000"/>
    <n v="0"/>
    <x v="9"/>
    <x v="0"/>
    <x v="0"/>
    <s v="Cancelled"/>
    <s v="No Budget"/>
    <n v="1200"/>
    <m/>
    <m/>
    <m/>
    <s v="Jan-24"/>
    <n v="2"/>
    <s v="2024"/>
  </r>
  <r>
    <d v="2024-01-15T00:00:00"/>
    <s v="LIC Of India"/>
    <s v="Call"/>
    <s v="Corporate"/>
    <x v="21"/>
    <s v="Hanumantulu"/>
    <s v="Shared Details of Haleem and Bulk delivery"/>
    <n v="10000"/>
    <n v="0"/>
    <x v="9"/>
    <x v="0"/>
    <x v="0"/>
    <s v="Cancelled"/>
    <s v="No Budget"/>
    <n v="2000"/>
    <m/>
    <m/>
    <m/>
    <s v="Jan-24"/>
    <n v="3"/>
    <s v="2024"/>
  </r>
  <r>
    <d v="2024-01-15T00:00:00"/>
    <s v="Decathlon"/>
    <s v="Call"/>
    <s v="Corporate"/>
    <x v="11"/>
    <s v="Harini"/>
    <s v="Shared Details of Haleem and Bulk delivery"/>
    <n v="10000"/>
    <n v="0"/>
    <x v="5"/>
    <x v="0"/>
    <x v="0"/>
    <s v="Cancelled"/>
    <s v="No requirement"/>
    <n v="2000"/>
    <m/>
    <m/>
    <m/>
    <s v="Jan-24"/>
    <n v="3"/>
    <s v="2024"/>
  </r>
  <r>
    <d v="2024-01-16T00:00:00"/>
    <s v="Delivery at Santoshnagar"/>
    <s v="Call"/>
    <s v="Events"/>
    <x v="10"/>
    <s v="Latif"/>
    <s v="Delivery of 120 pax biryani at santoshnagar"/>
    <n v="30000"/>
    <n v="0"/>
    <x v="1"/>
    <x v="0"/>
    <x v="0"/>
    <s v="Cancelled"/>
    <s v="Budget Issue"/>
    <n v="6000"/>
    <m/>
    <m/>
    <m/>
    <s v="Jan-24"/>
    <n v="3"/>
    <s v="2024"/>
  </r>
  <r>
    <d v="2024-01-16T00:00:00"/>
    <s v="NIFT Spectrum 2024 Event"/>
    <s v="F2F"/>
    <s v="Events"/>
    <x v="4"/>
    <s v="Shivdas"/>
    <s v="Fest on 1St 2nd &amp; 3 Feb 2024"/>
    <n v="100000"/>
    <n v="0"/>
    <x v="7"/>
    <x v="0"/>
    <x v="0"/>
    <s v="Cancelled"/>
    <s v="Cancelled due to low budget"/>
    <n v="20000"/>
    <m/>
    <m/>
    <s v="16/1/2024"/>
    <s v="Jan-24"/>
    <n v="3"/>
    <s v="2024"/>
  </r>
  <r>
    <d v="2024-01-16T00:00:00"/>
    <s v="Zenith Holidays"/>
    <s v="Call"/>
    <s v="Corporate"/>
    <x v="1"/>
    <s v="Arijit"/>
    <s v="Delivery on 18 Jan 2024"/>
    <n v="10000"/>
    <n v="10000"/>
    <x v="1"/>
    <x v="0"/>
    <x v="1"/>
    <s v="Closed"/>
    <m/>
    <n v="2000"/>
    <m/>
    <m/>
    <m/>
    <s v="Jan-24"/>
    <n v="3"/>
    <s v="2024"/>
  </r>
  <r>
    <d v="2024-01-16T00:00:00"/>
    <s v="4C Drug Safety Services"/>
    <s v="F2F"/>
    <s v="Corporate"/>
    <x v="5"/>
    <s v="Chandan Prakash"/>
    <s v="Introduction about food supply for office fest and bulk delivery of Haleem"/>
    <n v="10000"/>
    <n v="0"/>
    <x v="9"/>
    <x v="0"/>
    <x v="0"/>
    <s v="Cancelled"/>
    <s v="No Budget"/>
    <n v="2000"/>
    <m/>
    <m/>
    <m/>
    <s v="Jan-24"/>
    <n v="3"/>
    <s v="2024"/>
  </r>
  <r>
    <d v="2024-01-16T00:00:00"/>
    <s v="Impactive Events"/>
    <s v="F2F"/>
    <s v="Corporate"/>
    <x v="3"/>
    <s v="Manjeeth"/>
    <s v="Introduction , bulk food and Haleem "/>
    <n v="8000"/>
    <n v="0"/>
    <x v="5"/>
    <x v="0"/>
    <x v="0"/>
    <s v="Cancelled"/>
    <s v="Closed the business"/>
    <n v="1600"/>
    <m/>
    <m/>
    <m/>
    <s v="Jan-24"/>
    <n v="3"/>
    <s v="2024"/>
  </r>
  <r>
    <d v="2024-01-17T00:00:00"/>
    <s v="Bachpan School Annual Day 14th Feb"/>
    <s v="F2F"/>
    <s v="School"/>
    <x v="4"/>
    <s v="Madhvi Reddy (MD)"/>
    <s v="Annual Day for Badangpet and Meerpet Branches"/>
    <n v="50000"/>
    <n v="0"/>
    <x v="5"/>
    <x v="0"/>
    <x v="0"/>
    <s v="Cancelled"/>
    <s v="Budget Issue"/>
    <n v="10000"/>
    <m/>
    <m/>
    <m/>
    <s v="Jan-24"/>
    <n v="3"/>
    <s v="2024"/>
  </r>
  <r>
    <d v="2024-01-17T00:00:00"/>
    <s v="Yojo Farmhouse Rentals"/>
    <s v="F2F"/>
    <s v="Corporate"/>
    <x v="3"/>
    <s v="Anurag Alluri"/>
    <s v="Bulk Supply of food for events in Farmhouse"/>
    <n v="10000"/>
    <n v="0"/>
    <x v="1"/>
    <x v="0"/>
    <x v="0"/>
    <s v="Cancelled"/>
    <s v="Event Cancelled"/>
    <n v="2000"/>
    <m/>
    <m/>
    <m/>
    <s v="Jan-24"/>
    <n v="3"/>
    <s v="2024"/>
  </r>
  <r>
    <d v="2024-01-17T00:00:00"/>
    <s v="Delivery of Handi at Secbad"/>
    <s v="Call"/>
    <s v="Events"/>
    <x v="10"/>
    <s v="Manish"/>
    <s v="Delivery of Handi on 18 Jan 2024"/>
    <n v="10000"/>
    <n v="0"/>
    <x v="1"/>
    <x v="0"/>
    <x v="0"/>
    <s v="Cancelled"/>
    <s v="Event Cancelled"/>
    <n v="2000"/>
    <m/>
    <m/>
    <m/>
    <s v="Jan-24"/>
    <n v="3"/>
    <s v="2024"/>
  </r>
  <r>
    <d v="2024-01-17T00:00:00"/>
    <s v="Kapil Chits "/>
    <s v="F2F"/>
    <s v="Corporate"/>
    <x v="21"/>
    <s v="Yusuf"/>
    <s v="Introduction of Bulk food and Haleem"/>
    <n v="10000"/>
    <n v="0"/>
    <x v="9"/>
    <x v="0"/>
    <x v="0"/>
    <s v="Cancelled"/>
    <s v="No Budget"/>
    <n v="2000"/>
    <m/>
    <m/>
    <m/>
    <s v="Jan-24"/>
    <n v="3"/>
    <s v="2024"/>
  </r>
  <r>
    <d v="2024-01-18T00:00:00"/>
    <s v="Sri Sai Vikas Degree College"/>
    <s v="F2F"/>
    <s v="College"/>
    <x v="4"/>
    <s v="Abdul Mateen"/>
    <s v="Introduction of bulk order and ODC"/>
    <n v="10000"/>
    <n v="0"/>
    <x v="9"/>
    <x v="0"/>
    <x v="0"/>
    <s v="Cancelled"/>
    <s v="No Budget"/>
    <n v="2000"/>
    <m/>
    <m/>
    <m/>
    <s v="Jan-24"/>
    <n v="3"/>
    <s v="2024"/>
  </r>
  <r>
    <d v="2024-01-18T00:00:00"/>
    <s v="Astra Rafel Compsys"/>
    <s v="F2F"/>
    <s v="Corporate"/>
    <x v="22"/>
    <s v="Joseph"/>
    <s v="Introduction for Bulk delivery and team lunch"/>
    <n v="8000"/>
    <n v="0"/>
    <x v="9"/>
    <x v="0"/>
    <x v="0"/>
    <s v="Cancelled"/>
    <s v="No Budget"/>
    <n v="1600"/>
    <m/>
    <m/>
    <m/>
    <s v="Jan-24"/>
    <n v="3"/>
    <s v="2024"/>
  </r>
  <r>
    <d v="2024-01-18T00:00:00"/>
    <s v="Anza Medicode "/>
    <s v="Call"/>
    <s v="Corporate"/>
    <x v="0"/>
    <s v="Parthasaradi"/>
    <s v="Shared details of team lunch and bulk orders, Haleem delivery."/>
    <n v="12000"/>
    <n v="0"/>
    <x v="0"/>
    <x v="0"/>
    <x v="0"/>
    <s v="Cancelled"/>
    <s v="No requirement"/>
    <n v="2400"/>
    <m/>
    <m/>
    <m/>
    <s v="Jan-24"/>
    <n v="3"/>
    <s v="2024"/>
  </r>
  <r>
    <d v="2024-01-19T00:00:00"/>
    <s v="Citizen Cooperative Society"/>
    <s v="Call"/>
    <s v="Corporate"/>
    <x v="21"/>
    <s v="Babita (HR)"/>
    <s v="Shared "/>
    <n v="4000"/>
    <n v="0"/>
    <x v="9"/>
    <x v="0"/>
    <x v="0"/>
    <s v="Cancelled"/>
    <s v="No Budget"/>
    <n v="800"/>
    <m/>
    <m/>
    <m/>
    <s v="Jan-24"/>
    <n v="3"/>
    <s v="2024"/>
  </r>
  <r>
    <d v="2024-01-19T00:00:00"/>
    <s v="Qualcomm Raheja"/>
    <s v="Call"/>
    <s v="Corporate"/>
    <x v="0"/>
    <s v="Balram"/>
    <s v="Introduced about team lunch and events"/>
    <n v="10000"/>
    <n v="0"/>
    <x v="4"/>
    <x v="0"/>
    <x v="0"/>
    <s v="Cancelled"/>
    <s v="No requirement"/>
    <n v="2000"/>
    <m/>
    <m/>
    <m/>
    <s v="Jan-24"/>
    <n v="3"/>
    <s v="2024"/>
  </r>
  <r>
    <d v="2024-01-19T00:00:00"/>
    <s v="Bank Of America"/>
    <s v="Call"/>
    <s v="Corporate"/>
    <x v="21"/>
    <s v="Archana"/>
    <s v="Introduced about team lunch and events"/>
    <n v="5000"/>
    <n v="0"/>
    <x v="9"/>
    <x v="0"/>
    <x v="0"/>
    <s v="Cancelled"/>
    <s v="No Budget"/>
    <n v="1000"/>
    <m/>
    <m/>
    <m/>
    <s v="Jan-24"/>
    <n v="3"/>
    <s v="2024"/>
  </r>
  <r>
    <d v="2024-01-19T00:00:00"/>
    <s v="Pro Arch IT Solutions"/>
    <s v="Call"/>
    <s v="Corporate"/>
    <x v="0"/>
    <s v="Raju"/>
    <s v="Delivery of Biryani and Haleem at Uppal for team lunch"/>
    <n v="10000"/>
    <n v="0"/>
    <x v="6"/>
    <x v="0"/>
    <x v="0"/>
    <s v="Cancelled"/>
    <s v="Event Cancelled"/>
    <n v="2000"/>
    <m/>
    <m/>
    <m/>
    <s v="Jan-24"/>
    <n v="3"/>
    <s v="2024"/>
  </r>
  <r>
    <d v="2024-01-19T00:00:00"/>
    <s v="Arcsine"/>
    <s v="Call"/>
    <s v="Corporate"/>
    <x v="0"/>
    <s v="Nagraj"/>
    <s v="Bulk Delivery at their office"/>
    <n v="4000"/>
    <n v="0"/>
    <x v="0"/>
    <x v="0"/>
    <x v="0"/>
    <s v="Cancelled"/>
    <s v="Event Cancelled"/>
    <n v="800"/>
    <m/>
    <m/>
    <m/>
    <s v="Jan-24"/>
    <n v="3"/>
    <s v="2024"/>
  </r>
  <r>
    <d v="2024-01-21T00:00:00"/>
    <s v="Zomaland"/>
    <s v="Call"/>
    <s v="Events"/>
    <x v="6"/>
    <s v="Siddharth"/>
    <s v="Event on 20, 21 Jan 2024"/>
    <n v="57000"/>
    <n v="57000"/>
    <x v="1"/>
    <x v="0"/>
    <x v="1"/>
    <s v="Cancelled"/>
    <s v="No requirement"/>
    <n v="11400"/>
    <m/>
    <m/>
    <m/>
    <s v="Jan-24"/>
    <n v="3"/>
    <s v="2024"/>
  </r>
  <r>
    <d v="2024-01-21T00:00:00"/>
    <s v="Delivery at Secundrabad"/>
    <s v="Call"/>
    <s v="Events"/>
    <x v="10"/>
    <s v="Joseph"/>
    <s v="Delivery of 30 pax CB on 23 Jan 2024"/>
    <n v="6500"/>
    <n v="0"/>
    <x v="1"/>
    <x v="0"/>
    <x v="0"/>
    <s v="Cancelled"/>
    <s v="No Budget"/>
    <n v="1300"/>
    <m/>
    <m/>
    <m/>
    <s v="Jan-24"/>
    <n v="3"/>
    <s v="2024"/>
  </r>
  <r>
    <d v="2024-01-21T00:00:00"/>
    <s v="Delivery at HSR Layout"/>
    <s v="Call"/>
    <s v="Events"/>
    <x v="10"/>
    <s v="Vijay"/>
    <s v="Delivedry of 150 CB on 24 Jan 2024"/>
    <n v="30000"/>
    <n v="0"/>
    <x v="1"/>
    <x v="1"/>
    <x v="0"/>
    <s v="Cancelled"/>
    <s v="No Budget"/>
    <n v="6000"/>
    <m/>
    <m/>
    <m/>
    <s v="Jan-24"/>
    <n v="3"/>
    <s v="2024"/>
  </r>
  <r>
    <d v="2024-01-21T00:00:00"/>
    <s v="Delivery at Eluru"/>
    <s v="Call"/>
    <s v="Events"/>
    <x v="10"/>
    <s v="Srinivas"/>
    <s v="Delivery of CB Handi on 27 Jan 2024"/>
    <n v="12000"/>
    <n v="0"/>
    <x v="1"/>
    <x v="0"/>
    <x v="0"/>
    <s v="Cancelled"/>
    <s v="No requirement"/>
    <n v="2400"/>
    <m/>
    <m/>
    <m/>
    <s v="Jan-24"/>
    <n v="3"/>
    <s v="2024"/>
  </r>
  <r>
    <d v="2024-01-22T00:00:00"/>
    <s v="Delivery at Compass Group Bangalore"/>
    <s v="Call"/>
    <s v="Corporate"/>
    <x v="17"/>
    <s v="Pankaj"/>
    <s v="Delivery of CB Handi on 24 Jan 2024"/>
    <n v="49329"/>
    <n v="49329"/>
    <x v="1"/>
    <x v="1"/>
    <x v="1"/>
    <s v="Cancelled"/>
    <s v="Event Cancelled"/>
    <n v="0"/>
    <m/>
    <m/>
    <m/>
    <s v="Jan-24"/>
    <n v="4"/>
    <s v="2024"/>
  </r>
  <r>
    <d v="2024-01-22T00:00:00"/>
    <s v="DPS Nadergul"/>
    <s v="Call"/>
    <s v="Events"/>
    <x v="4"/>
    <s v="Baktharaj"/>
    <s v="Introduction to Bulk order and Haleem"/>
    <n v="5000"/>
    <n v="0"/>
    <x v="9"/>
    <x v="0"/>
    <x v="0"/>
    <s v="Cancelled"/>
    <s v="No requirement"/>
    <n v="1000"/>
    <m/>
    <m/>
    <m/>
    <s v="Jan-24"/>
    <n v="4"/>
    <s v="2024"/>
  </r>
  <r>
    <d v="2024-01-22T00:00:00"/>
    <s v="Hitachi Consulting"/>
    <s v="Call"/>
    <s v="Corporate"/>
    <x v="0"/>
    <s v="Barnali Mukherjee"/>
    <s v="Introduction to Bulk order and Haleem"/>
    <n v="6000"/>
    <n v="0"/>
    <x v="9"/>
    <x v="0"/>
    <x v="0"/>
    <s v="Cancelled"/>
    <s v="No requirement"/>
    <n v="1200"/>
    <m/>
    <m/>
    <m/>
    <s v="Jan-24"/>
    <n v="4"/>
    <s v="2024"/>
  </r>
  <r>
    <d v="2024-01-22T00:00:00"/>
    <s v="Rotterdam International School"/>
    <s v="Call"/>
    <s v="Events"/>
    <x v="4"/>
    <s v="Charith"/>
    <s v="Introduction to Bulk order and Haleem"/>
    <n v="5000"/>
    <n v="0"/>
    <x v="0"/>
    <x v="0"/>
    <x v="0"/>
    <s v="Cancelled"/>
    <s v="No requirement"/>
    <n v="1000"/>
    <m/>
    <m/>
    <m/>
    <s v="Jan-24"/>
    <n v="4"/>
    <s v="2024"/>
  </r>
  <r>
    <d v="2024-01-22T00:00:00"/>
    <s v="Peoples Carrer"/>
    <s v="Call"/>
    <s v="Events"/>
    <x v="4"/>
    <s v="Chhaya"/>
    <s v="Introduction to Team lunch and Haleem"/>
    <n v="3000"/>
    <n v="0"/>
    <x v="5"/>
    <x v="0"/>
    <x v="0"/>
    <s v="Cancelled"/>
    <s v="Event Cancelled"/>
    <n v="600"/>
    <m/>
    <m/>
    <m/>
    <s v="Jan-24"/>
    <n v="4"/>
    <s v="2024"/>
  </r>
  <r>
    <d v="2024-01-23T00:00:00"/>
    <s v="Srestha Organics"/>
    <s v="F2F"/>
    <s v="Corporate"/>
    <x v="18"/>
    <s v="Renuka"/>
    <s v="Introduction to Team lunch and Haleem"/>
    <n v="10000"/>
    <n v="0"/>
    <x v="9"/>
    <x v="0"/>
    <x v="0"/>
    <s v="Cancelled"/>
    <s v="No requirement"/>
    <n v="2000"/>
    <m/>
    <m/>
    <m/>
    <s v="Jan-24"/>
    <n v="4"/>
    <s v="2024"/>
  </r>
  <r>
    <d v="2024-01-23T00:00:00"/>
    <s v="Delivery at Secundrabad"/>
    <s v="Call"/>
    <s v="Events"/>
    <x v="10"/>
    <s v="Kalyan"/>
    <s v="Delivered 25 Chicken Biryani"/>
    <n v="5700"/>
    <n v="5700"/>
    <x v="1"/>
    <x v="0"/>
    <x v="1"/>
    <s v="Closed"/>
    <m/>
    <n v="1140"/>
    <m/>
    <m/>
    <m/>
    <s v="Jan-24"/>
    <n v="4"/>
    <s v="2024"/>
  </r>
  <r>
    <d v="2024-01-23T00:00:00"/>
    <s v="Medha Engineering"/>
    <s v="F2F"/>
    <s v="Corporate"/>
    <x v="7"/>
    <s v="Madhumohan"/>
    <s v="Introduction of Bulk food and Haleem"/>
    <n v="15000"/>
    <n v="0"/>
    <x v="9"/>
    <x v="0"/>
    <x v="0"/>
    <s v="Cancelled"/>
    <s v="No requirement"/>
    <n v="3000"/>
    <m/>
    <m/>
    <m/>
    <s v="Jan-24"/>
    <n v="4"/>
    <s v="2024"/>
  </r>
  <r>
    <d v="2024-01-23T00:00:00"/>
    <s v="Fabritech Uppal"/>
    <s v="F2F"/>
    <s v="Corporate"/>
    <x v="7"/>
    <s v="Anita"/>
    <s v="Introduction to Bulk order and Haleem"/>
    <n v="5000"/>
    <n v="0"/>
    <x v="6"/>
    <x v="0"/>
    <x v="0"/>
    <s v="Cancelled"/>
    <s v="Event Cancelled"/>
    <n v="1000"/>
    <m/>
    <m/>
    <m/>
    <s v="Jan-24"/>
    <n v="4"/>
    <s v="2024"/>
  </r>
  <r>
    <d v="2024-01-23T00:00:00"/>
    <s v="Macoward"/>
    <s v="F2F"/>
    <s v="Corporate"/>
    <x v="7"/>
    <s v="Radhika"/>
    <s v="Introduction for team lunvh and haleem"/>
    <n v="8000"/>
    <n v="0"/>
    <x v="5"/>
    <x v="0"/>
    <x v="0"/>
    <s v="Cancelled"/>
    <s v="Event Cancelled"/>
    <n v="1600"/>
    <m/>
    <m/>
    <m/>
    <s v="Jan-24"/>
    <n v="4"/>
    <s v="2024"/>
  </r>
  <r>
    <d v="2024-01-24T00:00:00"/>
    <s v="Delivery at Kims Sunshine Hospital Secundrabad"/>
    <s v="Call"/>
    <s v="Corporate"/>
    <x v="13"/>
    <s v="Venkatesh"/>
    <s v="Delivery of mutton biryani"/>
    <n v="15000"/>
    <n v="15000"/>
    <x v="1"/>
    <x v="0"/>
    <x v="1"/>
    <s v="Closed"/>
    <m/>
    <n v="3000"/>
    <m/>
    <m/>
    <m/>
    <s v="Jan-24"/>
    <n v="4"/>
    <s v="2024"/>
  </r>
  <r>
    <d v="2024-01-24T00:00:00"/>
    <s v="Sagarsoft Technologies"/>
    <s v="F2F"/>
    <s v="Corporate"/>
    <x v="0"/>
    <s v="Bheem"/>
    <s v="Introduction of Bulk food and Haleem counter at their cafeteria"/>
    <n v="10000"/>
    <n v="0"/>
    <x v="9"/>
    <x v="0"/>
    <x v="0"/>
    <s v="Cancelled"/>
    <s v="No requirement"/>
    <n v="2000"/>
    <m/>
    <m/>
    <m/>
    <s v="Jan-24"/>
    <n v="4"/>
    <s v="2024"/>
  </r>
  <r>
    <d v="2024-01-24T00:00:00"/>
    <s v="Birthday party at HSR Banglore"/>
    <s v="Call"/>
    <s v="Events"/>
    <x v="10"/>
    <s v="Soumya"/>
    <s v="Delivery on 28 Jan 2024"/>
    <n v="28163"/>
    <n v="0"/>
    <x v="1"/>
    <x v="1"/>
    <x v="0"/>
    <s v="Cancelled"/>
    <s v="Less Budget"/>
    <n v="5632.6"/>
    <m/>
    <m/>
    <m/>
    <s v="Jan-24"/>
    <n v="4"/>
    <s v="2024"/>
  </r>
  <r>
    <d v="2024-01-24T00:00:00"/>
    <s v="Amazon Shamshabad"/>
    <s v="Call"/>
    <s v="Corporate"/>
    <x v="0"/>
    <s v="Manjunath"/>
    <s v="Delivery and Haleem Counter "/>
    <n v="30000"/>
    <n v="0"/>
    <x v="9"/>
    <x v="0"/>
    <x v="0"/>
    <s v="Cancelled"/>
    <s v="No requirement"/>
    <n v="6000"/>
    <m/>
    <m/>
    <m/>
    <s v="Jan-24"/>
    <n v="4"/>
    <s v="2024"/>
  </r>
  <r>
    <d v="2024-01-24T00:00:00"/>
    <s v="MJ College "/>
    <s v="F2F"/>
    <s v="College"/>
    <x v="4"/>
    <s v="Abdul"/>
    <s v="Delivery of bulk order and Haleem"/>
    <n v="10000"/>
    <n v="0"/>
    <x v="6"/>
    <x v="0"/>
    <x v="0"/>
    <s v="Cancelled"/>
    <s v="Event Cancelled"/>
    <n v="2000"/>
    <m/>
    <m/>
    <m/>
    <s v="Jan-24"/>
    <n v="4"/>
    <s v="2024"/>
  </r>
  <r>
    <d v="2024-01-25T00:00:00"/>
    <s v="Take away at secundrabad "/>
    <s v="Call"/>
    <s v="Events"/>
    <x v="10"/>
    <s v="Paras"/>
    <s v="Take away at Secundrabad"/>
    <n v="7000"/>
    <n v="7000"/>
    <x v="1"/>
    <x v="0"/>
    <x v="1"/>
    <s v="Closed"/>
    <m/>
    <n v="1400"/>
    <m/>
    <m/>
    <m/>
    <s v="Jan-24"/>
    <n v="4"/>
    <s v="2024"/>
  </r>
  <r>
    <d v="2024-01-25T00:00:00"/>
    <s v="Mutton Handi at Amberpet "/>
    <s v="Call"/>
    <s v="Events"/>
    <x v="10"/>
    <s v="Surendra"/>
    <s v="Delivery of Mutton Handi on 26 Jan 2024"/>
    <n v="10500"/>
    <n v="10500"/>
    <x v="1"/>
    <x v="0"/>
    <x v="1"/>
    <s v="Closed"/>
    <m/>
    <n v="2100"/>
    <m/>
    <m/>
    <m/>
    <s v="Jan-24"/>
    <n v="4"/>
    <s v="2024"/>
  </r>
  <r>
    <d v="2024-01-25T00:00:00"/>
    <s v="Vaishnavi JR College"/>
    <s v="F2F"/>
    <s v="College"/>
    <x v="4"/>
    <s v="Dashrath Goud"/>
    <s v="Introduction for bulk delivery at events "/>
    <n v="6000"/>
    <n v="0"/>
    <x v="6"/>
    <x v="0"/>
    <x v="0"/>
    <s v="Cancelled"/>
    <s v="Event Cancelled"/>
    <n v="1200"/>
    <m/>
    <m/>
    <m/>
    <s v="Jan-24"/>
    <n v="4"/>
    <s v="2024"/>
  </r>
  <r>
    <d v="2024-01-25T00:00:00"/>
    <s v="Little flower College"/>
    <s v="F2F"/>
    <s v="College"/>
    <x v="4"/>
    <s v="Sheela Ingle"/>
    <s v="Introduction for bulk delivery at events "/>
    <n v="10000"/>
    <n v="0"/>
    <x v="6"/>
    <x v="0"/>
    <x v="0"/>
    <s v="Cancelled"/>
    <s v="Event Cancelled"/>
    <n v="2000"/>
    <m/>
    <m/>
    <m/>
    <s v="Jan-24"/>
    <n v="4"/>
    <s v="2024"/>
  </r>
  <r>
    <d v="2024-01-25T00:00:00"/>
    <s v="SBI Uppal"/>
    <s v="F2F"/>
    <s v="Corporate"/>
    <x v="21"/>
    <s v="Sudheer"/>
    <s v="Introduction of bulk delivery of food and haleem"/>
    <n v="12000"/>
    <n v="0"/>
    <x v="0"/>
    <x v="0"/>
    <x v="0"/>
    <s v="Cancelled"/>
    <s v="No requirement"/>
    <n v="2400"/>
    <m/>
    <m/>
    <m/>
    <s v="Jan-24"/>
    <n v="4"/>
    <s v="2024"/>
  </r>
  <r>
    <d v="2024-01-25T00:00:00"/>
    <s v="Shalom Church "/>
    <s v="F2F"/>
    <s v="Events"/>
    <x v="10"/>
    <s v="Srikanth"/>
    <s v="Introduction of bulk delivery of food and haleem"/>
    <n v="10000"/>
    <n v="0"/>
    <x v="7"/>
    <x v="0"/>
    <x v="0"/>
    <s v="Cancelled"/>
    <s v="Prepared Inhouse"/>
    <n v="2000"/>
    <m/>
    <m/>
    <m/>
    <s v="Jan-24"/>
    <n v="4"/>
    <s v="2024"/>
  </r>
  <r>
    <d v="2024-01-26T00:00:00"/>
    <s v="Delivery of Mutton haleem "/>
    <s v="Call"/>
    <s v="Events"/>
    <x v="10"/>
    <s v="Abdul"/>
    <s v="Delivery at masabtank on 27 Jan 2024"/>
    <n v="3000"/>
    <n v="3000"/>
    <x v="1"/>
    <x v="0"/>
    <x v="1"/>
    <s v="Closed"/>
    <m/>
    <n v="3000"/>
    <m/>
    <m/>
    <m/>
    <s v="Jan-24"/>
    <n v="4"/>
    <s v="2024"/>
  </r>
  <r>
    <d v="2024-01-26T00:00:00"/>
    <s v="Delivery of 30 CB at Tirumalgiri "/>
    <s v="Call"/>
    <s v="Events"/>
    <x v="10"/>
    <s v="Venu"/>
    <s v="Delivery of 30 CB at Tirumalgiri on 27 Jan 2024"/>
    <n v="6500"/>
    <n v="6500"/>
    <x v="1"/>
    <x v="0"/>
    <x v="1"/>
    <s v="Closed"/>
    <m/>
    <n v="1300"/>
    <m/>
    <m/>
    <m/>
    <s v="Jan-24"/>
    <n v="4"/>
    <s v="2024"/>
  </r>
  <r>
    <d v="2024-01-27T00:00:00"/>
    <s v="Vivekananda High School"/>
    <s v="Call"/>
    <s v="School"/>
    <x v="4"/>
    <s v="Gajanand"/>
    <s v="Introduction for bulk delivery"/>
    <n v="5000"/>
    <n v="0"/>
    <x v="0"/>
    <x v="0"/>
    <x v="0"/>
    <s v="Cancelled"/>
    <s v="No requirement"/>
    <n v="1000"/>
    <m/>
    <m/>
    <m/>
    <s v="Jan-24"/>
    <n v="4"/>
    <s v="2024"/>
  </r>
  <r>
    <d v="2024-01-27T00:00:00"/>
    <s v="Akash Institute Kothapet"/>
    <s v="Call"/>
    <s v="Events"/>
    <x v="4"/>
    <s v="Ganguli"/>
    <s v="Introduction for bulk delivery"/>
    <n v="6000"/>
    <n v="0"/>
    <x v="5"/>
    <x v="0"/>
    <x v="0"/>
    <s v="Cancelled"/>
    <s v="No requirement"/>
    <n v="1200"/>
    <m/>
    <m/>
    <m/>
    <s v="Jan-24"/>
    <n v="4"/>
    <s v="2024"/>
  </r>
  <r>
    <d v="2024-01-28T00:00:00"/>
    <s v="ODC at Kokapet"/>
    <s v="Call"/>
    <s v="Events"/>
    <x v="10"/>
    <s v="Agnibesh"/>
    <s v="Shared details for 100 pax ODC"/>
    <n v="28000"/>
    <n v="0"/>
    <x v="5"/>
    <x v="0"/>
    <x v="0"/>
    <s v="Cancelled"/>
    <s v="Procured from their Canteen"/>
    <n v="5600"/>
    <m/>
    <m/>
    <m/>
    <s v="Jan-24"/>
    <n v="4"/>
    <s v="2024"/>
  </r>
  <r>
    <d v="2024-01-28T00:00:00"/>
    <s v="Aadya Business Solution"/>
    <s v="Call"/>
    <s v="Corporate"/>
    <x v="0"/>
    <s v="Lakshman"/>
    <s v="Introduction to Bulk order and Haleem"/>
    <n v="5000"/>
    <n v="0"/>
    <x v="0"/>
    <x v="0"/>
    <x v="0"/>
    <s v="Cancelled"/>
    <s v="No requirement"/>
    <n v="1000"/>
    <m/>
    <m/>
    <m/>
    <s v="Jan-24"/>
    <n v="4"/>
    <s v="2024"/>
  </r>
  <r>
    <d v="2024-01-28T00:00:00"/>
    <s v="Zenoti"/>
    <s v="Call"/>
    <s v="Corporate"/>
    <x v="0"/>
    <s v="Abhishek"/>
    <s v="Introduction to Bulk order and Haleem"/>
    <n v="4000"/>
    <n v="0"/>
    <x v="5"/>
    <x v="0"/>
    <x v="0"/>
    <s v="Cancelled"/>
    <s v="Event Cancelled"/>
    <n v="800"/>
    <m/>
    <m/>
    <m/>
    <s v="Jan-24"/>
    <n v="4"/>
    <s v="2024"/>
  </r>
  <r>
    <d v="2024-01-28T00:00:00"/>
    <s v="Medha R&amp;D"/>
    <s v="Call"/>
    <s v="Corporate"/>
    <x v="7"/>
    <s v="Ajay"/>
    <s v="Introduction to Bulk order and Haleem"/>
    <n v="8000"/>
    <n v="0"/>
    <x v="9"/>
    <x v="0"/>
    <x v="0"/>
    <s v="Cancelled"/>
    <s v="No requirement"/>
    <n v="1600"/>
    <m/>
    <m/>
    <m/>
    <s v="Jan-24"/>
    <n v="4"/>
    <s v="2024"/>
  </r>
  <r>
    <d v="2024-01-30T00:00:00"/>
    <s v="Delivery of Chicken Handi "/>
    <s v="Call"/>
    <s v="Events"/>
    <x v="10"/>
    <s v="Anitha"/>
    <s v="Delivery of chicken Handi at Begumpet on 31 Jan 2024"/>
    <n v="8400"/>
    <n v="8400"/>
    <x v="1"/>
    <x v="0"/>
    <x v="1"/>
    <s v="Closed"/>
    <m/>
    <n v="1680"/>
    <m/>
    <m/>
    <m/>
    <s v="Jan-24"/>
    <n v="5"/>
    <s v="2024"/>
  </r>
  <r>
    <d v="2024-01-30T00:00:00"/>
    <s v="Delivery at JBS "/>
    <s v="Call"/>
    <s v="Events"/>
    <x v="10"/>
    <s v="Rajesh"/>
    <s v="Delivery of 75 Nizami CB at JBS on 31 Jan 2024"/>
    <n v="22500"/>
    <n v="22500"/>
    <x v="1"/>
    <x v="0"/>
    <x v="1"/>
    <s v="Closed"/>
    <m/>
    <n v="4500"/>
    <m/>
    <m/>
    <m/>
    <s v="Jan-24"/>
    <n v="5"/>
    <s v="2024"/>
  </r>
  <r>
    <d v="2024-01-31T00:00:00"/>
    <s v="Delivery at Compass Group Bangalore"/>
    <s v="Call"/>
    <s v="Corporate"/>
    <x v="17"/>
    <s v="Pankaj"/>
    <s v="Deliverd CB &amp; MB Handi"/>
    <n v="45516"/>
    <n v="45516"/>
    <x v="1"/>
    <x v="1"/>
    <x v="1"/>
    <s v="Closed"/>
    <m/>
    <n v="0"/>
    <m/>
    <m/>
    <m/>
    <s v="Jan-24"/>
    <n v="5"/>
    <s v="2024"/>
  </r>
  <r>
    <d v="2024-01-31T00:00:00"/>
    <s v="Delivery of CB on 1st feb at Care hospital"/>
    <s v="Call"/>
    <s v="Corporate"/>
    <x v="13"/>
    <s v="Kiranmai"/>
    <s v="Delivery at care hospital on 1 Feb 2024"/>
    <n v="12400"/>
    <n v="12400"/>
    <x v="7"/>
    <x v="0"/>
    <x v="1"/>
    <s v="Closed"/>
    <m/>
    <n v="2480"/>
    <m/>
    <m/>
    <m/>
    <s v="Jan-24"/>
    <n v="5"/>
    <s v="2024"/>
  </r>
  <r>
    <d v="2024-02-01T00:00:00"/>
    <s v="Delivery at Madhapur on 02/01`/2024"/>
    <s v="F2F"/>
    <s v="Corporate"/>
    <x v="0"/>
    <s v="Amplify"/>
    <s v="Delivery of CB Handi "/>
    <n v="11000"/>
    <n v="11000"/>
    <x v="7"/>
    <x v="0"/>
    <x v="1"/>
    <s v="Closed"/>
    <m/>
    <n v="2200"/>
    <m/>
    <m/>
    <m/>
    <s v="Feb-24"/>
    <n v="5"/>
    <s v="2024"/>
  </r>
  <r>
    <d v="2024-02-01T00:00:00"/>
    <s v="Delivery at BHEL 03/02/2024"/>
    <s v="Call"/>
    <s v="Events"/>
    <x v="10"/>
    <s v="Nagireddy"/>
    <s v="Delivery of CB Handi"/>
    <n v="8500"/>
    <n v="0"/>
    <x v="7"/>
    <x v="0"/>
    <x v="0"/>
    <s v="Cancelled"/>
    <s v="Low budget "/>
    <n v="1700"/>
    <m/>
    <m/>
    <m/>
    <s v="Feb-24"/>
    <n v="5"/>
    <s v="2024"/>
  </r>
  <r>
    <d v="2024-02-02T00:00:00"/>
    <s v="Delivery at Academic Heights school"/>
    <s v="F2F"/>
    <s v="School"/>
    <x v="4"/>
    <s v="Bindu"/>
    <s v="Delivery of 390 Vb on 7th &amp; 8 Feb 2024"/>
    <n v="114000"/>
    <n v="114000"/>
    <x v="7"/>
    <x v="0"/>
    <x v="1"/>
    <s v="Closed"/>
    <m/>
    <n v="22800"/>
    <m/>
    <m/>
    <m/>
    <s v="Feb-24"/>
    <n v="5"/>
    <s v="2024"/>
  </r>
  <r>
    <d v="2024-02-02T00:00:00"/>
    <s v="Delivery at Kothapet"/>
    <s v="Call"/>
    <s v="Events"/>
    <x v="10"/>
    <s v="Surersh"/>
    <s v="Delivery at kothapet"/>
    <n v="12000"/>
    <n v="0"/>
    <x v="7"/>
    <x v="0"/>
    <x v="0"/>
    <s v="Cancelled"/>
    <s v="Low budget "/>
    <n v="2400"/>
    <m/>
    <m/>
    <m/>
    <s v="Feb-24"/>
    <n v="5"/>
    <s v="2024"/>
  </r>
  <r>
    <d v="2024-02-03T00:00:00"/>
    <s v="Kukdukoo fest Day 1"/>
    <s v="F2F"/>
    <s v="Events"/>
    <x v="3"/>
    <s v="Archit"/>
    <s v="Sale in Stall"/>
    <n v="88300"/>
    <n v="88300"/>
    <x v="7"/>
    <x v="0"/>
    <x v="1"/>
    <s v="Closed"/>
    <m/>
    <n v="17660"/>
    <m/>
    <m/>
    <m/>
    <s v="Feb-24"/>
    <n v="5"/>
    <s v="2024"/>
  </r>
  <r>
    <d v="2024-02-04T00:00:00"/>
    <s v="Kukdukoo fest Day 2"/>
    <s v="F2F"/>
    <s v="Events"/>
    <x v="3"/>
    <s v="Archit"/>
    <s v="Sale in Stall"/>
    <n v="105450"/>
    <n v="105450"/>
    <x v="7"/>
    <x v="0"/>
    <x v="1"/>
    <s v="Closed"/>
    <m/>
    <n v="21090"/>
    <m/>
    <m/>
    <m/>
    <s v="Feb-24"/>
    <n v="5"/>
    <s v="2024"/>
  </r>
  <r>
    <d v="2024-02-05T00:00:00"/>
    <s v="Delivery at Gogaraju College Nizampet"/>
    <s v="Call"/>
    <s v="Events"/>
    <x v="4"/>
    <s v="Bharath"/>
    <s v="Delivery of CB and VB with Baby corn Manchuria on 6 Feb 2023"/>
    <n v="7000"/>
    <n v="7000"/>
    <x v="7"/>
    <x v="0"/>
    <x v="1"/>
    <s v="Closed"/>
    <m/>
    <n v="1400"/>
    <m/>
    <m/>
    <m/>
    <s v="Feb-24"/>
    <n v="6"/>
    <s v="2024"/>
  </r>
  <r>
    <d v="2024-02-06T00:00:00"/>
    <s v="Tata Motors"/>
    <s v="F2F"/>
    <s v="Corporate"/>
    <x v="9"/>
    <s v="Satish"/>
    <s v="Food vouchers"/>
    <n v="10000"/>
    <n v="0"/>
    <x v="5"/>
    <x v="0"/>
    <x v="0"/>
    <s v="Cancelled"/>
    <s v="Budget constrain"/>
    <n v="2000"/>
    <m/>
    <m/>
    <m/>
    <s v="Feb-24"/>
    <n v="6"/>
    <s v="2024"/>
  </r>
  <r>
    <d v="2024-02-06T00:00:00"/>
    <s v="Delivery at Nanakramguda"/>
    <s v="Call"/>
    <s v="Corporate"/>
    <x v="0"/>
    <s v="Prabhu"/>
    <s v="Delivery of food at stadium"/>
    <n v="18692"/>
    <n v="0"/>
    <x v="7"/>
    <x v="0"/>
    <x v="0"/>
    <s v="Cancelled"/>
    <s v="Low budget "/>
    <n v="3738.4"/>
    <m/>
    <m/>
    <m/>
    <s v="Feb-24"/>
    <n v="6"/>
    <s v="2024"/>
  </r>
  <r>
    <d v="2024-02-06T00:00:00"/>
    <s v="Delivery at RTC"/>
    <s v="Call"/>
    <s v="Events"/>
    <x v="10"/>
    <s v="Madhavi"/>
    <s v="Delivery on 11 Feb 2024 Sunday"/>
    <n v="12000"/>
    <n v="0"/>
    <x v="7"/>
    <x v="0"/>
    <x v="0"/>
    <s v="Cancelled"/>
    <s v="Low budget "/>
    <n v="2400"/>
    <m/>
    <m/>
    <m/>
    <s v="Feb-24"/>
    <n v="6"/>
    <s v="2024"/>
  </r>
  <r>
    <d v="2024-02-06T00:00:00"/>
    <s v="Ray Biz Tech"/>
    <s v="F2F"/>
    <s v="Corporate"/>
    <x v="0"/>
    <s v="Pavan Kumar"/>
    <s v="Inroduction of bulk food and Team lunch"/>
    <n v="10000"/>
    <n v="0"/>
    <x v="9"/>
    <x v="0"/>
    <x v="0"/>
    <s v="Cancelled"/>
    <s v="No requirement"/>
    <n v="2000"/>
    <m/>
    <m/>
    <m/>
    <s v="Feb-24"/>
    <n v="6"/>
    <s v="2024"/>
  </r>
  <r>
    <d v="2024-02-07T00:00:00"/>
    <s v="ICICI Towers"/>
    <s v="F2F"/>
    <s v="Corporate"/>
    <x v="21"/>
    <s v="Sandeep"/>
    <s v="Discussion Regarding bakery, Biryani and Haleem outlet at there office to be finalized , for 3 month they wont be collecting any rent, post that we have to go in revenue share."/>
    <n v="30000"/>
    <n v="0"/>
    <x v="6"/>
    <x v="0"/>
    <x v="0"/>
    <s v="Cancelled"/>
    <s v="Event Cancelled"/>
    <n v="0"/>
    <m/>
    <m/>
    <m/>
    <s v="Feb-24"/>
    <n v="6"/>
    <s v="2024"/>
  </r>
  <r>
    <d v="2024-02-07T00:00:00"/>
    <s v="Moschip"/>
    <s v="F2F"/>
    <s v="Corporate"/>
    <x v="0"/>
    <s v="Sowjanya"/>
    <s v="Introduces about, team lunch, bulk food and bakery items."/>
    <n v="10000"/>
    <n v="0"/>
    <x v="5"/>
    <x v="0"/>
    <x v="0"/>
    <s v="Cancelled"/>
    <s v="No requirement"/>
    <n v="2000"/>
    <m/>
    <m/>
    <m/>
    <s v="Feb-24"/>
    <n v="6"/>
    <s v="2024"/>
  </r>
  <r>
    <d v="2024-02-07T00:00:00"/>
    <s v="Delivery at Compass Group Bangalore"/>
    <s v="Call"/>
    <s v="Corporate"/>
    <x v="17"/>
    <s v="Pankaj"/>
    <s v="Deliverd CB &amp; MB Handi"/>
    <n v="40000"/>
    <n v="40000"/>
    <x v="7"/>
    <x v="1"/>
    <x v="1"/>
    <s v="Closed"/>
    <m/>
    <n v="0"/>
    <m/>
    <m/>
    <m/>
    <s v="Feb-24"/>
    <n v="6"/>
    <s v="2024"/>
  </r>
  <r>
    <d v="2024-02-07T00:00:00"/>
    <s v="Delivery at VIP Road"/>
    <s v="Call"/>
    <s v="Corporate"/>
    <x v="0"/>
    <s v="Lokesh"/>
    <s v="Delivery of cb"/>
    <n v="15000"/>
    <n v="15000"/>
    <x v="7"/>
    <x v="0"/>
    <x v="1"/>
    <s v="Closed"/>
    <m/>
    <n v="3000"/>
    <m/>
    <m/>
    <m/>
    <s v="Feb-24"/>
    <n v="6"/>
    <s v="2024"/>
  </r>
  <r>
    <d v="2024-02-08T00:00:00"/>
    <s v="Delivery at Pragatinagar"/>
    <s v="Call"/>
    <s v="Events"/>
    <x v="10"/>
    <s v="Madhu"/>
    <s v="Delivery of Mutton Handi"/>
    <n v="10500"/>
    <n v="0"/>
    <x v="7"/>
    <x v="0"/>
    <x v="0"/>
    <s v="Cancelled"/>
    <s v="Low budget "/>
    <n v="2100"/>
    <m/>
    <m/>
    <m/>
    <s v="Feb-24"/>
    <n v="6"/>
    <s v="2024"/>
  </r>
  <r>
    <d v="2024-02-09T00:00:00"/>
    <s v="Delivery of Gift vouchers for Pepsico"/>
    <s v="Call"/>
    <s v="Corporate"/>
    <x v="23"/>
    <s v="Sudheer Reddy"/>
    <s v="500 worth gift vouchers for 2800 people, Dropped the plan due to low budget"/>
    <n v="1200000"/>
    <n v="0"/>
    <x v="7"/>
    <x v="0"/>
    <x v="0"/>
    <s v="Cancelled"/>
    <s v="Low budget "/>
    <n v="240000"/>
    <m/>
    <m/>
    <m/>
    <s v="Feb-24"/>
    <n v="6"/>
    <s v="2024"/>
  </r>
  <r>
    <d v="2024-02-09T00:00:00"/>
    <s v="Medha Railway equipments"/>
    <s v="F2F"/>
    <s v="Corporate"/>
    <x v="7"/>
    <s v="Santosh"/>
    <s v="Introduction to haleem and bulk orders"/>
    <n v="10000"/>
    <n v="0"/>
    <x v="9"/>
    <x v="0"/>
    <x v="0"/>
    <s v="Cancelled"/>
    <s v="No requirement"/>
    <n v="2000"/>
    <m/>
    <m/>
    <m/>
    <s v="Feb-24"/>
    <n v="6"/>
    <s v="2024"/>
  </r>
  <r>
    <d v="2024-02-09T00:00:00"/>
    <s v="Metro Rail Nagole"/>
    <s v="F2F"/>
    <s v="Corporate"/>
    <x v="2"/>
    <s v="Udaya"/>
    <s v="Discussion of Haleem counters at metro stations"/>
    <n v="100000"/>
    <n v="0"/>
    <x v="5"/>
    <x v="0"/>
    <x v="0"/>
    <s v="Cancelled"/>
    <s v="Metro kiosk sale recoded in Separate DCR"/>
    <n v="20000"/>
    <m/>
    <m/>
    <m/>
    <s v="Feb-24"/>
    <n v="6"/>
    <s v="2024"/>
  </r>
  <r>
    <d v="2024-02-10T00:00:00"/>
    <s v="Delivery at Ozone Hospital kothapet"/>
    <s v="Call"/>
    <s v="Corporate"/>
    <x v="13"/>
    <s v="Laxman"/>
    <s v="deliverd CB &amp; MB"/>
    <n v="5152"/>
    <n v="5152"/>
    <x v="7"/>
    <x v="0"/>
    <x v="1"/>
    <s v="Closed"/>
    <m/>
    <n v="1030.4000000000001"/>
    <m/>
    <m/>
    <m/>
    <s v="Feb-24"/>
    <n v="6"/>
    <s v="2024"/>
  </r>
  <r>
    <d v="2024-02-11T00:00:00"/>
    <s v="Delivery at Gachibowli"/>
    <s v="Call"/>
    <s v="Corporate"/>
    <x v="0"/>
    <s v="Siddharth"/>
    <s v="Delivery of 600 CB on 13 Feb 2024, Cancelled due to low budget"/>
    <n v="177000"/>
    <n v="0"/>
    <x v="7"/>
    <x v="0"/>
    <x v="0"/>
    <s v="Cancelled"/>
    <s v="Low budget "/>
    <n v="35400"/>
    <m/>
    <m/>
    <m/>
    <s v="Feb-24"/>
    <n v="6"/>
    <s v="2024"/>
  </r>
  <r>
    <d v="2024-02-12T00:00:00"/>
    <s v="Delivery at Compass Group Bangalore"/>
    <s v="Call"/>
    <s v="Corporate"/>
    <x v="17"/>
    <s v="Pankaj"/>
    <s v="Delivery of CB &amp; MB Handi on 14 Feb 2024"/>
    <n v="44555"/>
    <n v="44555"/>
    <x v="7"/>
    <x v="1"/>
    <x v="1"/>
    <s v="Closed"/>
    <m/>
    <n v="0"/>
    <m/>
    <m/>
    <m/>
    <s v="Feb-24"/>
    <n v="7"/>
    <s v="2024"/>
  </r>
  <r>
    <d v="2024-02-12T00:00:00"/>
    <s v="Dataintencity"/>
    <s v="F2F"/>
    <s v="Corporate"/>
    <x v="0"/>
    <s v="Abhiram"/>
    <s v="Shared Details of Haleem and Bulk delivery"/>
    <n v="12000"/>
    <n v="0"/>
    <x v="0"/>
    <x v="0"/>
    <x v="0"/>
    <s v="Cancelled"/>
    <s v="No requirement"/>
    <n v="2400"/>
    <m/>
    <m/>
    <m/>
    <s v="Feb-24"/>
    <n v="7"/>
    <s v="2024"/>
  </r>
  <r>
    <d v="2024-02-12T00:00:00"/>
    <s v="Koni India PVT LTD"/>
    <s v="F2F"/>
    <s v="Corporate"/>
    <x v="0"/>
    <s v="Aditya"/>
    <s v="Introduction to Bulk order and Haleem"/>
    <n v="10000"/>
    <n v="0"/>
    <x v="9"/>
    <x v="0"/>
    <x v="0"/>
    <s v="Cancelled"/>
    <s v="No requirement"/>
    <n v="2000"/>
    <m/>
    <m/>
    <m/>
    <s v="Feb-24"/>
    <n v="7"/>
    <s v="2024"/>
  </r>
  <r>
    <d v="2024-02-13T00:00:00"/>
    <s v="Infor Global Solutions"/>
    <s v="F2F"/>
    <s v="Corporate"/>
    <x v="0"/>
    <s v="Kalyan"/>
    <s v="Introduction to Team lunch and ODC"/>
    <n v="10000"/>
    <n v="0"/>
    <x v="9"/>
    <x v="0"/>
    <x v="0"/>
    <s v="Cancelled"/>
    <s v="No requirement"/>
    <n v="2000"/>
    <m/>
    <m/>
    <m/>
    <s v="Feb-24"/>
    <n v="7"/>
    <s v="2024"/>
  </r>
  <r>
    <d v="2024-02-13T00:00:00"/>
    <s v="Symbosys Law School"/>
    <s v="Call"/>
    <s v="College"/>
    <x v="4"/>
    <s v="Salman"/>
    <s v="Event on 24 March 2024"/>
    <n v="30000"/>
    <n v="0"/>
    <x v="0"/>
    <x v="0"/>
    <x v="0"/>
    <s v="Cancelled"/>
    <s v="Not profitable"/>
    <n v="0"/>
    <m/>
    <m/>
    <m/>
    <s v="Feb-24"/>
    <n v="7"/>
    <s v="2024"/>
  </r>
  <r>
    <d v="2024-02-13T00:00:00"/>
    <s v="Celibrity Cricket League"/>
    <s v="F2F"/>
    <s v="Events"/>
    <x v="11"/>
    <s v="Uma"/>
    <s v="Event on 1st to 3 March 2024"/>
    <n v="100000"/>
    <n v="0"/>
    <x v="5"/>
    <x v="0"/>
    <x v="0"/>
    <s v="Cancelled"/>
    <s v="no profitable event"/>
    <n v="20000"/>
    <m/>
    <m/>
    <m/>
    <s v="Feb-24"/>
    <n v="7"/>
    <s v="2024"/>
  </r>
  <r>
    <d v="2024-02-13T00:00:00"/>
    <s v="T Hub Event "/>
    <s v="F2F"/>
    <s v="Events"/>
    <x v="4"/>
    <s v="Karthik"/>
    <s v="Event on 1st &amp; 2 March 2024"/>
    <n v="20000"/>
    <n v="0"/>
    <x v="5"/>
    <x v="0"/>
    <x v="0"/>
    <s v="Cancelled"/>
    <s v="Not Profitable"/>
    <n v="4000"/>
    <m/>
    <m/>
    <m/>
    <s v="Feb-24"/>
    <n v="7"/>
    <s v="2024"/>
  </r>
  <r>
    <d v="2024-02-14T00:00:00"/>
    <s v="Valentines Day Food Festival"/>
    <s v="F2F"/>
    <s v="Corporate"/>
    <x v="0"/>
    <s v="Rohan"/>
    <s v="Food counter at Cyberperl, 8% revenue share"/>
    <n v="15500"/>
    <n v="15500"/>
    <x v="7"/>
    <x v="0"/>
    <x v="1"/>
    <s v="Closed"/>
    <m/>
    <n v="12000"/>
    <m/>
    <m/>
    <m/>
    <s v="Feb-24"/>
    <n v="7"/>
    <s v="2024"/>
  </r>
  <r>
    <d v="2024-02-14T00:00:00"/>
    <s v="Vip International school Annual Function"/>
    <s v="Call"/>
    <s v="School"/>
    <x v="4"/>
    <s v="Miraz"/>
    <s v="Food stall on 16 Feb at function hall"/>
    <n v="100000"/>
    <n v="0"/>
    <x v="7"/>
    <x v="0"/>
    <x v="0"/>
    <s v="Cancelled"/>
    <s v="High Rent"/>
    <n v="20000"/>
    <m/>
    <m/>
    <m/>
    <s v="Feb-24"/>
    <n v="7"/>
    <s v="2024"/>
  </r>
  <r>
    <d v="2024-02-15T00:00:00"/>
    <s v="Narendra Motors"/>
    <s v="F2F"/>
    <s v="Corporate"/>
    <x v="9"/>
    <s v="Narendra "/>
    <s v="introduced to bulk order and gift vouchers"/>
    <n v="10000"/>
    <n v="0"/>
    <x v="5"/>
    <x v="0"/>
    <x v="0"/>
    <s v="Cancelled"/>
    <s v="Event Cancelled"/>
    <n v="2000"/>
    <m/>
    <m/>
    <m/>
    <s v="Feb-24"/>
    <n v="7"/>
    <s v="2024"/>
  </r>
  <r>
    <d v="2024-02-15T00:00:00"/>
    <s v="Delivery at Electronic city"/>
    <s v="Call"/>
    <s v="Corporate"/>
    <x v="0"/>
    <s v="Anil"/>
    <s v="Delivery of CB and VB on 16 Feb 2024"/>
    <n v="15000"/>
    <n v="0"/>
    <x v="7"/>
    <x v="0"/>
    <x v="0"/>
    <s v="Cancelled"/>
    <s v="Low budget "/>
    <n v="3000"/>
    <m/>
    <m/>
    <m/>
    <s v="Feb-24"/>
    <n v="7"/>
    <s v="2024"/>
  </r>
  <r>
    <d v="2024-02-15T00:00:00"/>
    <s v="DCM Mall Uppal"/>
    <s v="Call"/>
    <s v="Corporate"/>
    <x v="19"/>
    <s v="Mehmuda"/>
    <s v="Haleem stall in March"/>
    <n v="30000"/>
    <n v="0"/>
    <x v="5"/>
    <x v="0"/>
    <x v="0"/>
    <s v="Cancelled"/>
    <m/>
    <n v="30000"/>
    <m/>
    <m/>
    <m/>
    <s v="Feb-24"/>
    <n v="7"/>
    <s v="2024"/>
  </r>
  <r>
    <d v="2024-02-16T00:00:00"/>
    <s v="Valeth Hightec Composits"/>
    <s v="Call"/>
    <s v="Corporate"/>
    <x v="22"/>
    <s v="Azeem"/>
    <s v="Shared introduction about Bulk order and ODC"/>
    <n v="20000"/>
    <n v="0"/>
    <x v="9"/>
    <x v="0"/>
    <x v="0"/>
    <s v="Cancelled"/>
    <s v="No requirement"/>
    <n v="4000"/>
    <m/>
    <m/>
    <m/>
    <s v="Feb-24"/>
    <n v="7"/>
    <s v="2024"/>
  </r>
  <r>
    <d v="2024-02-16T00:00:00"/>
    <s v="Greenfields Global School"/>
    <s v="F2F"/>
    <s v="School"/>
    <x v="4"/>
    <s v="Chetan Reddy"/>
    <s v="Introduction to haleem and bulk orders"/>
    <n v="10000"/>
    <n v="0"/>
    <x v="0"/>
    <x v="0"/>
    <x v="0"/>
    <s v="Cancelled"/>
    <s v="No requirement"/>
    <n v="2000"/>
    <m/>
    <m/>
    <m/>
    <s v="Feb-24"/>
    <n v="7"/>
    <s v="2024"/>
  </r>
  <r>
    <d v="2024-02-16T00:00:00"/>
    <s v="Accuvate"/>
    <s v="F2F"/>
    <s v="Corporate"/>
    <x v="0"/>
    <s v="Harmeet Singh"/>
    <s v="Introduction to team lunch and bulk orders"/>
    <n v="12000"/>
    <n v="0"/>
    <x v="9"/>
    <x v="0"/>
    <x v="0"/>
    <s v="Cancelled"/>
    <s v="No requirement"/>
    <n v="2400"/>
    <m/>
    <m/>
    <m/>
    <s v="Feb-24"/>
    <n v="7"/>
    <s v="2024"/>
  </r>
  <r>
    <d v="2024-02-16T00:00:00"/>
    <s v="Medico Inc"/>
    <s v="F2F"/>
    <s v="Corporate"/>
    <x v="0"/>
    <s v="Mahesh Reddy"/>
    <s v="Introduction to Team lunch and Haleem"/>
    <n v="10000"/>
    <n v="0"/>
    <x v="0"/>
    <x v="0"/>
    <x v="0"/>
    <s v="Cancelled"/>
    <s v="No requirement"/>
    <n v="2000"/>
    <m/>
    <m/>
    <m/>
    <s v="Feb-24"/>
    <n v="7"/>
    <s v="2024"/>
  </r>
  <r>
    <d v="2024-02-17T00:00:00"/>
    <s v="Delivery at KIMS  Hospital Secundrabad"/>
    <s v="Call"/>
    <s v="Corporate"/>
    <x v="13"/>
    <s v="Ramakrishna"/>
    <s v="Deliverd CB and VB at Doctors training"/>
    <n v="10500"/>
    <n v="10500"/>
    <x v="7"/>
    <x v="0"/>
    <x v="1"/>
    <s v="Closed"/>
    <m/>
    <n v="2100"/>
    <m/>
    <m/>
    <m/>
    <s v="Feb-24"/>
    <n v="7"/>
    <s v="2024"/>
  </r>
  <r>
    <d v="2024-02-17T00:00:00"/>
    <s v="Delivery at Masabtank"/>
    <s v="Call"/>
    <s v="Events"/>
    <x v="10"/>
    <s v="Sazil"/>
    <s v="Delivery on 19 Feb 2024"/>
    <n v="10000"/>
    <n v="0"/>
    <x v="7"/>
    <x v="0"/>
    <x v="0"/>
    <s v="Cancelled"/>
    <s v="Low budget "/>
    <n v="2000"/>
    <m/>
    <m/>
    <m/>
    <s v="Feb-24"/>
    <n v="7"/>
    <s v="2024"/>
  </r>
  <r>
    <d v="2024-02-18T00:00:00"/>
    <s v="Delivery at Hanmakonda"/>
    <s v="Call"/>
    <s v="Events"/>
    <x v="10"/>
    <s v="Md Zaheeruddin"/>
    <s v="Declivery of CB handi on 20 Feb 2024"/>
    <n v="10000"/>
    <n v="0"/>
    <x v="7"/>
    <x v="0"/>
    <x v="0"/>
    <s v="Cancelled"/>
    <s v="Low budget "/>
    <n v="2000"/>
    <m/>
    <m/>
    <m/>
    <s v="Feb-24"/>
    <n v="7"/>
    <s v="2024"/>
  </r>
  <r>
    <d v="2024-02-18T00:00:00"/>
    <s v="Delivery at Suchitra"/>
    <s v="Call"/>
    <s v="Events"/>
    <x v="1"/>
    <s v="Ramesh"/>
    <s v="Delivery for tourism group for 75 PAX  on 11 March 2024 from Himayathnagar Store"/>
    <n v="12274"/>
    <n v="12274"/>
    <x v="5"/>
    <x v="0"/>
    <x v="1"/>
    <s v="Closed"/>
    <m/>
    <n v="0"/>
    <m/>
    <m/>
    <m/>
    <s v="Feb-24"/>
    <n v="7"/>
    <s v="2024"/>
  </r>
  <r>
    <d v="2024-02-19T00:00:00"/>
    <s v="Symbosys College"/>
    <s v="F2F"/>
    <s v="Events"/>
    <x v="4"/>
    <s v="Geetika"/>
    <s v="Introduction and Revenue sharing for event"/>
    <n v="40000"/>
    <n v="0"/>
    <x v="5"/>
    <x v="0"/>
    <x v="0"/>
    <s v="Cancelled"/>
    <s v="Less crowd, and too far , not profitable"/>
    <n v="8000"/>
    <m/>
    <m/>
    <m/>
    <s v="Feb-24"/>
    <n v="8"/>
    <s v="2024"/>
  </r>
  <r>
    <d v="2024-02-19T00:00:00"/>
    <s v="Wipro Consumer Division"/>
    <s v="F2F"/>
    <s v="Corporate"/>
    <x v="23"/>
    <s v="Veera Babu"/>
    <s v="Introduction to advance vouchers for dealers"/>
    <n v="50000"/>
    <n v="0"/>
    <x v="6"/>
    <x v="0"/>
    <x v="0"/>
    <s v="Cancelled"/>
    <s v="Event Cancelled"/>
    <n v="10000"/>
    <m/>
    <m/>
    <m/>
    <s v="Feb-24"/>
    <n v="8"/>
    <s v="2024"/>
  </r>
  <r>
    <d v="2024-02-19T00:00:00"/>
    <s v="PTNSU"/>
    <s v="F2F"/>
    <s v="Corporate"/>
    <x v="7"/>
    <s v="Bala Prasad"/>
    <s v="Introduction to team lunch and Haleem"/>
    <n v="12000"/>
    <n v="0"/>
    <x v="9"/>
    <x v="0"/>
    <x v="0"/>
    <s v="Cancelled"/>
    <s v="No requirement"/>
    <n v="2400"/>
    <m/>
    <m/>
    <m/>
    <s v="Feb-24"/>
    <n v="8"/>
    <s v="2024"/>
  </r>
  <r>
    <d v="2024-02-19T00:00:00"/>
    <s v="Delivery at Chandrayangutta"/>
    <s v="Call"/>
    <s v="Events"/>
    <x v="10"/>
    <s v="Jaweed"/>
    <s v="Shared quotation for MB Handi"/>
    <n v="10500"/>
    <n v="0"/>
    <x v="7"/>
    <x v="0"/>
    <x v="0"/>
    <s v="Cancelled"/>
    <s v="Low budget "/>
    <n v="2100"/>
    <m/>
    <m/>
    <m/>
    <s v="Feb-24"/>
    <n v="8"/>
    <s v="2024"/>
  </r>
  <r>
    <d v="2024-02-19T00:00:00"/>
    <s v="Delivery at Compass Group Bangalore"/>
    <s v="Call"/>
    <s v="Corporate"/>
    <x v="17"/>
    <s v="Pankaj"/>
    <s v="Delivery of CB&amp;MB on 21 Feb 2024"/>
    <n v="39300"/>
    <n v="39300"/>
    <x v="7"/>
    <x v="1"/>
    <x v="1"/>
    <s v="Closed"/>
    <m/>
    <n v="0"/>
    <m/>
    <m/>
    <m/>
    <s v="Feb-24"/>
    <n v="8"/>
    <s v="2024"/>
  </r>
  <r>
    <d v="2024-02-20T00:00:00"/>
    <s v="ODC at Bowenpally"/>
    <s v="Call"/>
    <s v="Events"/>
    <x v="10"/>
    <s v="Sandeep"/>
    <s v="Birthday party at dimind point on 16 March 2024"/>
    <n v="23000"/>
    <n v="0"/>
    <x v="5"/>
    <x v="0"/>
    <x v="0"/>
    <s v="Cancelled"/>
    <s v="Event Cancelled"/>
    <n v="4600"/>
    <m/>
    <m/>
    <m/>
    <s v="Feb-24"/>
    <n v="8"/>
    <s v="2024"/>
  </r>
  <r>
    <d v="2024-02-20T00:00:00"/>
    <s v="Sai Shourtya Hospital"/>
    <s v="F2F"/>
    <s v="Corporate"/>
    <x v="13"/>
    <s v="Sandhya"/>
    <s v="Introduction to Bulk order and Haleem"/>
    <n v="10000"/>
    <n v="0"/>
    <x v="0"/>
    <x v="0"/>
    <x v="0"/>
    <s v="Cancelled"/>
    <s v="No requirement"/>
    <n v="2000"/>
    <m/>
    <m/>
    <m/>
    <s v="Feb-24"/>
    <n v="8"/>
    <s v="2024"/>
  </r>
  <r>
    <d v="2024-02-20T00:00:00"/>
    <s v="V Kraft Software Services"/>
    <s v="F2F"/>
    <s v="Corporate"/>
    <x v="0"/>
    <s v="Krishna Chaitanya"/>
    <s v="Introduction to Bulk order and Haleem"/>
    <n v="12000"/>
    <n v="0"/>
    <x v="5"/>
    <x v="0"/>
    <x v="0"/>
    <s v="Cancelled"/>
    <s v="Event Cancelled"/>
    <n v="2400"/>
    <m/>
    <m/>
    <m/>
    <s v="Feb-24"/>
    <n v="8"/>
    <s v="2024"/>
  </r>
  <r>
    <d v="2024-02-20T00:00:00"/>
    <s v="Onmni Hospitals"/>
    <s v="F2F"/>
    <s v="Corporate"/>
    <x v="13"/>
    <s v="Krishna Priya"/>
    <s v="Introduction to team lunch and haleem"/>
    <n v="15000"/>
    <n v="0"/>
    <x v="6"/>
    <x v="0"/>
    <x v="0"/>
    <s v="Cancelled"/>
    <s v="Event Cancelled"/>
    <n v="3000"/>
    <m/>
    <m/>
    <m/>
    <s v="Feb-24"/>
    <n v="8"/>
    <s v="2024"/>
  </r>
  <r>
    <d v="2024-02-21T00:00:00"/>
    <s v="Ozon Hospital "/>
    <s v="F2F"/>
    <s v="Corporate"/>
    <x v="13"/>
    <s v="Sudarshan"/>
    <s v="Followup for further orders"/>
    <n v="10000"/>
    <n v="0"/>
    <x v="6"/>
    <x v="0"/>
    <x v="0"/>
    <s v="Cancelled"/>
    <s v="Event Cancelled"/>
    <n v="2000"/>
    <m/>
    <m/>
    <m/>
    <s v="Feb-24"/>
    <n v="8"/>
    <s v="2024"/>
  </r>
  <r>
    <d v="2024-02-21T00:00:00"/>
    <s v="Sadguru Management"/>
    <s v="F2F"/>
    <s v="Corporate"/>
    <x v="0"/>
    <s v="Kapil"/>
    <s v="Introduction to team lunch and corporate gifting"/>
    <n v="15000"/>
    <n v="0"/>
    <x v="9"/>
    <x v="0"/>
    <x v="0"/>
    <s v="Cancelled"/>
    <s v="No requirement"/>
    <n v="3000"/>
    <m/>
    <m/>
    <m/>
    <s v="Feb-24"/>
    <n v="8"/>
    <s v="2024"/>
  </r>
  <r>
    <d v="2024-02-21T00:00:00"/>
    <s v="Wonderla Holidays LTD"/>
    <s v="Call"/>
    <s v="Corporate"/>
    <x v="6"/>
    <s v="Rajendra Prasad"/>
    <s v="Discussion about haleem sale at amusement park"/>
    <n v="100000"/>
    <n v="0"/>
    <x v="5"/>
    <x v="0"/>
    <x v="0"/>
    <s v="Cancelled"/>
    <s v="They are doing inhouse"/>
    <n v="100000"/>
    <m/>
    <m/>
    <m/>
    <s v="Feb-24"/>
    <n v="8"/>
    <s v="2024"/>
  </r>
  <r>
    <d v="2024-02-21T00:00:00"/>
    <s v="ARI"/>
    <s v="F2F"/>
    <s v="Corporate"/>
    <x v="0"/>
    <s v="Priyanka "/>
    <s v="Introduction to team lunch and womens day party 8th March"/>
    <n v="20000"/>
    <n v="0"/>
    <x v="5"/>
    <x v="0"/>
    <x v="0"/>
    <s v="Cancelled"/>
    <s v="Cancelled due to pooja"/>
    <n v="4000"/>
    <m/>
    <m/>
    <m/>
    <s v="Feb-24"/>
    <n v="8"/>
    <s v="2024"/>
  </r>
  <r>
    <d v="2024-02-21T00:00:00"/>
    <s v="Delivery at Kondapur"/>
    <s v="Call"/>
    <s v="Events"/>
    <x v="10"/>
    <s v="Mallikarjuna"/>
    <s v="Delivery of CB handi on 24 feb"/>
    <n v="10500"/>
    <n v="0"/>
    <x v="7"/>
    <x v="0"/>
    <x v="0"/>
    <s v="Cancelled"/>
    <s v="Low budget "/>
    <n v="2100"/>
    <m/>
    <m/>
    <m/>
    <s v="Feb-24"/>
    <n v="8"/>
    <s v="2024"/>
  </r>
  <r>
    <d v="2024-02-21T00:00:00"/>
    <s v="Delivery at Dell"/>
    <s v="Call"/>
    <s v="Corporate"/>
    <x v="3"/>
    <s v="Murlidhar"/>
    <s v="Delivery of CB on 23 Feb 2024"/>
    <n v="8000"/>
    <n v="0"/>
    <x v="7"/>
    <x v="0"/>
    <x v="0"/>
    <s v="Cancelled"/>
    <s v="Event Cancelled"/>
    <n v="1600"/>
    <m/>
    <m/>
    <m/>
    <s v="Feb-24"/>
    <n v="8"/>
    <s v="2024"/>
  </r>
  <r>
    <d v="2024-02-22T00:00:00"/>
    <s v="MSS Law College"/>
    <s v="F2F"/>
    <s v="College"/>
    <x v="4"/>
    <s v="Abhishekh"/>
    <s v="Introduction to Bulk order and Haleem"/>
    <n v="7000"/>
    <n v="0"/>
    <x v="0"/>
    <x v="0"/>
    <x v="0"/>
    <s v="Cancelled"/>
    <s v="Event not profitable"/>
    <n v="0"/>
    <m/>
    <m/>
    <m/>
    <s v="Feb-24"/>
    <n v="8"/>
    <s v="2024"/>
  </r>
  <r>
    <d v="2024-02-22T00:00:00"/>
    <s v="Perigord"/>
    <s v="F2F"/>
    <s v="Corporate"/>
    <x v="5"/>
    <s v="Aanjan"/>
    <s v="Introduction to team lunch and corporate gifting"/>
    <n v="15000"/>
    <n v="0"/>
    <x v="9"/>
    <x v="0"/>
    <x v="0"/>
    <s v="Cancelled"/>
    <s v="No requirement"/>
    <n v="3000"/>
    <m/>
    <m/>
    <m/>
    <s v="Feb-24"/>
    <n v="8"/>
    <s v="2024"/>
  </r>
  <r>
    <d v="2024-02-23T00:00:00"/>
    <s v="Milan Expo/Naval Academy Vizag"/>
    <s v="Call"/>
    <s v="Events"/>
    <x v="22"/>
    <s v="Renin"/>
    <s v="ODC at Naval academy Vizag"/>
    <n v="91389"/>
    <n v="91389"/>
    <x v="7"/>
    <x v="0"/>
    <x v="1"/>
    <s v="Closed"/>
    <m/>
    <n v="18277.8"/>
    <m/>
    <m/>
    <m/>
    <s v="Feb-24"/>
    <n v="8"/>
    <s v="2024"/>
  </r>
  <r>
    <d v="2024-02-23T00:00:00"/>
    <s v="Delivery at Hanmakonda"/>
    <s v="Call"/>
    <s v="Events"/>
    <x v="10"/>
    <s v="Tanveer"/>
    <s v="MB at hanmokonda"/>
    <n v="5100"/>
    <n v="5100"/>
    <x v="7"/>
    <x v="0"/>
    <x v="1"/>
    <s v="Closed"/>
    <m/>
    <n v="1020"/>
    <m/>
    <m/>
    <m/>
    <s v="Feb-24"/>
    <n v="8"/>
    <s v="2024"/>
  </r>
  <r>
    <d v="2024-02-23T00:00:00"/>
    <s v="Astra Microwave"/>
    <s v="F2F"/>
    <s v="Corporate"/>
    <x v="22"/>
    <s v="Raghu"/>
    <s v="Introduction to corporate gifting and Bulk delivery"/>
    <n v="12000"/>
    <n v="0"/>
    <x v="9"/>
    <x v="0"/>
    <x v="0"/>
    <s v="Cancelled"/>
    <s v="No requirement"/>
    <n v="2400"/>
    <m/>
    <m/>
    <m/>
    <s v="Feb-24"/>
    <n v="8"/>
    <s v="2024"/>
  </r>
  <r>
    <d v="2024-02-26T00:00:00"/>
    <s v="MSN LABS"/>
    <s v="Call"/>
    <s v="Corporate"/>
    <x v="5"/>
    <s v="Satyanarayana"/>
    <s v="Delivery at Sanathnagar"/>
    <n v="2600000"/>
    <n v="2600000"/>
    <x v="6"/>
    <x v="0"/>
    <x v="1"/>
    <s v="Closed"/>
    <m/>
    <n v="0"/>
    <m/>
    <m/>
    <m/>
    <s v="Feb-24"/>
    <n v="9"/>
    <s v="2024"/>
  </r>
  <r>
    <d v="2024-02-26T00:00:00"/>
    <s v="Metro Rail Nagole"/>
    <s v="Call"/>
    <s v="Corporate"/>
    <x v="2"/>
    <s v="Udaya"/>
    <s v="Haleem counters at metro stations"/>
    <n v="0"/>
    <n v="0"/>
    <x v="5"/>
    <x v="0"/>
    <x v="1"/>
    <s v="Closed"/>
    <s v="To be mentioned in kiosk sales seperately"/>
    <n v="0"/>
    <m/>
    <m/>
    <m/>
    <s v="Feb-24"/>
    <n v="9"/>
    <s v="2024"/>
  </r>
  <r>
    <d v="2024-02-26T00:00:00"/>
    <s v="ICICI Bank T Hub"/>
    <s v="F2F"/>
    <s v="Corporate"/>
    <x v="21"/>
    <s v="Susan"/>
    <s v="Haleem Counter at ICICI Bank"/>
    <n v="100000"/>
    <n v="0"/>
    <x v="5"/>
    <x v="0"/>
    <x v="0"/>
    <s v="Cancelled"/>
    <s v="Cant do directly without Hungerbox"/>
    <n v="20000"/>
    <m/>
    <m/>
    <m/>
    <s v="Feb-24"/>
    <n v="9"/>
    <s v="2024"/>
  </r>
  <r>
    <d v="2024-02-26T00:00:00"/>
    <s v="Renault"/>
    <s v="F2F"/>
    <s v="Corporate"/>
    <x v="9"/>
    <s v="Sudheer"/>
    <s v="Introduction to gift vouchers and Bulk orders"/>
    <n v="20000"/>
    <n v="0"/>
    <x v="0"/>
    <x v="0"/>
    <x v="0"/>
    <s v="Cancelled"/>
    <s v="No requirement"/>
    <n v="4000"/>
    <m/>
    <m/>
    <m/>
    <s v="Feb-24"/>
    <n v="9"/>
    <s v="2024"/>
  </r>
  <r>
    <d v="2024-02-27T00:00:00"/>
    <s v="Take away at secundrabad "/>
    <s v="Call"/>
    <s v="Events"/>
    <x v="10"/>
    <s v="Rajkumar"/>
    <s v="Take away at Secundrabad CB"/>
    <n v="9500"/>
    <n v="9500"/>
    <x v="7"/>
    <x v="0"/>
    <x v="1"/>
    <s v="Closed"/>
    <m/>
    <n v="1900"/>
    <m/>
    <m/>
    <m/>
    <s v="Feb-24"/>
    <n v="9"/>
    <s v="2024"/>
  </r>
  <r>
    <d v="2024-02-27T00:00:00"/>
    <s v="Delivery at Compass Group Bangalore"/>
    <s v="Call"/>
    <s v="Corporate"/>
    <x v="17"/>
    <s v="Pankaj"/>
    <s v="Delivery of Special CB &amp; MB Handi on 28 Feb 2024"/>
    <n v="42686"/>
    <n v="42686"/>
    <x v="7"/>
    <x v="1"/>
    <x v="1"/>
    <s v="Closed"/>
    <m/>
    <n v="0"/>
    <m/>
    <m/>
    <m/>
    <s v="Feb-24"/>
    <n v="9"/>
    <s v="2024"/>
  </r>
  <r>
    <d v="2024-02-28T00:00:00"/>
    <s v="Delivery at KPMG Banglore"/>
    <s v="Call"/>
    <s v="Corporate"/>
    <x v="0"/>
    <s v="Sridhar"/>
    <s v="Delivery of CB at KPMG"/>
    <n v="17643"/>
    <n v="17643"/>
    <x v="7"/>
    <x v="1"/>
    <x v="1"/>
    <s v="Closed"/>
    <m/>
    <n v="3528.6000000000004"/>
    <m/>
    <m/>
    <m/>
    <s v="Feb-24"/>
    <n v="9"/>
    <s v="2024"/>
  </r>
  <r>
    <d v="2024-02-28T00:00:00"/>
    <s v="Delivery at Boaduppal"/>
    <s v="Call"/>
    <s v="Events"/>
    <x v="10"/>
    <m/>
    <s v="Delivery of CB Handi on 10 March 2024"/>
    <n v="10500"/>
    <n v="0"/>
    <x v="5"/>
    <x v="0"/>
    <x v="0"/>
    <s v="Cancelled"/>
    <s v="Event Cancelled"/>
    <n v="2100"/>
    <m/>
    <m/>
    <m/>
    <s v="Feb-24"/>
    <n v="9"/>
    <s v="2024"/>
  </r>
  <r>
    <d v="2024-02-29T00:00:00"/>
    <s v="MSN Labs"/>
    <s v="F2F"/>
    <s v="Corporate"/>
    <x v="5"/>
    <s v="Sumit"/>
    <s v="Introduction to Corporate Gifting and Buffet"/>
    <n v="30000"/>
    <n v="0"/>
    <x v="9"/>
    <x v="0"/>
    <x v="0"/>
    <s v="Cancelled"/>
    <s v="No requirement"/>
    <n v="6000"/>
    <m/>
    <m/>
    <m/>
    <s v="Feb-24"/>
    <n v="9"/>
    <s v="2024"/>
  </r>
  <r>
    <d v="2024-03-01T00:00:00"/>
    <s v="Delivery at As rao nagar"/>
    <s v="Call"/>
    <s v="Events"/>
    <x v="10"/>
    <s v="Mallikarjuna"/>
    <s v="Delivery of Cb on 4 April 2024"/>
    <n v="21000"/>
    <n v="0"/>
    <x v="0"/>
    <x v="0"/>
    <x v="0"/>
    <s v="Cancelled"/>
    <s v="Postpond to 12/4/2024"/>
    <n v="4200"/>
    <m/>
    <m/>
    <m/>
    <s v="Mar-24"/>
    <n v="9"/>
    <s v="2024"/>
  </r>
  <r>
    <d v="2024-03-01T00:00:00"/>
    <s v="Delivery at Malkajgiri"/>
    <s v="Call"/>
    <s v="Events"/>
    <x v="10"/>
    <s v="Bharath"/>
    <s v="Delivery of haleem on 11 March 2024"/>
    <n v="20000"/>
    <n v="0"/>
    <x v="5"/>
    <x v="0"/>
    <x v="0"/>
    <s v="Cancelled"/>
    <s v="Wasnnot profitable for him to re sale haleem"/>
    <n v="4000"/>
    <m/>
    <m/>
    <m/>
    <s v="Mar-24"/>
    <n v="9"/>
    <s v="2024"/>
  </r>
  <r>
    <d v="2024-03-01T00:00:00"/>
    <s v="Take away at Gachibowli"/>
    <s v="Call"/>
    <s v="School"/>
    <x v="4"/>
    <s v="Usha"/>
    <s v="30 Packs of Sandy cake for little amigos school on 2 March 2024"/>
    <n v="1200"/>
    <n v="1200"/>
    <x v="5"/>
    <x v="0"/>
    <x v="1"/>
    <s v="Closed"/>
    <m/>
    <n v="240"/>
    <m/>
    <m/>
    <m/>
    <s v="Mar-24"/>
    <n v="9"/>
    <s v="2024"/>
  </r>
  <r>
    <d v="2024-03-01T00:00:00"/>
    <s v="Delivery at Compass Group Bangalore"/>
    <s v="Call"/>
    <s v="Corporate"/>
    <x v="17"/>
    <s v="Pankaj"/>
    <s v="Delivery of Special CB &amp; MB Handi on 6 March 2024"/>
    <n v="45112"/>
    <n v="45112"/>
    <x v="5"/>
    <x v="0"/>
    <x v="1"/>
    <s v="Closed"/>
    <m/>
    <n v="0"/>
    <m/>
    <m/>
    <m/>
    <s v="Mar-24"/>
    <n v="9"/>
    <s v="2024"/>
  </r>
  <r>
    <d v="2024-03-04T00:00:00"/>
    <s v="Delivery at Charminar"/>
    <s v="Call"/>
    <s v="Corporate"/>
    <x v="17"/>
    <s v="Rajesh"/>
    <s v="Delivery of MB on 5 March 2024"/>
    <n v="3500"/>
    <n v="3500"/>
    <x v="5"/>
    <x v="0"/>
    <x v="1"/>
    <s v="Closed"/>
    <m/>
    <n v="700"/>
    <m/>
    <m/>
    <m/>
    <s v="Mar-24"/>
    <n v="10"/>
    <s v="2024"/>
  </r>
  <r>
    <d v="2024-03-05T00:00:00"/>
    <s v="Archana Travels"/>
    <s v="Call"/>
    <s v="Corporate"/>
    <x v="1"/>
    <s v="Abhilash Reddy"/>
    <s v="Introduction to Bulk order and Haleem"/>
    <n v="10000"/>
    <n v="0"/>
    <x v="6"/>
    <x v="0"/>
    <x v="0"/>
    <s v="Cancelled"/>
    <s v="Event Cancelled"/>
    <n v="2000"/>
    <m/>
    <m/>
    <m/>
    <s v="Mar-24"/>
    <n v="10"/>
    <s v="2024"/>
  </r>
  <r>
    <d v="2024-03-05T00:00:00"/>
    <s v="NIFT Craft Event 2024"/>
    <s v="F2F"/>
    <s v="College"/>
    <x v="4"/>
    <s v="Aastha"/>
    <s v="Fest on 14,15, 16 March 2024"/>
    <n v="40000"/>
    <n v="0"/>
    <x v="5"/>
    <x v="0"/>
    <x v="0"/>
    <s v="Cancelled"/>
    <s v="Less Footfall"/>
    <n v="8000"/>
    <m/>
    <m/>
    <m/>
    <s v="Mar-24"/>
    <n v="10"/>
    <s v="2024"/>
  </r>
  <r>
    <d v="2024-03-05T00:00:00"/>
    <s v="MNR College"/>
    <s v="Call"/>
    <s v="College"/>
    <x v="4"/>
    <s v="Chaitanya"/>
    <s v="Introduction to Bulk order and Haleem"/>
    <n v="10000"/>
    <n v="0"/>
    <x v="9"/>
    <x v="0"/>
    <x v="0"/>
    <s v="Cancelled"/>
    <s v="No requirement"/>
    <n v="2000"/>
    <m/>
    <m/>
    <m/>
    <s v="Mar-24"/>
    <n v="10"/>
    <s v="2024"/>
  </r>
  <r>
    <d v="2024-03-06T00:00:00"/>
    <s v="Delivery at Kachiguda"/>
    <s v="F2F"/>
    <s v="Events"/>
    <x v="10"/>
    <s v="Ramesh"/>
    <s v="Delivery og 80 CB on 11March 2024"/>
    <n v="12500"/>
    <n v="12500"/>
    <x v="5"/>
    <x v="0"/>
    <x v="1"/>
    <s v="Closed"/>
    <m/>
    <n v="2500"/>
    <m/>
    <m/>
    <m/>
    <s v="Mar-24"/>
    <n v="10"/>
    <s v="2024"/>
  </r>
  <r>
    <d v="2024-03-06T00:00:00"/>
    <s v="Opentext"/>
    <s v="Call"/>
    <s v="Corporate"/>
    <x v="0"/>
    <s v="Chaitnya"/>
    <s v="Introduction to Bulk order and Haleem"/>
    <n v="10000"/>
    <n v="0"/>
    <x v="9"/>
    <x v="0"/>
    <x v="0"/>
    <s v="Cancelled"/>
    <s v="No requirement"/>
    <n v="2000"/>
    <m/>
    <m/>
    <m/>
    <s v="Mar-24"/>
    <n v="10"/>
    <s v="2024"/>
  </r>
  <r>
    <d v="2024-03-06T00:00:00"/>
    <s v="Thrithi Event at ICFAI College"/>
    <s v="F2F"/>
    <s v="College"/>
    <x v="4"/>
    <s v="Ramya"/>
    <s v="Duscussion of College event on 21,22 &amp; 23 March 2024"/>
    <n v="60000"/>
    <n v="0"/>
    <x v="5"/>
    <x v="0"/>
    <x v="0"/>
    <s v="Cancelled"/>
    <s v="Not Profitable, no exclusivity"/>
    <n v="12000"/>
    <m/>
    <m/>
    <m/>
    <s v="Mar-24"/>
    <n v="10"/>
    <s v="2024"/>
  </r>
  <r>
    <d v="2024-03-07T00:00:00"/>
    <s v="Thinci Semiconductors"/>
    <s v="F2F"/>
    <s v="Corporate"/>
    <x v="0"/>
    <s v="Keshav"/>
    <s v="Introduction to Team lunch and Haleem"/>
    <n v="12000"/>
    <n v="0"/>
    <x v="9"/>
    <x v="0"/>
    <x v="0"/>
    <s v="Cancelled"/>
    <s v="No requirement"/>
    <n v="2400"/>
    <m/>
    <m/>
    <m/>
    <s v="Mar-24"/>
    <n v="10"/>
    <s v="2024"/>
  </r>
  <r>
    <d v="2024-03-07T00:00:00"/>
    <s v="LCGS Church"/>
    <s v="F2F"/>
    <s v="Events"/>
    <x v="10"/>
    <s v="Daisy"/>
    <s v="Introduction to Bulk order and Haleem"/>
    <n v="10000"/>
    <n v="0"/>
    <x v="9"/>
    <x v="0"/>
    <x v="0"/>
    <s v="Cancelled"/>
    <s v="No requirement"/>
    <n v="2000"/>
    <m/>
    <m/>
    <m/>
    <s v="Mar-24"/>
    <n v="10"/>
    <s v="2024"/>
  </r>
  <r>
    <d v="2024-03-07T00:00:00"/>
    <s v="Relax Holidays"/>
    <s v="Call"/>
    <s v="Events"/>
    <x v="1"/>
    <s v="Dastagir Khan"/>
    <s v="Introduction to bulk food delivery for tourist group"/>
    <n v="10000"/>
    <n v="0"/>
    <x v="0"/>
    <x v="0"/>
    <x v="0"/>
    <s v="Cancelled"/>
    <s v="No requirement"/>
    <n v="2000"/>
    <m/>
    <m/>
    <m/>
    <s v="Mar-24"/>
    <n v="10"/>
    <s v="2024"/>
  </r>
  <r>
    <d v="2024-03-07T00:00:00"/>
    <s v="Aneesh College of Commerce"/>
    <s v="F2F"/>
    <s v="College"/>
    <x v="4"/>
    <s v="Gajanand"/>
    <s v="Introduction to bulk delivery and College Annual Day Celebration"/>
    <n v="12000"/>
    <n v="0"/>
    <x v="9"/>
    <x v="0"/>
    <x v="0"/>
    <s v="Cancelled"/>
    <s v="No requirement"/>
    <n v="2400"/>
    <m/>
    <m/>
    <m/>
    <s v="Mar-24"/>
    <n v="10"/>
    <s v="2024"/>
  </r>
  <r>
    <d v="2024-03-08T00:00:00"/>
    <s v="L&amp;T Finance"/>
    <s v="F2F"/>
    <s v="Corporate"/>
    <x v="2"/>
    <s v="Diurgaprasad"/>
    <s v="TeaM Lunch on 9 March 2024 (Advance collected in Bank)"/>
    <n v="13000"/>
    <n v="13000"/>
    <x v="5"/>
    <x v="0"/>
    <x v="1"/>
    <s v="Closed"/>
    <m/>
    <n v="0"/>
    <m/>
    <m/>
    <m/>
    <s v="Mar-24"/>
    <n v="10"/>
    <s v="2024"/>
  </r>
  <r>
    <d v="2024-03-08T00:00:00"/>
    <s v="IPL (UPPAL STADIUM)"/>
    <s v="Call"/>
    <s v="Corporate"/>
    <x v="11"/>
    <s v="Abhinav"/>
    <s v="Haleem and biryani counter, 27 March 2024"/>
    <n v="100000"/>
    <n v="0"/>
    <x v="5"/>
    <x v="0"/>
    <x v="0"/>
    <s v="Cancelled"/>
    <s v="Not Profitable"/>
    <n v="20000"/>
    <m/>
    <m/>
    <m/>
    <s v="Mar-24"/>
    <n v="10"/>
    <s v="2024"/>
  </r>
  <r>
    <d v="2024-03-08T00:00:00"/>
    <s v="Bhavans Vivekenand College"/>
    <s v="Call"/>
    <s v="School"/>
    <x v="4"/>
    <s v="Shivani"/>
    <s v="Introduction to Haleem and Biryani"/>
    <n v="10000"/>
    <n v="0"/>
    <x v="9"/>
    <x v="0"/>
    <x v="0"/>
    <s v="Cancelled"/>
    <s v="No requirement"/>
    <n v="2000"/>
    <m/>
    <m/>
    <m/>
    <s v="Mar-24"/>
    <n v="10"/>
    <s v="2024"/>
  </r>
  <r>
    <d v="2024-03-08T00:00:00"/>
    <s v="Haleem Counter at Infosys"/>
    <s v="Call"/>
    <s v="Corporate "/>
    <x v="0"/>
    <s v="Mahesh"/>
    <s v="Introduction to haleem counter on 10% discount Basis"/>
    <n v="0"/>
    <n v="0"/>
    <x v="5"/>
    <x v="0"/>
    <x v="1"/>
    <s v="Closed"/>
    <s v="Closed for entire season on weekdays"/>
    <n v="0"/>
    <m/>
    <m/>
    <m/>
    <s v="Mar-24"/>
    <n v="10"/>
    <s v="2024"/>
  </r>
  <r>
    <d v="2024-03-08T00:00:00"/>
    <s v="Pepsico"/>
    <s v="Call"/>
    <s v="Corporate"/>
    <x v="23"/>
    <s v="Rinku"/>
    <s v="Introduction to haleem counter on 10% discount Basis"/>
    <n v="80000"/>
    <n v="0"/>
    <x v="5"/>
    <x v="0"/>
    <x v="0"/>
    <s v="Cancelled"/>
    <s v="Cant do directly without Hungerbox"/>
    <n v="16000"/>
    <m/>
    <m/>
    <m/>
    <s v="Mar-24"/>
    <n v="10"/>
    <s v="2024"/>
  </r>
  <r>
    <d v="2024-03-08T00:00:00"/>
    <s v="HCL "/>
    <s v="F2F"/>
    <s v="Corporate"/>
    <x v="0"/>
    <s v="Deepthisree"/>
    <s v="Introduction to Teamlunch &amp; Haleem"/>
    <n v="12000"/>
    <n v="0"/>
    <x v="9"/>
    <x v="0"/>
    <x v="0"/>
    <s v="Cancelled"/>
    <s v="No requirement"/>
    <n v="2400"/>
    <m/>
    <m/>
    <m/>
    <s v="Mar-24"/>
    <n v="10"/>
    <s v="2024"/>
  </r>
  <r>
    <d v="2024-03-08T00:00:00"/>
    <s v="Parexel International"/>
    <s v="F2F"/>
    <s v="Corporate"/>
    <x v="0"/>
    <s v="Gokul"/>
    <s v="Introduction to Teamlunch &amp; Haleem"/>
    <n v="10000"/>
    <n v="0"/>
    <x v="9"/>
    <x v="0"/>
    <x v="0"/>
    <s v="Cancelled"/>
    <s v="No requirement"/>
    <n v="2000"/>
    <m/>
    <m/>
    <m/>
    <s v="Mar-24"/>
    <n v="10"/>
    <s v="2024"/>
  </r>
  <r>
    <d v="2024-03-09T00:00:00"/>
    <s v="Tourist Group from Pune"/>
    <s v="Call"/>
    <s v="Corporate"/>
    <x v="1"/>
    <s v="Deepak"/>
    <s v="42 PAX delivery at Nampally railway station"/>
    <n v="15000"/>
    <n v="15000"/>
    <x v="5"/>
    <x v="0"/>
    <x v="1"/>
    <s v="Closed"/>
    <m/>
    <n v="3000"/>
    <m/>
    <m/>
    <m/>
    <s v="Mar-24"/>
    <n v="10"/>
    <s v="2024"/>
  </r>
  <r>
    <d v="2024-03-11T00:00:00"/>
    <s v="Haleem Counter at L&amp;T Mall Moosarambag"/>
    <s v="F2F"/>
    <s v="Corporate"/>
    <x v="19"/>
    <s v="Ashok"/>
    <s v="Haleem counter at mall"/>
    <n v="120000"/>
    <n v="0"/>
    <x v="5"/>
    <x v="0"/>
    <x v="0"/>
    <s v="Cancelled"/>
    <s v="Cancelled due to less footfall"/>
    <n v="24000"/>
    <m/>
    <m/>
    <m/>
    <s v="Mar-24"/>
    <n v="11"/>
    <s v="2024"/>
  </r>
  <r>
    <d v="2024-03-11T00:00:00"/>
    <s v="Rounak A Ramzan, Malakpet"/>
    <s v="F2F"/>
    <s v="Events"/>
    <x v="3"/>
    <s v="Aamir"/>
    <s v="Haleem Kiosk at the event"/>
    <n v="100000"/>
    <n v="0"/>
    <x v="5"/>
    <x v="0"/>
    <x v="0"/>
    <s v="Cancelled"/>
    <s v="No exclusivity"/>
    <n v="20000"/>
    <m/>
    <m/>
    <m/>
    <s v="Mar-24"/>
    <n v="11"/>
    <s v="2024"/>
  </r>
  <r>
    <d v="2024-03-11T00:00:00"/>
    <s v="Event Supply of Cooldrinks"/>
    <s v="Call"/>
    <s v="Events"/>
    <x v="10"/>
    <s v="Vamshi"/>
    <s v="Cooldrinks Bulk take away at kukatpally"/>
    <n v="5400"/>
    <n v="5400"/>
    <x v="5"/>
    <x v="0"/>
    <x v="1"/>
    <s v="Closed"/>
    <m/>
    <n v="1080"/>
    <m/>
    <m/>
    <m/>
    <s v="Mar-24"/>
    <n v="11"/>
    <s v="2024"/>
  </r>
  <r>
    <d v="2024-03-11T00:00:00"/>
    <s v="Galleria Mall Moosarambag"/>
    <s v="F2F"/>
    <s v="Events"/>
    <x v="3"/>
    <s v="Mahesh"/>
    <s v="Haleem Counter at Galleria Summer Expo"/>
    <n v="80000"/>
    <n v="0"/>
    <x v="5"/>
    <x v="0"/>
    <x v="0"/>
    <s v="Cancelled"/>
    <s v="No desired location"/>
    <n v="16000"/>
    <m/>
    <m/>
    <m/>
    <s v="Mar-24"/>
    <n v="11"/>
    <s v="2024"/>
  </r>
  <r>
    <d v="2024-03-11T00:00:00"/>
    <s v="Yashoda Hospital Malakpet"/>
    <s v="F2F"/>
    <s v="Corporate"/>
    <x v="13"/>
    <s v="Rekha"/>
    <s v="Introduction to Bulk delivery for Doctors"/>
    <n v="10000"/>
    <n v="0"/>
    <x v="9"/>
    <x v="0"/>
    <x v="0"/>
    <s v="Cancelled"/>
    <s v="No requirement"/>
    <n v="2000"/>
    <m/>
    <m/>
    <m/>
    <s v="Mar-24"/>
    <n v="11"/>
    <s v="2024"/>
  </r>
  <r>
    <d v="2024-03-12T00:00:00"/>
    <s v="IPL (UPPAL STADIUM)"/>
    <s v="F2F"/>
    <s v="Corporate"/>
    <x v="11"/>
    <s v="Gaurav"/>
    <s v="Discussion for 4 stalls of haleem at IPL"/>
    <n v="200000"/>
    <n v="0"/>
    <x v="5"/>
    <x v="0"/>
    <x v="0"/>
    <s v="Cancelled"/>
    <s v="P&amp;L not Profitable"/>
    <n v="40000"/>
    <m/>
    <m/>
    <m/>
    <s v="Mar-24"/>
    <n v="11"/>
    <s v="2024"/>
  </r>
  <r>
    <d v="2024-03-12T00:00:00"/>
    <s v="Kanha Shantivanam"/>
    <s v="Call"/>
    <s v="Corporate"/>
    <x v="1"/>
    <s v="Srinivas"/>
    <s v="Proposal Shared"/>
    <n v="100000"/>
    <n v="0"/>
    <x v="5"/>
    <x v="0"/>
    <x v="0"/>
    <s v="Cancelled"/>
    <s v="Outside vendor not allowed"/>
    <n v="20000"/>
    <m/>
    <m/>
    <m/>
    <s v="Mar-24"/>
    <n v="11"/>
    <s v="2024"/>
  </r>
  <r>
    <d v="2024-03-12T00:00:00"/>
    <s v="Cyient LTD UPPAL"/>
    <s v="F2F"/>
    <s v="Corporate"/>
    <x v="0"/>
    <s v="Sneha"/>
    <s v="Shared introduction to Haleem Counter for ramzan"/>
    <n v="12000"/>
    <n v="0"/>
    <x v="0"/>
    <x v="0"/>
    <x v="0"/>
    <s v="Cancelled"/>
    <s v="No requirement"/>
    <n v="2400"/>
    <m/>
    <m/>
    <m/>
    <s v="Mar-24"/>
    <n v="11"/>
    <s v="2024"/>
  </r>
  <r>
    <d v="2024-03-13T00:00:00"/>
    <s v="Infosys Campus PocharaM"/>
    <s v="F2F"/>
    <s v="Corporate"/>
    <x v="0"/>
    <s v="Prasad"/>
    <s v="Discussion of Team lunch and ODC at campus, and sining the agreement for Haleem counter. And Location"/>
    <n v="0"/>
    <n v="0"/>
    <x v="5"/>
    <x v="0"/>
    <x v="1"/>
    <s v="Closed"/>
    <s v="Mentioned below date wise"/>
    <n v="0"/>
    <m/>
    <m/>
    <m/>
    <s v="Mar-24"/>
    <n v="11"/>
    <s v="2024"/>
  </r>
  <r>
    <d v="2024-03-13T00:00:00"/>
    <s v="Holy Event at Madhapur by Swiggy"/>
    <s v="Call"/>
    <s v="Events"/>
    <x v="3"/>
    <s v="Arpita"/>
    <s v="Discussed about counter at Holy event 25 March"/>
    <n v="50000"/>
    <n v="0"/>
    <x v="5"/>
    <x v="0"/>
    <x v="0"/>
    <s v="Cancelled"/>
    <s v="Cancelled due to less footfall"/>
    <n v="10000"/>
    <m/>
    <m/>
    <m/>
    <s v="Mar-24"/>
    <n v="11"/>
    <s v="2024"/>
  </r>
  <r>
    <d v="2024-03-13T00:00:00"/>
    <s v="Kukdukoo Event in Bangalore"/>
    <s v="Call"/>
    <s v="Exhibition"/>
    <x v="3"/>
    <s v="Shubham"/>
    <s v="food counter at event on 6th and 7 April 2024"/>
    <n v="100000"/>
    <n v="0"/>
    <x v="5"/>
    <x v="0"/>
    <x v="0"/>
    <s v="Cancelled"/>
    <s v="Cancelled as nonveg not allowed"/>
    <n v="20000"/>
    <m/>
    <m/>
    <m/>
    <s v="Mar-24"/>
    <n v="11"/>
    <s v="2024"/>
  </r>
  <r>
    <d v="2024-03-13T00:00:00"/>
    <s v="Delivery at Compass Group Bangalore"/>
    <s v="Call"/>
    <s v="Corporate"/>
    <x v="17"/>
    <s v="Pankaj"/>
    <s v="Delivery of 25 Special CB on 13 March 2024"/>
    <n v="11553"/>
    <n v="11553"/>
    <x v="5"/>
    <x v="1"/>
    <x v="1"/>
    <s v="Closed"/>
    <m/>
    <n v="0"/>
    <m/>
    <m/>
    <m/>
    <s v="Mar-24"/>
    <n v="11"/>
    <s v="2024"/>
  </r>
  <r>
    <d v="2024-03-13T00:00:00"/>
    <s v="Delivery at Electronic City Banglore"/>
    <s v="Call"/>
    <s v="Events"/>
    <x v="10"/>
    <s v="Sarmila"/>
    <s v="Delivery of CB at Electronic city on 19 March 2024"/>
    <n v="8000"/>
    <n v="8000"/>
    <x v="5"/>
    <x v="1"/>
    <x v="1"/>
    <s v="Closed"/>
    <m/>
    <n v="0"/>
    <m/>
    <m/>
    <m/>
    <s v="Mar-24"/>
    <n v="11"/>
    <s v="2024"/>
  </r>
  <r>
    <d v="2024-03-13T00:00:00"/>
    <s v="Sage International School Medipally"/>
    <s v="F2F"/>
    <s v="School"/>
    <x v="4"/>
    <s v="Rekha Reddy"/>
    <s v="Introduction to Bulk order and Bakery products"/>
    <n v="12000"/>
    <n v="0"/>
    <x v="0"/>
    <x v="0"/>
    <x v="0"/>
    <s v="Cancelled"/>
    <s v="No requirement"/>
    <n v="2400"/>
    <m/>
    <m/>
    <m/>
    <s v="Mar-24"/>
    <n v="11"/>
    <s v="2024"/>
  </r>
  <r>
    <d v="2024-03-13T00:00:00"/>
    <s v="Delivery at West Maradpally Orphanage"/>
    <s v="F2F"/>
    <s v="Orphanage"/>
    <x v="14"/>
    <s v="Marvin "/>
    <s v="Advance received for 31 Mar 2024"/>
    <n v="15000"/>
    <n v="15000"/>
    <x v="5"/>
    <x v="0"/>
    <x v="1"/>
    <s v="Closed"/>
    <m/>
    <n v="0"/>
    <m/>
    <m/>
    <m/>
    <s v="Mar-24"/>
    <n v="11"/>
    <s v="2024"/>
  </r>
  <r>
    <d v="2024-03-14T00:00:00"/>
    <s v="Sanofi"/>
    <s v="F2F"/>
    <s v="Corporate"/>
    <x v="5"/>
    <s v="Harish"/>
    <s v="Introduction to Haleem and Bulk delivery"/>
    <n v="20000"/>
    <n v="0"/>
    <x v="9"/>
    <x v="0"/>
    <x v="0"/>
    <s v="Cancelled"/>
    <s v="No requirement"/>
    <n v="4000"/>
    <m/>
    <m/>
    <m/>
    <s v="Mar-24"/>
    <n v="11"/>
    <s v="2024"/>
  </r>
  <r>
    <d v="2024-03-14T00:00:00"/>
    <s v="Dr Reddys"/>
    <s v="F2F"/>
    <s v="Corporate"/>
    <x v="5"/>
    <s v="Arvind"/>
    <s v="Introduction to Haleem and Bulk delivery"/>
    <n v="15000"/>
    <n v="0"/>
    <x v="9"/>
    <x v="0"/>
    <x v="0"/>
    <s v="Cancelled"/>
    <s v="No requirement"/>
    <n v="3000"/>
    <m/>
    <m/>
    <m/>
    <s v="Mar-24"/>
    <n v="11"/>
    <s v="2024"/>
  </r>
  <r>
    <d v="2024-03-14T00:00:00"/>
    <s v="Ramtech"/>
    <s v="F2F"/>
    <s v="Corporate"/>
    <x v="0"/>
    <s v="Venkat"/>
    <s v="Introduction to team lunch and corporate gifting"/>
    <n v="10000"/>
    <n v="0"/>
    <x v="0"/>
    <x v="0"/>
    <x v="0"/>
    <s v="Cancelled"/>
    <s v="No requirement"/>
    <n v="2000"/>
    <m/>
    <m/>
    <m/>
    <s v="Mar-24"/>
    <n v="11"/>
    <s v="2024"/>
  </r>
  <r>
    <d v="2024-03-15T00:00:00"/>
    <s v="ODC at JNC Masjid Bangalore"/>
    <s v="Call"/>
    <s v="Events"/>
    <x v="8"/>
    <s v="Vinod"/>
    <s v="ODC at JCN Road on 13&amp; 14 March 2024"/>
    <n v="12427"/>
    <n v="12427"/>
    <x v="5"/>
    <x v="1"/>
    <x v="1"/>
    <s v="Closed"/>
    <m/>
    <n v="12420"/>
    <m/>
    <m/>
    <m/>
    <s v="Mar-24"/>
    <n v="11"/>
    <s v="2024"/>
  </r>
  <r>
    <d v="2024-03-15T00:00:00"/>
    <s v="ODC at JNC Masjid Bangalore"/>
    <s v="Call"/>
    <s v="Events"/>
    <x v="8"/>
    <s v="Vinod"/>
    <s v="ODC at JCN Road on 15 March 2024"/>
    <n v="21372"/>
    <n v="21372"/>
    <x v="5"/>
    <x v="1"/>
    <x v="1"/>
    <s v="Closed"/>
    <m/>
    <n v="21372"/>
    <m/>
    <m/>
    <m/>
    <s v="Mar-24"/>
    <n v="11"/>
    <s v="2024"/>
  </r>
  <r>
    <d v="2024-03-15T00:00:00"/>
    <s v="Delivery at MGIT Gandipet"/>
    <s v="Call"/>
    <s v="College"/>
    <x v="4"/>
    <s v="Shyam Sundar"/>
    <s v="CB Handi Delivery on 20 March 2024 for 600 People"/>
    <n v="127000"/>
    <n v="0"/>
    <x v="5"/>
    <x v="0"/>
    <x v="0"/>
    <s v="Cancelled"/>
    <s v="Procured from college canteen"/>
    <n v="0"/>
    <m/>
    <m/>
    <m/>
    <s v="Mar-24"/>
    <n v="11"/>
    <s v="2024"/>
  </r>
  <r>
    <d v="2024-03-16T00:00:00"/>
    <s v="ODC at JNC Masjid Bangalore"/>
    <s v="Call"/>
    <s v="Events"/>
    <x v="8"/>
    <s v="Vinod"/>
    <s v="ODC at JCN Road on 16 March 2024"/>
    <n v="51930"/>
    <n v="51930"/>
    <x v="5"/>
    <x v="1"/>
    <x v="1"/>
    <s v="Closed"/>
    <m/>
    <n v="51930"/>
    <m/>
    <m/>
    <m/>
    <s v="Mar-24"/>
    <n v="11"/>
    <s v="2024"/>
  </r>
  <r>
    <d v="2024-03-16T00:00:00"/>
    <s v="Take away at Gachibowli"/>
    <s v="Call"/>
    <s v="Events"/>
    <x v="10"/>
    <s v="Mytree"/>
    <s v="Take away for house party"/>
    <n v="3200"/>
    <n v="3200"/>
    <x v="5"/>
    <x v="0"/>
    <x v="1"/>
    <s v="Closed"/>
    <m/>
    <n v="640"/>
    <m/>
    <m/>
    <m/>
    <s v="Mar-24"/>
    <n v="11"/>
    <s v="2024"/>
  </r>
  <r>
    <d v="2024-03-16T00:00:00"/>
    <s v="NALSAR Univercity Fest"/>
    <s v="Call"/>
    <s v="College"/>
    <x v="4"/>
    <s v="Hafsa"/>
    <s v="22nd to 24 March 2024"/>
    <n v="20000"/>
    <n v="0"/>
    <x v="5"/>
    <x v="0"/>
    <x v="0"/>
    <s v="Cancelled"/>
    <s v="Less students participating"/>
    <n v="4000"/>
    <m/>
    <m/>
    <m/>
    <s v="Mar-24"/>
    <n v="11"/>
    <s v="2024"/>
  </r>
  <r>
    <d v="2024-03-17T00:00:00"/>
    <s v="Delivery of CB at Secundrabad"/>
    <s v="Call"/>
    <s v="Events"/>
    <x v="10"/>
    <s v="Shahan"/>
    <s v="Delivery of 30 PAX CB &amp; Starter"/>
    <n v="11000"/>
    <n v="0"/>
    <x v="5"/>
    <x v="0"/>
    <x v="0"/>
    <s v="Cancelled"/>
    <s v="Budget Issue"/>
    <n v="0"/>
    <m/>
    <m/>
    <m/>
    <s v="Mar-24"/>
    <n v="11"/>
    <s v="2024"/>
  </r>
  <r>
    <d v="2024-03-17T00:00:00"/>
    <s v="ODC at JNC Masjid Bangalore"/>
    <s v="Call"/>
    <s v="Events"/>
    <x v="8"/>
    <s v="Vinod"/>
    <s v="ODC at JCN Road on 17 March 2024"/>
    <n v="82548"/>
    <n v="82548"/>
    <x v="5"/>
    <x v="1"/>
    <x v="1"/>
    <s v="Closed"/>
    <m/>
    <n v="82548"/>
    <m/>
    <m/>
    <m/>
    <s v="Mar-24"/>
    <n v="11"/>
    <s v="2024"/>
  </r>
  <r>
    <d v="2024-03-18T00:00:00"/>
    <s v="Delivery at Secundrabad"/>
    <s v="Call"/>
    <s v="Events"/>
    <x v="10"/>
    <s v="Manish"/>
    <s v="Delivery on 22 March 2024"/>
    <n v="4000"/>
    <n v="4000"/>
    <x v="5"/>
    <x v="0"/>
    <x v="1"/>
    <s v="Closed"/>
    <m/>
    <n v="0"/>
    <m/>
    <m/>
    <m/>
    <s v="Mar-24"/>
    <n v="12"/>
    <s v="2024"/>
  </r>
  <r>
    <d v="2024-03-18T00:00:00"/>
    <s v="ODC at JNC Masjid Bangalore"/>
    <s v="Call"/>
    <s v="Events"/>
    <x v="8"/>
    <s v="Vinod"/>
    <s v="ODC at JCN Road on 18 March"/>
    <n v="18552"/>
    <n v="18552"/>
    <x v="5"/>
    <x v="1"/>
    <x v="1"/>
    <s v="Closed"/>
    <m/>
    <n v="18552"/>
    <m/>
    <m/>
    <m/>
    <s v="Mar-24"/>
    <n v="12"/>
    <s v="2024"/>
  </r>
  <r>
    <d v="2024-03-18T00:00:00"/>
    <s v="Delivery at Charminar"/>
    <s v="Call"/>
    <s v="Events"/>
    <x v="10"/>
    <s v="Syed"/>
    <s v="Delivery of MB and Haleem on 24 March 2024"/>
    <n v="20000"/>
    <n v="0"/>
    <x v="5"/>
    <x v="0"/>
    <x v="0"/>
    <s v="Cancelled"/>
    <s v="Budget Issue"/>
    <n v="4000"/>
    <m/>
    <m/>
    <m/>
    <s v="Mar-24"/>
    <n v="12"/>
    <s v="2024"/>
  </r>
  <r>
    <d v="2024-03-18T00:00:00"/>
    <s v="Delivery at whitefield banglore"/>
    <s v="Call"/>
    <s v="Events"/>
    <x v="10"/>
    <s v="Shehabaz"/>
    <s v="Delivery at Whitefield 2"/>
    <n v="12000"/>
    <n v="12000"/>
    <x v="5"/>
    <x v="1"/>
    <x v="1"/>
    <s v="Closed"/>
    <m/>
    <n v="2400"/>
    <m/>
    <m/>
    <m/>
    <s v="Mar-24"/>
    <n v="12"/>
    <s v="2024"/>
  </r>
  <r>
    <d v="2024-03-18T00:00:00"/>
    <s v="Delivery at kalapakkam Chennai"/>
    <s v="Call"/>
    <s v="Events"/>
    <x v="10"/>
    <s v="Rajan"/>
    <s v="Delivery of CB and starter"/>
    <n v="8000"/>
    <n v="8000"/>
    <x v="5"/>
    <x v="1"/>
    <x v="1"/>
    <s v="Closed"/>
    <m/>
    <n v="0"/>
    <m/>
    <m/>
    <m/>
    <s v="Mar-24"/>
    <n v="12"/>
    <s v="2024"/>
  </r>
  <r>
    <d v="2024-03-18T00:00:00"/>
    <s v="Delivery at Compass Group Banglore"/>
    <s v="Call"/>
    <s v="Corporate"/>
    <x v="17"/>
    <s v="Pankaj"/>
    <s v="CB and MB Delivery 20 March 2024"/>
    <n v="40491"/>
    <n v="40491"/>
    <x v="5"/>
    <x v="1"/>
    <x v="1"/>
    <s v="Closed"/>
    <m/>
    <n v="0"/>
    <m/>
    <m/>
    <m/>
    <s v="Mar-24"/>
    <n v="12"/>
    <s v="2024"/>
  </r>
  <r>
    <d v="2024-03-18T00:00:00"/>
    <s v="Haleem Counter at Airport"/>
    <s v="Call"/>
    <s v="Corporate"/>
    <x v="17"/>
    <s v="Venkat"/>
    <d v="2024-03-14T00:00:00"/>
    <n v="10080"/>
    <n v="10080"/>
    <x v="5"/>
    <x v="0"/>
    <x v="1"/>
    <s v="Closed"/>
    <m/>
    <n v="10080"/>
    <m/>
    <m/>
    <m/>
    <s v="Mar-24"/>
    <n v="12"/>
    <s v="2024"/>
  </r>
  <r>
    <d v="2024-03-18T00:00:00"/>
    <s v="Haleem Counter at Airport"/>
    <s v="Call"/>
    <s v="Corporate"/>
    <x v="17"/>
    <s v="Venkat"/>
    <d v="2024-03-15T00:00:00"/>
    <n v="28926"/>
    <n v="28926"/>
    <x v="5"/>
    <x v="0"/>
    <x v="1"/>
    <s v="Closed"/>
    <m/>
    <n v="28926"/>
    <m/>
    <m/>
    <m/>
    <s v="Mar-24"/>
    <n v="12"/>
    <s v="2024"/>
  </r>
  <r>
    <d v="2024-03-18T00:00:00"/>
    <s v="Haleem Counter at Airport"/>
    <s v="Call"/>
    <s v="Corporate"/>
    <x v="17"/>
    <s v="Venkat"/>
    <d v="2024-03-16T00:00:00"/>
    <n v="28517"/>
    <n v="28517"/>
    <x v="5"/>
    <x v="0"/>
    <x v="1"/>
    <s v="Closed"/>
    <m/>
    <n v="28517"/>
    <m/>
    <m/>
    <m/>
    <s v="Mar-24"/>
    <n v="12"/>
    <s v="2024"/>
  </r>
  <r>
    <d v="2024-03-18T00:00:00"/>
    <s v="Haleem Counter at Airport"/>
    <s v="Call"/>
    <s v="Corporate"/>
    <x v="17"/>
    <s v="Venkat"/>
    <d v="2024-03-17T00:00:00"/>
    <n v="4095"/>
    <n v="4095"/>
    <x v="5"/>
    <x v="0"/>
    <x v="1"/>
    <s v="Closed"/>
    <m/>
    <n v="4095"/>
    <m/>
    <m/>
    <m/>
    <s v="Mar-24"/>
    <n v="12"/>
    <s v="2024"/>
  </r>
  <r>
    <d v="2024-03-18T00:00:00"/>
    <s v="Haleem Counter at Airport"/>
    <s v="Call"/>
    <s v="Corporate"/>
    <x v="17"/>
    <s v="Venkat"/>
    <d v="2024-03-18T00:00:00"/>
    <n v="11939"/>
    <n v="11939"/>
    <x v="5"/>
    <x v="0"/>
    <x v="1"/>
    <s v="Closed"/>
    <m/>
    <n v="11939"/>
    <m/>
    <m/>
    <m/>
    <s v="Mar-24"/>
    <n v="12"/>
    <s v="2024"/>
  </r>
  <r>
    <d v="2024-03-19T00:00:00"/>
    <s v="Medha Railway Coach"/>
    <s v="F2F"/>
    <s v="Corporate"/>
    <x v="7"/>
    <s v="Santosh"/>
    <s v="Introduction to employee gifting"/>
    <n v="20000"/>
    <n v="0"/>
    <x v="9"/>
    <x v="0"/>
    <x v="0"/>
    <s v="Cancelled"/>
    <s v="No requirement"/>
    <n v="2000"/>
    <m/>
    <m/>
    <m/>
    <s v="Mar-24"/>
    <n v="12"/>
    <s v="2024"/>
  </r>
  <r>
    <d v="2024-03-19T00:00:00"/>
    <s v="ODC at JNC Masjid Bangalore"/>
    <s v="Call"/>
    <s v="Events"/>
    <x v="8"/>
    <s v="Vinod"/>
    <s v="ODC at JCN Road on 18 March 2024"/>
    <n v="16920"/>
    <n v="16920"/>
    <x v="5"/>
    <x v="1"/>
    <x v="1"/>
    <s v="Closed"/>
    <m/>
    <n v="16920"/>
    <m/>
    <m/>
    <m/>
    <s v="Mar-24"/>
    <n v="12"/>
    <s v="2024"/>
  </r>
  <r>
    <d v="2024-03-19T00:00:00"/>
    <s v="Haleem Counter at Airport"/>
    <s v="Call"/>
    <s v="Corporate"/>
    <x v="17"/>
    <s v="Venkat"/>
    <d v="2024-03-19T00:00:00"/>
    <n v="11257"/>
    <n v="11257"/>
    <x v="5"/>
    <x v="0"/>
    <x v="1"/>
    <s v="Closed"/>
    <m/>
    <n v="11257"/>
    <m/>
    <m/>
    <m/>
    <s v="Mar-24"/>
    <n v="12"/>
    <s v="2024"/>
  </r>
  <r>
    <d v="2024-03-19T00:00:00"/>
    <s v="Delivery at Miyapur"/>
    <s v="F2F"/>
    <s v="Events"/>
    <x v="10"/>
    <s v="Raju"/>
    <s v="delivery on 24 March 2024"/>
    <n v="18000"/>
    <n v="18000"/>
    <x v="5"/>
    <x v="0"/>
    <x v="1"/>
    <s v="Closed"/>
    <m/>
    <n v="0"/>
    <m/>
    <m/>
    <m/>
    <s v="Mar-24"/>
    <n v="12"/>
    <s v="2024"/>
  </r>
  <r>
    <d v="2024-03-19T00:00:00"/>
    <s v="Delivery at Nellore"/>
    <s v="Call"/>
    <s v="Events"/>
    <x v="10"/>
    <s v="Rajashekhar"/>
    <s v="Delivery on 23 March 2024"/>
    <n v="8000"/>
    <n v="8000"/>
    <x v="5"/>
    <x v="0"/>
    <x v="1"/>
    <s v="Closed"/>
    <m/>
    <n v="0"/>
    <m/>
    <m/>
    <m/>
    <s v="Mar-24"/>
    <n v="12"/>
    <s v="2024"/>
  </r>
  <r>
    <d v="2024-03-20T00:00:00"/>
    <s v="Delivery at Bachupally"/>
    <s v="Call"/>
    <s v="Events"/>
    <x v="10"/>
    <s v="Anil"/>
    <s v="Delivery from Kukatpally, CB and VB"/>
    <n v="6340"/>
    <n v="6340"/>
    <x v="5"/>
    <x v="0"/>
    <x v="1"/>
    <s v="Closed"/>
    <m/>
    <n v="1268"/>
    <m/>
    <m/>
    <m/>
    <s v="Mar-24"/>
    <n v="12"/>
    <s v="2024"/>
  </r>
  <r>
    <d v="2024-03-20T00:00:00"/>
    <s v="ODC at JNC Masjid Bangalore"/>
    <s v="Call"/>
    <s v="Events"/>
    <x v="8"/>
    <s v="Vinod"/>
    <s v="ODC at JCN Road on 19 March 2024"/>
    <n v="21534"/>
    <n v="21534"/>
    <x v="5"/>
    <x v="1"/>
    <x v="1"/>
    <s v="Closed"/>
    <m/>
    <n v="21534"/>
    <m/>
    <m/>
    <m/>
    <s v="Mar-24"/>
    <n v="12"/>
    <s v="2024"/>
  </r>
  <r>
    <d v="2024-03-20T00:00:00"/>
    <s v="Haleem Counter at Airport"/>
    <s v="Call"/>
    <s v="Corporate"/>
    <x v="17"/>
    <s v="Venkat"/>
    <d v="2024-03-20T00:00:00"/>
    <n v="11257"/>
    <n v="11257"/>
    <x v="5"/>
    <x v="0"/>
    <x v="1"/>
    <s v="Closed"/>
    <m/>
    <n v="11257"/>
    <m/>
    <m/>
    <m/>
    <s v="Mar-24"/>
    <n v="12"/>
    <s v="2024"/>
  </r>
  <r>
    <d v="2024-03-20T00:00:00"/>
    <s v="Tek Systems"/>
    <s v="F2F"/>
    <s v="Corporate"/>
    <x v="0"/>
    <s v="Vigneshwar"/>
    <s v="Buffet at Tek systems office on 9th April"/>
    <n v="200000"/>
    <n v="0"/>
    <x v="0"/>
    <x v="0"/>
    <x v="0"/>
    <s v="Cancelled"/>
    <s v="Packed meal with less budget"/>
    <n v="40000"/>
    <m/>
    <m/>
    <m/>
    <s v="Mar-24"/>
    <n v="12"/>
    <s v="2024"/>
  </r>
  <r>
    <d v="2024-03-20T00:00:00"/>
    <s v="Kellton Tech Solutions"/>
    <s v="F2F"/>
    <s v="Corporate"/>
    <x v="0"/>
    <s v="Prasad"/>
    <s v="Delivery at madhapur office"/>
    <n v="22000"/>
    <n v="0"/>
    <x v="10"/>
    <x v="0"/>
    <x v="0"/>
    <s v="Cancelled"/>
    <s v="Event postponded"/>
    <n v="0"/>
    <m/>
    <m/>
    <m/>
    <s v="Mar-24"/>
    <n v="12"/>
    <s v="2024"/>
  </r>
  <r>
    <d v="2024-03-20T00:00:00"/>
    <s v="Bits Pilani"/>
    <s v="F2F"/>
    <s v="College"/>
    <x v="4"/>
    <s v="Afkham"/>
    <s v="Delivery of M Haleem on 11 April 2024 at Bits Pilani"/>
    <n v="46000"/>
    <n v="0"/>
    <x v="0"/>
    <x v="0"/>
    <x v="0"/>
    <s v="Cancelled"/>
    <s v="Postpond to 13/4/2024"/>
    <n v="9000"/>
    <m/>
    <m/>
    <m/>
    <s v="Mar-24"/>
    <n v="12"/>
    <s v="2024"/>
  </r>
  <r>
    <d v="2024-03-20T00:00:00"/>
    <s v="Just My Roots"/>
    <s v="Call"/>
    <s v="Corporate"/>
    <x v="17"/>
    <s v="Vaibhav"/>
    <s v="Takeaway of Haleem for Further Selling"/>
    <n v="50000"/>
    <n v="0"/>
    <x v="5"/>
    <x v="0"/>
    <x v="0"/>
    <s v="Cancelled"/>
    <s v="60 days payment term not fesable"/>
    <n v="50000"/>
    <m/>
    <m/>
    <m/>
    <s v="Mar-24"/>
    <n v="12"/>
    <s v="2024"/>
  </r>
  <r>
    <d v="2024-03-21T00:00:00"/>
    <s v="ODC at JNC Masjid Bangalore"/>
    <s v="Call"/>
    <s v="Events"/>
    <x v="8"/>
    <s v="Vinod"/>
    <s v="ODC at JCN Road on 21 March 2024"/>
    <n v="22535"/>
    <n v="22535"/>
    <x v="5"/>
    <x v="1"/>
    <x v="1"/>
    <s v="Closed"/>
    <m/>
    <n v="22535"/>
    <m/>
    <m/>
    <m/>
    <s v="Mar-24"/>
    <n v="12"/>
    <s v="2024"/>
  </r>
  <r>
    <d v="2024-03-21T00:00:00"/>
    <s v="Haleem Counter at Airport"/>
    <s v="Call"/>
    <s v="Corporate"/>
    <x v="17"/>
    <s v="Venkat"/>
    <d v="2024-03-21T00:00:00"/>
    <n v="11275"/>
    <n v="11275"/>
    <x v="5"/>
    <x v="0"/>
    <x v="1"/>
    <s v="Closed"/>
    <m/>
    <n v="11275"/>
    <m/>
    <m/>
    <m/>
    <s v="Mar-24"/>
    <n v="12"/>
    <s v="2024"/>
  </r>
  <r>
    <d v="2024-03-21T00:00:00"/>
    <s v="Haleem Counter at Infosys Pocharam"/>
    <s v="F2F"/>
    <s v="Corporate"/>
    <x v="0"/>
    <s v="Satya"/>
    <s v="Sold 70 Mutton Haleem and 50 CH Haleem on 21 March 2024"/>
    <n v="22740"/>
    <n v="22740"/>
    <x v="5"/>
    <x v="0"/>
    <x v="1"/>
    <s v="Closed"/>
    <m/>
    <n v="22740"/>
    <m/>
    <m/>
    <m/>
    <s v="Mar-24"/>
    <n v="12"/>
    <s v="2024"/>
  </r>
  <r>
    <d v="2024-03-21T00:00:00"/>
    <s v="Delivery at Electronic City Banglore"/>
    <s v="Call"/>
    <s v="Events"/>
    <x v="10"/>
    <s v="Sai"/>
    <s v="Delivery at Electronic city"/>
    <n v="3000"/>
    <n v="3000"/>
    <x v="5"/>
    <x v="1"/>
    <x v="1"/>
    <s v="Closed"/>
    <m/>
    <n v="0"/>
    <m/>
    <m/>
    <m/>
    <s v="Mar-24"/>
    <n v="12"/>
    <s v="2024"/>
  </r>
  <r>
    <d v="2024-03-21T00:00:00"/>
    <s v="Hexagon"/>
    <s v="Call"/>
    <s v="Corporate"/>
    <x v="0"/>
    <s v="Lakshmi"/>
    <s v="Bulk delivery of Haleem"/>
    <n v="30000"/>
    <n v="0"/>
    <x v="10"/>
    <x v="0"/>
    <x v="0"/>
    <s v="Cancelled"/>
    <s v="Less Budget"/>
    <n v="6000"/>
    <m/>
    <m/>
    <m/>
    <s v="Mar-24"/>
    <n v="12"/>
    <s v="2024"/>
  </r>
  <r>
    <d v="2024-03-21T00:00:00"/>
    <s v="Corteva Agriscience India"/>
    <s v="F2F"/>
    <s v="Corporate"/>
    <x v="0"/>
    <s v="Sruthi"/>
    <s v="Buffet lunch at Madhapur for 200 employees"/>
    <n v="100000"/>
    <n v="0"/>
    <x v="0"/>
    <x v="0"/>
    <x v="0"/>
    <s v="Cancelled"/>
    <s v="Budget Issue"/>
    <n v="20000"/>
    <m/>
    <m/>
    <m/>
    <s v="Mar-24"/>
    <n v="12"/>
    <s v="2024"/>
  </r>
  <r>
    <d v="2024-03-22T00:00:00"/>
    <s v="ODC at JNC Masjid Bangalore"/>
    <s v="Call"/>
    <s v="Events"/>
    <x v="8"/>
    <s v="Vinod"/>
    <s v="ODC at JCN Road on 22 March 2024"/>
    <n v="40368"/>
    <n v="40368"/>
    <x v="5"/>
    <x v="1"/>
    <x v="1"/>
    <s v="Closed"/>
    <m/>
    <n v="40368"/>
    <m/>
    <m/>
    <m/>
    <s v="Mar-24"/>
    <n v="12"/>
    <s v="2024"/>
  </r>
  <r>
    <d v="2024-03-22T00:00:00"/>
    <s v="Haleem Counter at Airport"/>
    <s v="Call"/>
    <s v="Corporate"/>
    <x v="17"/>
    <s v="Venkat"/>
    <d v="2024-03-22T00:00:00"/>
    <n v="9145"/>
    <n v="9145"/>
    <x v="5"/>
    <x v="0"/>
    <x v="1"/>
    <s v="Closed"/>
    <m/>
    <n v="9145"/>
    <m/>
    <m/>
    <m/>
    <s v="Mar-24"/>
    <n v="12"/>
    <s v="2024"/>
  </r>
  <r>
    <d v="2024-03-22T00:00:00"/>
    <s v="Haleem Counter at Infosys Pocharam"/>
    <s v="Call"/>
    <s v="Corporate"/>
    <x v="0"/>
    <s v="Satya"/>
    <d v="2024-03-22T00:00:00"/>
    <n v="29500"/>
    <n v="29500"/>
    <x v="5"/>
    <x v="0"/>
    <x v="1"/>
    <s v="Closed"/>
    <m/>
    <n v="29500"/>
    <m/>
    <m/>
    <m/>
    <s v="Mar-24"/>
    <n v="12"/>
    <s v="2024"/>
  </r>
  <r>
    <d v="2024-03-22T00:00:00"/>
    <s v="Aditya Birla"/>
    <s v="F2F"/>
    <s v="Corporate"/>
    <x v="21"/>
    <s v="Nilesh Sharma"/>
    <s v="Introduction about corporate gifting and bulk order"/>
    <n v="12000"/>
    <n v="0"/>
    <x v="9"/>
    <x v="0"/>
    <x v="0"/>
    <s v="Cancelled"/>
    <s v="No requirement"/>
    <n v="2400"/>
    <m/>
    <m/>
    <m/>
    <s v="Mar-24"/>
    <n v="12"/>
    <s v="2024"/>
  </r>
  <r>
    <d v="2024-03-22T00:00:00"/>
    <s v="Biological E Limited"/>
    <s v="F2F"/>
    <s v="Corporate"/>
    <x v="5"/>
    <s v="Naveen Kumar"/>
    <s v="Introduction about corporate gifting and bulk order"/>
    <n v="20000"/>
    <n v="0"/>
    <x v="9"/>
    <x v="0"/>
    <x v="0"/>
    <s v="Cancelled"/>
    <s v="No requirement"/>
    <n v="4000"/>
    <m/>
    <m/>
    <m/>
    <s v="Mar-24"/>
    <n v="12"/>
    <s v="2024"/>
  </r>
  <r>
    <d v="2024-03-23T00:00:00"/>
    <s v="ODC at JNC Masjid Bangalore"/>
    <s v="Call"/>
    <s v="Events"/>
    <x v="8"/>
    <s v="Vinod"/>
    <s v="ODC at JCN Road on 23/3/2024"/>
    <n v="57408"/>
    <n v="57408"/>
    <x v="5"/>
    <x v="1"/>
    <x v="1"/>
    <s v="Closed"/>
    <m/>
    <n v="57408"/>
    <m/>
    <m/>
    <m/>
    <s v="Mar-24"/>
    <n v="12"/>
    <s v="2024"/>
  </r>
  <r>
    <d v="2024-03-23T00:00:00"/>
    <s v="Haleem Counter at Airport"/>
    <s v="Call"/>
    <s v="Corporate"/>
    <x v="17"/>
    <s v="Venkat"/>
    <d v="2024-03-23T00:00:00"/>
    <n v="22513"/>
    <n v="22513"/>
    <x v="5"/>
    <x v="0"/>
    <x v="1"/>
    <s v="Closed"/>
    <m/>
    <n v="22513"/>
    <m/>
    <m/>
    <m/>
    <s v="Mar-24"/>
    <n v="12"/>
    <s v="2024"/>
  </r>
  <r>
    <d v="2024-03-23T00:00:00"/>
    <s v="Delivery at Mehdipatnam"/>
    <s v="Call"/>
    <s v="Events"/>
    <x v="10"/>
    <s v="Malik"/>
    <s v="Delivery on 24 March 2024"/>
    <n v="5000"/>
    <n v="5000"/>
    <x v="5"/>
    <x v="0"/>
    <x v="1"/>
    <s v="Closed"/>
    <m/>
    <n v="1000"/>
    <m/>
    <m/>
    <m/>
    <s v="Mar-24"/>
    <n v="12"/>
    <s v="2024"/>
  </r>
  <r>
    <d v="2024-03-23T00:00:00"/>
    <s v="Delivery at Gudi Malkapur"/>
    <s v="Call"/>
    <s v="Events"/>
    <x v="10"/>
    <s v="Nagraju"/>
    <s v="Delivery on 24 March 2024"/>
    <n v="8000"/>
    <n v="8000"/>
    <x v="5"/>
    <x v="0"/>
    <x v="1"/>
    <s v="Closed"/>
    <m/>
    <n v="0"/>
    <m/>
    <m/>
    <m/>
    <s v="Mar-24"/>
    <n v="12"/>
    <s v="2024"/>
  </r>
  <r>
    <d v="2024-03-24T00:00:00"/>
    <s v="ODC at JNC Masjid Bangalore"/>
    <s v="Call"/>
    <s v="Events"/>
    <x v="8"/>
    <s v="Vinod"/>
    <s v="ODC at JCN Road on 24 March 2024"/>
    <n v="55092"/>
    <n v="55092"/>
    <x v="5"/>
    <x v="1"/>
    <x v="1"/>
    <s v="Closed"/>
    <m/>
    <n v="55092"/>
    <m/>
    <m/>
    <m/>
    <s v="Mar-24"/>
    <n v="12"/>
    <s v="2024"/>
  </r>
  <r>
    <d v="2024-03-24T00:00:00"/>
    <s v="Haleem Counter at Airport"/>
    <s v="Call"/>
    <s v="Corporate"/>
    <x v="17"/>
    <s v="Venkat"/>
    <d v="2024-03-24T00:00:00"/>
    <n v="13781"/>
    <n v="13781"/>
    <x v="5"/>
    <x v="0"/>
    <x v="1"/>
    <s v="Closed"/>
    <m/>
    <n v="13781"/>
    <m/>
    <m/>
    <m/>
    <s v="Mar-24"/>
    <n v="12"/>
    <s v="2024"/>
  </r>
  <r>
    <d v="2024-03-25T00:00:00"/>
    <s v="Delivery at Miyapur"/>
    <s v="Call"/>
    <s v="Events"/>
    <x v="10"/>
    <s v="Danita"/>
    <d v="2024-03-28T00:00:00"/>
    <n v="8000"/>
    <n v="8000"/>
    <x v="5"/>
    <x v="0"/>
    <x v="1"/>
    <s v="Closed"/>
    <m/>
    <n v="0"/>
    <m/>
    <m/>
    <m/>
    <s v="Mar-24"/>
    <n v="13"/>
    <s v="2024"/>
  </r>
  <r>
    <d v="2024-03-25T00:00:00"/>
    <s v="ODC at JNC Masjid Bangalore"/>
    <s v="Call"/>
    <s v="Events"/>
    <x v="8"/>
    <s v="Vinod"/>
    <s v="ODC at JCN Road on 25 March 2024"/>
    <n v="11784"/>
    <n v="11784"/>
    <x v="5"/>
    <x v="1"/>
    <x v="1"/>
    <s v="Closed"/>
    <m/>
    <n v="11784"/>
    <m/>
    <m/>
    <m/>
    <s v="Mar-24"/>
    <n v="13"/>
    <s v="2024"/>
  </r>
  <r>
    <d v="2024-03-25T00:00:00"/>
    <s v="Haleem Counter at Airport"/>
    <s v="Call"/>
    <s v="Corporate"/>
    <x v="17"/>
    <s v="Venkat"/>
    <d v="2024-03-25T00:00:00"/>
    <n v="5048"/>
    <n v="5048"/>
    <x v="5"/>
    <x v="0"/>
    <x v="1"/>
    <s v="Closed"/>
    <m/>
    <n v="5048"/>
    <m/>
    <m/>
    <m/>
    <s v="Mar-24"/>
    <n v="13"/>
    <s v="2024"/>
  </r>
  <r>
    <d v="2024-03-25T00:00:00"/>
    <s v="Haleem Counter at Infosys Pocharam"/>
    <s v="Call"/>
    <s v="Corporate"/>
    <x v="0"/>
    <s v="Satya"/>
    <d v="2024-03-25T00:00:00"/>
    <n v="8350"/>
    <n v="8350"/>
    <x v="5"/>
    <x v="0"/>
    <x v="1"/>
    <s v="Closed"/>
    <m/>
    <n v="8350"/>
    <m/>
    <m/>
    <m/>
    <s v="Mar-24"/>
    <n v="13"/>
    <s v="2024"/>
  </r>
  <r>
    <d v="2024-03-25T00:00:00"/>
    <s v="Holi Party at Naval Academy Vizag"/>
    <s v="Call"/>
    <s v="Corporate"/>
    <x v="22"/>
    <s v="Renin"/>
    <d v="2024-03-25T00:00:00"/>
    <n v="244000"/>
    <n v="244000"/>
    <x v="5"/>
    <x v="0"/>
    <x v="1"/>
    <s v="Closed"/>
    <m/>
    <n v="2400"/>
    <m/>
    <m/>
    <m/>
    <s v="Mar-24"/>
    <n v="13"/>
    <s v="2024"/>
  </r>
  <r>
    <d v="2024-03-26T00:00:00"/>
    <s v="Delivery at Compass Group Bangalore"/>
    <s v="Call"/>
    <s v="Corporate"/>
    <x v="17"/>
    <s v="Pankaj"/>
    <s v="Delivery of Special CB &amp; MB Handi on 27 March 2024"/>
    <n v="40000"/>
    <n v="40000"/>
    <x v="5"/>
    <x v="1"/>
    <x v="1"/>
    <s v="Closed"/>
    <m/>
    <n v="0"/>
    <m/>
    <m/>
    <m/>
    <s v="Mar-24"/>
    <n v="13"/>
    <s v="2024"/>
  </r>
  <r>
    <d v="2024-03-26T00:00:00"/>
    <s v="ODC at JNC Masjid Bangalore"/>
    <s v="Call"/>
    <s v="Events"/>
    <x v="8"/>
    <s v="Vinod"/>
    <s v="ODC at JCN Road on 26 March 2024"/>
    <n v="15314"/>
    <n v="15314"/>
    <x v="5"/>
    <x v="1"/>
    <x v="1"/>
    <s v="Closed"/>
    <m/>
    <n v="15314"/>
    <m/>
    <m/>
    <m/>
    <s v="Mar-24"/>
    <n v="13"/>
    <s v="2024"/>
  </r>
  <r>
    <d v="2024-03-26T00:00:00"/>
    <s v="Haleem Counter at Infosys Pocharam"/>
    <s v="Call"/>
    <s v="Corporate"/>
    <x v="0"/>
    <s v="Satya"/>
    <d v="2024-03-26T00:00:00"/>
    <n v="14060"/>
    <n v="14060"/>
    <x v="5"/>
    <x v="0"/>
    <x v="1"/>
    <s v="Closed"/>
    <m/>
    <n v="14060"/>
    <m/>
    <m/>
    <m/>
    <s v="Mar-24"/>
    <n v="13"/>
    <s v="2024"/>
  </r>
  <r>
    <d v="2024-03-26T00:00:00"/>
    <s v="Haleem Counter at Airport"/>
    <s v="Call"/>
    <s v="Corporate"/>
    <x v="17"/>
    <s v="Venkat"/>
    <d v="2024-03-26T00:00:00"/>
    <n v="6891"/>
    <n v="6891"/>
    <x v="5"/>
    <x v="0"/>
    <x v="1"/>
    <s v="Closed"/>
    <m/>
    <n v="6891"/>
    <m/>
    <m/>
    <m/>
    <s v="Mar-24"/>
    <n v="13"/>
    <s v="2024"/>
  </r>
  <r>
    <d v="2024-03-26T00:00:00"/>
    <s v="Karvy Investment Banking"/>
    <s v="F2F"/>
    <s v="Corporate"/>
    <x v="21"/>
    <s v="Jaya"/>
    <s v="Introduction about corporate gifting and bulk order"/>
    <n v="10000"/>
    <n v="0"/>
    <x v="0"/>
    <x v="0"/>
    <x v="0"/>
    <s v="Cancelled"/>
    <s v="No requirement"/>
    <n v="2000"/>
    <m/>
    <m/>
    <m/>
    <s v="Mar-24"/>
    <n v="13"/>
    <s v="2024"/>
  </r>
  <r>
    <d v="2024-03-26T00:00:00"/>
    <s v="Birlasoft"/>
    <s v="F2F"/>
    <s v="Corporate"/>
    <x v="0"/>
    <s v="Adinarayan"/>
    <s v="Introduction about corporate gifting and bulk order"/>
    <n v="12000"/>
    <n v="0"/>
    <x v="0"/>
    <x v="0"/>
    <x v="0"/>
    <s v="Cancelled"/>
    <s v="No requirement"/>
    <n v="2400"/>
    <m/>
    <m/>
    <m/>
    <s v="Mar-24"/>
    <n v="13"/>
    <s v="2024"/>
  </r>
  <r>
    <d v="2024-03-27T00:00:00"/>
    <s v="ODC at JNC Masjid Bangalore"/>
    <s v="Call"/>
    <s v="Events"/>
    <x v="8"/>
    <s v="Vinod"/>
    <s v="ODC at JCN Road on 27 March 2024"/>
    <n v="13758"/>
    <n v="13758"/>
    <x v="5"/>
    <x v="1"/>
    <x v="1"/>
    <s v="Closed"/>
    <m/>
    <n v="13758"/>
    <m/>
    <m/>
    <m/>
    <s v="Mar-24"/>
    <n v="13"/>
    <s v="2024"/>
  </r>
  <r>
    <d v="2024-03-27T00:00:00"/>
    <s v="Haleem Counter at Infosys Pocharam"/>
    <s v="Call"/>
    <s v="Corporate"/>
    <x v="0"/>
    <s v="Satya"/>
    <d v="2024-03-27T00:00:00"/>
    <n v="7810"/>
    <n v="7810"/>
    <x v="5"/>
    <x v="0"/>
    <x v="1"/>
    <s v="Closed"/>
    <m/>
    <n v="7810"/>
    <m/>
    <m/>
    <m/>
    <s v="Mar-24"/>
    <n v="13"/>
    <s v="2024"/>
  </r>
  <r>
    <d v="2024-03-27T00:00:00"/>
    <s v="Haleem Counter at Airport"/>
    <s v="Call"/>
    <s v="Corporate"/>
    <x v="17"/>
    <s v="Venkat"/>
    <d v="2024-03-27T00:00:00"/>
    <n v="6891"/>
    <n v="6891"/>
    <x v="5"/>
    <x v="0"/>
    <x v="1"/>
    <s v="Closed"/>
    <m/>
    <n v="6891"/>
    <m/>
    <m/>
    <m/>
    <s v="Mar-24"/>
    <n v="13"/>
    <s v="2024"/>
  </r>
  <r>
    <d v="2024-03-27T00:00:00"/>
    <s v="IT Convergence"/>
    <s v="F2F"/>
    <s v="Corporate"/>
    <x v="0"/>
    <s v="Deepthi"/>
    <s v="Introduction about corporate gifting and bulk order"/>
    <n v="10000"/>
    <n v="0"/>
    <x v="0"/>
    <x v="0"/>
    <x v="0"/>
    <s v="Cancelled"/>
    <s v="No requirement"/>
    <n v="2000"/>
    <m/>
    <m/>
    <m/>
    <s v="Mar-24"/>
    <n v="13"/>
    <s v="2024"/>
  </r>
  <r>
    <d v="2024-03-27T00:00:00"/>
    <s v="Ispace Software pvt ltd"/>
    <s v="F2F"/>
    <s v="Corporate"/>
    <x v="0"/>
    <s v="Nagaraju"/>
    <s v="Delivery on 4 April 2024"/>
    <n v="132500"/>
    <n v="0"/>
    <x v="0"/>
    <x v="0"/>
    <x v="0"/>
    <s v="Cancelled"/>
    <s v="Event Cancelled"/>
    <n v="59500"/>
    <m/>
    <m/>
    <m/>
    <s v="Mar-24"/>
    <n v="13"/>
    <s v="2024"/>
  </r>
  <r>
    <d v="2024-03-28T00:00:00"/>
    <s v="ODC at JNC Masjid Bangalore"/>
    <s v="Call"/>
    <s v="Events"/>
    <x v="8"/>
    <s v="Vinod"/>
    <s v="ODC at JCN Road on 28 March 2024"/>
    <n v="12084"/>
    <n v="12084"/>
    <x v="5"/>
    <x v="1"/>
    <x v="1"/>
    <s v="Closed"/>
    <m/>
    <n v="12084"/>
    <m/>
    <m/>
    <m/>
    <s v="Mar-24"/>
    <n v="13"/>
    <s v="2024"/>
  </r>
  <r>
    <d v="2024-03-28T00:00:00"/>
    <s v="Haleem Counter at Infosys Pocharam"/>
    <s v="Call"/>
    <s v="Corporate"/>
    <x v="0"/>
    <s v="Satya"/>
    <d v="2024-03-28T00:00:00"/>
    <n v="7520"/>
    <n v="7520"/>
    <x v="5"/>
    <x v="0"/>
    <x v="1"/>
    <s v="Closed"/>
    <m/>
    <n v="7520"/>
    <m/>
    <m/>
    <m/>
    <s v="Mar-24"/>
    <n v="13"/>
    <s v="2024"/>
  </r>
  <r>
    <d v="2024-03-28T00:00:00"/>
    <s v="Haleem Counter at Airport"/>
    <s v="Call"/>
    <s v="Corporate"/>
    <x v="17"/>
    <s v="Venkat"/>
    <d v="2024-03-28T00:00:00"/>
    <n v="8733"/>
    <n v="8733"/>
    <x v="5"/>
    <x v="0"/>
    <x v="1"/>
    <s v="Closed"/>
    <m/>
    <n v="8733"/>
    <m/>
    <m/>
    <m/>
    <s v="Mar-24"/>
    <n v="13"/>
    <s v="2024"/>
  </r>
  <r>
    <d v="2024-03-28T00:00:00"/>
    <s v="Option Matrix"/>
    <s v="Call"/>
    <s v="Corporate"/>
    <x v="0"/>
    <s v="Nayeem"/>
    <s v="Introduction to haleem and bulk orders"/>
    <n v="10000"/>
    <n v="0"/>
    <x v="9"/>
    <x v="0"/>
    <x v="0"/>
    <s v="Cancelled"/>
    <s v="No requirement"/>
    <n v="2000"/>
    <m/>
    <m/>
    <m/>
    <s v="Mar-24"/>
    <n v="13"/>
    <s v="2024"/>
  </r>
  <r>
    <d v="2024-03-28T00:00:00"/>
    <s v="Arrtesyn"/>
    <s v="F2F"/>
    <s v="Corporate"/>
    <x v="0"/>
    <s v="Venu Madhav"/>
    <s v="Introduction to team lunch and Haleem"/>
    <n v="8000"/>
    <n v="0"/>
    <x v="0"/>
    <x v="0"/>
    <x v="0"/>
    <s v="Cancelled"/>
    <s v="No requirement"/>
    <n v="1600"/>
    <m/>
    <m/>
    <m/>
    <s v="Mar-24"/>
    <n v="13"/>
    <s v="2024"/>
  </r>
  <r>
    <d v="2024-03-29T00:00:00"/>
    <s v="ODC at JNC Masjid Bangalore"/>
    <s v="Call"/>
    <s v="Events"/>
    <x v="8"/>
    <s v="Vinod"/>
    <s v="ODC at JCN Road on 29 March 2024"/>
    <n v="27576"/>
    <n v="27576"/>
    <x v="5"/>
    <x v="1"/>
    <x v="1"/>
    <s v="Closed"/>
    <m/>
    <n v="27576"/>
    <m/>
    <m/>
    <m/>
    <s v="Mar-24"/>
    <n v="13"/>
    <s v="2024"/>
  </r>
  <r>
    <d v="2024-03-29T00:00:00"/>
    <s v="Haleem Counter at Infosys Pocharam"/>
    <s v="Call"/>
    <s v="Corporate"/>
    <x v="0"/>
    <s v="Satya"/>
    <d v="2024-03-29T00:00:00"/>
    <n v="4010"/>
    <n v="4010"/>
    <x v="5"/>
    <x v="0"/>
    <x v="1"/>
    <s v="Closed"/>
    <m/>
    <n v="4010"/>
    <m/>
    <m/>
    <m/>
    <s v="Mar-24"/>
    <n v="13"/>
    <s v="2024"/>
  </r>
  <r>
    <d v="2024-03-29T00:00:00"/>
    <s v="Haleem Counter at Airport"/>
    <s v="Call"/>
    <s v="Corporate"/>
    <x v="17"/>
    <s v="Venkat"/>
    <d v="2024-03-29T00:00:00"/>
    <n v="10200"/>
    <n v="10200"/>
    <x v="5"/>
    <x v="0"/>
    <x v="1"/>
    <s v="Closed"/>
    <m/>
    <n v="10200"/>
    <m/>
    <m/>
    <m/>
    <s v="Mar-24"/>
    <n v="13"/>
    <s v="2024"/>
  </r>
  <r>
    <d v="2024-03-29T00:00:00"/>
    <s v="Delivery at Nacharam"/>
    <s v="Call"/>
    <s v="Events"/>
    <x v="10"/>
    <s v="Philip"/>
    <s v="Delivery of Nizami CB on 31 March 2024"/>
    <n v="2700"/>
    <n v="2700"/>
    <x v="5"/>
    <x v="0"/>
    <x v="1"/>
    <s v="Closed"/>
    <m/>
    <n v="0"/>
    <m/>
    <m/>
    <m/>
    <s v="Mar-24"/>
    <n v="13"/>
    <s v="2024"/>
  </r>
  <r>
    <d v="2024-03-29T00:00:00"/>
    <s v="Delivery at Dimond Districts Bangalore"/>
    <s v="Call"/>
    <s v="Events"/>
    <x v="10"/>
    <s v="Sanoj"/>
    <s v="Delivery of CB 30 March 2024"/>
    <n v="4600"/>
    <n v="4600"/>
    <x v="5"/>
    <x v="1"/>
    <x v="1"/>
    <s v="Closed"/>
    <m/>
    <n v="0"/>
    <m/>
    <m/>
    <m/>
    <s v="Mar-24"/>
    <n v="13"/>
    <s v="2024"/>
  </r>
  <r>
    <d v="2024-03-29T00:00:00"/>
    <s v="Hindustan Petrolium"/>
    <s v="F2F"/>
    <s v="Corporate"/>
    <x v="7"/>
    <s v="Anand"/>
    <s v="Introduction to Bulk order and Team lunch"/>
    <n v="12000"/>
    <n v="0"/>
    <x v="9"/>
    <x v="0"/>
    <x v="0"/>
    <s v="Cancelled"/>
    <s v="No requirement"/>
    <n v="2400"/>
    <m/>
    <m/>
    <m/>
    <s v="Mar-24"/>
    <n v="13"/>
    <s v="2024"/>
  </r>
  <r>
    <d v="2024-03-30T00:00:00"/>
    <s v="Haleem Counter at Airport"/>
    <s v="Call"/>
    <s v="Corporate"/>
    <x v="17"/>
    <s v="Venkat"/>
    <d v="2024-03-30T00:00:00"/>
    <n v="13781"/>
    <n v="13781"/>
    <x v="5"/>
    <x v="0"/>
    <x v="1"/>
    <s v="Closed"/>
    <m/>
    <n v="13781"/>
    <m/>
    <m/>
    <m/>
    <s v="Mar-24"/>
    <n v="13"/>
    <s v="2024"/>
  </r>
  <r>
    <d v="2024-03-30T00:00:00"/>
    <s v="ODC at JNC Masjid Bangalore"/>
    <s v="Call"/>
    <s v="Events"/>
    <x v="8"/>
    <s v="Vinod"/>
    <s v="ODC at JCN Road on 30 March 2024"/>
    <n v="34002"/>
    <n v="34002"/>
    <x v="5"/>
    <x v="1"/>
    <x v="1"/>
    <s v="Closed"/>
    <m/>
    <n v="34002"/>
    <m/>
    <m/>
    <m/>
    <s v="Mar-24"/>
    <n v="13"/>
    <s v="2024"/>
  </r>
  <r>
    <d v="2024-03-31T00:00:00"/>
    <s v="Haleem Counter at Airport"/>
    <s v="Call"/>
    <s v="Corporate"/>
    <x v="17"/>
    <s v="Venkat"/>
    <d v="2024-03-31T00:00:00"/>
    <n v="11939"/>
    <n v="11939"/>
    <x v="5"/>
    <x v="0"/>
    <x v="1"/>
    <s v="Closed"/>
    <m/>
    <n v="11939"/>
    <m/>
    <m/>
    <m/>
    <s v="Mar-24"/>
    <n v="13"/>
    <s v="2024"/>
  </r>
  <r>
    <d v="2024-03-31T00:00:00"/>
    <s v="Bulk Order at Nellore for TDP Party Meeting"/>
    <s v="Call"/>
    <s v="Events"/>
    <x v="8"/>
    <s v="Sai Kumar"/>
    <s v="Delivery of Haleem Family Pack"/>
    <n v="111833"/>
    <n v="111833"/>
    <x v="5"/>
    <x v="0"/>
    <x v="1"/>
    <s v="Closed"/>
    <m/>
    <n v="111833"/>
    <m/>
    <m/>
    <m/>
    <s v="Mar-24"/>
    <n v="13"/>
    <s v="2024"/>
  </r>
  <r>
    <d v="2024-03-31T00:00:00"/>
    <s v="Dine In at Shamshabad"/>
    <s v="Call"/>
    <s v="Events"/>
    <x v="10"/>
    <s v="Kazmi"/>
    <s v="Dine in at Shamshabad"/>
    <n v="5000"/>
    <n v="5000"/>
    <x v="5"/>
    <x v="0"/>
    <x v="1"/>
    <s v="Closed"/>
    <m/>
    <n v="1200"/>
    <m/>
    <m/>
    <m/>
    <s v="Mar-24"/>
    <n v="13"/>
    <s v="2024"/>
  </r>
  <r>
    <d v="2024-03-31T00:00:00"/>
    <s v="Delivery at Begumpet"/>
    <s v="Call"/>
    <s v="Events"/>
    <x v="10"/>
    <s v="Harika"/>
    <s v="Delivery of CB Handi on 1 April 2024"/>
    <n v="7500"/>
    <n v="0"/>
    <x v="0"/>
    <x v="0"/>
    <x v="0"/>
    <s v="Cancelled"/>
    <m/>
    <n v="0"/>
    <m/>
    <m/>
    <m/>
    <s v="Mar-24"/>
    <n v="13"/>
    <s v="2024"/>
  </r>
  <r>
    <d v="2024-03-31T00:00:00"/>
    <s v="ODC at JNC Masjid Bangalore"/>
    <s v="Call"/>
    <s v="Events"/>
    <x v="8"/>
    <s v="Vinod"/>
    <s v="ODC at JCN Road on 31 March 2024"/>
    <n v="29772"/>
    <n v="29772"/>
    <x v="5"/>
    <x v="1"/>
    <x v="1"/>
    <s v="Closed"/>
    <m/>
    <n v="29772"/>
    <m/>
    <m/>
    <m/>
    <s v="Mar-24"/>
    <n v="13"/>
    <s v="2024"/>
  </r>
  <r>
    <d v="2024-04-01T00:00:00"/>
    <s v="ODC at JNC Masjid Bangalore"/>
    <s v="Call"/>
    <s v="Events"/>
    <x v="8"/>
    <s v="Vinod"/>
    <s v="ODC at JCN Road on 1 April 2024"/>
    <n v="16176"/>
    <n v="16176"/>
    <x v="0"/>
    <x v="1"/>
    <x v="1"/>
    <s v="Closed"/>
    <m/>
    <n v="16176"/>
    <m/>
    <m/>
    <m/>
    <s v="Apr-24"/>
    <n v="14"/>
    <s v="2024"/>
  </r>
  <r>
    <d v="2024-04-01T00:00:00"/>
    <s v="Haleem Counter at Airport"/>
    <s v="Call"/>
    <s v="Corporate"/>
    <x v="17"/>
    <s v="Venkat"/>
    <n v="45383"/>
    <n v="11939"/>
    <n v="11939"/>
    <x v="0"/>
    <x v="0"/>
    <x v="1"/>
    <s v="Closed"/>
    <m/>
    <n v="11939"/>
    <m/>
    <m/>
    <m/>
    <s v="Apr-24"/>
    <n v="14"/>
    <s v="2024"/>
  </r>
  <r>
    <d v="2024-04-01T00:00:00"/>
    <s v="Haleem Counter at Infosys Pocharam"/>
    <s v="Call"/>
    <s v="Corporate"/>
    <x v="0"/>
    <s v="Satya"/>
    <n v="45383"/>
    <n v="7890"/>
    <n v="7890"/>
    <x v="0"/>
    <x v="0"/>
    <x v="1"/>
    <s v="Closed"/>
    <m/>
    <n v="7890"/>
    <m/>
    <m/>
    <m/>
    <s v="Apr-24"/>
    <n v="14"/>
    <s v="2024"/>
  </r>
  <r>
    <d v="2024-04-02T00:00:00"/>
    <s v="ODC at JNC Masjid Bangalore"/>
    <s v="Call"/>
    <s v="Events"/>
    <x v="8"/>
    <s v="Vinod"/>
    <s v="ODC at JCN Road on 2/4/2024"/>
    <n v="7614"/>
    <n v="7614"/>
    <x v="0"/>
    <x v="1"/>
    <x v="1"/>
    <s v="Closed"/>
    <m/>
    <n v="7614"/>
    <m/>
    <m/>
    <m/>
    <s v="Apr-24"/>
    <n v="14"/>
    <s v="2024"/>
  </r>
  <r>
    <d v="2024-04-02T00:00:00"/>
    <s v="Haleem Counter at Airport"/>
    <s v="Call"/>
    <s v="Corporate"/>
    <x v="17"/>
    <s v="Venkat"/>
    <d v="2024-04-02T00:00:00"/>
    <n v="5048"/>
    <n v="5048"/>
    <x v="0"/>
    <x v="0"/>
    <x v="1"/>
    <s v="Closed"/>
    <m/>
    <n v="5048"/>
    <m/>
    <m/>
    <m/>
    <s v="Apr-24"/>
    <n v="14"/>
    <s v="2024"/>
  </r>
  <r>
    <d v="2024-04-02T00:00:00"/>
    <s v="Haleem Counter at Infosys Pocharam"/>
    <s v="Call"/>
    <s v="Corporate"/>
    <x v="0"/>
    <s v="Satya"/>
    <d v="2024-04-02T00:00:00"/>
    <n v="7200"/>
    <n v="7200"/>
    <x v="0"/>
    <x v="0"/>
    <x v="1"/>
    <s v="Closed"/>
    <m/>
    <n v="7200"/>
    <m/>
    <m/>
    <m/>
    <s v="Apr-24"/>
    <n v="14"/>
    <s v="2024"/>
  </r>
  <r>
    <d v="2024-04-02T00:00:00"/>
    <s v="Delivery at Revolution Hitec City"/>
    <s v="F2F"/>
    <s v="Corporate"/>
    <x v="0"/>
    <s v="Shankar"/>
    <s v="Delivery for team Lunch"/>
    <n v="6000"/>
    <n v="6000"/>
    <x v="0"/>
    <x v="0"/>
    <x v="1"/>
    <s v="Closed"/>
    <m/>
    <n v="0"/>
    <m/>
    <m/>
    <m/>
    <s v="Apr-24"/>
    <n v="14"/>
    <s v="2024"/>
  </r>
  <r>
    <d v="2024-04-02T00:00:00"/>
    <s v="Wipro SEZ"/>
    <s v="F2F"/>
    <s v="Corporate"/>
    <x v="0"/>
    <s v="Mahendrakar"/>
    <s v="Haleem Counter on 3 April 2024"/>
    <n v="47308"/>
    <n v="47308"/>
    <x v="0"/>
    <x v="0"/>
    <x v="1"/>
    <s v="Closed"/>
    <m/>
    <n v="47308"/>
    <m/>
    <m/>
    <m/>
    <s v="Apr-24"/>
    <n v="14"/>
    <s v="2024"/>
  </r>
  <r>
    <d v="2024-04-02T00:00:00"/>
    <s v="Wipro Gopanpally"/>
    <s v="F2F"/>
    <s v="Corporate"/>
    <x v="0"/>
    <s v="Sujeet"/>
    <s v="Haleem Counter on 3 April 2024"/>
    <n v="20000"/>
    <n v="20000"/>
    <x v="0"/>
    <x v="0"/>
    <x v="1"/>
    <s v="Closed"/>
    <m/>
    <n v="20000"/>
    <m/>
    <m/>
    <m/>
    <s v="Apr-24"/>
    <n v="14"/>
    <s v="2024"/>
  </r>
  <r>
    <d v="2024-04-02T00:00:00"/>
    <s v="Wipro Mindspace"/>
    <s v="F2F"/>
    <s v="Corporate"/>
    <x v="0"/>
    <s v="Rajendra"/>
    <s v="Haleem Counter on 3 April 2024"/>
    <n v="4000"/>
    <n v="4000"/>
    <x v="0"/>
    <x v="0"/>
    <x v="1"/>
    <s v="Closed"/>
    <m/>
    <n v="4000"/>
    <m/>
    <m/>
    <m/>
    <s v="Apr-24"/>
    <n v="14"/>
    <s v="2024"/>
  </r>
  <r>
    <d v="2024-04-03T00:00:00"/>
    <s v="Delivery at Gudimalkapur"/>
    <s v="Call"/>
    <s v="Events"/>
    <x v="10"/>
    <s v="Aditya"/>
    <s v="Delivery of MB Handi on 4 April 2024"/>
    <n v="10500"/>
    <n v="10500"/>
    <x v="0"/>
    <x v="0"/>
    <x v="1"/>
    <s v="Closed"/>
    <m/>
    <n v="0"/>
    <m/>
    <m/>
    <m/>
    <s v="Apr-24"/>
    <n v="14"/>
    <s v="2024"/>
  </r>
  <r>
    <d v="2024-04-03T00:00:00"/>
    <s v="Haleem Counter at Infosys Pocharam"/>
    <s v="Call"/>
    <s v="Corporate"/>
    <x v="0"/>
    <s v="Satya"/>
    <d v="2024-04-03T00:00:00"/>
    <n v="6559"/>
    <n v="6559"/>
    <x v="0"/>
    <x v="0"/>
    <x v="1"/>
    <s v="Closed"/>
    <m/>
    <n v="6559"/>
    <m/>
    <m/>
    <m/>
    <s v="Apr-24"/>
    <n v="14"/>
    <s v="2024"/>
  </r>
  <r>
    <d v="2024-04-03T00:00:00"/>
    <s v="ODC at JNC Masjid Bangalore"/>
    <s v="Call"/>
    <s v="Events"/>
    <x v="8"/>
    <s v="Vinod"/>
    <s v="ODC at JCN Road on 3 April 2024"/>
    <n v="9246"/>
    <n v="9246"/>
    <x v="0"/>
    <x v="1"/>
    <x v="1"/>
    <s v="Closed"/>
    <m/>
    <n v="9246"/>
    <m/>
    <m/>
    <m/>
    <s v="Apr-24"/>
    <n v="14"/>
    <s v="2024"/>
  </r>
  <r>
    <d v="2024-04-03T00:00:00"/>
    <s v="Haleem Counter at Airport"/>
    <s v="Call"/>
    <s v="Corporate"/>
    <x v="17"/>
    <s v="Venkat"/>
    <d v="2024-04-03T00:00:00"/>
    <n v="11257"/>
    <n v="11257"/>
    <x v="0"/>
    <x v="0"/>
    <x v="1"/>
    <s v="Closed"/>
    <m/>
    <n v="11257"/>
    <m/>
    <m/>
    <m/>
    <s v="Apr-24"/>
    <n v="14"/>
    <s v="2024"/>
  </r>
  <r>
    <d v="2024-04-03T00:00:00"/>
    <s v="Delivery at Compass Group Bangalore"/>
    <s v="Call"/>
    <s v="Corporate"/>
    <x v="17"/>
    <s v="Pankaj"/>
    <s v="Delivery of Special CB &amp; MB Handi on 3 April 2024"/>
    <n v="39567"/>
    <n v="39567"/>
    <x v="0"/>
    <x v="1"/>
    <x v="1"/>
    <s v="Closed"/>
    <m/>
    <n v="0"/>
    <m/>
    <m/>
    <m/>
    <s v="Apr-24"/>
    <n v="14"/>
    <s v="2024"/>
  </r>
  <r>
    <d v="2024-04-04T00:00:00"/>
    <s v="Haleem Counter at Infosys Pocharam"/>
    <s v="Call"/>
    <s v="Corporate"/>
    <x v="0"/>
    <s v="Satya"/>
    <d v="2024-04-04T00:00:00"/>
    <n v="3669"/>
    <n v="3669"/>
    <x v="0"/>
    <x v="0"/>
    <x v="1"/>
    <s v="Closed"/>
    <m/>
    <n v="3669"/>
    <m/>
    <m/>
    <m/>
    <s v="Apr-24"/>
    <n v="14"/>
    <s v="2024"/>
  </r>
  <r>
    <d v="2024-04-04T00:00:00"/>
    <s v="ODC at JNC Masjid Bangalore"/>
    <s v="Call"/>
    <s v="Events"/>
    <x v="8"/>
    <s v="Vinod"/>
    <s v="ODC at JCN Road on 4/4/2024"/>
    <n v="11280"/>
    <n v="11280"/>
    <x v="0"/>
    <x v="1"/>
    <x v="1"/>
    <s v="Closed"/>
    <m/>
    <n v="11280"/>
    <m/>
    <m/>
    <m/>
    <s v="Apr-24"/>
    <n v="14"/>
    <s v="2024"/>
  </r>
  <r>
    <d v="2024-04-04T00:00:00"/>
    <s v="Haleem Counter at Airport"/>
    <s v="Call"/>
    <s v="Corporate"/>
    <x v="17"/>
    <s v="Venkat"/>
    <d v="2024-04-04T00:00:00"/>
    <n v="13781"/>
    <n v="13781"/>
    <x v="0"/>
    <x v="0"/>
    <x v="1"/>
    <s v="Closed"/>
    <m/>
    <n v="13781"/>
    <m/>
    <m/>
    <m/>
    <s v="Apr-24"/>
    <n v="14"/>
    <s v="2024"/>
  </r>
  <r>
    <d v="2024-04-04T00:00:00"/>
    <s v="Delivery at Kachiguda"/>
    <s v="Call"/>
    <s v="Corporate"/>
    <x v="1"/>
    <s v="Harish Patil"/>
    <s v="delivery of CB for Tourist group frpom maharashtra"/>
    <n v="5000"/>
    <n v="5000"/>
    <x v="0"/>
    <x v="0"/>
    <x v="1"/>
    <s v="Closed"/>
    <m/>
    <n v="0"/>
    <m/>
    <m/>
    <m/>
    <s v="Apr-24"/>
    <n v="14"/>
    <s v="2024"/>
  </r>
  <r>
    <d v="2024-04-05T00:00:00"/>
    <s v="Haleem Counter at Infosys Pocharam"/>
    <s v="Call"/>
    <s v="Corporate"/>
    <x v="0"/>
    <s v="Satya"/>
    <d v="2024-04-05T00:00:00"/>
    <n v="4380"/>
    <n v="4380"/>
    <x v="0"/>
    <x v="0"/>
    <x v="1"/>
    <s v="Closed"/>
    <m/>
    <n v="4380"/>
    <m/>
    <m/>
    <m/>
    <s v="Apr-24"/>
    <n v="14"/>
    <s v="2024"/>
  </r>
  <r>
    <d v="2024-04-05T00:00:00"/>
    <s v="ODC at JNC Masjid Bangalore"/>
    <s v="Call"/>
    <s v="Events"/>
    <x v="8"/>
    <s v="Vinod"/>
    <s v="ODC at JCN Road on 5/4/2024"/>
    <n v="19782"/>
    <n v="19782"/>
    <x v="0"/>
    <x v="1"/>
    <x v="1"/>
    <s v="Closed"/>
    <m/>
    <n v="19782"/>
    <m/>
    <m/>
    <m/>
    <s v="Apr-24"/>
    <n v="14"/>
    <s v="2024"/>
  </r>
  <r>
    <d v="2024-04-05T00:00:00"/>
    <s v="Haleem Counter at Airport"/>
    <s v="Call"/>
    <s v="Corporate"/>
    <x v="17"/>
    <s v="Venkat"/>
    <d v="2024-04-05T00:00:00"/>
    <n v="15624"/>
    <n v="15624"/>
    <x v="0"/>
    <x v="0"/>
    <x v="1"/>
    <s v="Closed"/>
    <m/>
    <n v="15624"/>
    <m/>
    <m/>
    <m/>
    <s v="Apr-24"/>
    <n v="14"/>
    <s v="2024"/>
  </r>
  <r>
    <d v="2024-04-05T00:00:00"/>
    <s v="Delivery at Nacharam"/>
    <s v="Call"/>
    <s v="Corporate"/>
    <x v="7"/>
    <s v="Sudheer"/>
    <s v="Decivery of CB and VB 35 Pax on 5 April 2024"/>
    <n v="6500"/>
    <n v="6500"/>
    <x v="0"/>
    <x v="0"/>
    <x v="1"/>
    <s v="Closed"/>
    <m/>
    <n v="0"/>
    <m/>
    <m/>
    <m/>
    <s v="Apr-24"/>
    <n v="14"/>
    <s v="2024"/>
  </r>
  <r>
    <d v="2024-04-05T00:00:00"/>
    <s v="Delivery ar Hosur Road"/>
    <s v="Call"/>
    <s v="Events"/>
    <x v="10"/>
    <s v="Shama"/>
    <s v="Delivery of CB on 05 April 2024"/>
    <n v="3500"/>
    <n v="3500"/>
    <x v="0"/>
    <x v="1"/>
    <x v="1"/>
    <s v="Closed"/>
    <m/>
    <n v="0"/>
    <m/>
    <m/>
    <m/>
    <s v="Apr-24"/>
    <n v="14"/>
    <s v="2024"/>
  </r>
  <r>
    <d v="2024-04-06T00:00:00"/>
    <s v="ODC at JNC Masjid Bangalore"/>
    <s v="Call"/>
    <s v="Events"/>
    <x v="8"/>
    <s v="Vinod"/>
    <s v="ODC at JCN Road on 6 April 2024"/>
    <n v="16039"/>
    <n v="16039"/>
    <x v="0"/>
    <x v="1"/>
    <x v="1"/>
    <s v="Closed"/>
    <m/>
    <n v="16039"/>
    <m/>
    <m/>
    <m/>
    <s v="Apr-24"/>
    <n v="14"/>
    <s v="2024"/>
  </r>
  <r>
    <d v="2024-04-06T00:00:00"/>
    <s v="Haleem Counter at Airport"/>
    <s v="Call"/>
    <s v="Corporate"/>
    <x v="17"/>
    <s v="Venkat"/>
    <d v="2024-04-06T00:00:00"/>
    <n v="15624"/>
    <n v="15624"/>
    <x v="0"/>
    <x v="0"/>
    <x v="1"/>
    <s v="Closed"/>
    <m/>
    <n v="15624"/>
    <m/>
    <m/>
    <m/>
    <s v="Apr-24"/>
    <n v="14"/>
    <s v="2024"/>
  </r>
  <r>
    <d v="2024-04-06T00:00:00"/>
    <s v="Delivery at Nalagandla"/>
    <s v="Call"/>
    <s v="Events"/>
    <x v="10"/>
    <s v="Udita"/>
    <s v="Deliverd CB from Gachibowli on 6 April 2024"/>
    <n v="3200"/>
    <n v="3200"/>
    <x v="0"/>
    <x v="0"/>
    <x v="1"/>
    <s v="Closed"/>
    <m/>
    <n v="0"/>
    <m/>
    <m/>
    <m/>
    <s v="Apr-24"/>
    <n v="14"/>
    <s v="2024"/>
  </r>
  <r>
    <d v="2024-04-06T00:00:00"/>
    <s v="Delivery at NTT Data"/>
    <s v="F2F"/>
    <s v="Corporate"/>
    <x v="0"/>
    <s v="Sania Mirza"/>
    <s v="Delivery from Inorbit Packed lunch on 11 April 2024"/>
    <n v="73100"/>
    <n v="0"/>
    <x v="0"/>
    <x v="0"/>
    <x v="0"/>
    <s v="Cancelled"/>
    <s v="Event Cancelled"/>
    <n v="0"/>
    <m/>
    <m/>
    <m/>
    <s v="Apr-24"/>
    <n v="14"/>
    <s v="2024"/>
  </r>
  <r>
    <d v="2024-04-06T00:00:00"/>
    <s v="Delivery from Heritage"/>
    <s v="Call"/>
    <s v="School"/>
    <x v="4"/>
    <s v="Sunita"/>
    <s v="Deliveryof 400 Mini CB on 11 April 2024"/>
    <n v="54900"/>
    <n v="54900"/>
    <x v="0"/>
    <x v="0"/>
    <x v="1"/>
    <s v="Closed"/>
    <m/>
    <n v="0"/>
    <m/>
    <m/>
    <m/>
    <s v="Apr-24"/>
    <n v="14"/>
    <s v="2024"/>
  </r>
  <r>
    <d v="2024-04-06T00:00:00"/>
    <s v="Delivery at Secundrabad"/>
    <s v="F2F"/>
    <s v="Corporate"/>
    <x v="1"/>
    <s v="Wasim"/>
    <s v="Delivery of Mini CB"/>
    <n v="88000"/>
    <n v="0"/>
    <x v="0"/>
    <x v="0"/>
    <x v="0"/>
    <s v="Cancelled"/>
    <s v="Meals with sweets, less budget "/>
    <n v="0"/>
    <m/>
    <m/>
    <m/>
    <s v="Apr-24"/>
    <n v="14"/>
    <s v="2024"/>
  </r>
  <r>
    <d v="2024-04-07T00:00:00"/>
    <s v="PTW"/>
    <s v="Call"/>
    <s v="Corporate"/>
    <x v="0"/>
    <s v="Mahesh"/>
    <s v="Delivery of 170 pax snacks on 10 April 2024"/>
    <n v="40000"/>
    <n v="0"/>
    <x v="0"/>
    <x v="0"/>
    <x v="0"/>
    <s v="Cancelled"/>
    <s v="Event Cancelled"/>
    <n v="0"/>
    <m/>
    <m/>
    <m/>
    <s v="Apr-24"/>
    <n v="14"/>
    <s v="2024"/>
  </r>
  <r>
    <d v="2024-04-07T00:00:00"/>
    <s v="ODC at JNC Masjid Bangalore"/>
    <s v="Call"/>
    <s v="Events"/>
    <x v="8"/>
    <s v="Vinod"/>
    <s v="ODC at JCN Road on 7 April 2024"/>
    <n v="16039"/>
    <n v="16039"/>
    <x v="0"/>
    <x v="1"/>
    <x v="1"/>
    <s v="Closed"/>
    <m/>
    <n v="16039"/>
    <m/>
    <m/>
    <m/>
    <s v="Apr-24"/>
    <n v="14"/>
    <s v="2024"/>
  </r>
  <r>
    <d v="2024-04-07T00:00:00"/>
    <s v="Haleem Counter at Airport"/>
    <s v="Call"/>
    <s v="Corporate"/>
    <x v="17"/>
    <s v="Venkat"/>
    <d v="2024-04-07T00:00:00"/>
    <n v="17465"/>
    <n v="17465"/>
    <x v="0"/>
    <x v="0"/>
    <x v="1"/>
    <s v="Closed"/>
    <m/>
    <n v="17465"/>
    <m/>
    <m/>
    <m/>
    <s v="Apr-24"/>
    <n v="14"/>
    <s v="2024"/>
  </r>
  <r>
    <d v="2024-04-07T00:00:00"/>
    <s v="Delivery at Bomanhally"/>
    <s v="Call"/>
    <s v="Events"/>
    <x v="10"/>
    <s v="Roopa"/>
    <s v="Delivery of CB on 12 April 2024"/>
    <n v="3500"/>
    <n v="3500"/>
    <x v="0"/>
    <x v="1"/>
    <x v="1"/>
    <s v="Closed"/>
    <m/>
    <n v="0"/>
    <m/>
    <m/>
    <m/>
    <s v="Apr-24"/>
    <n v="14"/>
    <s v="2024"/>
  </r>
  <r>
    <d v="2024-04-08T00:00:00"/>
    <s v="Haleem Counter at Infosys Pocharam"/>
    <s v="Call"/>
    <s v="Corporate"/>
    <x v="0"/>
    <s v="Satya"/>
    <d v="2024-04-08T00:00:00"/>
    <n v="1500"/>
    <n v="1500"/>
    <x v="0"/>
    <x v="0"/>
    <x v="1"/>
    <s v="Closed"/>
    <m/>
    <n v="1500"/>
    <m/>
    <m/>
    <m/>
    <s v="Apr-24"/>
    <n v="15"/>
    <s v="2024"/>
  </r>
  <r>
    <d v="2024-04-08T00:00:00"/>
    <s v="ODC at JNC Masjid Bangalore"/>
    <s v="Call"/>
    <s v="Events"/>
    <x v="8"/>
    <s v="Vinod"/>
    <s v="ODC at JCN Road on 8/4/2024"/>
    <n v="11160"/>
    <n v="11160"/>
    <x v="0"/>
    <x v="1"/>
    <x v="1"/>
    <s v="Closed"/>
    <m/>
    <n v="11160"/>
    <m/>
    <m/>
    <m/>
    <s v="Apr-24"/>
    <n v="15"/>
    <s v="2024"/>
  </r>
  <r>
    <d v="2024-04-08T00:00:00"/>
    <s v="Haleem Counter at Airport"/>
    <s v="Call"/>
    <s v="Corporate"/>
    <x v="17"/>
    <s v="Venkat"/>
    <d v="2024-04-08T00:00:00"/>
    <n v="17500"/>
    <n v="17500"/>
    <x v="0"/>
    <x v="0"/>
    <x v="1"/>
    <s v="Closed"/>
    <m/>
    <n v="17500"/>
    <m/>
    <m/>
    <m/>
    <s v="Apr-24"/>
    <n v="15"/>
    <s v="2024"/>
  </r>
  <r>
    <d v="2024-04-09T00:00:00"/>
    <s v="ODC at JNC Masjid Bangalore"/>
    <s v="Call"/>
    <s v="Events"/>
    <x v="8"/>
    <s v="Vinod"/>
    <s v="ODC at JCN Road on 9/4/2024"/>
    <n v="18432"/>
    <n v="18432"/>
    <x v="0"/>
    <x v="1"/>
    <x v="1"/>
    <s v="Closed"/>
    <m/>
    <n v="18432"/>
    <m/>
    <m/>
    <m/>
    <s v="Apr-24"/>
    <n v="15"/>
    <s v="2024"/>
  </r>
  <r>
    <d v="2024-04-09T00:00:00"/>
    <s v="Haleem Counter at Airport"/>
    <s v="Call"/>
    <s v="Corporate"/>
    <x v="17"/>
    <s v="Venkat"/>
    <d v="2024-04-04T00:00:00"/>
    <n v="17465"/>
    <n v="17465"/>
    <x v="0"/>
    <x v="0"/>
    <x v="1"/>
    <s v="Closed"/>
    <m/>
    <n v="17465"/>
    <m/>
    <m/>
    <m/>
    <s v="Apr-24"/>
    <n v="15"/>
    <s v="2024"/>
  </r>
  <r>
    <d v="2024-04-09T00:00:00"/>
    <s v="Delivery at Pragati Nagar"/>
    <s v="Call"/>
    <s v="Events"/>
    <x v="10"/>
    <s v="Sameer"/>
    <s v="Delivery of Mutton handi on 11 April 2024"/>
    <n v="10500"/>
    <n v="0"/>
    <x v="0"/>
    <x v="0"/>
    <x v="0"/>
    <s v="Cancelled"/>
    <s v="Procured Inhouse"/>
    <n v="0"/>
    <m/>
    <m/>
    <m/>
    <s v="Apr-24"/>
    <n v="15"/>
    <s v="2024"/>
  </r>
  <r>
    <d v="2024-04-09T00:00:00"/>
    <s v="Delivery at Compass Group Bangalore"/>
    <s v="Call"/>
    <s v="Corporate"/>
    <x v="17"/>
    <s v="Pankaj"/>
    <s v="Delivery of Special CB &amp; MB Handi on 10 April 2024"/>
    <n v="39622"/>
    <n v="39622"/>
    <x v="0"/>
    <x v="1"/>
    <x v="1"/>
    <s v="Closed"/>
    <m/>
    <n v="0"/>
    <m/>
    <m/>
    <m/>
    <s v="Apr-24"/>
    <n v="15"/>
    <s v="2024"/>
  </r>
  <r>
    <d v="2022-04-10T00:00:00"/>
    <s v="Haleem Counter at Airport"/>
    <s v="Call"/>
    <s v="Corporate"/>
    <x v="17"/>
    <s v="Venkat"/>
    <d v="2024-04-10T00:00:00"/>
    <n v="6800"/>
    <n v="6800"/>
    <x v="0"/>
    <x v="0"/>
    <x v="1"/>
    <s v="Closed"/>
    <m/>
    <n v="6800"/>
    <m/>
    <m/>
    <m/>
    <s v="Apr-22"/>
    <n v="14"/>
    <s v="2024"/>
  </r>
  <r>
    <d v="2022-04-10T00:00:00"/>
    <s v="ODC at JNC Masjid Bangalore"/>
    <s v="Call"/>
    <s v="Events"/>
    <x v="8"/>
    <s v="Vinod"/>
    <s v="ODC at JCN Road on 10/4/2024"/>
    <n v="16039"/>
    <n v="16039"/>
    <x v="0"/>
    <x v="1"/>
    <x v="1"/>
    <s v="Closed"/>
    <m/>
    <n v="16039"/>
    <m/>
    <m/>
    <m/>
    <s v="Apr-22"/>
    <n v="14"/>
    <s v="2024"/>
  </r>
  <r>
    <d v="2024-04-10T00:00:00"/>
    <s v="Delivery at Sithapalmandi"/>
    <s v="Call"/>
    <s v="Events"/>
    <x v="10"/>
    <s v="Kamal"/>
    <s v="MB and CB Delivery from RTC Branch on 11 April 2024"/>
    <n v="5900"/>
    <n v="5900"/>
    <x v="0"/>
    <x v="0"/>
    <x v="1"/>
    <s v="Closed"/>
    <m/>
    <n v="0"/>
    <m/>
    <m/>
    <m/>
    <s v="Apr-24"/>
    <n v="15"/>
    <s v="2024"/>
  </r>
  <r>
    <d v="2024-04-11T00:00:00"/>
    <s v="Haleem Counter at Airport"/>
    <s v="Call"/>
    <s v="Corporate"/>
    <x v="17"/>
    <s v="Venkat"/>
    <d v="2024-04-11T00:00:00"/>
    <n v="8733"/>
    <n v="8733"/>
    <x v="0"/>
    <x v="0"/>
    <x v="1"/>
    <s v="Closed"/>
    <m/>
    <n v="8733"/>
    <m/>
    <m/>
    <m/>
    <s v="Apr-24"/>
    <n v="15"/>
    <s v="2024"/>
  </r>
  <r>
    <d v="2024-04-12T00:00:00"/>
    <s v="Delivery from Malkajgiri Store"/>
    <s v="Call"/>
    <s v="Events"/>
    <x v="10"/>
    <s v="Mallikarjun"/>
    <s v="Delivery of haleem on 12/4/2024 at AS Rao Nagar"/>
    <n v="27545"/>
    <n v="27545"/>
    <x v="0"/>
    <x v="0"/>
    <x v="1"/>
    <s v="Closed"/>
    <m/>
    <n v="0"/>
    <m/>
    <m/>
    <m/>
    <s v="Apr-24"/>
    <n v="15"/>
    <s v="2024"/>
  </r>
  <r>
    <d v="2024-04-12T00:00:00"/>
    <s v="Haleem Counter at Airport"/>
    <s v="Call"/>
    <s v="Corporate"/>
    <x v="17"/>
    <s v="Venkat"/>
    <d v="2024-04-12T00:00:00"/>
    <n v="7533"/>
    <n v="7533"/>
    <x v="0"/>
    <x v="0"/>
    <x v="1"/>
    <s v="Closed"/>
    <m/>
    <n v="7533"/>
    <m/>
    <m/>
    <m/>
    <s v="Apr-24"/>
    <n v="15"/>
    <s v="2024"/>
  </r>
  <r>
    <d v="2024-04-12T00:00:00"/>
    <s v="ST John Hospital Banglore"/>
    <s v="Call"/>
    <s v="Corporate"/>
    <x v="13"/>
    <s v="Rajshekhar"/>
    <s v="Delivery for 30 PAX on 18 April2024"/>
    <n v="12268"/>
    <n v="12268"/>
    <x v="0"/>
    <x v="1"/>
    <x v="1"/>
    <s v="Closed"/>
    <m/>
    <n v="0"/>
    <m/>
    <m/>
    <m/>
    <s v="Apr-24"/>
    <n v="15"/>
    <s v="2024"/>
  </r>
  <r>
    <d v="2024-04-12T00:00:00"/>
    <s v="Ray Business Solutions"/>
    <s v="F2F"/>
    <s v="Corporate"/>
    <x v="0"/>
    <s v="Karthik Reddy"/>
    <s v="Introduction to Bulk order and Team lunch"/>
    <n v="10000"/>
    <n v="0"/>
    <x v="9"/>
    <x v="0"/>
    <x v="0"/>
    <s v="Cancelled"/>
    <s v="No requirement"/>
    <n v="0"/>
    <m/>
    <m/>
    <m/>
    <s v="Apr-24"/>
    <n v="15"/>
    <s v="2024"/>
  </r>
  <r>
    <d v="2024-04-13T00:00:00"/>
    <s v="Delivery at Miyapur"/>
    <s v="Call"/>
    <s v="Events"/>
    <x v="10"/>
    <s v="Arvind Reddy"/>
    <s v="CB and VB Handi from BHEL on 13 April 2024"/>
    <n v="11800"/>
    <n v="11800"/>
    <x v="0"/>
    <x v="0"/>
    <x v="1"/>
    <s v="Closed"/>
    <m/>
    <n v="0"/>
    <m/>
    <m/>
    <m/>
    <s v="Apr-24"/>
    <n v="15"/>
    <s v="2024"/>
  </r>
  <r>
    <d v="2024-04-13T00:00:00"/>
    <s v="Bits Pilani"/>
    <s v="F2F"/>
    <s v="College"/>
    <x v="4"/>
    <s v="Afkham"/>
    <s v="Delivery of M Haleem on 11 April 2024 at Bits Pilani"/>
    <n v="46271"/>
    <n v="46271"/>
    <x v="0"/>
    <x v="0"/>
    <x v="1"/>
    <s v="Closed"/>
    <m/>
    <n v="8000"/>
    <m/>
    <m/>
    <m/>
    <s v="Apr-24"/>
    <n v="15"/>
    <s v="2024"/>
  </r>
  <r>
    <d v="2024-04-13T00:00:00"/>
    <s v="Haleem Counter at Airport"/>
    <s v="Call"/>
    <s v="Corporate"/>
    <x v="17"/>
    <s v="Venkat"/>
    <d v="2024-04-13T00:00:00"/>
    <n v="9415"/>
    <n v="9415"/>
    <x v="0"/>
    <x v="0"/>
    <x v="1"/>
    <s v="Closed"/>
    <m/>
    <n v="9415"/>
    <m/>
    <m/>
    <m/>
    <s v="Apr-24"/>
    <n v="15"/>
    <s v="2024"/>
  </r>
  <r>
    <d v="2024-04-14T00:00:00"/>
    <s v="Haleem Counter at Airport"/>
    <s v="Call"/>
    <s v="Corporate"/>
    <x v="17"/>
    <s v="Venkat"/>
    <d v="2024-04-14T00:00:00"/>
    <n v="8733"/>
    <n v="8733"/>
    <x v="0"/>
    <x v="0"/>
    <x v="1"/>
    <s v="Closed"/>
    <m/>
    <n v="8733"/>
    <m/>
    <m/>
    <m/>
    <s v="Apr-24"/>
    <n v="15"/>
    <s v="2024"/>
  </r>
  <r>
    <d v="2024-04-15T00:00:00"/>
    <s v="ODC at Intel Bangalore Day 1"/>
    <s v="Call"/>
    <s v="Corporate"/>
    <x v="0"/>
    <s v="Vijay"/>
    <s v="ODC On 15 April 2024"/>
    <n v="25784"/>
    <n v="25784"/>
    <x v="0"/>
    <x v="1"/>
    <x v="1"/>
    <s v="Closed"/>
    <m/>
    <n v="0"/>
    <m/>
    <m/>
    <m/>
    <s v="Apr-24"/>
    <n v="16"/>
    <s v="2024"/>
  </r>
  <r>
    <d v="2024-04-15T00:00:00"/>
    <s v="Haleem Counter at Airport"/>
    <s v="Call"/>
    <s v="Corporate"/>
    <x v="17"/>
    <s v="Venkat"/>
    <d v="2024-04-15T00:00:00"/>
    <n v="8733"/>
    <n v="8733"/>
    <x v="0"/>
    <x v="0"/>
    <x v="1"/>
    <s v="Closed"/>
    <m/>
    <n v="8733"/>
    <m/>
    <m/>
    <m/>
    <s v="Apr-24"/>
    <n v="16"/>
    <s v="2024"/>
  </r>
  <r>
    <d v="2024-04-15T00:00:00"/>
    <s v="JP Morgan"/>
    <s v="F2F"/>
    <s v="Corporate"/>
    <x v="0"/>
    <s v="Ajay"/>
    <s v="Introduction and shared quote for upcoming event"/>
    <n v="12000"/>
    <n v="0"/>
    <x v="4"/>
    <x v="1"/>
    <x v="0"/>
    <s v="Cancelled"/>
    <s v="No requirement"/>
    <n v="0"/>
    <m/>
    <m/>
    <m/>
    <s v="Apr-24"/>
    <n v="16"/>
    <s v="2024"/>
  </r>
  <r>
    <d v="2024-04-15T00:00:00"/>
    <s v="Platos"/>
    <s v="F2F"/>
    <s v="Corporate"/>
    <x v="17"/>
    <s v="Rohan"/>
    <s v="Shared details for Take away and Delivery to Knowledge city"/>
    <n v="30000"/>
    <n v="0"/>
    <x v="8"/>
    <x v="0"/>
    <x v="0"/>
    <s v="Cancelled"/>
    <s v="No requirement"/>
    <n v="0"/>
    <m/>
    <m/>
    <m/>
    <s v="Apr-24"/>
    <n v="16"/>
    <s v="2024"/>
  </r>
  <r>
    <d v="2024-04-15T00:00:00"/>
    <s v="Delivery at Nad Vizag"/>
    <s v="Call"/>
    <s v="Events"/>
    <x v="10"/>
    <s v="Ramesh"/>
    <s v="Deliverd CB on 15 April 2024"/>
    <n v="3500"/>
    <n v="3500"/>
    <x v="0"/>
    <x v="0"/>
    <x v="1"/>
    <s v="Closed"/>
    <m/>
    <n v="0"/>
    <m/>
    <m/>
    <m/>
    <s v="Apr-24"/>
    <n v="16"/>
    <s v="2024"/>
  </r>
  <r>
    <d v="2024-04-16T00:00:00"/>
    <s v="Haleem Counter at Airport"/>
    <s v="Call"/>
    <s v="Corporate"/>
    <x v="17"/>
    <s v="Venkat"/>
    <d v="2024-04-16T00:00:00"/>
    <n v="8733"/>
    <n v="8733"/>
    <x v="0"/>
    <x v="0"/>
    <x v="1"/>
    <s v="Closed"/>
    <m/>
    <n v="8733"/>
    <m/>
    <m/>
    <m/>
    <s v="Apr-24"/>
    <n v="16"/>
    <s v="2024"/>
  </r>
  <r>
    <d v="2024-04-16T00:00:00"/>
    <s v="Delivery at Arisan Gurgaon"/>
    <s v="Call"/>
    <s v="Corporate"/>
    <x v="0"/>
    <s v="Vikas Sinha"/>
    <s v="Delivery of CB &amp; VB for team lunch from MG Road on 19 April 2024"/>
    <n v="28000"/>
    <n v="0"/>
    <x v="0"/>
    <x v="0"/>
    <x v="0"/>
    <s v="Cancelled"/>
    <s v="Event Cancelled"/>
    <n v="0"/>
    <m/>
    <m/>
    <m/>
    <s v="Apr-24"/>
    <n v="16"/>
    <s v="2024"/>
  </r>
  <r>
    <d v="2024-04-16T00:00:00"/>
    <s v="Delivery at Compass Group Bangalore"/>
    <s v="Call"/>
    <s v="Corporate"/>
    <x v="17"/>
    <s v="Pankaj"/>
    <s v="Delivery of Special CB &amp; MB Handi on 17 April 2024"/>
    <n v="40117"/>
    <n v="40117"/>
    <x v="0"/>
    <x v="1"/>
    <x v="1"/>
    <s v="Closed"/>
    <m/>
    <n v="0"/>
    <m/>
    <m/>
    <m/>
    <s v="Apr-24"/>
    <n v="16"/>
    <s v="2024"/>
  </r>
  <r>
    <d v="2024-04-16T00:00:00"/>
    <s v="ODC at Intel Bangalore Day 2"/>
    <s v="Call"/>
    <s v="Corporate"/>
    <x v="0"/>
    <s v="Vijay"/>
    <s v="ODC On 16 April 2024"/>
    <n v="23173"/>
    <n v="23173"/>
    <x v="0"/>
    <x v="1"/>
    <x v="1"/>
    <s v="Closed"/>
    <m/>
    <n v="0"/>
    <m/>
    <m/>
    <m/>
    <s v="Apr-24"/>
    <n v="16"/>
    <s v="2024"/>
  </r>
  <r>
    <d v="2024-04-17T00:00:00"/>
    <s v="ODC at Intel Bangalore Day 3"/>
    <s v="Call"/>
    <s v="Corporate"/>
    <x v="0"/>
    <s v="Vijay"/>
    <s v="ODC On 17 April 2024"/>
    <n v="6241"/>
    <n v="6241"/>
    <x v="0"/>
    <x v="1"/>
    <x v="1"/>
    <s v="Closed"/>
    <m/>
    <n v="0"/>
    <m/>
    <m/>
    <m/>
    <s v="Apr-24"/>
    <n v="16"/>
    <s v="2024"/>
  </r>
  <r>
    <d v="2024-04-17T00:00:00"/>
    <s v="Haleem Counter at Airport"/>
    <s v="Call"/>
    <s v="Corporate"/>
    <x v="17"/>
    <s v="Venkat"/>
    <d v="2024-04-17T00:00:00"/>
    <n v="6208"/>
    <n v="6208"/>
    <x v="0"/>
    <x v="0"/>
    <x v="1"/>
    <s v="Closed"/>
    <m/>
    <n v="6208"/>
    <m/>
    <m/>
    <m/>
    <s v="Apr-24"/>
    <n v="16"/>
    <s v="2024"/>
  </r>
  <r>
    <d v="2024-04-17T00:00:00"/>
    <s v="Nizam Club Hyderabad"/>
    <s v="F2F"/>
    <s v="Corporate"/>
    <x v="8"/>
    <s v="Dr Mrudula"/>
    <s v="Delicery of CB on 23/4/2024"/>
    <n v="10000"/>
    <n v="0"/>
    <x v="0"/>
    <x v="0"/>
    <x v="0"/>
    <s v="Cancelled"/>
    <s v="Event Cancelled"/>
    <n v="0"/>
    <m/>
    <m/>
    <m/>
    <s v="Apr-24"/>
    <n v="16"/>
    <s v="2024"/>
  </r>
  <r>
    <d v="2024-04-17T00:00:00"/>
    <s v="ODC at Airforce Academy, Dundigal"/>
    <s v="Call"/>
    <s v="Corporate"/>
    <x v="22"/>
    <s v="Aneesh Agarwal"/>
    <s v="ODC weekly 2-3 days based on survey order"/>
    <n v="30000"/>
    <n v="0"/>
    <x v="8"/>
    <x v="0"/>
    <x v="0"/>
    <s v="Cancelled"/>
    <s v="No requirement"/>
    <n v="0"/>
    <m/>
    <m/>
    <m/>
    <s v="Apr-24"/>
    <n v="16"/>
    <s v="2024"/>
  </r>
  <r>
    <d v="2024-04-17T00:00:00"/>
    <s v="Johndeer"/>
    <s v="F2F"/>
    <s v="Corporate"/>
    <x v="9"/>
    <s v="Srinivas"/>
    <s v="Introduction to Bulk order and Team lunch"/>
    <n v="10000"/>
    <n v="0"/>
    <x v="9"/>
    <x v="0"/>
    <x v="0"/>
    <s v="Cancelled"/>
    <s v="No requirement"/>
    <n v="0"/>
    <m/>
    <m/>
    <m/>
    <s v="Apr-24"/>
    <n v="16"/>
    <s v="2024"/>
  </r>
  <r>
    <d v="2024-04-18T00:00:00"/>
    <s v="Haleem Counter at Airport"/>
    <s v="Call"/>
    <s v="Corporate"/>
    <x v="17"/>
    <s v="Venkat"/>
    <d v="2024-04-18T00:00:00"/>
    <n v="5526"/>
    <n v="5526"/>
    <x v="0"/>
    <x v="0"/>
    <x v="1"/>
    <s v="Closed"/>
    <m/>
    <n v="5526"/>
    <m/>
    <m/>
    <m/>
    <s v="Apr-24"/>
    <n v="16"/>
    <s v="2024"/>
  </r>
  <r>
    <d v="2024-04-18T00:00:00"/>
    <s v="Sumatra Infracon "/>
    <s v="F2F"/>
    <s v="Corporate"/>
    <x v="15"/>
    <s v="Bhanu"/>
    <s v="Introduction to bulk order and Gifting"/>
    <n v="10000"/>
    <n v="0"/>
    <x v="9"/>
    <x v="0"/>
    <x v="0"/>
    <s v="Cancelled"/>
    <s v="No requirement"/>
    <n v="0"/>
    <m/>
    <m/>
    <m/>
    <s v="Apr-24"/>
    <n v="16"/>
    <s v="2024"/>
  </r>
  <r>
    <d v="2024-04-18T00:00:00"/>
    <s v="IMI Mobiles"/>
    <s v="F2F"/>
    <s v="Corporate"/>
    <x v="0"/>
    <s v="Pavan"/>
    <s v="Introduction to team lunch "/>
    <n v="12000"/>
    <n v="0"/>
    <x v="9"/>
    <x v="0"/>
    <x v="0"/>
    <s v="Cancelled"/>
    <s v="No requirement"/>
    <n v="0"/>
    <m/>
    <m/>
    <m/>
    <s v="Apr-24"/>
    <n v="16"/>
    <s v="2024"/>
  </r>
  <r>
    <d v="2024-04-18T00:00:00"/>
    <s v="Apollo College of Pharmacy"/>
    <s v="Call"/>
    <s v="College"/>
    <x v="4"/>
    <s v="Anwar"/>
    <s v="Introduction to bulk order"/>
    <n v="10000"/>
    <n v="0"/>
    <x v="9"/>
    <x v="0"/>
    <x v="0"/>
    <s v="Cancelled"/>
    <s v="No requirement"/>
    <n v="0"/>
    <m/>
    <m/>
    <m/>
    <s v="Apr-24"/>
    <n v="16"/>
    <s v="2024"/>
  </r>
  <r>
    <d v="2024-04-18T00:00:00"/>
    <s v="Tech Mahindra"/>
    <s v="Call"/>
    <s v="Corporate"/>
    <x v="0"/>
    <s v="Mohsin"/>
    <s v="Introduction to bulk orders"/>
    <n v="15000"/>
    <n v="0"/>
    <x v="9"/>
    <x v="0"/>
    <x v="0"/>
    <s v="Cancelled"/>
    <s v="No requirement"/>
    <n v="0"/>
    <m/>
    <m/>
    <m/>
    <s v="Apr-24"/>
    <n v="16"/>
    <s v="2024"/>
  </r>
  <r>
    <d v="2024-04-18T00:00:00"/>
    <s v="ODC at Intel Bangalore Day 4"/>
    <s v="Call"/>
    <s v="Corporate"/>
    <x v="0"/>
    <s v="Vijay"/>
    <s v="ODC On 18 April 2024"/>
    <n v="9350"/>
    <n v="9350"/>
    <x v="0"/>
    <x v="1"/>
    <x v="1"/>
    <s v="Closed"/>
    <m/>
    <n v="0"/>
    <m/>
    <m/>
    <m/>
    <s v="Apr-24"/>
    <n v="16"/>
    <s v="2024"/>
  </r>
  <r>
    <d v="2024-04-18T00:00:00"/>
    <s v="Delivery at Accenture Bangalore"/>
    <s v="Call"/>
    <s v="Corporate"/>
    <x v="0"/>
    <s v="Shiva"/>
    <s v="Delivered 75CB and 25VB from HSR Branch"/>
    <n v="25656"/>
    <n v="25656"/>
    <x v="0"/>
    <x v="1"/>
    <x v="1"/>
    <s v="Closed"/>
    <m/>
    <n v="0"/>
    <m/>
    <m/>
    <m/>
    <s v="Apr-24"/>
    <n v="16"/>
    <s v="2024"/>
  </r>
  <r>
    <d v="2024-04-19T00:00:00"/>
    <s v="ODC at JP Morgan Bangalore"/>
    <s v="Call"/>
    <s v="Corporate"/>
    <x v="0"/>
    <s v="Shiva"/>
    <s v="ODC on 19 April 2024"/>
    <n v="170000"/>
    <n v="170000"/>
    <x v="0"/>
    <x v="1"/>
    <x v="1"/>
    <s v="Closed"/>
    <m/>
    <n v="0"/>
    <m/>
    <m/>
    <m/>
    <s v="Apr-24"/>
    <n v="16"/>
    <s v="2024"/>
  </r>
  <r>
    <d v="2024-04-19T00:00:00"/>
    <s v="Wells Fargo"/>
    <s v="Call"/>
    <s v="Corporate"/>
    <x v="0"/>
    <s v="Sailesh Kumar Dash"/>
    <s v="Introduction to Bulk Order at Bangalore"/>
    <n v="10000"/>
    <n v="0"/>
    <x v="9"/>
    <x v="1"/>
    <x v="0"/>
    <s v="Cancelled"/>
    <s v="No requirement"/>
    <n v="0"/>
    <m/>
    <m/>
    <m/>
    <s v="Apr-24"/>
    <n v="16"/>
    <s v="2024"/>
  </r>
  <r>
    <d v="2024-04-19T00:00:00"/>
    <s v="ODC at Intel Bangalore Day 5"/>
    <s v="Call"/>
    <s v="Corporate"/>
    <x v="0"/>
    <s v="Vijay"/>
    <s v="ODC On 19 April 2024"/>
    <n v="14568"/>
    <n v="14568"/>
    <x v="0"/>
    <x v="1"/>
    <x v="1"/>
    <s v="Closed"/>
    <m/>
    <n v="0"/>
    <m/>
    <m/>
    <m/>
    <s v="Apr-24"/>
    <n v="16"/>
    <s v="2024"/>
  </r>
  <r>
    <d v="2024-04-19T00:00:00"/>
    <s v="Haleem Counter at Airport"/>
    <s v="Call"/>
    <s v="Corporate"/>
    <x v="17"/>
    <s v="Venkat"/>
    <d v="2024-04-19T00:00:00"/>
    <n v="7368"/>
    <n v="7368"/>
    <x v="0"/>
    <x v="0"/>
    <x v="1"/>
    <s v="Closed"/>
    <m/>
    <n v="7368"/>
    <m/>
    <m/>
    <m/>
    <s v="Apr-24"/>
    <n v="16"/>
    <s v="2024"/>
  </r>
  <r>
    <d v="2024-04-19T00:00:00"/>
    <s v="Brain Box Media Solutions"/>
    <s v="Call"/>
    <s v="Corporate"/>
    <x v="3"/>
    <s v="Mr. Vivek"/>
    <s v="Introduction to bulk delivery in events"/>
    <n v="20000"/>
    <n v="0"/>
    <x v="9"/>
    <x v="1"/>
    <x v="0"/>
    <s v="Cancelled"/>
    <s v="No requirement"/>
    <n v="0"/>
    <m/>
    <m/>
    <m/>
    <s v="Apr-24"/>
    <n v="16"/>
    <s v="2024"/>
  </r>
  <r>
    <d v="2024-04-19T00:00:00"/>
    <s v="Crystal Events"/>
    <s v="Call"/>
    <s v="Corporate"/>
    <x v="3"/>
    <s v="Mr. Shasha"/>
    <s v="Introduction to bulk delivery in events"/>
    <n v="12000"/>
    <n v="0"/>
    <x v="9"/>
    <x v="1"/>
    <x v="0"/>
    <s v="Cancelled"/>
    <s v="No requirement"/>
    <n v="0"/>
    <m/>
    <m/>
    <m/>
    <s v="Apr-24"/>
    <n v="16"/>
    <s v="2024"/>
  </r>
  <r>
    <d v="2024-04-19T00:00:00"/>
    <s v="Verni Events"/>
    <s v="Call"/>
    <s v="Corporate"/>
    <x v="3"/>
    <s v="Mr. Rakesh Naidu"/>
    <s v="Introduction to bulk delivery in events"/>
    <n v="10000"/>
    <n v="0"/>
    <x v="9"/>
    <x v="1"/>
    <x v="0"/>
    <s v="Cancelled"/>
    <s v="No requirement"/>
    <n v="0"/>
    <m/>
    <m/>
    <m/>
    <s v="Apr-24"/>
    <n v="16"/>
    <s v="2024"/>
  </r>
  <r>
    <d v="2024-04-19T00:00:00"/>
    <s v="Pixemo Studios ( Wedding Event Organizer)"/>
    <s v="Call"/>
    <s v="Corporate"/>
    <x v="3"/>
    <s v="Aswin Kumar."/>
    <s v="Introduction to bulk delivery in events"/>
    <n v="15000"/>
    <n v="0"/>
    <x v="9"/>
    <x v="1"/>
    <x v="0"/>
    <s v="Cancelled"/>
    <s v="No requirement"/>
    <n v="0"/>
    <m/>
    <m/>
    <m/>
    <s v="Apr-24"/>
    <n v="16"/>
    <s v="2024"/>
  </r>
  <r>
    <d v="2024-04-19T00:00:00"/>
    <s v="E'Blitz Events"/>
    <s v="Call"/>
    <s v="Corporate"/>
    <x v="3"/>
    <s v="Amit Melven"/>
    <s v="Introduction to bulk delivery in events"/>
    <n v="18000"/>
    <n v="0"/>
    <x v="9"/>
    <x v="1"/>
    <x v="0"/>
    <s v="Cancelled"/>
    <s v="No requirement"/>
    <n v="0"/>
    <m/>
    <m/>
    <m/>
    <s v="Apr-24"/>
    <n v="16"/>
    <s v="2024"/>
  </r>
  <r>
    <d v="2024-04-19T00:00:00"/>
    <s v="Pipedipper Events"/>
    <s v="Call"/>
    <s v="Corporate"/>
    <x v="3"/>
    <s v="Ms. Sara Lobo"/>
    <s v="Introduction to bulk delivery in events"/>
    <n v="11000"/>
    <n v="0"/>
    <x v="9"/>
    <x v="1"/>
    <x v="0"/>
    <s v="Cancelled"/>
    <s v="No requirement"/>
    <n v="0"/>
    <m/>
    <m/>
    <m/>
    <s v="Apr-24"/>
    <n v="16"/>
    <s v="2024"/>
  </r>
  <r>
    <d v="2024-04-20T00:00:00"/>
    <s v="Haleem Counter at Airport"/>
    <s v="Call"/>
    <s v="Corporate"/>
    <x v="17"/>
    <s v="Venkat"/>
    <d v="2024-04-20T00:00:00"/>
    <n v="8288"/>
    <n v="8288"/>
    <x v="0"/>
    <x v="0"/>
    <x v="1"/>
    <s v="Closed"/>
    <m/>
    <n v="8288"/>
    <m/>
    <m/>
    <m/>
    <s v="Apr-24"/>
    <n v="16"/>
    <s v="2024"/>
  </r>
  <r>
    <d v="2024-04-21T00:00:00"/>
    <s v="Haleem Counter at Airport"/>
    <s v="Call"/>
    <s v="Corporate"/>
    <x v="17"/>
    <s v="Venkat"/>
    <d v="2024-04-21T00:00:00"/>
    <n v="3684"/>
    <n v="3684"/>
    <x v="0"/>
    <x v="0"/>
    <x v="1"/>
    <s v="Closed"/>
    <m/>
    <n v="3484"/>
    <m/>
    <m/>
    <m/>
    <s v="Apr-24"/>
    <n v="16"/>
    <s v="2024"/>
  </r>
  <r>
    <d v="2024-04-22T00:00:00"/>
    <s v="Haleem Counter at Airport"/>
    <s v="Call"/>
    <s v="Corporate"/>
    <x v="17"/>
    <s v="Venkat"/>
    <d v="2024-04-22T00:00:00"/>
    <n v="5526"/>
    <n v="5526"/>
    <x v="0"/>
    <x v="0"/>
    <x v="1"/>
    <s v="Closed"/>
    <m/>
    <n v="5526"/>
    <m/>
    <m/>
    <m/>
    <s v="Apr-24"/>
    <n v="17"/>
    <s v="2024"/>
  </r>
  <r>
    <d v="2024-04-22T00:00:00"/>
    <s v="Intertrust Group"/>
    <s v="F2F"/>
    <s v="Corporate"/>
    <x v="21"/>
    <s v="Gaurav"/>
    <s v="Discussion about stall in their cafateria and bulk delivery"/>
    <n v="30000"/>
    <n v="0"/>
    <x v="9"/>
    <x v="1"/>
    <x v="0"/>
    <s v="Cancelled"/>
    <s v="No requirement"/>
    <n v="0"/>
    <m/>
    <m/>
    <m/>
    <s v="Apr-24"/>
    <n v="17"/>
    <s v="2024"/>
  </r>
  <r>
    <d v="2024-04-22T00:00:00"/>
    <s v="BDO Rise Pvt LTD"/>
    <s v="F2F"/>
    <s v="Corporate"/>
    <x v="21"/>
    <s v="Suman"/>
    <s v="Shared introduction about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2T00:00:00"/>
    <s v="Mphasis"/>
    <s v="F2F"/>
    <s v="Corporate"/>
    <x v="0"/>
    <s v="Srinivas Gupta"/>
    <s v="Introduction to bulk delivery for team lunch"/>
    <n v="22000"/>
    <n v="0"/>
    <x v="9"/>
    <x v="1"/>
    <x v="0"/>
    <s v="Cancelled"/>
    <s v="No requirement"/>
    <n v="0"/>
    <m/>
    <m/>
    <m/>
    <s v="Apr-24"/>
    <n v="17"/>
    <s v="2024"/>
  </r>
  <r>
    <d v="2024-04-22T00:00:00"/>
    <s v="Show time events"/>
    <s v="F2F"/>
    <s v="Corporate"/>
    <x v="3"/>
    <s v="Mr.Boris G.Felsinger"/>
    <s v="Introduction to bulk delivery in events"/>
    <n v="22000"/>
    <n v="0"/>
    <x v="9"/>
    <x v="1"/>
    <x v="0"/>
    <s v="Cancelled"/>
    <s v="No requirement"/>
    <n v="0"/>
    <m/>
    <m/>
    <m/>
    <s v="Apr-24"/>
    <n v="17"/>
    <s v="2024"/>
  </r>
  <r>
    <d v="2024-04-23T00:00:00"/>
    <s v="UM Freshworks(Compass Group)"/>
    <s v="F2F"/>
    <s v="Corporate"/>
    <x v="17"/>
    <s v="Pankaj"/>
    <s v="Relationship call"/>
    <n v="0"/>
    <n v="0"/>
    <x v="9"/>
    <x v="1"/>
    <x v="0"/>
    <s v="Cancelled"/>
    <s v="No requirement"/>
    <n v="0"/>
    <m/>
    <m/>
    <m/>
    <s v="Apr-24"/>
    <n v="17"/>
    <s v="2024"/>
  </r>
  <r>
    <d v="2024-04-23T00:00:00"/>
    <s v="Haleem Counter at Airport"/>
    <s v="Call"/>
    <s v="Corporate"/>
    <x v="17"/>
    <s v="Venkat"/>
    <d v="2024-04-23T00:00:00"/>
    <n v="5526"/>
    <n v="5526"/>
    <x v="0"/>
    <x v="0"/>
    <x v="1"/>
    <s v="Closed"/>
    <m/>
    <n v="5526"/>
    <m/>
    <m/>
    <m/>
    <s v="Apr-24"/>
    <n v="17"/>
    <s v="2024"/>
  </r>
  <r>
    <d v="2024-04-23T00:00:00"/>
    <s v="Whatfix"/>
    <s v="F2F"/>
    <s v="Corporate"/>
    <x v="0"/>
    <s v="Manikandan"/>
    <s v="Introduction to Bulk order and ODC"/>
    <n v="28000"/>
    <n v="0"/>
    <x v="9"/>
    <x v="1"/>
    <x v="0"/>
    <s v="Cancelled"/>
    <s v="No requirement"/>
    <n v="0"/>
    <m/>
    <m/>
    <m/>
    <s v="Apr-24"/>
    <n v="17"/>
    <s v="2024"/>
  </r>
  <r>
    <d v="2024-04-23T00:00:00"/>
    <s v="Khatabook"/>
    <s v="F2F"/>
    <s v="Corporate"/>
    <x v="21"/>
    <s v="Sanjeev"/>
    <s v="Introduction to Bulk order and ODC"/>
    <n v="18000"/>
    <n v="0"/>
    <x v="9"/>
    <x v="1"/>
    <x v="0"/>
    <s v="Cancelled"/>
    <s v="No requirement"/>
    <n v="0"/>
    <m/>
    <m/>
    <m/>
    <s v="Apr-24"/>
    <n v="17"/>
    <s v="2024"/>
  </r>
  <r>
    <d v="2024-04-23T00:00:00"/>
    <s v="ST John Hospital Banglore"/>
    <s v="F2F"/>
    <s v="Corporate"/>
    <x v="13"/>
    <s v="Rajshekhar"/>
    <s v="Relationship call"/>
    <n v="0"/>
    <n v="0"/>
    <x v="9"/>
    <x v="1"/>
    <x v="0"/>
    <s v="Cancelled"/>
    <s v="No requirement"/>
    <n v="0"/>
    <m/>
    <m/>
    <m/>
    <s v="Apr-24"/>
    <n v="17"/>
    <s v="2024"/>
  </r>
  <r>
    <d v="2024-04-23T00:00:00"/>
    <s v="E2 Technologies"/>
    <s v="F2F"/>
    <s v="Corporate"/>
    <x v="0"/>
    <s v="Ravindra"/>
    <s v="Introduction to Bulk order and ODC"/>
    <n v="20000"/>
    <n v="0"/>
    <x v="9"/>
    <x v="1"/>
    <x v="0"/>
    <s v="Cancelled"/>
    <s v="No requirement"/>
    <n v="0"/>
    <m/>
    <m/>
    <m/>
    <s v="Apr-24"/>
    <n v="17"/>
    <s v="2024"/>
  </r>
  <r>
    <d v="2024-04-23T00:00:00"/>
    <s v="Techasoft"/>
    <s v="F2F"/>
    <s v="Corporate"/>
    <x v="0"/>
    <s v="Ajay"/>
    <s v="Introduction to Bulk order and ODC"/>
    <n v="18000"/>
    <n v="0"/>
    <x v="9"/>
    <x v="1"/>
    <x v="0"/>
    <s v="Cancelled"/>
    <s v="No requirement"/>
    <n v="0"/>
    <m/>
    <m/>
    <m/>
    <s v="Apr-24"/>
    <n v="17"/>
    <s v="2024"/>
  </r>
  <r>
    <d v="2024-04-24T00:00:00"/>
    <s v="Haleem Counter at Airport"/>
    <s v="Call"/>
    <s v="Corporate"/>
    <x v="17"/>
    <s v="Venkat"/>
    <d v="2024-04-24T00:00:00"/>
    <n v="6447"/>
    <n v="6447"/>
    <x v="0"/>
    <x v="0"/>
    <x v="1"/>
    <s v="Closed"/>
    <m/>
    <n v="6447"/>
    <m/>
    <m/>
    <m/>
    <s v="Apr-24"/>
    <n v="17"/>
    <s v="2024"/>
  </r>
  <r>
    <d v="2024-04-24T00:00:00"/>
    <s v="KPMG"/>
    <s v="F2F"/>
    <s v="Corporate"/>
    <x v="21"/>
    <s v="Santosh Kamath"/>
    <s v="ODC On 24 April 2024, Discussed for bulk order PAN India offices"/>
    <n v="17760"/>
    <n v="17760"/>
    <x v="0"/>
    <x v="1"/>
    <x v="1"/>
    <s v="Closed"/>
    <m/>
    <n v="0"/>
    <m/>
    <m/>
    <m/>
    <s v="Apr-24"/>
    <n v="17"/>
    <s v="2024"/>
  </r>
  <r>
    <d v="2024-04-24T00:00:00"/>
    <s v="Intel"/>
    <s v="F2F"/>
    <s v="Corporate"/>
    <x v="0"/>
    <s v="Ratan"/>
    <s v="Introduction and follow up for further ODC, Relationship Call"/>
    <n v="35000"/>
    <n v="0"/>
    <x v="9"/>
    <x v="1"/>
    <x v="0"/>
    <s v="Cancelled"/>
    <s v="No requirement"/>
    <n v="0"/>
    <m/>
    <m/>
    <m/>
    <s v="Apr-24"/>
    <n v="17"/>
    <s v="2024"/>
  </r>
  <r>
    <d v="2024-04-24T00:00:00"/>
    <s v="Delivery at Compass Group Bangalore"/>
    <s v="F2F"/>
    <s v="Corporate"/>
    <x v="17"/>
    <s v="Pankaj"/>
    <s v="Delivery of Special CB &amp; MB Handi on 24 April 2024 and Relationship call"/>
    <n v="40311"/>
    <n v="40311"/>
    <x v="0"/>
    <x v="1"/>
    <x v="1"/>
    <s v="Closed"/>
    <m/>
    <n v="0"/>
    <m/>
    <m/>
    <m/>
    <s v="Apr-24"/>
    <n v="17"/>
    <s v="2024"/>
  </r>
  <r>
    <d v="2024-04-24T00:00:00"/>
    <s v="JP Morgan"/>
    <s v="F2F"/>
    <s v="Corporate"/>
    <x v="21"/>
    <s v="Pramod"/>
    <s v="Relationship call and followup for upcoming ODC"/>
    <n v="40000"/>
    <n v="0"/>
    <x v="9"/>
    <x v="1"/>
    <x v="0"/>
    <s v="Cancelled"/>
    <s v="No requirement"/>
    <n v="0"/>
    <m/>
    <m/>
    <m/>
    <s v="Apr-24"/>
    <n v="17"/>
    <s v="2024"/>
  </r>
  <r>
    <d v="2024-04-25T00:00:00"/>
    <s v="Haleem Counter at Airport"/>
    <s v="Call"/>
    <s v="Corporate"/>
    <x v="17"/>
    <s v="Venkat"/>
    <d v="2024-04-25T00:00:00"/>
    <n v="4604"/>
    <n v="4604"/>
    <x v="0"/>
    <x v="0"/>
    <x v="1"/>
    <s v="Closed"/>
    <m/>
    <n v="4604"/>
    <m/>
    <m/>
    <m/>
    <s v="Apr-24"/>
    <n v="17"/>
    <s v="2024"/>
  </r>
  <r>
    <d v="2024-04-25T00:00:00"/>
    <s v="Delivery at Renova Soumya Hospital, Hyderabad"/>
    <s v="Call"/>
    <s v="Corporate"/>
    <x v="13"/>
    <s v="Rajshekhar"/>
    <s v="Delivery of CB and MB from Malkajgiri store on 30 April 2024"/>
    <n v="9700"/>
    <n v="9700"/>
    <x v="0"/>
    <x v="0"/>
    <x v="1"/>
    <s v="Closed"/>
    <m/>
    <n v="0"/>
    <m/>
    <m/>
    <m/>
    <s v="Apr-24"/>
    <n v="17"/>
    <s v="2024"/>
  </r>
  <r>
    <d v="2024-04-25T00:00:00"/>
    <s v="HP"/>
    <s v="F2F"/>
    <s v="Corporate"/>
    <x v="0"/>
    <s v="Bala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5T00:00:00"/>
    <s v="Onsurity Technologies"/>
    <s v="F2F"/>
    <s v="Corporate"/>
    <x v="21"/>
    <s v="Akshada"/>
    <s v="Introduction for Bulk delivery and team lunch"/>
    <n v="15000"/>
    <n v="0"/>
    <x v="9"/>
    <x v="1"/>
    <x v="0"/>
    <s v="Cancelled"/>
    <s v="No requirement"/>
    <n v="0"/>
    <m/>
    <m/>
    <m/>
    <s v="Apr-24"/>
    <n v="17"/>
    <s v="2024"/>
  </r>
  <r>
    <d v="2024-04-25T00:00:00"/>
    <s v="Accenture Services"/>
    <s v="F2F"/>
    <s v="Corporate"/>
    <x v="0"/>
    <s v="Harsha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5T00:00:00"/>
    <s v="JNC Masjid stall"/>
    <s v="F2F"/>
    <s v="ODC"/>
    <x v="8"/>
    <s v="Syed"/>
    <s v="Introduscion and discussion on Better location"/>
    <n v="30000"/>
    <n v="0"/>
    <x v="9"/>
    <x v="1"/>
    <x v="0"/>
    <s v="Cancelled"/>
    <s v="No requirement"/>
    <n v="0"/>
    <m/>
    <m/>
    <m/>
    <s v="Apr-24"/>
    <n v="17"/>
    <s v="2024"/>
  </r>
  <r>
    <d v="2024-04-25T00:00:00"/>
    <s v="IBM "/>
    <s v="F2F"/>
    <s v="Corporate"/>
    <x v="0"/>
    <s v="Krunal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6T00:00:00"/>
    <s v="Haleem Counter at Airport"/>
    <s v="Call"/>
    <s v="Corporate"/>
    <x v="17"/>
    <s v="Venkat"/>
    <d v="2024-04-26T00:00:00"/>
    <n v="4604"/>
    <n v="4604"/>
    <x v="0"/>
    <x v="0"/>
    <x v="1"/>
    <s v="Closed"/>
    <m/>
    <n v="4604"/>
    <m/>
    <m/>
    <m/>
    <s v="Apr-24"/>
    <n v="17"/>
    <s v="2024"/>
  </r>
  <r>
    <d v="2024-04-26T00:00:00"/>
    <s v="Delivery at Secundrabad"/>
    <s v="Call"/>
    <s v="Events"/>
    <x v="16"/>
    <s v="Vishal"/>
    <s v="Delivery Biryani kit on 5 May 2024"/>
    <n v="10000"/>
    <n v="0"/>
    <x v="10"/>
    <x v="0"/>
    <x v="0"/>
    <s v="Cancelled"/>
    <s v="Less Budget"/>
    <n v="0"/>
    <m/>
    <m/>
    <m/>
    <s v="Apr-24"/>
    <n v="17"/>
    <s v="2024"/>
  </r>
  <r>
    <d v="2024-04-26T00:00:00"/>
    <s v="inflow technologies"/>
    <s v="F2F"/>
    <s v="Corporate"/>
    <x v="0"/>
    <s v="Najeebunnisa"/>
    <s v="Introduction for Bulk delivery and ODC"/>
    <n v="15000"/>
    <n v="0"/>
    <x v="9"/>
    <x v="1"/>
    <x v="0"/>
    <s v="Cancelled"/>
    <s v="No requirement"/>
    <n v="0"/>
    <m/>
    <m/>
    <m/>
    <s v="Apr-24"/>
    <n v="17"/>
    <s v="2024"/>
  </r>
  <r>
    <d v="2024-04-26T00:00:00"/>
    <s v="Nagaaro."/>
    <s v="F2F"/>
    <s v="Corporate"/>
    <x v="0"/>
    <s v="Balesh Singh"/>
    <s v="Introduction for Bulk delivery and ODC"/>
    <n v="25000"/>
    <n v="0"/>
    <x v="9"/>
    <x v="1"/>
    <x v="0"/>
    <s v="Cancelled"/>
    <s v="No requirement"/>
    <n v="0"/>
    <m/>
    <m/>
    <m/>
    <s v="Apr-24"/>
    <n v="17"/>
    <s v="2024"/>
  </r>
  <r>
    <d v="2024-04-26T00:00:00"/>
    <s v="softtech solutions"/>
    <s v="F2F"/>
    <s v="Corporate"/>
    <x v="0"/>
    <s v=" Pratap"/>
    <s v="Introduction for Bulk delivery and ODC"/>
    <n v="20000"/>
    <n v="0"/>
    <x v="9"/>
    <x v="1"/>
    <x v="0"/>
    <s v="Cancelled"/>
    <s v="No requirement"/>
    <n v="0"/>
    <m/>
    <m/>
    <m/>
    <s v="Apr-24"/>
    <n v="17"/>
    <s v="2024"/>
  </r>
  <r>
    <d v="2024-04-27T00:00:00"/>
    <s v="Haleem Counter at Airport"/>
    <s v="Call"/>
    <s v="Corporate"/>
    <x v="17"/>
    <s v="Venkat"/>
    <d v="2024-04-27T00:00:00"/>
    <n v="6447"/>
    <n v="6447"/>
    <x v="0"/>
    <x v="0"/>
    <x v="1"/>
    <s v="Closed"/>
    <m/>
    <n v="6447"/>
    <m/>
    <m/>
    <m/>
    <s v="Apr-24"/>
    <n v="17"/>
    <s v="2024"/>
  </r>
  <r>
    <d v="2024-04-27T00:00:00"/>
    <s v="Delivery at Nampally"/>
    <s v="Call"/>
    <s v="Events"/>
    <x v="10"/>
    <s v="Ekbal"/>
    <s v="MB and CB Delivery from Masabtank Branch on 29 April 2024"/>
    <n v="23000"/>
    <n v="0"/>
    <x v="0"/>
    <x v="0"/>
    <x v="0"/>
    <s v="Cancelled"/>
    <s v="No requirement"/>
    <n v="0"/>
    <m/>
    <m/>
    <m/>
    <s v="Apr-24"/>
    <n v="17"/>
    <s v="2024"/>
  </r>
  <r>
    <d v="2024-04-28T00:00:00"/>
    <s v="Haleem Counter at Airport"/>
    <s v="Call"/>
    <s v="Corporate"/>
    <x v="17"/>
    <s v="Venkat"/>
    <d v="2024-04-28T00:00:00"/>
    <n v="6447"/>
    <n v="6447"/>
    <x v="0"/>
    <x v="0"/>
    <x v="1"/>
    <s v="Closed"/>
    <m/>
    <n v="6447"/>
    <m/>
    <m/>
    <m/>
    <s v="Apr-24"/>
    <n v="17"/>
    <s v="2024"/>
  </r>
  <r>
    <d v="2024-04-28T00:00:00"/>
    <s v="Delivery at Maradpally"/>
    <s v="Call"/>
    <s v="Events"/>
    <x v="10"/>
    <s v="Sharmila"/>
    <s v="Delivery of CB on 1 May 2024"/>
    <n v="12500"/>
    <n v="12500"/>
    <x v="10"/>
    <x v="0"/>
    <x v="1"/>
    <s v="Closed"/>
    <m/>
    <n v="0"/>
    <m/>
    <m/>
    <m/>
    <s v="Apr-24"/>
    <n v="17"/>
    <s v="2024"/>
  </r>
  <r>
    <d v="2024-04-29T00:00:00"/>
    <s v="Haleem Counter at Airport"/>
    <s v="Call"/>
    <s v="Corporate"/>
    <x v="17"/>
    <s v="Venkat"/>
    <d v="2024-04-29T00:00:00"/>
    <n v="3684"/>
    <n v="3684"/>
    <x v="0"/>
    <x v="0"/>
    <x v="1"/>
    <s v="Closed"/>
    <m/>
    <n v="3684"/>
    <m/>
    <m/>
    <m/>
    <s v="Apr-24"/>
    <n v="18"/>
    <s v="2024"/>
  </r>
  <r>
    <d v="2024-04-29T00:00:00"/>
    <s v="KPMG"/>
    <s v="Call"/>
    <s v="Corporate"/>
    <x v="21"/>
    <s v="Santosh Kamath"/>
    <s v="ODC On 29 April 2024,"/>
    <n v="17769"/>
    <n v="17769"/>
    <x v="0"/>
    <x v="1"/>
    <x v="1"/>
    <s v="Closed"/>
    <m/>
    <n v="0"/>
    <m/>
    <m/>
    <m/>
    <s v="Apr-24"/>
    <n v="18"/>
    <s v="2024"/>
  </r>
  <r>
    <d v="2024-04-29T00:00:00"/>
    <s v="SS&amp;C Fintech Services"/>
    <s v="F2F"/>
    <s v="Corporate"/>
    <x v="21"/>
    <s v="Rupesh"/>
    <s v="Discussion for corporate ID Card offer and bulk order"/>
    <n v="15000"/>
    <n v="0"/>
    <x v="4"/>
    <x v="0"/>
    <x v="0"/>
    <s v="Cancelled"/>
    <s v="Less Budget"/>
    <n v="0"/>
    <m/>
    <m/>
    <m/>
    <s v="Apr-24"/>
    <n v="18"/>
    <s v="2024"/>
  </r>
  <r>
    <d v="2024-04-29T00:00:00"/>
    <s v="Dilevery at BHEL"/>
    <s v="Call"/>
    <s v="Events"/>
    <x v="10"/>
    <s v="Suresh"/>
    <s v="Delivery of CB on 1 May 2024"/>
    <n v="12000"/>
    <n v="0"/>
    <x v="10"/>
    <x v="0"/>
    <x v="0"/>
    <s v="Cancelled"/>
    <s v="Event Cancelled"/>
    <n v="0"/>
    <m/>
    <m/>
    <m/>
    <s v="Apr-24"/>
    <n v="18"/>
    <s v="2024"/>
  </r>
  <r>
    <d v="2024-04-29T00:00:00"/>
    <s v="Hyundai Motors"/>
    <s v="F2F"/>
    <s v="Corporate"/>
    <x v="9"/>
    <s v="Ajay "/>
    <s v="Introduction to gifting and bulk order"/>
    <n v="15000"/>
    <n v="0"/>
    <x v="9"/>
    <x v="0"/>
    <x v="0"/>
    <s v="Cancelled"/>
    <s v="No requirement"/>
    <n v="0"/>
    <m/>
    <m/>
    <m/>
    <s v="Apr-24"/>
    <n v="18"/>
    <s v="2024"/>
  </r>
  <r>
    <d v="2024-04-29T00:00:00"/>
    <s v="Revolution"/>
    <s v="F2F"/>
    <s v="Corporate"/>
    <x v="0"/>
    <s v="Shankar"/>
    <s v="Follow up for bulk orders"/>
    <n v="14000"/>
    <n v="0"/>
    <x v="9"/>
    <x v="0"/>
    <x v="0"/>
    <s v="Cancelled"/>
    <s v="No requirement"/>
    <n v="0"/>
    <m/>
    <m/>
    <m/>
    <s v="Apr-24"/>
    <n v="18"/>
    <s v="2024"/>
  </r>
  <r>
    <d v="2024-04-30T00:00:00"/>
    <s v="Haleem Counter at Airport"/>
    <s v="Call"/>
    <s v="Corporate"/>
    <x v="17"/>
    <s v="Venkat"/>
    <d v="2024-04-30T00:00:00"/>
    <n v="3684"/>
    <n v="3684"/>
    <x v="0"/>
    <x v="0"/>
    <x v="1"/>
    <s v="Closed"/>
    <m/>
    <n v="3684"/>
    <m/>
    <m/>
    <m/>
    <s v="Apr-24"/>
    <n v="18"/>
    <s v="2024"/>
  </r>
  <r>
    <d v="2024-04-30T00:00:00"/>
    <s v="Sears"/>
    <s v="F2F"/>
    <s v="Corporate"/>
    <x v="0"/>
    <s v="Anurag"/>
    <s v="Introduction to team lunch"/>
    <n v="12000"/>
    <n v="0"/>
    <x v="9"/>
    <x v="0"/>
    <x v="0"/>
    <s v="Cancelled"/>
    <s v="No requirement"/>
    <n v="0"/>
    <m/>
    <m/>
    <m/>
    <s v="Apr-24"/>
    <n v="18"/>
    <s v="2024"/>
  </r>
  <r>
    <d v="2024-04-30T00:00:00"/>
    <s v="Xylinx"/>
    <s v="F2F"/>
    <s v="Corporate"/>
    <x v="0"/>
    <s v="Haripriya"/>
    <s v="Introduction to bulk orders"/>
    <n v="15000"/>
    <n v="0"/>
    <x v="9"/>
    <x v="0"/>
    <x v="0"/>
    <s v="Cancelled"/>
    <s v="No requirement"/>
    <n v="0"/>
    <m/>
    <m/>
    <m/>
    <s v="Apr-24"/>
    <n v="18"/>
    <s v="2024"/>
  </r>
  <r>
    <d v="2024-05-01T00:00:00"/>
    <s v="Delivery at Omega  Hospitals Gachibowli"/>
    <s v="Call"/>
    <s v="Corporate"/>
    <x v="13"/>
    <s v="Arijit"/>
    <s v="Delivery of CB on 3 May 2024"/>
    <n v="10000"/>
    <n v="10000"/>
    <x v="10"/>
    <x v="0"/>
    <x v="1"/>
    <s v="Closed"/>
    <m/>
    <n v="0"/>
    <m/>
    <m/>
    <m/>
    <s v="May-24"/>
    <n v="18"/>
    <s v="2024"/>
  </r>
  <r>
    <d v="2024-05-02T00:00:00"/>
    <s v="Delivery at west Maradpally"/>
    <s v="Call"/>
    <s v="Events"/>
    <x v="10"/>
    <s v="Sharmila"/>
    <s v="Delivery of CB Handi on 3 May 2024"/>
    <n v="9000"/>
    <n v="9000"/>
    <x v="10"/>
    <x v="0"/>
    <x v="1"/>
    <s v="Closed"/>
    <m/>
    <n v="0"/>
    <m/>
    <m/>
    <m/>
    <s v="May-24"/>
    <n v="18"/>
    <s v="2024"/>
  </r>
  <r>
    <d v="2024-05-02T00:00:00"/>
    <s v="Advanta Seeds"/>
    <s v="F2F"/>
    <s v="Corporate"/>
    <x v="18"/>
    <s v="Minna Rao"/>
    <s v="food delivery at farmers meet"/>
    <n v="18000"/>
    <n v="0"/>
    <x v="9"/>
    <x v="0"/>
    <x v="0"/>
    <s v="Cancelled"/>
    <s v="No requirement"/>
    <n v="0"/>
    <m/>
    <m/>
    <m/>
    <s v="May-24"/>
    <n v="18"/>
    <s v="2024"/>
  </r>
  <r>
    <d v="2024-05-02T00:00:00"/>
    <s v="Naveena School"/>
    <s v="F2F"/>
    <s v="School"/>
    <x v="4"/>
    <s v="Aparna"/>
    <s v="Introduction to bulk order"/>
    <n v="12000"/>
    <n v="0"/>
    <x v="9"/>
    <x v="0"/>
    <x v="0"/>
    <s v="Cancelled"/>
    <s v="No requirement"/>
    <n v="0"/>
    <m/>
    <m/>
    <m/>
    <s v="May-24"/>
    <n v="18"/>
    <s v="2024"/>
  </r>
  <r>
    <d v="2024-05-02T00:00:00"/>
    <s v="Model N "/>
    <s v="F2F"/>
    <s v="Corporate"/>
    <x v="0"/>
    <s v="Karthik Reddy"/>
    <s v="Introduction to bulk order"/>
    <n v="15000"/>
    <n v="0"/>
    <x v="9"/>
    <x v="0"/>
    <x v="0"/>
    <s v="Cancelled"/>
    <s v="No requirement"/>
    <n v="0"/>
    <m/>
    <m/>
    <m/>
    <s v="May-24"/>
    <n v="18"/>
    <s v="2024"/>
  </r>
  <r>
    <d v="2024-05-03T00:00:00"/>
    <s v="Delivery from Electronic City"/>
    <s v="Call"/>
    <s v="Events"/>
    <x v="10"/>
    <s v="Mahesh"/>
    <s v="Shared quote for CB for 5 May 2024"/>
    <n v="5000"/>
    <n v="5000"/>
    <x v="10"/>
    <x v="1"/>
    <x v="1"/>
    <s v="Closed"/>
    <m/>
    <n v="0"/>
    <m/>
    <m/>
    <m/>
    <s v="May-24"/>
    <n v="18"/>
    <s v="2024"/>
  </r>
  <r>
    <d v="2024-05-03T00:00:00"/>
    <s v="Quadrangle"/>
    <s v="F2F"/>
    <s v="Corporate"/>
    <x v="0"/>
    <s v="Preeti"/>
    <s v="Introduction to bulk order"/>
    <n v="10000"/>
    <n v="0"/>
    <x v="9"/>
    <x v="0"/>
    <x v="0"/>
    <s v="Cancelled"/>
    <s v="No requirement"/>
    <n v="0"/>
    <m/>
    <m/>
    <m/>
    <s v="May-24"/>
    <n v="18"/>
    <s v="2024"/>
  </r>
  <r>
    <d v="2024-05-03T00:00:00"/>
    <s v="Lords School"/>
    <s v="F2F"/>
    <s v="School"/>
    <x v="4"/>
    <s v="Kondarao"/>
    <s v="Introduction to bulk order and ODC"/>
    <n v="12000"/>
    <n v="0"/>
    <x v="9"/>
    <x v="0"/>
    <x v="0"/>
    <s v="Cancelled"/>
    <s v="No requirement"/>
    <n v="0"/>
    <m/>
    <m/>
    <m/>
    <s v="May-24"/>
    <n v="18"/>
    <s v="2024"/>
  </r>
  <r>
    <d v="2024-05-03T00:00:00"/>
    <s v="Maharshi School"/>
    <s v="F2F"/>
    <s v="School"/>
    <x v="4"/>
    <s v="Mahesh"/>
    <s v="Introduction to bulk order and ODC"/>
    <n v="15000"/>
    <n v="0"/>
    <x v="9"/>
    <x v="0"/>
    <x v="0"/>
    <s v="Cancelled"/>
    <s v="No requirement"/>
    <n v="0"/>
    <m/>
    <m/>
    <m/>
    <s v="May-24"/>
    <n v="18"/>
    <s v="2024"/>
  </r>
  <r>
    <d v="2024-05-03T00:00:00"/>
    <s v="TATA Communications"/>
    <s v="F2F"/>
    <s v="Corporate"/>
    <x v="0"/>
    <s v="Srinivas"/>
    <s v="Introduction to bulk orders"/>
    <n v="15000"/>
    <n v="0"/>
    <x v="9"/>
    <x v="0"/>
    <x v="0"/>
    <s v="Cancelled"/>
    <s v="No requirement"/>
    <n v="0"/>
    <m/>
    <m/>
    <m/>
    <s v="May-24"/>
    <n v="18"/>
    <s v="2024"/>
  </r>
  <r>
    <d v="2024-05-04T00:00:00"/>
    <s v="Delivery at Miyapur"/>
    <s v="Call"/>
    <s v="Events"/>
    <x v="10"/>
    <s v="Aravind"/>
    <s v="Delivery of MB on 5 May 2024 from BHEL Branch"/>
    <n v="33000"/>
    <n v="33000"/>
    <x v="10"/>
    <x v="0"/>
    <x v="1"/>
    <s v="Closed"/>
    <m/>
    <n v="0"/>
    <m/>
    <m/>
    <m/>
    <s v="May-24"/>
    <n v="18"/>
    <s v="2024"/>
  </r>
  <r>
    <d v="2024-05-05T00:00:00"/>
    <s v="Delivery of CB at Malkajgiri"/>
    <s v="Call"/>
    <s v="Events"/>
    <x v="10"/>
    <s v="Brahma"/>
    <s v="Delivery of CB on 5 May 2024"/>
    <n v="5500"/>
    <n v="5500"/>
    <x v="10"/>
    <x v="0"/>
    <x v="1"/>
    <s v="Closed"/>
    <m/>
    <n v="0"/>
    <m/>
    <m/>
    <m/>
    <s v="May-24"/>
    <n v="18"/>
    <s v="2024"/>
  </r>
  <r>
    <d v="2024-05-06T00:00:00"/>
    <s v="Kamineni Hospitals"/>
    <s v="F2F"/>
    <s v="Corporate"/>
    <x v="13"/>
    <s v="Priyabatra"/>
    <s v="Delivery of CB for doctors meet on 9-5-2024"/>
    <n v="9000"/>
    <n v="9000"/>
    <x v="10"/>
    <x v="0"/>
    <x v="1"/>
    <s v="Closed"/>
    <m/>
    <n v="0"/>
    <m/>
    <m/>
    <m/>
    <s v="May-24"/>
    <n v="19"/>
    <s v="2024"/>
  </r>
  <r>
    <d v="2024-05-06T00:00:00"/>
    <s v="Delivery at Electronic City"/>
    <s v="Call"/>
    <s v="Events"/>
    <x v="10"/>
    <s v="Edwin"/>
    <s v="Delivery On 7 May 2024"/>
    <n v="7000"/>
    <n v="7000"/>
    <x v="10"/>
    <x v="1"/>
    <x v="1"/>
    <s v="Closed"/>
    <m/>
    <n v="0"/>
    <m/>
    <m/>
    <m/>
    <s v="May-24"/>
    <n v="19"/>
    <s v="2024"/>
  </r>
  <r>
    <d v="2024-05-06T00:00:00"/>
    <s v="Delivery at KPHB"/>
    <s v="Call"/>
    <s v="Events"/>
    <x v="10"/>
    <s v="Naresh"/>
    <s v="Delivery of CB on 7 May 2024"/>
    <n v="12500"/>
    <n v="0"/>
    <x v="10"/>
    <x v="0"/>
    <x v="0"/>
    <s v="Cancelled"/>
    <s v="Less Budget"/>
    <n v="0"/>
    <m/>
    <m/>
    <m/>
    <s v="May-24"/>
    <n v="19"/>
    <s v="2024"/>
  </r>
  <r>
    <d v="2024-05-06T00:00:00"/>
    <s v="Kapil Chit funds"/>
    <s v="F2F"/>
    <s v="Corporate"/>
    <x v="21"/>
    <s v="Yusuf"/>
    <s v="Introduction to bulk order for sales meet"/>
    <n v="20000"/>
    <n v="0"/>
    <x v="9"/>
    <x v="0"/>
    <x v="0"/>
    <s v="Cancelled"/>
    <s v="No requirement"/>
    <n v="0"/>
    <m/>
    <m/>
    <m/>
    <s v="May-24"/>
    <n v="19"/>
    <s v="2024"/>
  </r>
  <r>
    <d v="2024-05-06T00:00:00"/>
    <s v="Omni Hospitals"/>
    <s v="F2F"/>
    <s v="Corporate"/>
    <x v="13"/>
    <s v="Bindu"/>
    <s v="Introduction to bulk order for Doctors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Delivery at Compass Group Bangalore"/>
    <s v="Call"/>
    <s v="Corporate"/>
    <x v="17"/>
    <s v="Pankaj"/>
    <s v="Delivery of Special CB &amp; MB Handi on 8 May 2024"/>
    <n v="39567"/>
    <n v="39567"/>
    <x v="10"/>
    <x v="1"/>
    <x v="1"/>
    <s v="Closed"/>
    <m/>
    <n v="0"/>
    <m/>
    <m/>
    <m/>
    <s v="May-24"/>
    <n v="19"/>
    <s v="2024"/>
  </r>
  <r>
    <d v="2024-05-07T00:00:00"/>
    <s v="Vision Degree College"/>
    <s v="Call"/>
    <s v="College"/>
    <x v="4"/>
    <s v="Danaiah"/>
    <s v="Introduction to bulk orders"/>
    <n v="12000"/>
    <n v="0"/>
    <x v="9"/>
    <x v="0"/>
    <x v="0"/>
    <s v="Cancelled"/>
    <s v="No requirement"/>
    <n v="0"/>
    <m/>
    <m/>
    <m/>
    <s v="May-24"/>
    <n v="19"/>
    <s v="2024"/>
  </r>
  <r>
    <d v="2024-05-07T00:00:00"/>
    <s v="HDFC BanK Ltd"/>
    <s v="F2F"/>
    <s v="Corporate"/>
    <x v="21"/>
    <s v="Bala Showry"/>
    <s v="Intoroduction to team lunch and bulk food delivery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JB Infra Group"/>
    <s v="Call"/>
    <s v="Corporate"/>
    <x v="15"/>
    <s v="Anil"/>
    <s v="Introduction to client lunch and gifting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I20 Fever"/>
    <s v="Call"/>
    <s v="Corporate"/>
    <x v="4"/>
    <s v="Archana Kancharla"/>
    <s v="Introduction to team lunch and corporate gifting"/>
    <n v="20000"/>
    <n v="0"/>
    <x v="9"/>
    <x v="0"/>
    <x v="0"/>
    <s v="Cancelled"/>
    <s v="No requirement"/>
    <n v="0"/>
    <m/>
    <m/>
    <m/>
    <s v="May-24"/>
    <n v="19"/>
    <s v="2024"/>
  </r>
  <r>
    <d v="2024-05-07T00:00:00"/>
    <s v="Vision Degree College"/>
    <s v="Call"/>
    <s v="College"/>
    <x v="4"/>
    <s v="Danaiah"/>
    <s v="Introduction to bulk orders"/>
    <n v="12000"/>
    <n v="0"/>
    <x v="9"/>
    <x v="0"/>
    <x v="0"/>
    <s v="Cancelled"/>
    <s v="No requirement"/>
    <n v="0"/>
    <m/>
    <m/>
    <m/>
    <s v="May-24"/>
    <n v="19"/>
    <s v="2024"/>
  </r>
  <r>
    <d v="2024-05-07T00:00:00"/>
    <s v="HDFC BanK Ltd"/>
    <s v="F2F"/>
    <s v="Corporate"/>
    <x v="21"/>
    <s v="Bala Showry"/>
    <s v="Intoroduction to team lunch and bulk food delivery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JB Infra Group"/>
    <s v="Call"/>
    <s v="Corporate"/>
    <x v="15"/>
    <s v="Anil"/>
    <s v="Introduction to client lunch and gifting"/>
    <n v="15000"/>
    <n v="0"/>
    <x v="9"/>
    <x v="0"/>
    <x v="0"/>
    <s v="Cancelled"/>
    <s v="No requirement"/>
    <n v="0"/>
    <m/>
    <m/>
    <m/>
    <s v="May-24"/>
    <n v="19"/>
    <s v="2024"/>
  </r>
  <r>
    <d v="2024-05-07T00:00:00"/>
    <s v="I20 Fever"/>
    <s v="Call"/>
    <s v="Corporate"/>
    <x v="4"/>
    <s v="Archana Kancharla"/>
    <s v="Introduction to team lunch and corporate gifting"/>
    <n v="20000"/>
    <n v="0"/>
    <x v="9"/>
    <x v="0"/>
    <x v="0"/>
    <s v="Cancelled"/>
    <s v="No requirement"/>
    <n v="0"/>
    <m/>
    <m/>
    <m/>
    <s v="May-24"/>
    <n v="19"/>
    <s v="2024"/>
  </r>
  <r>
    <d v="2024-05-08T00:00:00"/>
    <s v="SBI Card"/>
    <s v="F2F"/>
    <s v="Corporate"/>
    <x v="21"/>
    <s v="Poulami"/>
    <s v="Discussion regarding team lunch on 18 May 2024"/>
    <n v="50000"/>
    <n v="0"/>
    <x v="10"/>
    <x v="0"/>
    <x v="0"/>
    <s v="Cancelled"/>
    <s v="Event Cancelled"/>
    <n v="0"/>
    <m/>
    <m/>
    <m/>
    <s v="May-24"/>
    <n v="19"/>
    <s v="2024"/>
  </r>
  <r>
    <d v="2024-05-08T00:00:00"/>
    <s v="Pride Motors"/>
    <s v="F2F"/>
    <s v="Corporate"/>
    <x v="9"/>
    <s v="Shivshankar"/>
    <s v="Introduction to team lunch and bulk orders"/>
    <n v="12000"/>
    <n v="0"/>
    <x v="9"/>
    <x v="0"/>
    <x v="0"/>
    <s v="Cancelled"/>
    <s v="No requirement"/>
    <n v="0"/>
    <m/>
    <m/>
    <m/>
    <s v="May-24"/>
    <n v="19"/>
    <s v="2024"/>
  </r>
  <r>
    <d v="2024-05-08T00:00:00"/>
    <s v="Reliance Trends"/>
    <s v="F2F"/>
    <s v="Corporate"/>
    <x v="19"/>
    <s v="Durga Reddy"/>
    <s v="Introduction to team lunch and bulk orders"/>
    <n v="15000"/>
    <n v="0"/>
    <x v="9"/>
    <x v="0"/>
    <x v="0"/>
    <s v="Cancelled"/>
    <s v="No requirement"/>
    <n v="0"/>
    <m/>
    <m/>
    <m/>
    <s v="May-24"/>
    <n v="19"/>
    <s v="2024"/>
  </r>
  <r>
    <d v="2024-05-08T00:00:00"/>
    <s v="Chandramouli Electricals"/>
    <s v="F2F"/>
    <s v="Corporate"/>
    <x v="19"/>
    <s v="Raju"/>
    <s v="Followup for further orders"/>
    <n v="20000"/>
    <n v="0"/>
    <x v="9"/>
    <x v="0"/>
    <x v="0"/>
    <s v="Cancelled"/>
    <s v="No requirement"/>
    <n v="0"/>
    <m/>
    <m/>
    <m/>
    <s v="May-24"/>
    <n v="19"/>
    <s v="2024"/>
  </r>
  <r>
    <d v="2024-05-09T00:00:00"/>
    <s v="Wipro FMCG"/>
    <s v="F2F"/>
    <s v="Corporate"/>
    <x v="23"/>
    <s v="Harshita"/>
    <s v="Shared quote for employee benefit gift vouchers for their Dealers"/>
    <n v="50000"/>
    <n v="0"/>
    <x v="9"/>
    <x v="0"/>
    <x v="0"/>
    <s v="Cancelled"/>
    <s v="No requirement"/>
    <n v="0"/>
    <m/>
    <m/>
    <m/>
    <s v="May-24"/>
    <n v="19"/>
    <s v="2024"/>
  </r>
  <r>
    <d v="2024-05-09T00:00:00"/>
    <s v="Delivery at Gachibowli"/>
    <s v="Call"/>
    <s v="Corporate"/>
    <x v="0"/>
    <s v="Sohail"/>
    <s v="Shared quote for CB Handi"/>
    <n v="8400"/>
    <n v="0"/>
    <x v="10"/>
    <x v="0"/>
    <x v="0"/>
    <s v="Cancelled"/>
    <s v="Less Budget"/>
    <n v="0"/>
    <m/>
    <m/>
    <m/>
    <s v="May-24"/>
    <n v="19"/>
    <s v="2024"/>
  </r>
  <r>
    <d v="2024-05-09T00:00:00"/>
    <s v="Astral Pipes"/>
    <s v="F2F"/>
    <s v="Corporate"/>
    <x v="23"/>
    <s v="Srini"/>
    <s v="Shared details about gifting coupons"/>
    <n v="12000"/>
    <n v="0"/>
    <x v="9"/>
    <x v="0"/>
    <x v="0"/>
    <s v="Cancelled"/>
    <s v="No requirement"/>
    <n v="0"/>
    <m/>
    <m/>
    <m/>
    <s v="May-24"/>
    <n v="19"/>
    <s v="2024"/>
  </r>
  <r>
    <d v="2024-05-09T00:00:00"/>
    <s v="Siemens "/>
    <s v="Call"/>
    <s v="Corporate"/>
    <x v="0"/>
    <s v="Abhishek"/>
    <s v="Introduction to bulk orders"/>
    <n v="10000"/>
    <n v="0"/>
    <x v="9"/>
    <x v="0"/>
    <x v="0"/>
    <s v="Cancelled"/>
    <s v="No requirement"/>
    <n v="0"/>
    <m/>
    <m/>
    <m/>
    <s v="May-24"/>
    <n v="19"/>
    <s v="2024"/>
  </r>
  <r>
    <d v="2024-05-09T00:00:00"/>
    <s v="Omnimed"/>
    <s v="F2F"/>
    <s v="Corporate"/>
    <x v="5"/>
    <s v="Isha "/>
    <s v="Introduction to bulk orders"/>
    <n v="15000"/>
    <n v="0"/>
    <x v="9"/>
    <x v="0"/>
    <x v="0"/>
    <s v="Cancelled"/>
    <s v="No requirement"/>
    <n v="0"/>
    <m/>
    <m/>
    <m/>
    <s v="May-24"/>
    <n v="19"/>
    <s v="2024"/>
  </r>
  <r>
    <d v="2024-05-10T00:00:00"/>
    <s v="Chepyala Publication"/>
    <s v="F2F"/>
    <s v="Corporate"/>
    <x v="19"/>
    <s v="Chari"/>
    <s v="CB delivery on 13 May 2024 from Masabtank"/>
    <n v="10000"/>
    <n v="10000"/>
    <x v="10"/>
    <x v="0"/>
    <x v="1"/>
    <s v="Closed"/>
    <m/>
    <n v="0"/>
    <m/>
    <m/>
    <m/>
    <s v="May-24"/>
    <n v="19"/>
    <s v="2024"/>
  </r>
  <r>
    <d v="2024-05-10T00:00:00"/>
    <s v="Infosys"/>
    <s v="F2F"/>
    <s v="Corporate"/>
    <x v="0"/>
    <s v="Prasad"/>
    <s v="CB delivery on 31 May 2024"/>
    <n v="29000"/>
    <n v="29000"/>
    <x v="10"/>
    <x v="0"/>
    <x v="1"/>
    <s v="Closed"/>
    <m/>
    <n v="0"/>
    <m/>
    <m/>
    <m/>
    <s v="May-24"/>
    <n v="19"/>
    <s v="2024"/>
  </r>
  <r>
    <d v="2024-05-10T00:00:00"/>
    <s v="MSN Labs "/>
    <s v="Call"/>
    <s v="Corporate"/>
    <x v="5"/>
    <s v="Satya"/>
    <s v="50% Advance Received"/>
    <n v="2590000"/>
    <n v="2590000"/>
    <x v="10"/>
    <x v="0"/>
    <x v="1"/>
    <s v="Closed"/>
    <m/>
    <n v="0"/>
    <m/>
    <m/>
    <m/>
    <s v="May-24"/>
    <n v="19"/>
    <s v="2024"/>
  </r>
  <r>
    <d v="2024-05-10T00:00:00"/>
    <s v="Gati Logistics"/>
    <s v="F2F"/>
    <s v="Corporate"/>
    <x v="9"/>
    <s v="Fayaz"/>
    <s v="Shared details of team lunch"/>
    <n v="12000"/>
    <n v="0"/>
    <x v="9"/>
    <x v="0"/>
    <x v="0"/>
    <s v="Cancelled"/>
    <s v="No requirement"/>
    <n v="0"/>
    <m/>
    <m/>
    <m/>
    <s v="May-24"/>
    <n v="19"/>
    <s v="2024"/>
  </r>
  <r>
    <d v="2024-05-12T00:00:00"/>
    <s v="Delivery at Miyapur"/>
    <s v="Call"/>
    <s v="Events"/>
    <x v="10"/>
    <s v="Arvind"/>
    <s v="Delivery of CB &amp; VB  on 13 May 2024"/>
    <n v="7000"/>
    <n v="7000"/>
    <x v="10"/>
    <x v="0"/>
    <x v="1"/>
    <s v="Closed"/>
    <m/>
    <n v="0"/>
    <m/>
    <m/>
    <m/>
    <s v="May-24"/>
    <n v="19"/>
    <s v="2024"/>
  </r>
  <r>
    <d v="2024-05-12T00:00:00"/>
    <s v="Jainam Events"/>
    <s v="Call"/>
    <s v="Events"/>
    <x v="3"/>
    <s v="Arun"/>
    <s v="Introduction to bulk order and ODC"/>
    <n v="15000"/>
    <n v="0"/>
    <x v="9"/>
    <x v="0"/>
    <x v="0"/>
    <s v="Cancelled"/>
    <s v="No requirement"/>
    <n v="0"/>
    <m/>
    <m/>
    <m/>
    <s v="May-24"/>
    <n v="19"/>
    <s v="2024"/>
  </r>
  <r>
    <d v="2024-05-12T00:00:00"/>
    <s v="Nexus Solutions"/>
    <s v="Call"/>
    <s v="Events"/>
    <x v="3"/>
    <s v="Naveen Kumar"/>
    <s v="Introduction to bulk order and ODC"/>
    <n v="18000"/>
    <n v="0"/>
    <x v="9"/>
    <x v="0"/>
    <x v="0"/>
    <s v="Cancelled"/>
    <s v="No requirement"/>
    <n v="0"/>
    <m/>
    <m/>
    <m/>
    <s v="May-24"/>
    <n v="19"/>
    <s v="2024"/>
  </r>
  <r>
    <d v="2024-05-13T00:00:00"/>
    <s v="Lakshmi Enterprice Ahmedabad"/>
    <s v="Call"/>
    <s v="Corporate"/>
    <x v="16"/>
    <s v="Ravindar"/>
    <s v="Shared Quotation for biryani kit "/>
    <n v="200000"/>
    <n v="0"/>
    <x v="4"/>
    <x v="0"/>
    <x v="0"/>
    <s v="Cancelled"/>
    <s v="Event Cancelled"/>
    <n v="0"/>
    <m/>
    <m/>
    <m/>
    <s v="May-24"/>
    <n v="20"/>
    <s v="2024"/>
  </r>
  <r>
    <d v="2024-05-13T00:00:00"/>
    <s v="NIT Warangal"/>
    <s v="Call"/>
    <s v="College"/>
    <x v="4"/>
    <s v="Rohit Guna"/>
    <s v="Introduction to bulk orders"/>
    <n v="20000"/>
    <n v="0"/>
    <x v="9"/>
    <x v="0"/>
    <x v="0"/>
    <s v="Cancelled"/>
    <s v="No requirement"/>
    <n v="0"/>
    <m/>
    <m/>
    <m/>
    <s v="May-24"/>
    <n v="20"/>
    <s v="2024"/>
  </r>
  <r>
    <d v="2024-05-13T00:00:00"/>
    <s v="Big C Hanmakonda"/>
    <s v="Call"/>
    <s v="Corporate"/>
    <x v="19"/>
    <s v="Raju"/>
    <s v="Introduction to bulk orders and gifting"/>
    <n v="10000"/>
    <n v="0"/>
    <x v="9"/>
    <x v="0"/>
    <x v="0"/>
    <s v="Cancelled"/>
    <s v="No requirement"/>
    <n v="0"/>
    <m/>
    <m/>
    <m/>
    <s v="May-24"/>
    <n v="20"/>
    <s v="2024"/>
  </r>
  <r>
    <d v="2024-05-13T00:00:00"/>
    <s v="Airtel Warangal"/>
    <s v="Call"/>
    <s v="Corporate"/>
    <x v="19"/>
    <s v="Babji Rao"/>
    <s v="Introduction to bulk order and Gifting"/>
    <n v="12000"/>
    <n v="0"/>
    <x v="9"/>
    <x v="0"/>
    <x v="0"/>
    <s v="Cancelled"/>
    <s v="No requirement"/>
    <n v="0"/>
    <m/>
    <m/>
    <m/>
    <s v="May-24"/>
    <n v="20"/>
    <s v="2024"/>
  </r>
  <r>
    <d v="2024-05-13T00:00:00"/>
    <s v="HDFC Life"/>
    <s v="Call"/>
    <s v="Corporate"/>
    <x v="21"/>
    <s v="Ganesh"/>
    <s v="Introduction to team lunch and gifting"/>
    <n v="10000"/>
    <n v="0"/>
    <x v="9"/>
    <x v="0"/>
    <x v="0"/>
    <s v="Cancelled"/>
    <s v="No requirement"/>
    <n v="0"/>
    <m/>
    <m/>
    <m/>
    <s v="May-24"/>
    <n v="20"/>
    <s v="2024"/>
  </r>
  <r>
    <d v="2024-05-14T00:00:00"/>
    <s v="ODC at SRM Univercity Vizag"/>
    <s v="Call"/>
    <s v="College"/>
    <x v="4"/>
    <s v="Vijay"/>
    <s v="Shared quote for Biryani"/>
    <n v="30000"/>
    <n v="0"/>
    <x v="8"/>
    <x v="0"/>
    <x v="0"/>
    <s v="Cancelled"/>
    <s v="No requirement"/>
    <n v="0"/>
    <m/>
    <m/>
    <m/>
    <s v="May-24"/>
    <n v="20"/>
    <s v="2024"/>
  </r>
  <r>
    <d v="2024-05-14T00:00:00"/>
    <s v="Delivery at Compass Group Bangalore"/>
    <s v="Call"/>
    <s v="Corporate"/>
    <x v="17"/>
    <s v="Pankaj"/>
    <s v="Delivery of Special CB &amp; MB Handi on 15 May 2024"/>
    <n v="44198"/>
    <n v="44198"/>
    <x v="10"/>
    <x v="1"/>
    <x v="1"/>
    <s v="Closed"/>
    <m/>
    <n v="0"/>
    <m/>
    <m/>
    <m/>
    <s v="May-24"/>
    <n v="20"/>
    <s v="2024"/>
  </r>
  <r>
    <d v="2024-05-14T00:00:00"/>
    <s v="Yathapu Consulting"/>
    <s v="F2F"/>
    <s v="Corporate"/>
    <x v="4"/>
    <s v="Pradeep Reddy"/>
    <s v="Introduction to team lunch"/>
    <n v="20000"/>
    <n v="0"/>
    <x v="9"/>
    <x v="0"/>
    <x v="0"/>
    <s v="Cancelled"/>
    <s v="No requirement"/>
    <n v="0"/>
    <m/>
    <m/>
    <m/>
    <s v="May-24"/>
    <n v="20"/>
    <s v="2024"/>
  </r>
  <r>
    <d v="2024-05-14T00:00:00"/>
    <s v="Ratna Globaltech Solutions"/>
    <s v="F2F"/>
    <s v="Corporate"/>
    <x v="0"/>
    <s v="Elisha"/>
    <s v="Introduction to team lunch"/>
    <n v="10000"/>
    <n v="0"/>
    <x v="9"/>
    <x v="0"/>
    <x v="0"/>
    <s v="Cancelled"/>
    <s v="No requirement"/>
    <n v="0"/>
    <m/>
    <m/>
    <m/>
    <s v="May-24"/>
    <n v="20"/>
    <s v="2024"/>
  </r>
  <r>
    <d v="2024-05-14T00:00:00"/>
    <s v="Shivashakti"/>
    <s v="F2F"/>
    <s v="Corporate"/>
    <x v="18"/>
    <s v="Firoz"/>
    <s v="Introduction to bulk order and Gifting"/>
    <n v="15000"/>
    <n v="0"/>
    <x v="9"/>
    <x v="0"/>
    <x v="0"/>
    <s v="Cancelled"/>
    <s v="No requirement"/>
    <n v="0"/>
    <m/>
    <m/>
    <m/>
    <s v="May-24"/>
    <n v="20"/>
    <s v="2024"/>
  </r>
  <r>
    <d v="2024-05-14T00:00:00"/>
    <s v="KCM Petrotech"/>
    <s v="F2F"/>
    <s v="Corporate"/>
    <x v="16"/>
    <s v="K Srinivas"/>
    <s v="Introduction to gifting and bulk order"/>
    <n v="15000"/>
    <n v="0"/>
    <x v="9"/>
    <x v="0"/>
    <x v="0"/>
    <s v="Cancelled"/>
    <s v="No requirement"/>
    <n v="0"/>
    <m/>
    <m/>
    <m/>
    <s v="May-24"/>
    <n v="20"/>
    <s v="2024"/>
  </r>
  <r>
    <d v="2024-05-15T00:00:00"/>
    <s v="Delivery at Charminar"/>
    <s v="Call"/>
    <s v="Events"/>
    <x v="10"/>
    <s v="Padmavathi"/>
    <s v="Delivery on 17 May 2024"/>
    <n v="12000"/>
    <n v="12000"/>
    <x v="10"/>
    <x v="0"/>
    <x v="1"/>
    <s v="Closed"/>
    <m/>
    <n v="0"/>
    <m/>
    <m/>
    <m/>
    <s v="May-24"/>
    <n v="20"/>
    <s v="2024"/>
  </r>
  <r>
    <d v="2024-05-15T00:00:00"/>
    <s v="Delivery at Bowenpally"/>
    <s v="Call"/>
    <s v="Events"/>
    <x v="10"/>
    <s v="Sahel"/>
    <s v="Delivery of MB on 15 May 2024"/>
    <n v="7000"/>
    <n v="7000"/>
    <x v="10"/>
    <x v="0"/>
    <x v="1"/>
    <s v="Closed"/>
    <m/>
    <n v="0"/>
    <m/>
    <m/>
    <m/>
    <s v="May-24"/>
    <n v="20"/>
    <s v="2024"/>
  </r>
  <r>
    <d v="2024-05-15T00:00:00"/>
    <s v="Delivery at Electronic City"/>
    <s v="Call"/>
    <s v="Events"/>
    <x v="10"/>
    <s v="Edvin"/>
    <s v="Delivery of CB on 15 May 2024"/>
    <n v="6000"/>
    <n v="6000"/>
    <x v="10"/>
    <x v="1"/>
    <x v="1"/>
    <s v="Closed"/>
    <m/>
    <n v="0"/>
    <m/>
    <m/>
    <m/>
    <s v="May-24"/>
    <n v="20"/>
    <s v="2024"/>
  </r>
  <r>
    <d v="2024-05-15T00:00:00"/>
    <s v="Cosmol Energy"/>
    <s v="F2F"/>
    <s v="Corporate"/>
    <x v="0"/>
    <s v="Kaleem"/>
    <s v="Introduction to bulk orders"/>
    <n v="10000"/>
    <n v="0"/>
    <x v="9"/>
    <x v="0"/>
    <x v="0"/>
    <s v="Cancelled"/>
    <s v="No requirement"/>
    <n v="0"/>
    <m/>
    <m/>
    <m/>
    <s v="May-24"/>
    <n v="20"/>
    <s v="2024"/>
  </r>
  <r>
    <d v="2024-05-15T00:00:00"/>
    <s v="Param Info"/>
    <s v="F2F"/>
    <s v="Corporate"/>
    <x v="0"/>
    <s v="Kalyan"/>
    <s v="Introduction to team lunch and bulk orders"/>
    <n v="12000"/>
    <n v="0"/>
    <x v="9"/>
    <x v="0"/>
    <x v="0"/>
    <s v="Cancelled"/>
    <s v="No requirement"/>
    <n v="0"/>
    <m/>
    <m/>
    <m/>
    <s v="May-24"/>
    <n v="20"/>
    <s v="2024"/>
  </r>
  <r>
    <d v="2024-05-16T00:00:00"/>
    <s v="Franklin Templeton"/>
    <s v="F2F"/>
    <s v="Corporate"/>
    <x v="21"/>
    <s v="Anil"/>
    <s v="Introduction to team lunch &amp; ODC"/>
    <n v="15000"/>
    <n v="0"/>
    <x v="9"/>
    <x v="0"/>
    <x v="0"/>
    <s v="Cancelled"/>
    <s v="No requirement"/>
    <n v="0"/>
    <m/>
    <m/>
    <m/>
    <s v="May-24"/>
    <n v="20"/>
    <s v="2024"/>
  </r>
  <r>
    <d v="2024-05-16T00:00:00"/>
    <s v="ICICI Lombard"/>
    <s v="F2F"/>
    <s v="Corporate"/>
    <x v="21"/>
    <s v="Fatima"/>
    <s v="Introduction to bulk orders"/>
    <n v="12000"/>
    <n v="0"/>
    <x v="9"/>
    <x v="0"/>
    <x v="0"/>
    <s v="Cancelled"/>
    <s v="No requirement"/>
    <n v="0"/>
    <m/>
    <m/>
    <m/>
    <s v="May-24"/>
    <n v="20"/>
    <s v="2024"/>
  </r>
  <r>
    <d v="2024-05-16T00:00:00"/>
    <s v="JP Morgan"/>
    <s v="F2F"/>
    <s v="Corporate"/>
    <x v="21"/>
    <s v="Jazeel"/>
    <s v="Introduction to bulk orders"/>
    <n v="15000"/>
    <n v="0"/>
    <x v="9"/>
    <x v="0"/>
    <x v="0"/>
    <s v="Cancelled"/>
    <s v="No requirement"/>
    <n v="0"/>
    <m/>
    <m/>
    <m/>
    <s v="May-24"/>
    <n v="20"/>
    <s v="2024"/>
  </r>
  <r>
    <d v="2024-05-16T00:00:00"/>
    <s v="Genpact"/>
    <s v="Call"/>
    <s v="Corporate"/>
    <x v="0"/>
    <s v="Manish Mittal"/>
    <s v="Introduction to bulk food delivery "/>
    <n v="10000"/>
    <n v="0"/>
    <x v="9"/>
    <x v="0"/>
    <x v="0"/>
    <s v="Cancelled"/>
    <s v="No requirement"/>
    <n v="0"/>
    <m/>
    <m/>
    <m/>
    <s v="May-24"/>
    <n v="20"/>
    <s v="2024"/>
  </r>
  <r>
    <d v="2024-05-16T00:00:00"/>
    <s v="Columbus Logo Solutions "/>
    <s v="Call"/>
    <s v="Corporate"/>
    <x v="0"/>
    <s v="Pavan"/>
    <s v="Introduction to team lunch"/>
    <n v="12000"/>
    <n v="0"/>
    <x v="9"/>
    <x v="0"/>
    <x v="0"/>
    <s v="Cancelled"/>
    <s v="No requirement"/>
    <n v="0"/>
    <m/>
    <m/>
    <m/>
    <s v="May-24"/>
    <n v="20"/>
    <s v="2024"/>
  </r>
  <r>
    <d v="2024-05-17T00:00:00"/>
    <s v="Renicare Pharma"/>
    <s v="F2F"/>
    <s v="Corporate"/>
    <x v="5"/>
    <s v="Lakshmi Gatla"/>
    <s v="Introduction to bulk orders and team lunch"/>
    <n v="30000"/>
    <n v="0"/>
    <x v="9"/>
    <x v="0"/>
    <x v="0"/>
    <s v="Cancelled"/>
    <s v="No requirement"/>
    <n v="0"/>
    <m/>
    <m/>
    <m/>
    <s v="May-24"/>
    <n v="20"/>
    <s v="2024"/>
  </r>
  <r>
    <d v="2024-05-17T00:00:00"/>
    <s v="Celkon"/>
    <s v="F2F"/>
    <s v="Corporate"/>
    <x v="19"/>
    <s v="Lalith"/>
    <s v="Introduction to bulk order and Gifting"/>
    <n v="38000"/>
    <n v="0"/>
    <x v="9"/>
    <x v="0"/>
    <x v="0"/>
    <s v="Cancelled"/>
    <s v="No requirement"/>
    <n v="0"/>
    <m/>
    <m/>
    <m/>
    <s v="May-24"/>
    <n v="20"/>
    <s v="2024"/>
  </r>
  <r>
    <d v="2024-05-17T00:00:00"/>
    <s v="Maha Technologies"/>
    <s v="Call"/>
    <s v="Corporate"/>
    <x v="0"/>
    <s v="Latiff"/>
    <s v="Introduction to team lunch"/>
    <n v="10000"/>
    <n v="0"/>
    <x v="9"/>
    <x v="0"/>
    <x v="0"/>
    <s v="Cancelled"/>
    <s v="No requirement"/>
    <n v="0"/>
    <m/>
    <m/>
    <m/>
    <s v="May-24"/>
    <n v="20"/>
    <s v="2024"/>
  </r>
  <r>
    <d v="2024-05-17T00:00:00"/>
    <s v="Masterminds School"/>
    <s v="Call"/>
    <s v="School"/>
    <x v="4"/>
    <s v="Madhava"/>
    <s v="Introductoion to bulk delivery in "/>
    <n v="12000"/>
    <n v="0"/>
    <x v="9"/>
    <x v="0"/>
    <x v="0"/>
    <s v="Cancelled"/>
    <s v="No requirement"/>
    <n v="0"/>
    <m/>
    <m/>
    <m/>
    <s v="May-24"/>
    <n v="20"/>
    <s v="2024"/>
  </r>
  <r>
    <d v="2024-05-18T00:00:00"/>
    <s v="Delivery at Gandhi Hospital"/>
    <s v="Call"/>
    <s v="Hospital"/>
    <x v="13"/>
    <s v="Ramesh"/>
    <s v="Delivery on 30 May 2024"/>
    <n v="8000"/>
    <n v="8000"/>
    <x v="10"/>
    <x v="0"/>
    <x v="1"/>
    <s v="Closed"/>
    <m/>
    <n v="0"/>
    <m/>
    <m/>
    <m/>
    <s v="May-24"/>
    <n v="20"/>
    <s v="2024"/>
  </r>
  <r>
    <d v="2024-05-19T00:00:00"/>
    <s v="Take away from Masab Tank"/>
    <s v="Call"/>
    <s v="Events"/>
    <x v="10"/>
    <s v="Trevor Gonsalves"/>
    <s v="Take away of Mutton Biryani &amp; Haleem"/>
    <n v="5000"/>
    <n v="5000"/>
    <x v="10"/>
    <x v="0"/>
    <x v="1"/>
    <s v="Closed"/>
    <m/>
    <n v="800"/>
    <m/>
    <m/>
    <m/>
    <s v="May-24"/>
    <n v="20"/>
    <s v="2024"/>
  </r>
  <r>
    <d v="2024-05-20T00:00:00"/>
    <s v="Freakuts Adventure Club"/>
    <s v="F2F"/>
    <s v="Corporate"/>
    <x v="1"/>
    <s v="Harish Negi"/>
    <s v="discussion of food delivery to adventure camps and touring groups"/>
    <n v="20000"/>
    <n v="0"/>
    <x v="9"/>
    <x v="0"/>
    <x v="0"/>
    <s v="Cancelled"/>
    <s v="No requirement"/>
    <n v="0"/>
    <m/>
    <m/>
    <m/>
    <s v="May-24"/>
    <n v="21"/>
    <s v="2024"/>
  </r>
  <r>
    <d v="2024-05-20T00:00:00"/>
    <s v="Soundlines Consultency"/>
    <s v="F2F"/>
    <s v="Corporate"/>
    <x v="0"/>
    <s v="Yusufzau"/>
    <s v="Introduction to bulk food delivery"/>
    <n v="10000"/>
    <n v="0"/>
    <x v="9"/>
    <x v="0"/>
    <x v="0"/>
    <s v="Cancelled"/>
    <s v="No requirement"/>
    <n v="0"/>
    <m/>
    <m/>
    <m/>
    <s v="May-24"/>
    <n v="21"/>
    <s v="2024"/>
  </r>
  <r>
    <d v="2024-05-20T00:00:00"/>
    <s v="Factset"/>
    <s v="Call"/>
    <s v="Corporate"/>
    <x v="0"/>
    <s v="Yogesh"/>
    <s v="Introduction to bulk delivery of food and snacks"/>
    <n v="12000"/>
    <n v="0"/>
    <x v="9"/>
    <x v="0"/>
    <x v="0"/>
    <s v="Cancelled"/>
    <s v="No requirement"/>
    <n v="0"/>
    <m/>
    <m/>
    <m/>
    <s v="May-24"/>
    <n v="21"/>
    <s v="2024"/>
  </r>
  <r>
    <d v="2024-05-20T00:00:00"/>
    <s v="Realvision Infra Projects"/>
    <s v="F2F"/>
    <s v="Corporate"/>
    <x v="15"/>
    <s v="Yella Krishna"/>
    <s v="Introduction to bulk order and gifting"/>
    <n v="15000"/>
    <n v="0"/>
    <x v="9"/>
    <x v="0"/>
    <x v="0"/>
    <s v="Cancelled"/>
    <s v="No requirement"/>
    <n v="0"/>
    <m/>
    <m/>
    <m/>
    <s v="May-24"/>
    <n v="21"/>
    <s v="2024"/>
  </r>
  <r>
    <d v="2024-05-21T00:00:00"/>
    <s v="Delivery at Compass Group Bangalore"/>
    <s v="Call"/>
    <s v="Corporate"/>
    <x v="17"/>
    <s v="Pankaj"/>
    <s v="Delivery of Special CB &amp; MB Handi on 22 May 2024"/>
    <n v="42000"/>
    <n v="42000"/>
    <x v="10"/>
    <x v="1"/>
    <x v="1"/>
    <s v="Closed"/>
    <m/>
    <n v="0"/>
    <m/>
    <m/>
    <m/>
    <s v="May-24"/>
    <n v="21"/>
    <s v="2024"/>
  </r>
  <r>
    <d v="2024-05-21T00:00:00"/>
    <s v="RC Oxygen Valley"/>
    <s v="F2F"/>
    <s v="Corporate"/>
    <x v="15"/>
    <s v="Sasntosh"/>
    <s v="Shared information about bulk foold delivery at property sights"/>
    <n v="15000"/>
    <n v="0"/>
    <x v="9"/>
    <x v="0"/>
    <x v="0"/>
    <s v="Cancelled"/>
    <s v="No requirement"/>
    <n v="0"/>
    <m/>
    <m/>
    <m/>
    <s v="May-24"/>
    <n v="21"/>
    <s v="2024"/>
  </r>
  <r>
    <d v="2024-05-21T00:00:00"/>
    <s v="Lotus LAP Academy"/>
    <s v="F2F"/>
    <s v="College"/>
    <x v="4"/>
    <s v="Ramprasad"/>
    <s v="Introduction to bulk food orders"/>
    <n v="12000"/>
    <n v="0"/>
    <x v="9"/>
    <x v="0"/>
    <x v="0"/>
    <s v="Cancelled"/>
    <s v="No requirement"/>
    <n v="0"/>
    <m/>
    <m/>
    <m/>
    <s v="May-24"/>
    <n v="21"/>
    <s v="2024"/>
  </r>
  <r>
    <d v="2024-05-21T00:00:00"/>
    <s v="Insuraksha"/>
    <s v="F2F"/>
    <s v="Corporate"/>
    <x v="21"/>
    <s v="Bharath Anand"/>
    <s v="Introduction to bulk orders"/>
    <n v="15000"/>
    <n v="0"/>
    <x v="9"/>
    <x v="0"/>
    <x v="0"/>
    <s v="Cancelled"/>
    <s v="No requirement"/>
    <n v="0"/>
    <m/>
    <m/>
    <m/>
    <s v="May-24"/>
    <n v="21"/>
    <s v="2024"/>
  </r>
  <r>
    <d v="2024-05-22T00:00:00"/>
    <s v="Delivery at Himayathnagar"/>
    <s v="Call"/>
    <s v="Events"/>
    <x v="10"/>
    <s v="Habeeb"/>
    <s v="Shared quote for delivery of MB on 26 May 2024"/>
    <n v="15000"/>
    <n v="0"/>
    <x v="10"/>
    <x v="0"/>
    <x v="0"/>
    <s v="Cancelled"/>
    <s v="No Budget"/>
    <n v="0"/>
    <m/>
    <m/>
    <m/>
    <s v="May-24"/>
    <n v="21"/>
    <s v="2024"/>
  </r>
  <r>
    <d v="2024-05-22T00:00:00"/>
    <s v="Crescent IT Solutions"/>
    <s v="F2F"/>
    <s v="Corporate"/>
    <x v="0"/>
    <s v="Kalpana"/>
    <s v="Introduction to bulk order"/>
    <n v="12000"/>
    <n v="0"/>
    <x v="9"/>
    <x v="0"/>
    <x v="0"/>
    <s v="Cancelled"/>
    <s v="No requirement"/>
    <n v="0"/>
    <m/>
    <m/>
    <m/>
    <s v="May-24"/>
    <n v="21"/>
    <s v="2024"/>
  </r>
  <r>
    <d v="2024-05-22T00:00:00"/>
    <s v="Delivery at Motinagar"/>
    <s v="Call"/>
    <s v="Events"/>
    <x v="10"/>
    <s v="Meghana"/>
    <s v="Delivery of CB on 23 May 2024"/>
    <n v="10000"/>
    <n v="0"/>
    <x v="10"/>
    <x v="0"/>
    <x v="0"/>
    <s v="Cancelled"/>
    <s v="Budget Constrain"/>
    <n v="0"/>
    <m/>
    <m/>
    <m/>
    <s v="May-24"/>
    <n v="21"/>
    <s v="2024"/>
  </r>
  <r>
    <d v="2024-05-22T00:00:00"/>
    <s v="St Pauls School, Nadergul"/>
    <s v="Call"/>
    <s v="School"/>
    <x v="4"/>
    <s v="Joseph"/>
    <s v="Introduction to bulk orders"/>
    <n v="12000"/>
    <n v="0"/>
    <x v="9"/>
    <x v="0"/>
    <x v="0"/>
    <s v="Cancelled"/>
    <s v="No requirement"/>
    <n v="0"/>
    <m/>
    <m/>
    <m/>
    <s v="May-24"/>
    <n v="21"/>
    <s v="2024"/>
  </r>
  <r>
    <d v="2024-05-22T00:00:00"/>
    <s v="Arcsine"/>
    <s v="F2F"/>
    <s v="Corporate"/>
    <x v="0"/>
    <s v="Nagaraju"/>
    <s v="Introduction to bulk orders"/>
    <n v="10000"/>
    <n v="0"/>
    <x v="9"/>
    <x v="0"/>
    <x v="0"/>
    <s v="Cancelled"/>
    <s v="No requirement"/>
    <n v="0"/>
    <m/>
    <m/>
    <m/>
    <s v="May-24"/>
    <n v="21"/>
    <s v="2024"/>
  </r>
  <r>
    <d v="2024-05-23T00:00:00"/>
    <s v="Tata Advance Systems Bangalore"/>
    <s v="Call"/>
    <s v="Corporate"/>
    <x v="22"/>
    <s v="Swaminathan"/>
    <s v="Introduction to bulk delivery"/>
    <n v="10000"/>
    <n v="0"/>
    <x v="11"/>
    <x v="1"/>
    <x v="0"/>
    <s v="Cancelled"/>
    <s v="No plans as of now"/>
    <n v="0"/>
    <m/>
    <m/>
    <m/>
    <s v="May-24"/>
    <n v="21"/>
    <s v="2024"/>
  </r>
  <r>
    <d v="2024-05-23T00:00:00"/>
    <s v="Moog Inc Bangalore"/>
    <s v="Call"/>
    <s v="Corporate"/>
    <x v="22"/>
    <s v="Rajkumar"/>
    <s v="Introduction to bulk orders"/>
    <n v="8000"/>
    <n v="0"/>
    <x v="11"/>
    <x v="1"/>
    <x v="0"/>
    <s v="Cancelled"/>
    <s v="No plans as of now"/>
    <n v="0"/>
    <m/>
    <m/>
    <m/>
    <s v="May-24"/>
    <n v="21"/>
    <s v="2024"/>
  </r>
  <r>
    <d v="2024-05-23T00:00:00"/>
    <s v="Dilevery at West Maradpally"/>
    <s v="Call"/>
    <s v="Events"/>
    <x v="10"/>
    <s v="Alekhya"/>
    <s v="Delivery on 25 May 2024"/>
    <n v="12000"/>
    <n v="12000"/>
    <x v="10"/>
    <x v="0"/>
    <x v="1"/>
    <s v="Closed"/>
    <m/>
    <n v="0"/>
    <m/>
    <m/>
    <m/>
    <s v="May-24"/>
    <n v="21"/>
    <s v="2024"/>
  </r>
  <r>
    <d v="2024-05-23T00:00:00"/>
    <s v="New Edge Consultancy"/>
    <s v="F2F"/>
    <s v="Corporate"/>
    <x v="0"/>
    <s v="Aarthi"/>
    <s v="Delivery on 31 May 2024"/>
    <n v="10000"/>
    <n v="0"/>
    <x v="10"/>
    <x v="0"/>
    <x v="0"/>
    <s v="Cancelled"/>
    <s v="Event Cancelled"/>
    <n v="0"/>
    <m/>
    <m/>
    <m/>
    <s v="May-24"/>
    <n v="21"/>
    <s v="2024"/>
  </r>
  <r>
    <d v="2024-05-23T00:00:00"/>
    <s v="American Pathology"/>
    <s v="Call"/>
    <s v="Corporate"/>
    <x v="13"/>
    <s v="Abdul"/>
    <s v="Introduction to bulk orders"/>
    <n v="12000"/>
    <n v="0"/>
    <x v="11"/>
    <x v="0"/>
    <x v="0"/>
    <s v="Cancelled"/>
    <m/>
    <n v="0"/>
    <m/>
    <m/>
    <m/>
    <s v="May-24"/>
    <n v="21"/>
    <s v="2024"/>
  </r>
  <r>
    <d v="2024-05-23T00:00:00"/>
    <s v="TRS Future Green"/>
    <s v="Call"/>
    <s v="Corporate"/>
    <x v="15"/>
    <s v="Kaleem"/>
    <s v="Introduction to corporate Gifting"/>
    <n v="15000"/>
    <n v="0"/>
    <x v="11"/>
    <x v="0"/>
    <x v="0"/>
    <s v="Cancelled"/>
    <m/>
    <n v="0"/>
    <m/>
    <m/>
    <m/>
    <s v="May-24"/>
    <n v="21"/>
    <s v="2024"/>
  </r>
  <r>
    <d v="2024-05-24T00:00:00"/>
    <s v="ODC at KPMG Bangalore"/>
    <s v="Call"/>
    <s v="Corporate"/>
    <x v="0"/>
    <s v="Arun"/>
    <s v="ODC on 29 May 2024"/>
    <n v="23000"/>
    <n v="23000"/>
    <x v="10"/>
    <x v="1"/>
    <x v="1"/>
    <s v="Closed"/>
    <m/>
    <n v="0"/>
    <m/>
    <m/>
    <m/>
    <s v="May-24"/>
    <n v="21"/>
    <s v="2024"/>
  </r>
  <r>
    <d v="2024-05-24T00:00:00"/>
    <s v="Satguru Management"/>
    <s v="F2F"/>
    <s v="Corporate"/>
    <x v="0"/>
    <s v="Lakshman"/>
    <s v="Introduction to team outing"/>
    <n v="12000"/>
    <n v="0"/>
    <x v="11"/>
    <x v="0"/>
    <x v="0"/>
    <s v="Cancelled"/>
    <m/>
    <n v="0"/>
    <m/>
    <m/>
    <m/>
    <s v="May-24"/>
    <n v="21"/>
    <s v="2024"/>
  </r>
  <r>
    <d v="2024-05-24T00:00:00"/>
    <s v="CH2M"/>
    <s v="F2F"/>
    <s v="Corporate"/>
    <x v="0"/>
    <s v="Lakshmi Pillai"/>
    <s v="Introduction to bulk order"/>
    <n v="10000"/>
    <n v="0"/>
    <x v="11"/>
    <x v="0"/>
    <x v="0"/>
    <s v="Cancelled"/>
    <m/>
    <n v="0"/>
    <m/>
    <m/>
    <m/>
    <s v="May-24"/>
    <n v="21"/>
    <s v="2024"/>
  </r>
  <r>
    <d v="2024-05-24T00:00:00"/>
    <s v="Brihaspati Technologies"/>
    <s v="F2F"/>
    <s v="Corporate"/>
    <x v="0"/>
    <s v="Madhavi"/>
    <s v="Introduction to bulk orders"/>
    <n v="15000"/>
    <n v="0"/>
    <x v="4"/>
    <x v="0"/>
    <x v="0"/>
    <s v="Cancelled"/>
    <s v="No requirement"/>
    <n v="0"/>
    <m/>
    <m/>
    <m/>
    <s v="May-24"/>
    <n v="21"/>
    <s v="2024"/>
  </r>
  <r>
    <d v="2024-05-24T00:00:00"/>
    <s v="Cipla Vitals"/>
    <s v="F2F"/>
    <s v="Corporate"/>
    <x v="5"/>
    <s v="Madhu"/>
    <s v="Introduction to bulk orders and gifting"/>
    <n v="12000"/>
    <n v="0"/>
    <x v="4"/>
    <x v="0"/>
    <x v="0"/>
    <s v="Cancelled"/>
    <s v="No requirement"/>
    <n v="0"/>
    <m/>
    <m/>
    <m/>
    <s v="May-24"/>
    <n v="21"/>
    <s v="2024"/>
  </r>
  <r>
    <d v="2024-05-25T00:00:00"/>
    <s v="G Pullareddy Group"/>
    <s v="Call"/>
    <s v="Corporate"/>
    <x v="23"/>
    <s v="Nagaraju"/>
    <s v="Delivery of Veg Biryani on 25 May 2024"/>
    <n v="224000"/>
    <n v="0"/>
    <x v="10"/>
    <x v="0"/>
    <x v="0"/>
    <s v="Cancelled"/>
    <s v="they require 1000 VB on a very short notice"/>
    <n v="0"/>
    <m/>
    <m/>
    <m/>
    <s v="May-24"/>
    <n v="21"/>
    <s v="2024"/>
  </r>
  <r>
    <d v="2004-05-26T00:00:00"/>
    <s v="Aurobindo Realty"/>
    <s v="Call"/>
    <s v="Corporate"/>
    <x v="15"/>
    <s v="Prakash "/>
    <s v="Take away of CB from Muthangi"/>
    <n v="9000"/>
    <n v="9000"/>
    <x v="10"/>
    <x v="0"/>
    <x v="1"/>
    <s v="Closed"/>
    <m/>
    <n v="0"/>
    <m/>
    <m/>
    <m/>
    <s v="May-04"/>
    <n v="22"/>
    <s v="2024"/>
  </r>
  <r>
    <d v="2024-05-26T00:00:00"/>
    <s v="Delivery at Saroornagar "/>
    <s v="Call"/>
    <s v="Events"/>
    <x v="10"/>
    <s v="Swati"/>
    <s v="Delivery of CB on 27 May 2024"/>
    <n v="10000"/>
    <n v="10000"/>
    <x v="10"/>
    <x v="0"/>
    <x v="1"/>
    <s v="Closed"/>
    <m/>
    <n v="0"/>
    <m/>
    <m/>
    <m/>
    <s v="May-24"/>
    <n v="21"/>
    <s v="2024"/>
  </r>
  <r>
    <d v="2024-05-27T00:00:00"/>
    <s v="Genpact"/>
    <s v="F2F"/>
    <s v="Corporate"/>
    <x v="0"/>
    <s v="Sai"/>
    <s v="Delivery of CB on 28 May 2024"/>
    <n v="8000"/>
    <n v="8000"/>
    <x v="10"/>
    <x v="0"/>
    <x v="1"/>
    <s v="Closed"/>
    <m/>
    <n v="0"/>
    <m/>
    <m/>
    <m/>
    <s v="May-24"/>
    <n v="22"/>
    <s v="2024"/>
  </r>
  <r>
    <d v="2024-05-27T00:00:00"/>
    <s v="Delivery at Compass Group Bangalore"/>
    <s v="Call"/>
    <s v="Corporate"/>
    <x v="17"/>
    <s v="Pankaj"/>
    <s v="Delivery of Special CB &amp; MB Handi on 29 May 2024"/>
    <n v="48358"/>
    <n v="48358"/>
    <x v="10"/>
    <x v="1"/>
    <x v="1"/>
    <s v="Closed"/>
    <m/>
    <n v="0"/>
    <m/>
    <m/>
    <m/>
    <s v="May-24"/>
    <n v="22"/>
    <s v="2024"/>
  </r>
  <r>
    <d v="2024-05-27T00:00:00"/>
    <s v="Delivery at Bachupally"/>
    <s v="Call"/>
    <s v="Events"/>
    <x v="10"/>
    <s v="Himaja"/>
    <s v="Delivery of  Biryani on 1 June 2024"/>
    <n v="9000"/>
    <n v="9000"/>
    <x v="6"/>
    <x v="0"/>
    <x v="1"/>
    <s v="Closed"/>
    <m/>
    <n v="0"/>
    <m/>
    <m/>
    <m/>
    <s v="May-24"/>
    <n v="22"/>
    <s v="2024"/>
  </r>
  <r>
    <d v="2024-05-27T00:00:00"/>
    <s v="Delhi Public School"/>
    <s v="F2F"/>
    <s v="School"/>
    <x v="4"/>
    <s v="Venkatesh"/>
    <s v="Delivery of bulk food "/>
    <n v="20000"/>
    <n v="0"/>
    <x v="4"/>
    <x v="0"/>
    <x v="0"/>
    <s v="Cancelled"/>
    <s v="No requirement"/>
    <n v="0"/>
    <m/>
    <m/>
    <m/>
    <s v="May-24"/>
    <n v="22"/>
    <s v="2024"/>
  </r>
  <r>
    <d v="2024-05-27T00:00:00"/>
    <s v="Tekfriday"/>
    <s v="F2F"/>
    <s v="Corporate"/>
    <x v="0"/>
    <s v="Lakshmi"/>
    <s v="Introduction to Bulk order"/>
    <n v="22000"/>
    <n v="0"/>
    <x v="4"/>
    <x v="0"/>
    <x v="0"/>
    <s v="Cancelled"/>
    <s v="No requirement"/>
    <n v="0"/>
    <m/>
    <m/>
    <m/>
    <s v="May-24"/>
    <n v="22"/>
    <s v="2024"/>
  </r>
  <r>
    <d v="2024-05-28T00:00:00"/>
    <s v="Delivery at Gandhi Hospital"/>
    <s v="Call"/>
    <s v="Corporate"/>
    <x v="13"/>
    <s v="Pavan"/>
    <s v="Delivery of CB on 3 June 2024"/>
    <n v="10000"/>
    <n v="10000"/>
    <x v="6"/>
    <x v="0"/>
    <x v="1"/>
    <s v="Closed"/>
    <m/>
    <n v="0"/>
    <m/>
    <m/>
    <m/>
    <s v="May-24"/>
    <n v="22"/>
    <s v="2024"/>
  </r>
  <r>
    <d v="2024-05-28T00:00:00"/>
    <s v="Quomatic Solutions"/>
    <s v="F2F"/>
    <s v="Corporate"/>
    <x v="0"/>
    <s v="Chaitanya"/>
    <s v="Introduction to bulk delivery of food and snacks"/>
    <n v="12000"/>
    <n v="0"/>
    <x v="9"/>
    <x v="0"/>
    <x v="0"/>
    <s v="Cancelled"/>
    <s v="No requirement"/>
    <n v="0"/>
    <m/>
    <m/>
    <m/>
    <s v="May-24"/>
    <n v="22"/>
    <s v="2024"/>
  </r>
  <r>
    <d v="2024-05-28T00:00:00"/>
    <s v="24 By 7"/>
    <s v="F2F"/>
    <s v="Corporate"/>
    <x v="0"/>
    <s v="Chakravarti"/>
    <s v="Introduction to Bulk order and Team lunch"/>
    <n v="15000"/>
    <n v="0"/>
    <x v="4"/>
    <x v="0"/>
    <x v="0"/>
    <s v="Cancelled"/>
    <s v="No requirement"/>
    <n v="0"/>
    <m/>
    <m/>
    <m/>
    <s v="May-24"/>
    <n v="22"/>
    <s v="2024"/>
  </r>
  <r>
    <d v="2024-05-28T00:00:00"/>
    <s v="Ace Online"/>
    <s v="F2F"/>
    <s v="Corporate"/>
    <x v="0"/>
    <s v="Chandana"/>
    <s v="Introduction to bulk orders"/>
    <n v="10000"/>
    <n v="0"/>
    <x v="4"/>
    <x v="0"/>
    <x v="0"/>
    <s v="Cancelled"/>
    <s v="No requirement"/>
    <n v="0"/>
    <m/>
    <m/>
    <m/>
    <s v="May-24"/>
    <n v="22"/>
    <s v="2024"/>
  </r>
  <r>
    <d v="2024-05-28T00:00:00"/>
    <s v="Deccan Trails"/>
    <s v="F2F"/>
    <s v="Corporate"/>
    <x v="1"/>
    <s v="Cyril Richards"/>
    <s v="supply of food at adventure camps"/>
    <n v="20000"/>
    <n v="0"/>
    <x v="9"/>
    <x v="0"/>
    <x v="0"/>
    <s v="Cancelled"/>
    <s v="No requirement"/>
    <n v="0"/>
    <m/>
    <m/>
    <m/>
    <s v="May-24"/>
    <n v="22"/>
    <s v="2024"/>
  </r>
  <r>
    <d v="2024-05-29T00:00:00"/>
    <s v="Lotus Lap Group of Schools"/>
    <s v="F2F"/>
    <s v="School"/>
    <x v="4"/>
    <s v="Srinivas Reddy"/>
    <s v="Shared details of bulk orders"/>
    <n v="18000"/>
    <n v="0"/>
    <x v="4"/>
    <x v="0"/>
    <x v="0"/>
    <s v="Cancelled"/>
    <s v="No requirement"/>
    <n v="0"/>
    <m/>
    <m/>
    <m/>
    <s v="May-24"/>
    <n v="22"/>
    <s v="2024"/>
  </r>
  <r>
    <d v="2024-05-29T00:00:00"/>
    <s v="Narayana Academy"/>
    <s v="F2F"/>
    <s v="School"/>
    <x v="4"/>
    <s v="Yadagiri"/>
    <s v="Bulk delivery of food in their functions"/>
    <n v="15000"/>
    <n v="0"/>
    <x v="6"/>
    <x v="0"/>
    <x v="0"/>
    <s v="Cancelled"/>
    <s v="Event Cancelled"/>
    <n v="0"/>
    <m/>
    <m/>
    <m/>
    <s v="May-24"/>
    <n v="22"/>
    <s v="2024"/>
  </r>
  <r>
    <d v="2024-05-29T00:00:00"/>
    <s v="Avinash College of Commerce"/>
    <s v="F2F"/>
    <s v="College"/>
    <x v="4"/>
    <s v="Mahesh"/>
    <s v="Bulk delivery at college functions"/>
    <n v="15000"/>
    <n v="0"/>
    <x v="9"/>
    <x v="0"/>
    <x v="0"/>
    <s v="Cancelled"/>
    <s v="No requirement"/>
    <n v="0"/>
    <m/>
    <m/>
    <m/>
    <s v="May-24"/>
    <n v="22"/>
    <s v="2024"/>
  </r>
  <r>
    <d v="2024-05-29T00:00:00"/>
    <s v="Delivery at Yapral"/>
    <s v="Call"/>
    <s v="Events"/>
    <x v="10"/>
    <s v="Sushanta"/>
    <s v="Delivery of CB and VB on 18 June 2024"/>
    <n v="12000"/>
    <n v="0"/>
    <x v="6"/>
    <x v="0"/>
    <x v="0"/>
    <s v="Cancelled"/>
    <s v="No Budget"/>
    <n v="0"/>
    <m/>
    <m/>
    <m/>
    <s v="May-24"/>
    <n v="22"/>
    <s v="2024"/>
  </r>
  <r>
    <d v="2024-05-29T00:00:00"/>
    <s v="L&amp;T Finance"/>
    <s v="F2F"/>
    <s v="Corporate"/>
    <x v="2"/>
    <s v="Shailesh"/>
    <s v="Follow up for bulk orders"/>
    <n v="12000"/>
    <n v="0"/>
    <x v="4"/>
    <x v="0"/>
    <x v="0"/>
    <s v="Cancelled"/>
    <s v="No requirement"/>
    <n v="0"/>
    <m/>
    <m/>
    <m/>
    <s v="May-24"/>
    <n v="22"/>
    <s v="2024"/>
  </r>
  <r>
    <d v="2024-05-30T00:00:00"/>
    <s v="B4S"/>
    <s v="F2F"/>
    <s v="Corporate"/>
    <x v="0"/>
    <s v="Surendra"/>
    <s v="Introduction to team lunch"/>
    <n v="10000"/>
    <n v="0"/>
    <x v="4"/>
    <x v="0"/>
    <x v="0"/>
    <s v="Cancelled"/>
    <s v="No requirement"/>
    <n v="0"/>
    <m/>
    <m/>
    <m/>
    <s v="May-24"/>
    <n v="22"/>
    <s v="2024"/>
  </r>
  <r>
    <d v="2024-05-30T00:00:00"/>
    <s v="Citizen Cooperative Society Funds"/>
    <s v="F2F"/>
    <s v="Corporate"/>
    <x v="21"/>
    <s v="Avinash"/>
    <s v="Followup for further orders"/>
    <n v="15000"/>
    <n v="0"/>
    <x v="4"/>
    <x v="0"/>
    <x v="0"/>
    <s v="Cancelled"/>
    <s v="No requirement"/>
    <n v="0"/>
    <m/>
    <m/>
    <m/>
    <s v="May-24"/>
    <n v="22"/>
    <s v="2024"/>
  </r>
  <r>
    <d v="2024-05-30T00:00:00"/>
    <s v="Rishi Jr College"/>
    <s v="F2F"/>
    <s v="College"/>
    <x v="4"/>
    <s v="Babul Reddy"/>
    <s v="Introduction to bulk orders"/>
    <n v="20000"/>
    <n v="0"/>
    <x v="9"/>
    <x v="0"/>
    <x v="0"/>
    <s v="Cancelled"/>
    <s v="No requirement"/>
    <n v="0"/>
    <m/>
    <m/>
    <m/>
    <s v="May-24"/>
    <n v="22"/>
    <s v="2024"/>
  </r>
  <r>
    <d v="2024-05-30T00:00:00"/>
    <s v="PTNSU Biotech "/>
    <s v="F2F"/>
    <s v="Corporate"/>
    <x v="5"/>
    <s v="Bala Prasad"/>
    <s v="Followup for further orders"/>
    <n v="15000"/>
    <n v="0"/>
    <x v="9"/>
    <x v="0"/>
    <x v="0"/>
    <s v="Cancelled"/>
    <s v="No requirement"/>
    <n v="0"/>
    <m/>
    <m/>
    <m/>
    <s v="May-24"/>
    <n v="22"/>
    <s v="2024"/>
  </r>
  <r>
    <d v="2024-05-30T00:00:00"/>
    <s v="PATYM"/>
    <s v="F2F"/>
    <s v="Corporate"/>
    <x v="21"/>
    <s v="Subramanyam"/>
    <s v="Introduction to team lunch"/>
    <n v="20000"/>
    <n v="0"/>
    <x v="4"/>
    <x v="0"/>
    <x v="0"/>
    <s v="Cancelled"/>
    <s v="No requirement"/>
    <n v="0"/>
    <m/>
    <m/>
    <m/>
    <s v="May-24"/>
    <n v="22"/>
    <s v="2024"/>
  </r>
  <r>
    <d v="2024-05-31T00:00:00"/>
    <s v="HP "/>
    <s v="Call"/>
    <s v="Corporate"/>
    <x v="0"/>
    <s v="Sanjana"/>
    <s v="Delivery from Electronic City"/>
    <n v="9500"/>
    <n v="9500"/>
    <x v="10"/>
    <x v="1"/>
    <x v="1"/>
    <s v="Closed"/>
    <m/>
    <n v="0"/>
    <m/>
    <m/>
    <m/>
    <s v="May-24"/>
    <n v="22"/>
    <s v="2024"/>
  </r>
  <r>
    <d v="2024-05-31T00:00:00"/>
    <s v="Enjoy Travels"/>
    <s v="F2F"/>
    <s v="Corporate"/>
    <x v="1"/>
    <s v="Syed"/>
    <s v="Introduction to bulk delivery for travallers"/>
    <n v="1200"/>
    <n v="0"/>
    <x v="9"/>
    <x v="0"/>
    <x v="0"/>
    <s v="Cancelled"/>
    <s v="No requirement"/>
    <n v="0"/>
    <m/>
    <m/>
    <m/>
    <s v="May-24"/>
    <n v="22"/>
    <s v="2024"/>
  </r>
  <r>
    <d v="2024-05-31T00:00:00"/>
    <s v=" Travelkhana"/>
    <s v="Call"/>
    <s v="Corporate"/>
    <x v="1"/>
    <s v="Desraj Singh"/>
    <s v="Delivery at Secundrabad on 2 June 2024"/>
    <n v="7000"/>
    <n v="7000"/>
    <x v="6"/>
    <x v="0"/>
    <x v="1"/>
    <s v="Closed"/>
    <m/>
    <n v="0"/>
    <m/>
    <m/>
    <m/>
    <s v="May-24"/>
    <n v="22"/>
    <s v="2024"/>
  </r>
  <r>
    <d v="2024-05-31T00:00:00"/>
    <s v="Osmania Univercity"/>
    <s v="F2F"/>
    <s v="College"/>
    <x v="4"/>
    <s v="Naveen Kumar"/>
    <s v="Delivery of CB on 3 June 2024"/>
    <n v="6000"/>
    <n v="0"/>
    <x v="6"/>
    <x v="0"/>
    <x v="0"/>
    <s v="Cancelled"/>
    <m/>
    <n v="0"/>
    <m/>
    <m/>
    <m/>
    <s v="May-24"/>
    <n v="22"/>
    <s v="2024"/>
  </r>
  <r>
    <d v="2024-05-31T00:00:00"/>
    <s v="Alacriti"/>
    <s v="F2F"/>
    <s v="Corporate"/>
    <x v="5"/>
    <s v="Padmaja"/>
    <s v="Introduction to bulk orders"/>
    <n v="12000"/>
    <n v="0"/>
    <x v="11"/>
    <x v="0"/>
    <x v="0"/>
    <s v="Cancelled"/>
    <m/>
    <n v="0"/>
    <m/>
    <m/>
    <m/>
    <s v="May-24"/>
    <n v="22"/>
    <s v="2024"/>
  </r>
  <r>
    <d v="2024-06-02T00:00:00"/>
    <s v="Delivery at Bachupally"/>
    <s v="Call"/>
    <s v="Events"/>
    <x v="10"/>
    <s v="Himani"/>
    <s v="delivery of CB on 5 June 2024"/>
    <n v="10000"/>
    <n v="10000"/>
    <x v="6"/>
    <x v="0"/>
    <x v="1"/>
    <s v="Closed"/>
    <m/>
    <n v="0"/>
    <m/>
    <m/>
    <m/>
    <s v="Jun-24"/>
    <n v="22"/>
    <s v="2024"/>
  </r>
  <r>
    <d v="2024-06-03T00:00:00"/>
    <s v="Delivery at RTC"/>
    <s v="Call"/>
    <s v="Events"/>
    <x v="10"/>
    <s v="Narayan"/>
    <s v="Delivery on 6 June 2024"/>
    <n v="12000"/>
    <n v="12000"/>
    <x v="6"/>
    <x v="0"/>
    <x v="1"/>
    <s v="Closed"/>
    <m/>
    <n v="0"/>
    <m/>
    <m/>
    <m/>
    <s v="Jun-24"/>
    <n v="23"/>
    <s v="2024"/>
  </r>
  <r>
    <d v="2024-06-03T00:00:00"/>
    <s v="Rockwell"/>
    <s v="F2F"/>
    <s v="Corporate"/>
    <x v="0"/>
    <s v="Damodar"/>
    <s v="Introduction to bulk orders"/>
    <n v="15000"/>
    <n v="0"/>
    <x v="4"/>
    <x v="0"/>
    <x v="0"/>
    <s v="Cancelled"/>
    <s v="No requirement"/>
    <n v="0"/>
    <m/>
    <m/>
    <m/>
    <s v="Jun-24"/>
    <n v="23"/>
    <s v="2024"/>
  </r>
  <r>
    <d v="2024-06-03T00:00:00"/>
    <s v="Cyient LTD"/>
    <s v="F2F"/>
    <s v="Corporate"/>
    <x v="0"/>
    <s v="Vardachary"/>
    <s v="Introduction to team lunch"/>
    <n v="20000"/>
    <n v="0"/>
    <x v="4"/>
    <x v="0"/>
    <x v="0"/>
    <s v="Cancelled"/>
    <s v="No requirement"/>
    <n v="0"/>
    <m/>
    <m/>
    <m/>
    <s v="Jun-24"/>
    <n v="23"/>
    <s v="2024"/>
  </r>
  <r>
    <d v="2024-06-03T00:00:00"/>
    <s v="Annie Basant JR college"/>
    <s v="F2F"/>
    <s v="College"/>
    <x v="4"/>
    <s v="Dayakar"/>
    <s v="Bulk delivery of food in college fest"/>
    <n v="15000"/>
    <n v="0"/>
    <x v="4"/>
    <x v="0"/>
    <x v="0"/>
    <s v="Cancelled"/>
    <s v="No requirement"/>
    <n v="0"/>
    <m/>
    <m/>
    <m/>
    <s v="Jun-24"/>
    <n v="23"/>
    <s v="2024"/>
  </r>
  <r>
    <d v="2024-06-03T00:00:00"/>
    <s v="Jeevanjor"/>
    <s v="F2F"/>
    <s v="Corporate"/>
    <x v="23"/>
    <s v="Hanumaprasads"/>
    <s v="Gifting of food coupons for dealers"/>
    <n v="15000"/>
    <n v="0"/>
    <x v="4"/>
    <x v="0"/>
    <x v="0"/>
    <s v="Cancelled"/>
    <s v="No requirement"/>
    <n v="0"/>
    <m/>
    <m/>
    <m/>
    <s v="Jun-24"/>
    <n v="23"/>
    <s v="2024"/>
  </r>
  <r>
    <d v="2024-06-04T00:00:00"/>
    <s v="Delivery at electronic city"/>
    <s v="Call"/>
    <s v="Events"/>
    <x v="10"/>
    <s v="Sindhu"/>
    <s v="Take away CB on 4 June 2024"/>
    <n v="6000"/>
    <n v="6000"/>
    <x v="6"/>
    <x v="0"/>
    <x v="1"/>
    <s v="Closed"/>
    <m/>
    <n v="0"/>
    <m/>
    <m/>
    <m/>
    <s v="Jun-24"/>
    <n v="23"/>
    <s v="2024"/>
  </r>
  <r>
    <d v="2024-06-04T00:00:00"/>
    <s v="MSN LABS"/>
    <s v="F2F"/>
    <s v="Corporate"/>
    <x v="5"/>
    <s v="Sandeep"/>
    <s v="Followup and relationship call"/>
    <n v="0"/>
    <n v="0"/>
    <x v="6"/>
    <x v="0"/>
    <x v="1"/>
    <s v="Closed"/>
    <m/>
    <n v="0"/>
    <m/>
    <m/>
    <m/>
    <s v="Jun-24"/>
    <n v="23"/>
    <s v="2024"/>
  </r>
  <r>
    <d v="2024-06-04T00:00:00"/>
    <s v="Sakshi TV"/>
    <s v="Call"/>
    <s v="Corporate"/>
    <x v="24"/>
    <s v="Ramesh"/>
    <s v="Delivery of CB on 4 june 2024 at Sakshi TV "/>
    <n v="80000"/>
    <n v="80000"/>
    <x v="6"/>
    <x v="0"/>
    <x v="1"/>
    <s v="Closed"/>
    <m/>
    <n v="0"/>
    <m/>
    <m/>
    <m/>
    <s v="Jun-24"/>
    <n v="23"/>
    <s v="2024"/>
  </r>
  <r>
    <d v="2024-06-04T00:00:00"/>
    <s v="Fybros"/>
    <s v="F2F"/>
    <s v="Corporate"/>
    <x v="23"/>
    <s v="Kallol"/>
    <s v="Introduction to corporate gifting"/>
    <n v="12000"/>
    <n v="0"/>
    <x v="4"/>
    <x v="0"/>
    <x v="0"/>
    <s v="Cancelled"/>
    <s v="No requirement"/>
    <n v="0"/>
    <m/>
    <m/>
    <m/>
    <s v="Jun-24"/>
    <n v="23"/>
    <s v="2024"/>
  </r>
  <r>
    <d v="2024-06-04T00:00:00"/>
    <s v="Planit Testing India"/>
    <s v="Call"/>
    <s v="Corporate"/>
    <x v="0"/>
    <s v="Kranthi"/>
    <s v="Introduction to bulk delivery of food and snacks"/>
    <n v="15000"/>
    <n v="0"/>
    <x v="11"/>
    <x v="0"/>
    <x v="0"/>
    <s v="Cancelled"/>
    <m/>
    <n v="0"/>
    <m/>
    <m/>
    <m/>
    <s v="Jun-24"/>
    <n v="23"/>
    <s v="2024"/>
  </r>
  <r>
    <d v="2024-06-05T00:00:00"/>
    <s v="ICICI Towers"/>
    <s v="F2F"/>
    <s v="Corporate"/>
    <x v="0"/>
    <s v="Sandeep"/>
    <s v="Planning 500 pax HI Tea on 12 June 2024"/>
    <n v="94329"/>
    <n v="94329"/>
    <x v="6"/>
    <x v="0"/>
    <x v="1"/>
    <s v="Closed"/>
    <m/>
    <n v="0"/>
    <m/>
    <m/>
    <m/>
    <s v="Jun-24"/>
    <n v="23"/>
    <s v="2024"/>
  </r>
  <r>
    <d v="2024-06-05T00:00:00"/>
    <s v="Delivery at Compass Group Bangalore"/>
    <s v="Call"/>
    <s v="Corporate"/>
    <x v="17"/>
    <s v="Pankaj"/>
    <s v="Delivery of Special CB &amp; MB Handi on 5 June 2024"/>
    <n v="42000"/>
    <n v="42000"/>
    <x v="6"/>
    <x v="1"/>
    <x v="1"/>
    <s v="Closed"/>
    <m/>
    <n v="0"/>
    <m/>
    <m/>
    <m/>
    <s v="Jun-24"/>
    <n v="23"/>
    <s v="2024"/>
  </r>
  <r>
    <d v="2024-06-05T00:00:00"/>
    <s v="Take away from Malkajgiri"/>
    <s v="Call"/>
    <s v="Events"/>
    <x v="10"/>
    <s v="Pavan Reddy"/>
    <s v="Take away of CB from Malkajgiri on 4th June"/>
    <n v="5000"/>
    <n v="5000"/>
    <x v="6"/>
    <x v="0"/>
    <x v="1"/>
    <s v="Closed"/>
    <m/>
    <n v="0"/>
    <m/>
    <m/>
    <m/>
    <s v="Jun-24"/>
    <n v="23"/>
    <s v="2024"/>
  </r>
  <r>
    <d v="2024-06-05T00:00:00"/>
    <s v="Saga Events &amp; Holidays"/>
    <s v="F2F"/>
    <s v="Events"/>
    <x v="1"/>
    <s v="Vikram"/>
    <s v="Dine in at Heritage on 6 June 2024"/>
    <n v="48000"/>
    <n v="48000"/>
    <x v="6"/>
    <x v="0"/>
    <x v="1"/>
    <s v="Closed"/>
    <m/>
    <n v="0"/>
    <m/>
    <m/>
    <m/>
    <s v="Jun-24"/>
    <n v="23"/>
    <s v="2024"/>
  </r>
  <r>
    <d v="2024-06-05T00:00:00"/>
    <s v="Delivery at Peerzadiguda"/>
    <s v="Call"/>
    <s v="Events"/>
    <x v="10"/>
    <s v="Shahnaz"/>
    <s v="Delivery of CB on 6 June 2024"/>
    <n v="8500"/>
    <n v="8500"/>
    <x v="6"/>
    <x v="0"/>
    <x v="1"/>
    <s v="Closed"/>
    <m/>
    <n v="0"/>
    <m/>
    <m/>
    <m/>
    <s v="Jun-24"/>
    <n v="23"/>
    <s v="2024"/>
  </r>
  <r>
    <d v="2024-06-06T00:00:00"/>
    <s v="Shadan College"/>
    <s v="F2F"/>
    <s v="College"/>
    <x v="4"/>
    <s v="Ahmed"/>
    <s v="Introduction to bulk order"/>
    <n v="120009"/>
    <n v="0"/>
    <x v="4"/>
    <x v="0"/>
    <x v="0"/>
    <s v="Cancelled"/>
    <s v="No requirement"/>
    <n v="0"/>
    <m/>
    <m/>
    <m/>
    <s v="Jun-24"/>
    <n v="23"/>
    <s v="2024"/>
  </r>
  <r>
    <d v="2024-06-06T00:00:00"/>
    <s v="Brodridge"/>
    <s v="F2F"/>
    <s v="Corporate"/>
    <x v="0"/>
    <s v="Zaheda"/>
    <s v="Introduction to team lunch"/>
    <n v="10000"/>
    <n v="0"/>
    <x v="4"/>
    <x v="0"/>
    <x v="0"/>
    <s v="Cancelled"/>
    <s v="No requirement"/>
    <n v="0"/>
    <m/>
    <m/>
    <m/>
    <s v="Jun-24"/>
    <n v="23"/>
    <s v="2024"/>
  </r>
  <r>
    <d v="2024-06-06T00:00:00"/>
    <s v="Qualcomm"/>
    <s v="F2F"/>
    <s v="Corporate"/>
    <x v="0"/>
    <s v="Yugandhar"/>
    <s v="Introduction to bulk delivery "/>
    <n v="20000"/>
    <n v="0"/>
    <x v="11"/>
    <x v="0"/>
    <x v="0"/>
    <s v="Cancelled"/>
    <m/>
    <n v="0"/>
    <m/>
    <m/>
    <m/>
    <s v="Jun-24"/>
    <n v="23"/>
    <s v="2024"/>
  </r>
  <r>
    <d v="2024-06-06T00:00:00"/>
    <s v="Yukta Entertainment"/>
    <s v="F2F"/>
    <s v="Corporate"/>
    <x v="3"/>
    <s v="Saradhi Babu"/>
    <s v="Delivery for events"/>
    <n v="15000"/>
    <n v="0"/>
    <x v="11"/>
    <x v="0"/>
    <x v="0"/>
    <s v="Cancelled"/>
    <m/>
    <n v="0"/>
    <m/>
    <m/>
    <m/>
    <s v="Jun-24"/>
    <n v="23"/>
    <s v="2024"/>
  </r>
  <r>
    <d v="2024-06-06T00:00:00"/>
    <s v="Celio Labs"/>
    <s v="Call"/>
    <s v="Corporate"/>
    <x v="5"/>
    <s v="Yojna"/>
    <s v="Corporate gifting and Bulk orders"/>
    <n v="20000"/>
    <n v="0"/>
    <x v="11"/>
    <x v="0"/>
    <x v="0"/>
    <s v="Cancelled"/>
    <m/>
    <n v="0"/>
    <m/>
    <m/>
    <m/>
    <s v="Jun-24"/>
    <n v="23"/>
    <s v="2024"/>
  </r>
  <r>
    <d v="2024-06-07T00:00:00"/>
    <s v="Ultratech Group"/>
    <s v="F2F"/>
    <s v="Corporate"/>
    <x v="23"/>
    <s v="Arun"/>
    <s v="Dine in of 1200 pax on 14 July 2024"/>
    <n v="236900"/>
    <n v="236900"/>
    <x v="4"/>
    <x v="0"/>
    <x v="1"/>
    <s v="Closed"/>
    <m/>
    <n v="0"/>
    <m/>
    <m/>
    <m/>
    <s v="Jun-24"/>
    <n v="23"/>
    <s v="2024"/>
  </r>
  <r>
    <d v="2024-06-07T00:00:00"/>
    <s v="MSN Lab"/>
    <s v="F2F"/>
    <s v="Corporate"/>
    <x v="5"/>
    <s v="Satya"/>
    <s v="Relationship call"/>
    <n v="0"/>
    <n v="0"/>
    <x v="6"/>
    <x v="0"/>
    <x v="1"/>
    <s v="Closed"/>
    <m/>
    <n v="0"/>
    <m/>
    <m/>
    <m/>
    <s v="Jun-24"/>
    <n v="23"/>
    <s v="2024"/>
  </r>
  <r>
    <d v="2024-06-07T00:00:00"/>
    <s v="Zen Travels"/>
    <s v="F2F"/>
    <s v="Corporate"/>
    <x v="1"/>
    <s v="Fahim"/>
    <s v="Introduction to bulk delivery"/>
    <n v="12000"/>
    <n v="0"/>
    <x v="11"/>
    <x v="0"/>
    <x v="0"/>
    <s v="Cancelled"/>
    <m/>
    <n v="0"/>
    <m/>
    <m/>
    <m/>
    <s v="Jun-24"/>
    <n v="23"/>
    <s v="2024"/>
  </r>
  <r>
    <d v="2024-06-07T00:00:00"/>
    <s v="Global Junior Collehe"/>
    <s v="Call"/>
    <s v="Corporate"/>
    <x v="25"/>
    <s v="Farhan"/>
    <s v="Introduction to bulk food delivery"/>
    <n v="10000"/>
    <n v="0"/>
    <x v="11"/>
    <x v="0"/>
    <x v="0"/>
    <s v="Cancelled"/>
    <m/>
    <n v="0"/>
    <m/>
    <m/>
    <m/>
    <s v="Jun-24"/>
    <n v="23"/>
    <s v="2024"/>
  </r>
  <r>
    <d v="2024-06-07T00:00:00"/>
    <s v="Mindtree"/>
    <s v="Call "/>
    <s v="Corporate"/>
    <x v="0"/>
    <s v="Udaya"/>
    <s v="Introduction to bulk food delivery"/>
    <n v="20000"/>
    <n v="0"/>
    <x v="11"/>
    <x v="0"/>
    <x v="0"/>
    <s v="Cancelled"/>
    <m/>
    <n v="0"/>
    <m/>
    <m/>
    <m/>
    <s v="Jun-24"/>
    <n v="23"/>
    <s v="2024"/>
  </r>
  <r>
    <d v="2024-06-09T00:00:00"/>
    <s v="Delivery at Manikonda"/>
    <s v="Call"/>
    <s v="Events"/>
    <x v="10"/>
    <s v="Maroof"/>
    <s v="delivery of CB on 15 June 2024"/>
    <n v="12000"/>
    <n v="0"/>
    <x v="6"/>
    <x v="0"/>
    <x v="0"/>
    <s v="Cancelled"/>
    <s v="No response from client "/>
    <n v="0"/>
    <m/>
    <m/>
    <m/>
    <s v="Jun-24"/>
    <n v="23"/>
    <s v="2024"/>
  </r>
  <r>
    <d v="2024-06-10T00:00:00"/>
    <s v="IBM Mindspace"/>
    <s v="Call"/>
    <s v="Corporate"/>
    <x v="0"/>
    <s v="Srinivas"/>
    <s v="Delivery of CB on 14 June 2024"/>
    <n v="11500"/>
    <n v="11500"/>
    <x v="6"/>
    <x v="0"/>
    <x v="1"/>
    <s v="Closed"/>
    <m/>
    <n v="0"/>
    <m/>
    <m/>
    <m/>
    <s v="Jun-24"/>
    <n v="24"/>
    <s v="2024"/>
  </r>
  <r>
    <d v="2024-06-10T00:00:00"/>
    <s v="CGHS Hospital"/>
    <s v="Call"/>
    <s v="Corporate"/>
    <x v="13"/>
    <s v="Durga Prasad"/>
    <s v="Delivery of CB on 13 June 2024"/>
    <n v="12000"/>
    <n v="12000"/>
    <x v="6"/>
    <x v="0"/>
    <x v="1"/>
    <s v="Closed"/>
    <m/>
    <n v="0"/>
    <m/>
    <m/>
    <m/>
    <s v="Jun-24"/>
    <n v="24"/>
    <s v="2024"/>
  </r>
  <r>
    <d v="2024-06-11T00:00:00"/>
    <s v="Mankind Pharma"/>
    <s v="Call"/>
    <s v="Corporate"/>
    <x v="5"/>
    <s v="Venkat"/>
    <s v="Deliovery of CB on 14 June 2024"/>
    <n v="13000"/>
    <n v="13000"/>
    <x v="6"/>
    <x v="0"/>
    <x v="1"/>
    <s v="Closed"/>
    <m/>
    <n v="0"/>
    <m/>
    <m/>
    <m/>
    <s v="Jun-24"/>
    <n v="24"/>
    <s v="2024"/>
  </r>
  <r>
    <d v="2024-06-12T00:00:00"/>
    <s v="Delivery at Compass Group Bangalore"/>
    <s v="Call"/>
    <s v="Corporate"/>
    <x v="17"/>
    <s v="Pankaj"/>
    <s v="Delivery of Special CB &amp; MB Handi on 12 June 2024"/>
    <n v="45953"/>
    <n v="45953"/>
    <x v="6"/>
    <x v="1"/>
    <x v="1"/>
    <s v="Closed"/>
    <m/>
    <n v="0"/>
    <m/>
    <m/>
    <m/>
    <s v="Jun-24"/>
    <n v="24"/>
    <s v="2024"/>
  </r>
  <r>
    <d v="2024-06-13T00:00:00"/>
    <s v="Hive Space"/>
    <s v="Call"/>
    <s v="Corporate"/>
    <x v="0"/>
    <s v="Mallikarjuna"/>
    <s v="Delivery on 14 June 2024 from Silparamam"/>
    <n v="12000"/>
    <n v="12000"/>
    <x v="6"/>
    <x v="0"/>
    <x v="1"/>
    <s v="Closed"/>
    <m/>
    <n v="0"/>
    <m/>
    <m/>
    <m/>
    <s v="Jun-24"/>
    <n v="24"/>
    <s v="2024"/>
  </r>
  <r>
    <d v="2024-06-16T00:00:00"/>
    <s v="Take away fron RTC"/>
    <s v="Call"/>
    <s v="Events"/>
    <x v="10"/>
    <s v="Hadassah"/>
    <s v="Take away MB from RTC on 16 June 2024"/>
    <n v="15000"/>
    <n v="15000"/>
    <x v="6"/>
    <x v="0"/>
    <x v="1"/>
    <s v="Closed"/>
    <m/>
    <n v="0"/>
    <m/>
    <m/>
    <m/>
    <s v="Jun-24"/>
    <n v="24"/>
    <s v="2024"/>
  </r>
  <r>
    <d v="2024-06-16T00:00:00"/>
    <s v="Delivery at Rasoolpura"/>
    <s v="Call"/>
    <s v="Events"/>
    <x v="10"/>
    <s v="Babu"/>
    <s v="Delivery of CB on 16 June 2024"/>
    <n v="12000"/>
    <n v="12000"/>
    <x v="6"/>
    <x v="0"/>
    <x v="1"/>
    <s v="Closed"/>
    <m/>
    <n v="0"/>
    <m/>
    <m/>
    <m/>
    <s v="Jun-24"/>
    <n v="24"/>
    <s v="2024"/>
  </r>
  <r>
    <d v="2024-06-17T00:00:00"/>
    <s v="Compass Group"/>
    <s v="Call"/>
    <s v="Corporate"/>
    <x v="17"/>
    <s v="Vikram"/>
    <s v="Discussion regarding ODC and Food Counter"/>
    <n v="30000"/>
    <n v="0"/>
    <x v="4"/>
    <x v="0"/>
    <x v="0"/>
    <s v="Cancelled"/>
    <s v="No requirement"/>
    <n v="0"/>
    <m/>
    <m/>
    <m/>
    <s v="Jun-24"/>
    <n v="25"/>
    <s v="2024"/>
  </r>
  <r>
    <d v="2024-06-17T00:00:00"/>
    <s v="Quislex Legal Services"/>
    <s v="F2F"/>
    <s v="Corporate"/>
    <x v="0"/>
    <s v="Prakrita"/>
    <s v="Introduction to Bulk Orders"/>
    <n v="25000"/>
    <n v="0"/>
    <x v="11"/>
    <x v="0"/>
    <x v="0"/>
    <s v="Cancelled"/>
    <m/>
    <n v="0"/>
    <m/>
    <m/>
    <m/>
    <s v="Jun-24"/>
    <n v="25"/>
    <s v="2024"/>
  </r>
  <r>
    <d v="2024-06-17T00:00:00"/>
    <s v="Tech Mahindra"/>
    <s v="F2F"/>
    <s v="Corporate"/>
    <x v="0"/>
    <s v="Vidya"/>
    <s v="Introduction to team lunch"/>
    <n v="20000"/>
    <n v="0"/>
    <x v="11"/>
    <x v="0"/>
    <x v="0"/>
    <s v="Cancelled"/>
    <m/>
    <n v="0"/>
    <m/>
    <m/>
    <m/>
    <s v="Jun-24"/>
    <n v="25"/>
    <s v="2024"/>
  </r>
  <r>
    <d v="2024-06-17T00:00:00"/>
    <s v="KPMG"/>
    <s v="Call"/>
    <s v="Corporate"/>
    <x v="0"/>
    <s v="Arun kumar"/>
    <s v="ODC at KPMG Bangalore"/>
    <n v="25000"/>
    <n v="0"/>
    <x v="6"/>
    <x v="0"/>
    <x v="0"/>
    <s v="Cancelled"/>
    <s v="Not Profitable"/>
    <n v="0"/>
    <m/>
    <m/>
    <m/>
    <s v="Jun-24"/>
    <n v="25"/>
    <s v="2024"/>
  </r>
  <r>
    <d v="2024-06-17T00:00:00"/>
    <s v="Adanui Willmar"/>
    <s v="F2F"/>
    <s v="Corporate"/>
    <x v="0"/>
    <s v="Hanumanth"/>
    <s v="Introduction to Bulk orders"/>
    <n v="15000"/>
    <n v="0"/>
    <x v="11"/>
    <x v="0"/>
    <x v="0"/>
    <s v="Cancelled"/>
    <m/>
    <n v="0"/>
    <m/>
    <m/>
    <m/>
    <s v="Jun-24"/>
    <n v="25"/>
    <s v="2024"/>
  </r>
  <r>
    <d v="2024-06-18T00:00:00"/>
    <s v="Delivery at KPHB"/>
    <s v="Call"/>
    <s v="Events"/>
    <x v="10"/>
    <s v="Praveen"/>
    <s v="Delivery of CB on 19 June 202"/>
    <n v="10000"/>
    <n v="10000"/>
    <x v="6"/>
    <x v="0"/>
    <x v="1"/>
    <s v="Closed"/>
    <m/>
    <n v="0"/>
    <m/>
    <m/>
    <m/>
    <s v="Jun-24"/>
    <n v="25"/>
    <s v="2024"/>
  </r>
  <r>
    <d v="2024-06-18T00:00:00"/>
    <s v="Delivery at Narsingi"/>
    <s v="Call"/>
    <s v="Events"/>
    <x v="10"/>
    <s v="Kishore"/>
    <s v="Delivery of CB on 19 June 2024"/>
    <n v="7000"/>
    <n v="7000"/>
    <x v="6"/>
    <x v="0"/>
    <x v="1"/>
    <s v="Closed"/>
    <m/>
    <n v="0"/>
    <m/>
    <m/>
    <m/>
    <s v="Jun-24"/>
    <n v="25"/>
    <s v="2024"/>
  </r>
  <r>
    <d v="2024-06-18T00:00:00"/>
    <s v="Legend Chimes"/>
    <s v="Call"/>
    <s v="Corporate"/>
    <x v="0"/>
    <s v="Venkat"/>
    <s v="Delivery from from Gachibowl 18 June 2024"/>
    <n v="8000"/>
    <n v="8000"/>
    <x v="6"/>
    <x v="0"/>
    <x v="1"/>
    <s v="Closed"/>
    <m/>
    <n v="0"/>
    <m/>
    <m/>
    <m/>
    <s v="Jun-24"/>
    <n v="25"/>
    <s v="2024"/>
  </r>
  <r>
    <d v="2024-06-18T00:00:00"/>
    <s v="Dine in at Secundrabad"/>
    <s v="Call"/>
    <s v="Events"/>
    <x v="10"/>
    <s v="Rekha"/>
    <s v="Dine in at secundrabad in July"/>
    <n v="20000"/>
    <n v="0"/>
    <x v="11"/>
    <x v="0"/>
    <x v="0"/>
    <s v="Cancelled"/>
    <s v="Less Budget"/>
    <n v="0"/>
    <m/>
    <m/>
    <m/>
    <s v="Jun-24"/>
    <n v="25"/>
    <s v="2024"/>
  </r>
  <r>
    <d v="2024-06-18T00:00:00"/>
    <s v="Adarsh Foundation "/>
    <s v="F2F"/>
    <s v="Corporate"/>
    <x v="4"/>
    <s v="Zakia"/>
    <s v="Introduction to Team Lunch for students."/>
    <n v="15000"/>
    <n v="0"/>
    <x v="11"/>
    <x v="0"/>
    <x v="0"/>
    <s v="Cancelled"/>
    <m/>
    <n v="0"/>
    <m/>
    <m/>
    <m/>
    <s v="Jun-24"/>
    <n v="25"/>
    <s v="2024"/>
  </r>
  <r>
    <d v="2024-06-18T00:00:00"/>
    <s v="Capital IQ"/>
    <s v="F2F"/>
    <s v="Corporate"/>
    <x v="21"/>
    <s v="Prasad"/>
    <s v="Introduction to team lunch"/>
    <n v="18000"/>
    <n v="0"/>
    <x v="11"/>
    <x v="0"/>
    <x v="0"/>
    <s v="Cancelled"/>
    <m/>
    <n v="0"/>
    <m/>
    <m/>
    <m/>
    <s v="Jun-24"/>
    <n v="25"/>
    <s v="2024"/>
  </r>
  <r>
    <d v="2024-06-19T00:00:00"/>
    <s v="Delivery at Compass Group Bangalore"/>
    <s v="Call"/>
    <s v="Corporate"/>
    <x v="17"/>
    <s v="Pankaj"/>
    <s v="Delivery of Special CB &amp; MB Handi on 19 June 2024"/>
    <n v="45000"/>
    <n v="45000"/>
    <x v="6"/>
    <x v="1"/>
    <x v="1"/>
    <s v="Closed"/>
    <m/>
    <n v="0"/>
    <m/>
    <m/>
    <m/>
    <s v="Jun-24"/>
    <n v="25"/>
    <s v="2024"/>
  </r>
  <r>
    <d v="2024-06-19T00:00:00"/>
    <s v="Shloka Group"/>
    <s v="F2F"/>
    <s v="School"/>
    <x v="4"/>
    <s v="Arun"/>
    <s v="Introduction to bulk orders"/>
    <n v="14000"/>
    <n v="0"/>
    <x v="11"/>
    <x v="0"/>
    <x v="0"/>
    <s v="Cancelled"/>
    <m/>
    <n v="0"/>
    <m/>
    <m/>
    <m/>
    <s v="Jun-24"/>
    <n v="25"/>
    <s v="2024"/>
  </r>
  <r>
    <d v="2024-06-19T00:00:00"/>
    <s v="Don Bosco"/>
    <s v="F2F"/>
    <s v="Orphanage"/>
    <x v="4"/>
    <s v="Thomas"/>
    <s v="Introduction of bulk delivery in events"/>
    <n v="25000"/>
    <n v="0"/>
    <x v="11"/>
    <x v="0"/>
    <x v="0"/>
    <s v="Cancelled"/>
    <m/>
    <n v="0"/>
    <m/>
    <m/>
    <m/>
    <s v="Jun-24"/>
    <n v="25"/>
    <s v="2024"/>
  </r>
  <r>
    <d v="2024-06-19T00:00:00"/>
    <s v="CA Technologies"/>
    <s v="F2F"/>
    <s v="Corporate"/>
    <x v="0"/>
    <s v="Fatima"/>
    <s v="Introduction to team Lunch"/>
    <n v="18000"/>
    <n v="0"/>
    <x v="11"/>
    <x v="0"/>
    <x v="0"/>
    <s v="Cancelled"/>
    <m/>
    <n v="0"/>
    <m/>
    <m/>
    <m/>
    <s v="Jun-24"/>
    <n v="25"/>
    <s v="2024"/>
  </r>
  <r>
    <d v="2024-06-19T00:00:00"/>
    <s v="Reliance Trends"/>
    <s v="F2F"/>
    <s v="Corporate"/>
    <x v="19"/>
    <s v="Fiyaz"/>
    <s v="Follow up for bulk orders"/>
    <n v="20000"/>
    <n v="0"/>
    <x v="11"/>
    <x v="0"/>
    <x v="0"/>
    <s v="Cancelled"/>
    <m/>
    <n v="0"/>
    <m/>
    <m/>
    <m/>
    <s v="Jun-24"/>
    <n v="25"/>
    <s v="2024"/>
  </r>
  <r>
    <d v="2024-06-20T00:00:00"/>
    <s v="Delivery at Sun City"/>
    <s v="Call"/>
    <s v="Events"/>
    <x v="10"/>
    <s v="Rajani"/>
    <s v="CB on 21 June 2024"/>
    <n v="12000"/>
    <n v="0"/>
    <x v="6"/>
    <x v="0"/>
    <x v="0"/>
    <s v="Cancelled"/>
    <s v="Event Cancelled"/>
    <n v="0"/>
    <m/>
    <m/>
    <m/>
    <s v="Jun-24"/>
    <n v="25"/>
    <s v="2024"/>
  </r>
  <r>
    <d v="2024-06-20T00:00:00"/>
    <s v="Hyperlink"/>
    <s v="F2F"/>
    <s v="Events"/>
    <x v="3"/>
    <s v="Anuja"/>
    <s v="Delivery of cb on 24 June 2024"/>
    <n v="350000"/>
    <n v="0"/>
    <x v="6"/>
    <x v="0"/>
    <x v="0"/>
    <s v="Cancelled"/>
    <s v="Event Cancelled"/>
    <n v="0"/>
    <m/>
    <m/>
    <m/>
    <s v="Jun-24"/>
    <n v="25"/>
    <s v="2024"/>
  </r>
  <r>
    <d v="2024-06-20T00:00:00"/>
    <s v="Medha Research"/>
    <s v="Call"/>
    <s v="Corporate"/>
    <x v="7"/>
    <s v="Habeeb"/>
    <s v="Introduction to Bulk order"/>
    <n v="15000"/>
    <n v="0"/>
    <x v="11"/>
    <x v="0"/>
    <x v="0"/>
    <s v="Cancelled"/>
    <m/>
    <n v="0"/>
    <m/>
    <m/>
    <m/>
    <s v="Jun-24"/>
    <n v="25"/>
    <s v="2024"/>
  </r>
  <r>
    <d v="2024-06-20T00:00:00"/>
    <s v="LIC"/>
    <s v="F2F"/>
    <s v="Corporate"/>
    <x v="21"/>
    <s v="Hanumanthulu"/>
    <s v="Introduction to bulk food delivery"/>
    <n v="20000"/>
    <n v="0"/>
    <x v="11"/>
    <x v="0"/>
    <x v="0"/>
    <s v="Cancelled"/>
    <m/>
    <n v="0"/>
    <m/>
    <m/>
    <m/>
    <s v="Jun-24"/>
    <n v="25"/>
    <s v="2024"/>
  </r>
  <r>
    <d v="2024-06-20T00:00:00"/>
    <s v="Hitachi Consulting"/>
    <s v="Call"/>
    <s v="Corporate"/>
    <x v="0"/>
    <s v="Hari"/>
    <s v="Introduction to team lunch"/>
    <n v="18000"/>
    <n v="0"/>
    <x v="11"/>
    <x v="0"/>
    <x v="0"/>
    <s v="Cancelled"/>
    <m/>
    <n v="0"/>
    <m/>
    <m/>
    <m/>
    <s v="Jun-24"/>
    <n v="25"/>
    <s v="2024"/>
  </r>
  <r>
    <d v="2024-06-20T00:00:00"/>
    <s v="Delivery at ICICI Towers"/>
    <s v="Call"/>
    <s v="Corporate"/>
    <x v="21"/>
    <s v="Sandeep"/>
    <s v="Delivery of CB on 20 June 2024"/>
    <n v="10335"/>
    <n v="10335"/>
    <x v="6"/>
    <x v="0"/>
    <x v="1"/>
    <s v="Closed"/>
    <m/>
    <n v="0"/>
    <m/>
    <m/>
    <m/>
    <s v="Jun-24"/>
    <n v="25"/>
    <s v="2024"/>
  </r>
  <r>
    <d v="2024-06-21T00:00:00"/>
    <s v="ICICI Towers"/>
    <s v="F2F"/>
    <s v="Corporate"/>
    <x v="21"/>
    <s v="Madhu"/>
    <s v="collected details about permanent counter "/>
    <n v="0"/>
    <n v="0"/>
    <x v="8"/>
    <x v="0"/>
    <x v="0"/>
    <s v="Cancelled"/>
    <s v="No requirement"/>
    <n v="0"/>
    <m/>
    <m/>
    <m/>
    <s v="Jun-24"/>
    <n v="25"/>
    <s v="2024"/>
  </r>
  <r>
    <d v="2024-06-21T00:00:00"/>
    <s v="Gandhi Hospital"/>
    <s v="F2F"/>
    <s v="Corporate"/>
    <x v="13"/>
    <s v="Bhanu "/>
    <s v="Delivered CB 26 June 2024"/>
    <n v="13000"/>
    <n v="13000"/>
    <x v="6"/>
    <x v="0"/>
    <x v="1"/>
    <s v="Closed"/>
    <m/>
    <n v="0"/>
    <m/>
    <m/>
    <m/>
    <s v="Jun-24"/>
    <n v="25"/>
    <s v="2024"/>
  </r>
  <r>
    <d v="2024-06-21T00:00:00"/>
    <s v="Agarwal Eye Hospital"/>
    <s v="F2F"/>
    <s v="Corporate"/>
    <x v="13"/>
    <s v="Jyoti"/>
    <s v="Introduction to team lunch and bulk orders"/>
    <n v="10000"/>
    <n v="0"/>
    <x v="11"/>
    <x v="0"/>
    <x v="0"/>
    <s v="Cancelled"/>
    <m/>
    <n v="0"/>
    <m/>
    <m/>
    <m/>
    <s v="Jun-24"/>
    <n v="25"/>
    <s v="2024"/>
  </r>
  <r>
    <d v="2024-06-21T00:00:00"/>
    <s v="AMD"/>
    <s v="F2F"/>
    <s v="Corporate"/>
    <x v="0"/>
    <s v="Babulal"/>
    <s v="Introduction to bulk orders and ODC"/>
    <n v="20000"/>
    <n v="0"/>
    <x v="11"/>
    <x v="0"/>
    <x v="0"/>
    <s v="Cancelled"/>
    <m/>
    <n v="0"/>
    <m/>
    <m/>
    <m/>
    <s v="Jun-24"/>
    <n v="25"/>
    <s v="2024"/>
  </r>
  <r>
    <d v="2024-06-21T00:00:00"/>
    <s v="Cogniti"/>
    <s v="Call"/>
    <s v="Corporate"/>
    <x v="0"/>
    <s v="Balakishore"/>
    <s v="Introduction to team lunch"/>
    <n v="12000"/>
    <n v="0"/>
    <x v="11"/>
    <x v="0"/>
    <x v="0"/>
    <s v="Cancelled"/>
    <m/>
    <n v="0"/>
    <m/>
    <m/>
    <m/>
    <s v="Jun-24"/>
    <n v="25"/>
    <s v="2024"/>
  </r>
  <r>
    <d v="2024-06-23T00:00:00"/>
    <s v="Academic Heights"/>
    <s v="Call"/>
    <s v="School"/>
    <x v="4"/>
    <s v="Deepa"/>
    <s v="Bulk order on 9th July"/>
    <n v="22000"/>
    <n v="0"/>
    <x v="4"/>
    <x v="0"/>
    <x v="0"/>
    <s v="Cancelled"/>
    <s v="No requirement"/>
    <n v="0"/>
    <m/>
    <m/>
    <m/>
    <s v="Jun-24"/>
    <n v="25"/>
    <s v="2024"/>
  </r>
  <r>
    <d v="2024-06-24T00:00:00"/>
    <s v="Nagarjuna Cements"/>
    <s v="F2F"/>
    <s v="Corporate"/>
    <x v="23"/>
    <s v="Ashok"/>
    <s v="Introduction to bulk order and Gifting"/>
    <n v="20000"/>
    <n v="0"/>
    <x v="11"/>
    <x v="0"/>
    <x v="0"/>
    <s v="Cancelled"/>
    <m/>
    <n v="0"/>
    <m/>
    <m/>
    <m/>
    <s v="Jun-24"/>
    <n v="26"/>
    <s v="2024"/>
  </r>
  <r>
    <d v="2024-06-24T00:00:00"/>
    <s v="Ramco Cement"/>
    <s v="F2F"/>
    <s v="Corporate"/>
    <x v="23"/>
    <s v="Sriram"/>
    <s v="Introduction to bulk order and Gifting"/>
    <n v="20000"/>
    <n v="0"/>
    <x v="11"/>
    <x v="0"/>
    <x v="0"/>
    <s v="Cancelled"/>
    <m/>
    <n v="0"/>
    <m/>
    <m/>
    <m/>
    <s v="Jun-24"/>
    <n v="26"/>
    <s v="2024"/>
  </r>
  <r>
    <d v="2024-06-24T00:00:00"/>
    <s v="Amazon "/>
    <s v="F2F"/>
    <s v="Corporate"/>
    <x v="0"/>
    <s v="Karthik"/>
    <s v="Introduction to Bulk orders"/>
    <n v="12000"/>
    <n v="0"/>
    <x v="11"/>
    <x v="0"/>
    <x v="0"/>
    <s v="Cancelled"/>
    <m/>
    <n v="0"/>
    <m/>
    <m/>
    <m/>
    <s v="Jun-24"/>
    <n v="26"/>
    <s v="2024"/>
  </r>
  <r>
    <d v="2024-06-24T00:00:00"/>
    <s v="L&amp;T Cement"/>
    <s v="F2F"/>
    <s v="Corporate"/>
    <x v="23"/>
    <s v="Hanumanth Rao"/>
    <s v="Introduction to bulk order and corporate gifting"/>
    <n v="22000"/>
    <n v="0"/>
    <x v="11"/>
    <x v="0"/>
    <x v="0"/>
    <s v="Cancelled"/>
    <m/>
    <n v="0"/>
    <m/>
    <m/>
    <m/>
    <s v="Jun-24"/>
    <n v="26"/>
    <s v="2024"/>
  </r>
  <r>
    <d v="2024-06-24T00:00:00"/>
    <s v="Sudarshan Labs"/>
    <s v="F2F"/>
    <s v="Corporate"/>
    <x v="5"/>
    <s v="Hanuman Reddy"/>
    <s v="Introduction to bulk orders"/>
    <n v="10000"/>
    <n v="0"/>
    <x v="11"/>
    <x v="0"/>
    <x v="0"/>
    <s v="Cancelled"/>
    <m/>
    <n v="0"/>
    <m/>
    <m/>
    <m/>
    <s v="Jun-24"/>
    <n v="26"/>
    <s v="2024"/>
  </r>
  <r>
    <d v="2024-06-25T00:00:00"/>
    <s v="Sagarsoft"/>
    <s v="F2F"/>
    <s v="Corporate"/>
    <x v="0"/>
    <s v="Bheem"/>
    <s v="Follow up and delivery of CB for team lunch"/>
    <n v="6000"/>
    <n v="6000"/>
    <x v="6"/>
    <x v="0"/>
    <x v="1"/>
    <s v="Closed"/>
    <m/>
    <n v="0"/>
    <m/>
    <m/>
    <m/>
    <s v="Jun-24"/>
    <n v="26"/>
    <s v="2024"/>
  </r>
  <r>
    <d v="2024-06-25T00:00:00"/>
    <s v="MSN LABS"/>
    <s v="F2F"/>
    <s v="Corporate"/>
    <x v="5"/>
    <s v="Satyanarayana"/>
    <s v="Followup for payment and further orders"/>
    <n v="0"/>
    <n v="0"/>
    <x v="6"/>
    <x v="0"/>
    <x v="1"/>
    <s v="Closed"/>
    <m/>
    <n v="0"/>
    <m/>
    <m/>
    <m/>
    <s v="Jun-24"/>
    <n v="26"/>
    <s v="2024"/>
  </r>
  <r>
    <d v="2024-06-25T00:00:00"/>
    <s v="K2K Holidays Bhopal"/>
    <s v="Call"/>
    <s v="Corporate"/>
    <x v="1"/>
    <s v="Vikas"/>
    <s v="Introduction to bulk orders"/>
    <n v="15000"/>
    <n v="0"/>
    <x v="11"/>
    <x v="0"/>
    <x v="0"/>
    <s v="Cancelled"/>
    <m/>
    <n v="0"/>
    <m/>
    <m/>
    <m/>
    <s v="Jun-24"/>
    <n v="26"/>
    <s v="2024"/>
  </r>
  <r>
    <d v="2024-06-25T00:00:00"/>
    <s v="Exclusive Holidays"/>
    <s v="Call"/>
    <s v="Corporate"/>
    <x v="1"/>
    <s v="Ashish"/>
    <s v="Introduction to bulk delivery for travel group"/>
    <n v="12000"/>
    <n v="0"/>
    <x v="11"/>
    <x v="0"/>
    <x v="0"/>
    <s v="Cancelled"/>
    <m/>
    <n v="0"/>
    <m/>
    <m/>
    <m/>
    <s v="Jun-24"/>
    <n v="26"/>
    <s v="2024"/>
  </r>
  <r>
    <d v="2024-06-25T00:00:00"/>
    <s v="Gem Events"/>
    <s v="Call"/>
    <s v="Corporate"/>
    <x v="3"/>
    <s v="Aatif Salman"/>
    <s v="Introduction for bulk delivery in Events "/>
    <n v="20000"/>
    <n v="0"/>
    <x v="11"/>
    <x v="0"/>
    <x v="0"/>
    <s v="Cancelled"/>
    <m/>
    <n v="0"/>
    <m/>
    <m/>
    <m/>
    <s v="Jun-24"/>
    <n v="26"/>
    <s v="2024"/>
  </r>
  <r>
    <d v="2024-06-26T00:00:00"/>
    <s v="MSN LABS"/>
    <s v="F2F"/>
    <s v="Corporate"/>
    <x v="5"/>
    <s v="Satyanarayana"/>
    <s v="Followup for payment and further orders"/>
    <n v="0"/>
    <n v="0"/>
    <x v="6"/>
    <x v="0"/>
    <x v="1"/>
    <s v="Closed"/>
    <m/>
    <n v="0"/>
    <m/>
    <m/>
    <m/>
    <s v="Jun-24"/>
    <n v="26"/>
    <s v="2024"/>
  </r>
  <r>
    <d v="2024-06-26T00:00:00"/>
    <s v="Delivery at Compass Group Bangalore"/>
    <s v="Call"/>
    <s v="Corporate"/>
    <x v="17"/>
    <s v="Pankaj"/>
    <s v="Delivery of Special CB &amp; MB Handi on 26 June 2024"/>
    <n v="44198"/>
    <n v="44198"/>
    <x v="6"/>
    <x v="1"/>
    <x v="1"/>
    <s v="Closed"/>
    <m/>
    <n v="0"/>
    <m/>
    <m/>
    <m/>
    <s v="Jun-24"/>
    <n v="26"/>
    <s v="2024"/>
  </r>
  <r>
    <d v="2024-06-26T00:00:00"/>
    <s v="Vishwa Vishwani College"/>
    <s v="F2F"/>
    <s v="College"/>
    <x v="4"/>
    <s v="Madhvi"/>
    <s v="bulk delivery in events"/>
    <n v="20000"/>
    <n v="0"/>
    <x v="11"/>
    <x v="0"/>
    <x v="0"/>
    <s v="Cancelled"/>
    <m/>
    <n v="0"/>
    <m/>
    <m/>
    <m/>
    <s v="Jun-24"/>
    <n v="26"/>
    <s v="2024"/>
  </r>
  <r>
    <d v="2024-06-26T00:00:00"/>
    <s v="Reliance Sceurities"/>
    <s v="F2F"/>
    <s v="Corporate"/>
    <x v="21"/>
    <s v="Madhu"/>
    <s v="Team lunch and bulk orders"/>
    <n v="15000"/>
    <n v="0"/>
    <x v="11"/>
    <x v="0"/>
    <x v="0"/>
    <s v="Cancelled"/>
    <m/>
    <n v="0"/>
    <m/>
    <m/>
    <m/>
    <s v="Jun-24"/>
    <n v="26"/>
    <s v="2024"/>
  </r>
  <r>
    <d v="2024-06-26T00:00:00"/>
    <s v="Rocksalt HR"/>
    <s v="F2F"/>
    <s v="Corporate"/>
    <x v="0"/>
    <s v="Lakshmi"/>
    <s v="Introduction to bulk orders"/>
    <n v="20000"/>
    <n v="0"/>
    <x v="11"/>
    <x v="0"/>
    <x v="0"/>
    <s v="Cancelled"/>
    <m/>
    <n v="0"/>
    <m/>
    <m/>
    <m/>
    <s v="Jun-24"/>
    <n v="26"/>
    <s v="2024"/>
  </r>
  <r>
    <d v="2024-06-27T00:00:00"/>
    <s v="St Maries Engg College Deshmukhi"/>
    <s v="Call"/>
    <s v="College"/>
    <x v="4"/>
    <s v="Carolina"/>
    <s v="Introduction to bulk delivery"/>
    <n v="18000"/>
    <n v="0"/>
    <x v="11"/>
    <x v="0"/>
    <x v="0"/>
    <s v="Cancelled"/>
    <m/>
    <n v="0"/>
    <m/>
    <m/>
    <m/>
    <s v="Jun-24"/>
    <n v="26"/>
    <s v="2024"/>
  </r>
  <r>
    <d v="2024-06-27T00:00:00"/>
    <s v="Aurbindo Pharma"/>
    <s v="F2F"/>
    <s v="Corporate"/>
    <x v="5"/>
    <s v="Bapiraju"/>
    <s v="Followup for bulk orders"/>
    <n v="25000"/>
    <n v="0"/>
    <x v="11"/>
    <x v="0"/>
    <x v="0"/>
    <s v="Cancelled"/>
    <m/>
    <n v="0"/>
    <m/>
    <m/>
    <m/>
    <s v="Jun-24"/>
    <n v="26"/>
    <s v="2024"/>
  </r>
  <r>
    <d v="2024-06-27T00:00:00"/>
    <s v="Reliance Trends"/>
    <s v="F2F"/>
    <s v="Corporate"/>
    <x v="19"/>
    <s v="Chakravarti"/>
    <s v="Follow up for bulk orders"/>
    <n v="20000"/>
    <n v="0"/>
    <x v="11"/>
    <x v="0"/>
    <x v="0"/>
    <s v="Cancelled"/>
    <m/>
    <n v="0"/>
    <m/>
    <m/>
    <m/>
    <s v="Jun-24"/>
    <n v="26"/>
    <s v="2024"/>
  </r>
  <r>
    <d v="2024-06-27T00:00:00"/>
    <s v="Alliancepro"/>
    <s v="F2F"/>
    <s v="Corporate"/>
    <x v="0"/>
    <s v="Chamundeshwari"/>
    <s v="Introduction to team lunch"/>
    <n v="22000"/>
    <n v="0"/>
    <x v="11"/>
    <x v="0"/>
    <x v="0"/>
    <s v="Cancelled"/>
    <m/>
    <n v="0"/>
    <m/>
    <m/>
    <m/>
    <s v="Jun-24"/>
    <n v="26"/>
    <s v="2024"/>
  </r>
  <r>
    <d v="2024-06-27T00:00:00"/>
    <s v="Sumtotal Solutions"/>
    <s v="F2F"/>
    <s v="Corporate"/>
    <x v="0"/>
    <s v="Chandramouli"/>
    <s v="Introduction to team lunch &amp; Bulk delivery"/>
    <n v="30000"/>
    <n v="0"/>
    <x v="11"/>
    <x v="0"/>
    <x v="0"/>
    <s v="Cancelled"/>
    <m/>
    <n v="0"/>
    <m/>
    <m/>
    <m/>
    <s v="Jun-24"/>
    <n v="26"/>
    <s v="2024"/>
  </r>
  <r>
    <d v="2024-06-28T00:00:00"/>
    <s v="K Fintech"/>
    <s v="F2F"/>
    <s v="Corporate"/>
    <x v="21"/>
    <s v="Mahesh"/>
    <s v="Introduction to team lunch"/>
    <n v="15000"/>
    <n v="0"/>
    <x v="11"/>
    <x v="0"/>
    <x v="0"/>
    <s v="Cancelled"/>
    <m/>
    <n v="0"/>
    <m/>
    <m/>
    <m/>
    <s v="Jun-24"/>
    <n v="26"/>
    <s v="2024"/>
  </r>
  <r>
    <d v="2024-06-28T00:00:00"/>
    <s v="Delivery at Muthangi"/>
    <s v="Call"/>
    <s v="Events"/>
    <x v="10"/>
    <s v="Sai Kiran"/>
    <s v="Delivery of CB on 30 June 2024"/>
    <n v="14000"/>
    <n v="14000"/>
    <x v="6"/>
    <x v="0"/>
    <x v="1"/>
    <s v="Closed"/>
    <m/>
    <n v="0"/>
    <m/>
    <m/>
    <m/>
    <s v="Jun-24"/>
    <n v="26"/>
    <s v="2024"/>
  </r>
  <r>
    <d v="2024-06-28T00:00:00"/>
    <s v="Coca-Cola"/>
    <s v="F2F"/>
    <s v="Corporate"/>
    <x v="23"/>
    <s v="Gautham Devineni"/>
    <s v="Introduction to team lunch and bulk orders"/>
    <n v="20000"/>
    <n v="0"/>
    <x v="11"/>
    <x v="0"/>
    <x v="0"/>
    <s v="Cancelled"/>
    <m/>
    <n v="0"/>
    <m/>
    <m/>
    <m/>
    <s v="Jun-24"/>
    <n v="26"/>
    <s v="2024"/>
  </r>
  <r>
    <d v="2024-06-28T00:00:00"/>
    <s v="Ozone Hospital"/>
    <s v="F2F"/>
    <s v="Corporate"/>
    <x v="13"/>
    <s v="Mahendra"/>
    <s v="Follow up for bulk orders"/>
    <n v="20000"/>
    <n v="0"/>
    <x v="11"/>
    <x v="0"/>
    <x v="0"/>
    <s v="Cancelled"/>
    <m/>
    <n v="0"/>
    <m/>
    <m/>
    <m/>
    <s v="Jun-24"/>
    <n v="26"/>
    <s v="2024"/>
  </r>
  <r>
    <d v="2024-06-28T00:00:00"/>
    <s v="Take away at shamshabad"/>
    <s v="Call"/>
    <s v="Events"/>
    <x v="10"/>
    <s v="Gopal"/>
    <s v="Take away fron shamshabad on 30 June 2024"/>
    <n v="3000"/>
    <n v="3000"/>
    <x v="6"/>
    <x v="0"/>
    <x v="1"/>
    <s v="Closed"/>
    <m/>
    <n v="0"/>
    <m/>
    <m/>
    <m/>
    <s v="Jun-24"/>
    <n v="26"/>
    <s v="2024"/>
  </r>
  <r>
    <d v="2024-06-29T00:00:00"/>
    <s v="Take Away from Secundrabad"/>
    <s v="Call"/>
    <s v="Events"/>
    <x v="10"/>
    <s v="Amar"/>
    <s v="Take away of CB on 29 June 2024"/>
    <n v="12000"/>
    <n v="12000"/>
    <x v="6"/>
    <x v="0"/>
    <x v="1"/>
    <s v="Closed"/>
    <m/>
    <n v="0"/>
    <m/>
    <m/>
    <m/>
    <s v="Jun-24"/>
    <n v="26"/>
    <s v="2024"/>
  </r>
  <r>
    <d v="2024-07-01T00:00:00"/>
    <s v="Joy Foundation Orphanage"/>
    <s v="Call"/>
    <s v="NGO"/>
    <x v="14"/>
    <s v="Siju Thomas"/>
    <s v="Take away plum cake from Secbad on 1 July 2024"/>
    <n v="8000"/>
    <n v="8000"/>
    <x v="4"/>
    <x v="0"/>
    <x v="1"/>
    <s v="Closed"/>
    <m/>
    <n v="0"/>
    <m/>
    <m/>
    <m/>
    <s v="Jul-24"/>
    <n v="27"/>
    <s v="2024"/>
  </r>
  <r>
    <d v="2024-07-01T00:00:00"/>
    <s v="Akruthi School"/>
    <s v="F2F"/>
    <s v="School"/>
    <x v="4"/>
    <s v="Abbas"/>
    <s v="Introduction to Bulk delivery at events"/>
    <n v="12000"/>
    <n v="0"/>
    <x v="11"/>
    <x v="0"/>
    <x v="0"/>
    <s v="Cancelled"/>
    <m/>
    <n v="0"/>
    <m/>
    <m/>
    <m/>
    <s v="Jul-24"/>
    <n v="27"/>
    <s v="2024"/>
  </r>
  <r>
    <d v="2024-07-01T00:00:00"/>
    <s v="Sai Vidyanikethan School"/>
    <s v="F2F"/>
    <s v="School"/>
    <x v="4"/>
    <s v="Ekambarnath"/>
    <s v="Introduction to bulk food delivery"/>
    <n v="15000"/>
    <n v="0"/>
    <x v="11"/>
    <x v="0"/>
    <x v="0"/>
    <s v="Cancelled"/>
    <m/>
    <n v="0"/>
    <m/>
    <m/>
    <m/>
    <s v="Jul-24"/>
    <n v="27"/>
    <s v="2024"/>
  </r>
  <r>
    <d v="2024-07-01T00:00:00"/>
    <s v="E Pam"/>
    <s v="F2F"/>
    <s v="Corporate"/>
    <x v="0"/>
    <s v="Emanuel"/>
    <s v="Introduction to team lunch and bulk orders"/>
    <n v="18000"/>
    <n v="0"/>
    <x v="11"/>
    <x v="0"/>
    <x v="0"/>
    <s v="Cancelled"/>
    <m/>
    <n v="0"/>
    <m/>
    <m/>
    <m/>
    <s v="Jul-24"/>
    <n v="27"/>
    <s v="2024"/>
  </r>
  <r>
    <d v="2024-07-01T00:00:00"/>
    <s v="Pedilite"/>
    <s v="F2F"/>
    <s v="Corporate"/>
    <x v="23"/>
    <s v="Eshwar"/>
    <s v="Introduction to team lunch and bulk orders"/>
    <n v="20000"/>
    <n v="0"/>
    <x v="11"/>
    <x v="0"/>
    <x v="0"/>
    <s v="Cancelled"/>
    <m/>
    <n v="0"/>
    <m/>
    <m/>
    <m/>
    <s v="Jul-24"/>
    <n v="27"/>
    <s v="2024"/>
  </r>
  <r>
    <d v="2024-07-02T00:00:00"/>
    <s v="Appian"/>
    <s v="Call"/>
    <s v="Corporate"/>
    <x v="0"/>
    <s v="Appian"/>
    <s v="200 peoples lunch in chennai on 24 July 2024"/>
    <n v="60000"/>
    <n v="0"/>
    <x v="4"/>
    <x v="1"/>
    <x v="0"/>
    <s v="Cancelled"/>
    <s v="Event Cancelled"/>
    <n v="0"/>
    <m/>
    <m/>
    <m/>
    <s v="Jul-24"/>
    <n v="27"/>
    <s v="2024"/>
  </r>
  <r>
    <d v="2024-07-02T00:00:00"/>
    <s v="Delivery at Kothapet"/>
    <s v="Call"/>
    <s v="Events"/>
    <x v="10"/>
    <s v="Binoy"/>
    <s v="Delivery of MB From Kothapet"/>
    <n v="8000"/>
    <n v="8000"/>
    <x v="4"/>
    <x v="0"/>
    <x v="1"/>
    <s v="Closed"/>
    <m/>
    <n v="0"/>
    <m/>
    <m/>
    <m/>
    <s v="Jul-24"/>
    <n v="27"/>
    <s v="2024"/>
  </r>
  <r>
    <d v="2024-07-02T00:00:00"/>
    <s v="Dine in at Secundrabad"/>
    <s v="Call"/>
    <s v="Tourism"/>
    <x v="1"/>
    <s v="Lourd Xaviour"/>
    <s v="Dine in at Secundrabad in August"/>
    <n v="45000"/>
    <n v="0"/>
    <x v="8"/>
    <x v="0"/>
    <x v="0"/>
    <s v="Cancelled"/>
    <s v="No requirement"/>
    <n v="0"/>
    <m/>
    <m/>
    <m/>
    <s v="Jul-24"/>
    <n v="27"/>
    <s v="2024"/>
  </r>
  <r>
    <d v="2024-07-02T00:00:00"/>
    <s v="Prime Hospital"/>
    <s v="F2F"/>
    <s v="Hospital"/>
    <x v="13"/>
    <s v="Ashok"/>
    <s v="Bukl orders and delivery"/>
    <n v="15000"/>
    <n v="0"/>
    <x v="11"/>
    <x v="0"/>
    <x v="0"/>
    <s v="Cancelled"/>
    <m/>
    <n v="0"/>
    <m/>
    <m/>
    <m/>
    <s v="Jul-24"/>
    <n v="27"/>
    <s v="2024"/>
  </r>
  <r>
    <d v="2024-07-02T00:00:00"/>
    <s v="Vaishnavi Olympiad school"/>
    <s v="F2F"/>
    <s v="School"/>
    <x v="4"/>
    <s v="Kabeer"/>
    <s v="Introduction to bulk orders"/>
    <n v="20000"/>
    <n v="0"/>
    <x v="8"/>
    <x v="0"/>
    <x v="0"/>
    <s v="Cancelled"/>
    <s v="No requirement"/>
    <n v="0"/>
    <m/>
    <m/>
    <m/>
    <s v="Jul-24"/>
    <n v="27"/>
    <s v="2024"/>
  </r>
  <r>
    <d v="2024-07-03T00:00:00"/>
    <s v="VIT"/>
    <s v="Call"/>
    <s v="College"/>
    <x v="4"/>
    <s v="Sudhan"/>
    <s v="Shared details of 3000 pax ODC on 31 July 2024"/>
    <n v="1896308"/>
    <n v="1896308"/>
    <x v="9"/>
    <x v="0"/>
    <x v="1"/>
    <s v="Closed"/>
    <m/>
    <n v="0"/>
    <m/>
    <m/>
    <m/>
    <s v="Jul-24"/>
    <n v="27"/>
    <s v="2024"/>
  </r>
  <r>
    <d v="2024-07-03T00:00:00"/>
    <s v="Delivery at Compass Group Bangalore"/>
    <s v="Call"/>
    <s v="Corporate"/>
    <x v="17"/>
    <s v="Pankaj"/>
    <s v="Delivery of Special CB &amp; MB Handi on 3 July 2024"/>
    <n v="41079"/>
    <n v="41079"/>
    <x v="4"/>
    <x v="1"/>
    <x v="1"/>
    <s v="Closed"/>
    <m/>
    <n v="0"/>
    <m/>
    <m/>
    <m/>
    <s v="Jul-24"/>
    <n v="27"/>
    <s v="2024"/>
  </r>
  <r>
    <d v="2024-07-03T00:00:00"/>
    <s v="Narayana Academy"/>
    <s v="Call"/>
    <s v="College"/>
    <x v="4"/>
    <s v="Yadagiri"/>
    <s v="Follow up for bulk orders"/>
    <n v="15000"/>
    <n v="0"/>
    <x v="8"/>
    <x v="0"/>
    <x v="0"/>
    <s v="Cancelled"/>
    <s v="No requirement"/>
    <n v="0"/>
    <m/>
    <m/>
    <m/>
    <s v="Jul-24"/>
    <n v="27"/>
    <s v="2024"/>
  </r>
  <r>
    <d v="2024-07-03T00:00:00"/>
    <s v="Walking Tree"/>
    <s v="F2F"/>
    <s v="Corporate"/>
    <x v="0"/>
    <s v="Vinay"/>
    <s v="Introduction to team lunch"/>
    <n v="20000"/>
    <n v="0"/>
    <x v="8"/>
    <x v="0"/>
    <x v="0"/>
    <s v="Cancelled"/>
    <s v="No requirement"/>
    <n v="0"/>
    <m/>
    <m/>
    <m/>
    <s v="Jul-24"/>
    <n v="27"/>
    <s v="2024"/>
  </r>
  <r>
    <d v="2024-07-03T00:00:00"/>
    <s v="Shapoorji"/>
    <s v="F2F"/>
    <s v="Corporate"/>
    <x v="15"/>
    <s v="Vishwa"/>
    <s v="Introduction to bulk order"/>
    <n v="20000"/>
    <n v="0"/>
    <x v="8"/>
    <x v="0"/>
    <x v="0"/>
    <s v="Cancelled"/>
    <s v="No requirement"/>
    <n v="0"/>
    <m/>
    <m/>
    <m/>
    <s v="Jul-24"/>
    <n v="27"/>
    <s v="2024"/>
  </r>
  <r>
    <d v="2024-07-04T00:00:00"/>
    <s v="Magoi Events"/>
    <s v="F2F"/>
    <s v="Corporate"/>
    <x v="3"/>
    <s v="Rakesh"/>
    <s v="Shared quote for 240 PAX in August"/>
    <n v="85000"/>
    <n v="0"/>
    <x v="11"/>
    <x v="0"/>
    <x v="0"/>
    <s v="Cancelled"/>
    <s v="Event Cancelled"/>
    <n v="0"/>
    <m/>
    <m/>
    <m/>
    <s v="Jul-24"/>
    <n v="27"/>
    <s v="2024"/>
  </r>
  <r>
    <d v="2024-07-04T00:00:00"/>
    <s v="PNB"/>
    <s v="F2F"/>
    <s v="Corporate"/>
    <x v="21"/>
    <s v="Pradeep"/>
    <s v="Shared Details for team lunch"/>
    <n v="12000"/>
    <n v="0"/>
    <x v="8"/>
    <x v="0"/>
    <x v="0"/>
    <s v="Cancelled"/>
    <s v="No requirement"/>
    <n v="0"/>
    <m/>
    <m/>
    <m/>
    <s v="Jul-24"/>
    <n v="27"/>
    <s v="2024"/>
  </r>
  <r>
    <d v="2024-07-04T00:00:00"/>
    <s v="NABARD"/>
    <s v="F2F"/>
    <s v="Corporate"/>
    <x v="21"/>
    <s v="N Prabhakar"/>
    <s v="Shared deyails for team lunch"/>
    <n v="20000"/>
    <n v="0"/>
    <x v="12"/>
    <x v="0"/>
    <x v="0"/>
    <s v="Cancelled"/>
    <m/>
    <n v="0"/>
    <m/>
    <m/>
    <m/>
    <s v="Jul-24"/>
    <n v="27"/>
    <s v="2024"/>
  </r>
  <r>
    <d v="2024-07-04T00:00:00"/>
    <s v="HDFC"/>
    <s v="F2F"/>
    <s v="Corporate"/>
    <x v="21"/>
    <s v="Arun"/>
    <s v="Shared Details for team lunch"/>
    <n v="30000"/>
    <n v="0"/>
    <x v="2"/>
    <x v="0"/>
    <x v="0"/>
    <s v="Cancelled"/>
    <s v="No requirement"/>
    <n v="0"/>
    <m/>
    <m/>
    <m/>
    <s v="Jul-24"/>
    <n v="27"/>
    <s v="2023"/>
  </r>
  <r>
    <d v="2024-07-04T00:00:00"/>
    <s v="Rainbow Hospitals"/>
    <s v="F2F"/>
    <s v="Corporate"/>
    <x v="13"/>
    <s v="Uday"/>
    <s v="Shared details regarding bulk supply of foods"/>
    <n v="15000"/>
    <n v="0"/>
    <x v="2"/>
    <x v="0"/>
    <x v="0"/>
    <s v="Cancelled"/>
    <s v="No requirement"/>
    <n v="0"/>
    <m/>
    <m/>
    <m/>
    <s v="Jul-24"/>
    <n v="27"/>
    <s v="2023"/>
  </r>
  <r>
    <d v="2024-07-05T00:00:00"/>
    <s v="Standard Chartard Bank"/>
    <s v="Call"/>
    <s v="Corporate"/>
    <x v="21"/>
    <s v="Biswa"/>
    <s v="Delivered cb on 5 july 2024"/>
    <n v="13000"/>
    <n v="13000"/>
    <x v="4"/>
    <x v="1"/>
    <x v="1"/>
    <s v="Closed"/>
    <m/>
    <n v="0"/>
    <m/>
    <m/>
    <m/>
    <s v="Jul-24"/>
    <n v="27"/>
    <s v="2024"/>
  </r>
  <r>
    <d v="2024-07-05T00:00:00"/>
    <s v="Granules India"/>
    <s v="F2F"/>
    <s v="Corporate"/>
    <x v="5"/>
    <s v="B Sravan Kumar"/>
    <s v="Follow up for bulk orders"/>
    <n v="15000"/>
    <n v="0"/>
    <x v="2"/>
    <x v="0"/>
    <x v="0"/>
    <s v="Cancelled"/>
    <s v="No requirement"/>
    <n v="0"/>
    <m/>
    <m/>
    <m/>
    <s v="Jul-24"/>
    <n v="27"/>
    <s v="2023"/>
  </r>
  <r>
    <d v="2024-07-05T00:00:00"/>
    <s v="Verizon"/>
    <s v="F2F"/>
    <s v="Corporate"/>
    <x v="0"/>
    <s v="Bala Srinivas"/>
    <s v="Introduction to team lunch"/>
    <n v="18000"/>
    <n v="0"/>
    <x v="2"/>
    <x v="0"/>
    <x v="0"/>
    <s v="Cancelled"/>
    <s v="No requirement"/>
    <n v="0"/>
    <m/>
    <m/>
    <m/>
    <s v="Jul-24"/>
    <n v="27"/>
    <s v="2023"/>
  </r>
  <r>
    <d v="2024-07-05T00:00:00"/>
    <s v="Sresta Naturals"/>
    <s v="F2F"/>
    <s v="Corporate"/>
    <x v="18"/>
    <s v="Subramanyam"/>
    <s v="Introduction to bulk orders"/>
    <n v="20000"/>
    <n v="0"/>
    <x v="12"/>
    <x v="0"/>
    <x v="0"/>
    <s v="Cancelled"/>
    <m/>
    <n v="0"/>
    <m/>
    <m/>
    <m/>
    <s v="Jul-24"/>
    <n v="27"/>
    <s v="2024"/>
  </r>
  <r>
    <d v="2024-07-05T00:00:00"/>
    <s v="Byjus"/>
    <s v="F2F"/>
    <s v="Corporate"/>
    <x v="4"/>
    <s v="Balraj"/>
    <s v="Introduction to team lunch and bulk orders"/>
    <n v="18000"/>
    <n v="0"/>
    <x v="12"/>
    <x v="0"/>
    <x v="0"/>
    <s v="Cancelled"/>
    <m/>
    <n v="0"/>
    <m/>
    <m/>
    <m/>
    <s v="Jul-24"/>
    <n v="27"/>
    <s v="2024"/>
  </r>
  <r>
    <d v="2024-07-09T00:00:00"/>
    <s v="Delivery at Bangalore Airport"/>
    <s v="Call"/>
    <s v="Corporate"/>
    <x v="2"/>
    <s v="Sridhar"/>
    <s v="Delivery of CB &amp; MB on 10 July 2024"/>
    <n v="16000"/>
    <n v="16000"/>
    <x v="4"/>
    <x v="1"/>
    <x v="1"/>
    <s v="Closed"/>
    <m/>
    <n v="0"/>
    <m/>
    <m/>
    <m/>
    <s v="Jul-24"/>
    <n v="28"/>
    <s v="2024"/>
  </r>
  <r>
    <d v="2024-07-10T00:00:00"/>
    <s v="Delivery at Compass Group Bangalore"/>
    <s v="Call"/>
    <s v="Corporate"/>
    <x v="17"/>
    <s v="Pankaj"/>
    <s v="Delivery of Special CB &amp; MB Handi on 10 July 2024"/>
    <n v="44198"/>
    <n v="44198"/>
    <x v="4"/>
    <x v="1"/>
    <x v="1"/>
    <s v="Closed"/>
    <m/>
    <n v="0"/>
    <m/>
    <m/>
    <m/>
    <s v="Jul-24"/>
    <n v="28"/>
    <s v="2024"/>
  </r>
  <r>
    <d v="2024-07-10T00:00:00"/>
    <s v="Physicswallah"/>
    <s v="Call"/>
    <s v="Corporate"/>
    <x v="4"/>
    <s v="Ramesh"/>
    <s v="Shared quote for CB and VB for 500 PAX"/>
    <n v="30000"/>
    <n v="0"/>
    <x v="13"/>
    <x v="0"/>
    <x v="0"/>
    <s v="Cancelled"/>
    <s v="Less Budget"/>
    <n v="0"/>
    <m/>
    <m/>
    <m/>
    <s v="Jul-24"/>
    <n v="28"/>
    <s v="2025"/>
  </r>
  <r>
    <d v="2024-07-11T00:00:00"/>
    <s v="Delivery at Patancheru"/>
    <s v="Call"/>
    <s v="Corporate"/>
    <x v="14"/>
    <s v="Sagarika"/>
    <s v="Delivery of CB Handi on 14 July 2024"/>
    <n v="9000"/>
    <n v="0"/>
    <x v="4"/>
    <x v="0"/>
    <x v="0"/>
    <s v="Cancelled"/>
    <s v="Event Cancelled"/>
    <n v="0"/>
    <m/>
    <m/>
    <m/>
    <s v="Jul-24"/>
    <n v="28"/>
    <s v="2024"/>
  </r>
  <r>
    <d v="2024-07-11T00:00:00"/>
    <s v="Delivery at Himayathnagar"/>
    <s v="Call"/>
    <s v="Events"/>
    <x v="10"/>
    <s v="Sanjay"/>
    <s v="Delivery of VB and Starters"/>
    <n v="16900"/>
    <n v="0"/>
    <x v="11"/>
    <x v="0"/>
    <x v="0"/>
    <s v="Cancelled"/>
    <s v="Event Cancelled"/>
    <n v="0"/>
    <m/>
    <m/>
    <m/>
    <s v="Jul-24"/>
    <n v="28"/>
    <s v="2024"/>
  </r>
  <r>
    <d v="2024-07-12T00:00:00"/>
    <s v="MSN LABS"/>
    <s v="F2F"/>
    <s v="Corporate"/>
    <x v="5"/>
    <s v="Satya"/>
    <s v="Follow up call"/>
    <n v="0"/>
    <n v="0"/>
    <x v="4"/>
    <x v="0"/>
    <x v="1"/>
    <s v="Closed"/>
    <m/>
    <n v="0"/>
    <m/>
    <m/>
    <m/>
    <s v="Jul-24"/>
    <n v="28"/>
    <s v="2024"/>
  </r>
  <r>
    <d v="2024-07-12T00:00:00"/>
    <s v="Delivery at Moosarambag"/>
    <s v="Call"/>
    <s v="Corporate"/>
    <x v="19"/>
    <s v="Deva"/>
    <s v="Buffet lunch for 600 people"/>
    <n v="200000"/>
    <n v="0"/>
    <x v="12"/>
    <x v="0"/>
    <x v="0"/>
    <s v="Cancelled"/>
    <s v="Event Cancelled"/>
    <n v="0"/>
    <m/>
    <m/>
    <m/>
    <s v="Jul-24"/>
    <n v="28"/>
    <s v="2024"/>
  </r>
  <r>
    <d v="2024-07-12T00:00:00"/>
    <s v="Delivery at rampally"/>
    <s v="Call"/>
    <s v="Events"/>
    <x v="10"/>
    <s v="Suresh"/>
    <s v="Delivery of Veg Chicken handi on 15 July 2024"/>
    <n v="16900"/>
    <n v="16900"/>
    <x v="4"/>
    <x v="0"/>
    <x v="1"/>
    <s v="Closed"/>
    <m/>
    <n v="0"/>
    <m/>
    <m/>
    <m/>
    <s v="Jul-24"/>
    <n v="28"/>
    <s v="2024"/>
  </r>
  <r>
    <d v="2024-07-12T00:00:00"/>
    <s v="Fibros"/>
    <s v="F2F"/>
    <s v="Corporate"/>
    <x v="19"/>
    <s v="Kallol"/>
    <s v="Introduction to bulk orders"/>
    <n v="20000"/>
    <n v="0"/>
    <x v="12"/>
    <x v="0"/>
    <x v="0"/>
    <s v="Cancelled"/>
    <m/>
    <n v="0"/>
    <m/>
    <m/>
    <m/>
    <s v="Jul-24"/>
    <n v="28"/>
    <s v="2024"/>
  </r>
  <r>
    <d v="2024-07-13T00:00:00"/>
    <s v="Take away at electronic city"/>
    <s v="Call"/>
    <s v="Events"/>
    <x v="10"/>
    <s v="Umakant"/>
    <s v="Take away of CB on 13 July 2024"/>
    <n v="6000"/>
    <n v="6000"/>
    <x v="4"/>
    <x v="1"/>
    <x v="1"/>
    <s v="Closed"/>
    <m/>
    <n v="0"/>
    <m/>
    <m/>
    <m/>
    <s v="Jul-24"/>
    <n v="28"/>
    <s v="2024"/>
  </r>
  <r>
    <d v="2024-07-13T00:00:00"/>
    <s v="Kaushik Enterprise"/>
    <s v="F2F"/>
    <s v="Corporate"/>
    <x v="17"/>
    <s v="Suresh"/>
    <s v="CB &amp; VB at Sky View &amp; Waverock on 18 July 2024"/>
    <n v="183680"/>
    <n v="183680"/>
    <x v="4"/>
    <x v="0"/>
    <x v="1"/>
    <s v="Closed"/>
    <m/>
    <n v="0"/>
    <m/>
    <m/>
    <m/>
    <s v="Jul-24"/>
    <n v="28"/>
    <s v="2024"/>
  </r>
  <r>
    <d v="2024-07-15T00:00:00"/>
    <s v="Ultratech Group"/>
    <s v="Call"/>
    <s v="Corporate"/>
    <x v="1"/>
    <s v="Arun"/>
    <s v="Dine in at Secundrabad on 15 July"/>
    <n v="117000"/>
    <n v="117000"/>
    <x v="4"/>
    <x v="0"/>
    <x v="1"/>
    <s v="Closed"/>
    <m/>
    <n v="0"/>
    <m/>
    <m/>
    <m/>
    <s v="Jul-24"/>
    <n v="29"/>
    <s v="2024"/>
  </r>
  <r>
    <d v="2024-07-16T00:00:00"/>
    <s v="Alliance Real Estate"/>
    <s v="F2F"/>
    <s v="Corporate"/>
    <x v="15"/>
    <s v="Udaykiran"/>
    <s v="Delivery of CB at Tellapur on 20 &amp; 21 July 2024"/>
    <n v="32000"/>
    <n v="0"/>
    <x v="4"/>
    <x v="0"/>
    <x v="0"/>
    <s v="Cancelled"/>
    <s v="Budget Constrain"/>
    <n v="0"/>
    <m/>
    <m/>
    <m/>
    <s v="Jul-24"/>
    <n v="29"/>
    <s v="2024"/>
  </r>
  <r>
    <d v="2024-07-16T00:00:00"/>
    <s v="Elecrronic Arts"/>
    <s v="F2F"/>
    <s v="Corporate"/>
    <x v="0"/>
    <s v="Murali"/>
    <s v="Dine in at Shilparaman on 19 July 2023 "/>
    <n v="15000"/>
    <n v="0"/>
    <x v="4"/>
    <x v="0"/>
    <x v="0"/>
    <s v="Cancelled"/>
    <s v="Event Cancelled"/>
    <n v="0"/>
    <m/>
    <m/>
    <m/>
    <s v="Jul-24"/>
    <n v="29"/>
    <s v="2024"/>
  </r>
  <r>
    <d v="2024-07-16T00:00:00"/>
    <s v="Sriram Bio Seeds"/>
    <s v="F2F"/>
    <s v="Corporate"/>
    <x v="5"/>
    <s v="Pradeep"/>
    <s v="Introduction to corporate gifting and Bulk delivery"/>
    <n v="25000"/>
    <n v="0"/>
    <x v="12"/>
    <x v="0"/>
    <x v="0"/>
    <s v="Cancelled"/>
    <m/>
    <n v="0"/>
    <m/>
    <m/>
    <m/>
    <s v="Jul-24"/>
    <n v="29"/>
    <s v="2024"/>
  </r>
  <r>
    <d v="2024-07-16T00:00:00"/>
    <s v="Concentrix"/>
    <s v="F2F"/>
    <s v="Corporate"/>
    <x v="0"/>
    <s v="Yusuf"/>
    <s v="Introduction to bulk order"/>
    <n v="15000"/>
    <n v="0"/>
    <x v="12"/>
    <x v="0"/>
    <x v="0"/>
    <s v="Cancelled"/>
    <m/>
    <n v="0"/>
    <m/>
    <m/>
    <m/>
    <s v="Jul-24"/>
    <n v="29"/>
    <s v="2024"/>
  </r>
  <r>
    <d v="2024-07-16T00:00:00"/>
    <s v="Hitachi Consulting"/>
    <s v="Call"/>
    <s v="Corporate"/>
    <x v="0"/>
    <s v="Yogesh"/>
    <s v="Follow up for bulk orders"/>
    <n v="20000"/>
    <n v="0"/>
    <x v="12"/>
    <x v="0"/>
    <x v="0"/>
    <s v="Cancelled"/>
    <m/>
    <n v="0"/>
    <m/>
    <m/>
    <m/>
    <s v="Jul-24"/>
    <n v="29"/>
    <s v="2024"/>
  </r>
  <r>
    <d v="2024-07-17T00:00:00"/>
    <s v="Delivery at Compass Group Bangalore"/>
    <s v="Call"/>
    <s v="Corporate"/>
    <x v="17"/>
    <s v="Pankaj"/>
    <s v="Delivery of Special CB &amp; MB Handi on 17 July 2024"/>
    <n v="40117"/>
    <n v="40117"/>
    <x v="4"/>
    <x v="1"/>
    <x v="1"/>
    <s v="Closed"/>
    <m/>
    <n v="0"/>
    <m/>
    <m/>
    <m/>
    <s v="Jul-24"/>
    <n v="29"/>
    <s v="2024"/>
  </r>
  <r>
    <d v="2024-07-17T00:00:00"/>
    <s v="Saga Events &amp; Holidays"/>
    <s v="F2F"/>
    <s v="Corporate"/>
    <x v="3"/>
    <s v="Bishal"/>
    <s v="Shared quote for dine in at secbad"/>
    <n v="12000"/>
    <n v="0"/>
    <x v="12"/>
    <x v="0"/>
    <x v="0"/>
    <s v="Cancelled"/>
    <s v="Cancelled"/>
    <n v="0"/>
    <m/>
    <m/>
    <m/>
    <s v="Jul-24"/>
    <n v="29"/>
    <s v="2024"/>
  </r>
  <r>
    <d v="2024-07-17T00:00:00"/>
    <s v="My Holidays"/>
    <s v="Call"/>
    <s v="Corporate"/>
    <x v="1"/>
    <s v="Vijay"/>
    <s v="Shared details of dine in and delivery for travellers"/>
    <n v="15000"/>
    <n v="0"/>
    <x v="12"/>
    <x v="0"/>
    <x v="0"/>
    <s v="Cancelled"/>
    <m/>
    <n v="0"/>
    <m/>
    <m/>
    <m/>
    <s v="Jul-24"/>
    <n v="29"/>
    <s v="2024"/>
  </r>
  <r>
    <d v="2024-07-17T00:00:00"/>
    <s v="JP Morgan Argus"/>
    <s v="Call"/>
    <s v="Corporate"/>
    <x v="0"/>
    <s v="Murthy"/>
    <s v="Intro to bulk order"/>
    <n v="18000"/>
    <n v="0"/>
    <x v="12"/>
    <x v="0"/>
    <x v="0"/>
    <s v="Cancelled"/>
    <m/>
    <n v="0"/>
    <m/>
    <m/>
    <m/>
    <s v="Jul-24"/>
    <n v="29"/>
    <s v="2024"/>
  </r>
  <r>
    <d v="2024-07-17T00:00:00"/>
    <s v="Sutherland Global Solutions"/>
    <s v="Call"/>
    <s v="Corporate"/>
    <x v="0"/>
    <s v="Murali"/>
    <s v="Follow up for bulk orders"/>
    <n v="15000"/>
    <n v="0"/>
    <x v="12"/>
    <x v="0"/>
    <x v="0"/>
    <s v="Cancelled"/>
    <m/>
    <n v="0"/>
    <m/>
    <m/>
    <m/>
    <s v="Jul-24"/>
    <n v="29"/>
    <s v="2024"/>
  </r>
  <r>
    <d v="2024-07-18T00:00:00"/>
    <s v="Biological E Limited"/>
    <s v="F2F"/>
    <s v="Corporate"/>
    <x v="5"/>
    <s v="Chandrasekhar"/>
    <s v="Delivery of CB on 19 July 2024"/>
    <n v="8000"/>
    <n v="8000"/>
    <x v="4"/>
    <x v="0"/>
    <x v="1"/>
    <s v="Closed"/>
    <m/>
    <n v="0"/>
    <m/>
    <m/>
    <m/>
    <s v="Jul-24"/>
    <n v="29"/>
    <s v="2024"/>
  </r>
  <r>
    <d v="2024-07-18T00:00:00"/>
    <s v="Delivery at Gachibowli GAAR Building"/>
    <s v="Call"/>
    <s v="Corporate"/>
    <x v="0"/>
    <s v="Pravin"/>
    <s v="Delivery of CB handi on 19 July 2024"/>
    <n v="13000"/>
    <n v="13000"/>
    <x v="4"/>
    <x v="0"/>
    <x v="1"/>
    <s v="Closed"/>
    <m/>
    <n v="0"/>
    <m/>
    <m/>
    <m/>
    <s v="Jul-24"/>
    <n v="29"/>
    <s v="2024"/>
  </r>
  <r>
    <d v="2024-07-18T00:00:00"/>
    <s v="Page School"/>
    <s v="F2F"/>
    <s v="School"/>
    <x v="4"/>
    <s v="kalpana"/>
    <s v="Introduction to Bulk orders"/>
    <n v="15000"/>
    <n v="0"/>
    <x v="12"/>
    <x v="0"/>
    <x v="0"/>
    <s v="Cancelled"/>
    <m/>
    <n v="0"/>
    <m/>
    <m/>
    <m/>
    <s v="Jul-24"/>
    <n v="29"/>
    <s v="2024"/>
  </r>
  <r>
    <d v="2024-07-19T00:00:00"/>
    <s v="Platos"/>
    <s v="F2F"/>
    <s v="Corporate"/>
    <x v="17"/>
    <s v="Rohan"/>
    <s v="Delivery of CB and VB on October 2024"/>
    <n v="20000"/>
    <n v="0"/>
    <x v="14"/>
    <x v="0"/>
    <x v="0"/>
    <s v="Cancelled"/>
    <s v="No requirement"/>
    <n v="0"/>
    <m/>
    <m/>
    <m/>
    <s v="Jul-24"/>
    <n v="29"/>
    <s v="2025"/>
  </r>
  <r>
    <d v="2024-07-19T00:00:00"/>
    <s v="Kapil Chit funds, Vanasthalipuram"/>
    <s v="F2F"/>
    <s v="Corporate"/>
    <x v="21"/>
    <s v="Chakrhi"/>
    <s v="Introduction to bulk orders"/>
    <n v="25000"/>
    <n v="0"/>
    <x v="12"/>
    <x v="0"/>
    <x v="0"/>
    <s v="Cancelled"/>
    <m/>
    <n v="0"/>
    <m/>
    <m/>
    <m/>
    <s v="Jul-24"/>
    <n v="29"/>
    <s v="2024"/>
  </r>
  <r>
    <d v="2024-07-19T00:00:00"/>
    <s v="Siddhartha Grammar school"/>
    <s v="F2F"/>
    <s v="School"/>
    <x v="4"/>
    <s v="Krishna Rao"/>
    <s v="Introduction to bulk delivery"/>
    <n v="28000"/>
    <n v="0"/>
    <x v="12"/>
    <x v="0"/>
    <x v="0"/>
    <s v="Cancelled"/>
    <m/>
    <n v="0"/>
    <m/>
    <m/>
    <m/>
    <s v="Jul-24"/>
    <n v="29"/>
    <s v="2024"/>
  </r>
  <r>
    <d v="2024-07-22T00:00:00"/>
    <s v="Tata Advance System Adibatla"/>
    <s v="F2F"/>
    <s v="Corporate"/>
    <x v="22"/>
    <s v="Simon"/>
    <s v="Introduction to bulk delivery"/>
    <n v="35000"/>
    <n v="0"/>
    <x v="12"/>
    <x v="0"/>
    <x v="0"/>
    <s v="Cancelled"/>
    <m/>
    <n v="0"/>
    <m/>
    <m/>
    <m/>
    <s v="Jul-24"/>
    <n v="30"/>
    <s v="2024"/>
  </r>
  <r>
    <d v="2024-07-22T00:00:00"/>
    <s v="Delivery at Secundrabad"/>
    <s v="Call"/>
    <s v="Events"/>
    <x v="10"/>
    <s v="Fauza"/>
    <s v="Delivery of CB on 22 July 2024"/>
    <n v="17000"/>
    <n v="0"/>
    <x v="4"/>
    <x v="0"/>
    <x v="0"/>
    <s v="Cancelled"/>
    <s v="Budget Constrain"/>
    <n v="0"/>
    <m/>
    <m/>
    <m/>
    <s v="Jul-24"/>
    <n v="30"/>
    <s v="2024"/>
  </r>
  <r>
    <d v="2024-07-22T00:00:00"/>
    <s v="Delivery at Madhapur"/>
    <s v="Call"/>
    <s v="Events"/>
    <x v="10"/>
    <s v="Rajendra "/>
    <s v="Delivery of cb on 24 July 2024"/>
    <n v="18000"/>
    <n v="0"/>
    <x v="4"/>
    <x v="0"/>
    <x v="0"/>
    <s v="Cancelled"/>
    <s v="Event Cancelled"/>
    <n v="0"/>
    <m/>
    <m/>
    <m/>
    <s v="Jul-24"/>
    <n v="30"/>
    <s v="2024"/>
  </r>
  <r>
    <d v="2024-07-23T00:00:00"/>
    <s v="V Guard"/>
    <s v="F2F"/>
    <s v="Corporate"/>
    <x v="16"/>
    <s v="Bala"/>
    <s v="Follow up for bulk orders"/>
    <n v="20000"/>
    <n v="0"/>
    <x v="12"/>
    <x v="0"/>
    <x v="0"/>
    <s v="Cancelled"/>
    <m/>
    <n v="0"/>
    <m/>
    <m/>
    <m/>
    <s v="Jul-24"/>
    <n v="30"/>
    <s v="2024"/>
  </r>
  <r>
    <d v="2024-07-23T00:00:00"/>
    <s v="Jeevanjor"/>
    <s v="F2F"/>
    <s v="Corporate"/>
    <x v="16"/>
    <s v="Hanuma Prasad"/>
    <s v="Follow up for bulk orders"/>
    <n v="22000"/>
    <n v="0"/>
    <x v="12"/>
    <x v="0"/>
    <x v="0"/>
    <s v="Cancelled"/>
    <m/>
    <n v="0"/>
    <m/>
    <m/>
    <m/>
    <s v="Jul-24"/>
    <n v="30"/>
    <s v="2024"/>
  </r>
  <r>
    <d v="2024-07-23T00:00:00"/>
    <s v="Vivekananda High School"/>
    <s v="Call"/>
    <s v="School"/>
    <x v="4"/>
    <s v="Gajanand"/>
    <s v="Introduction to bulk orders"/>
    <n v="15000"/>
    <n v="0"/>
    <x v="2"/>
    <x v="0"/>
    <x v="0"/>
    <s v="Cancelled"/>
    <s v="No requirement"/>
    <n v="0"/>
    <m/>
    <m/>
    <m/>
    <s v="Jul-24"/>
    <n v="30"/>
    <s v="2023"/>
  </r>
  <r>
    <d v="2024-07-23T00:00:00"/>
    <s v="Servo Oils"/>
    <s v="Call"/>
    <s v="Corporate"/>
    <x v="16"/>
    <s v="Ganesh"/>
    <s v="Introduction to bulk delivery and gifting"/>
    <n v="12000"/>
    <n v="0"/>
    <x v="2"/>
    <x v="0"/>
    <x v="0"/>
    <s v="Cancelled"/>
    <s v="No requirement"/>
    <n v="0"/>
    <m/>
    <m/>
    <m/>
    <s v="Jul-24"/>
    <n v="30"/>
    <s v="2023"/>
  </r>
  <r>
    <d v="2024-07-23T00:00:00"/>
    <s v="JSR Group"/>
    <s v="Call"/>
    <s v="Corporate"/>
    <x v="15"/>
    <s v="Gangaram"/>
    <s v="Introduction to bulk order"/>
    <n v="15000"/>
    <n v="0"/>
    <x v="2"/>
    <x v="0"/>
    <x v="0"/>
    <s v="Cancelled"/>
    <s v="No requirement"/>
    <n v="0"/>
    <m/>
    <m/>
    <m/>
    <s v="Jul-24"/>
    <n v="30"/>
    <s v="2023"/>
  </r>
  <r>
    <d v="2024-07-24T00:00:00"/>
    <s v="Delivery at Compass Group Bangalore"/>
    <s v="Call"/>
    <s v="Corporate"/>
    <x v="17"/>
    <s v="Pankaj"/>
    <s v="Delivery of Special CB &amp; MB Handi on 24 July 2024"/>
    <n v="43028"/>
    <n v="43028"/>
    <x v="4"/>
    <x v="1"/>
    <x v="1"/>
    <s v="Closed"/>
    <m/>
    <n v="0"/>
    <m/>
    <m/>
    <m/>
    <s v="Jul-24"/>
    <n v="30"/>
    <s v="2024"/>
  </r>
  <r>
    <d v="2024-07-24T00:00:00"/>
    <s v="Roush Pharma"/>
    <s v="F2F"/>
    <s v="Corporate"/>
    <x v="5"/>
    <s v="Shivendu"/>
    <s v="CB &amp; DKM from Begumpet on 25 July 2024"/>
    <n v="6360"/>
    <n v="6360"/>
    <x v="4"/>
    <x v="0"/>
    <x v="1"/>
    <s v="Closed"/>
    <m/>
    <n v="0"/>
    <m/>
    <m/>
    <m/>
    <s v="Jul-24"/>
    <n v="30"/>
    <s v="2024"/>
  </r>
  <r>
    <d v="2024-07-29T00:00:00"/>
    <s v="GPR Solutions"/>
    <s v="Call"/>
    <s v="Corporate"/>
    <x v="0"/>
    <s v="Vinod"/>
    <s v="Delivery from Marathalli on 29 July 2024"/>
    <n v="112323"/>
    <n v="112323"/>
    <x v="4"/>
    <x v="1"/>
    <x v="1"/>
    <s v="Closed"/>
    <m/>
    <n v="0"/>
    <m/>
    <m/>
    <m/>
    <s v="Jul-24"/>
    <n v="31"/>
    <s v="2024"/>
  </r>
  <r>
    <d v="2024-07-31T00:00:00"/>
    <s v="Delivery at Compass Group Bangalore"/>
    <s v="Call"/>
    <s v="Corporate"/>
    <x v="17"/>
    <s v="Pankaj"/>
    <s v="Delivery of Special CB &amp; MB Handi on 31 July 2024"/>
    <n v="41560"/>
    <n v="41560"/>
    <x v="4"/>
    <x v="1"/>
    <x v="1"/>
    <s v="Closed"/>
    <m/>
    <n v="0"/>
    <m/>
    <m/>
    <m/>
    <s v="Jul-24"/>
    <n v="31"/>
    <s v="2024"/>
  </r>
  <r>
    <d v="2024-08-01T00:00:00"/>
    <s v="Delivery at Tolichowki"/>
    <s v="Call"/>
    <s v="Events"/>
    <x v="10"/>
    <s v="Samiuddin"/>
    <s v="Delivery oc CB on 4 August  2024"/>
    <n v="14000"/>
    <n v="14000"/>
    <x v="9"/>
    <x v="0"/>
    <x v="1"/>
    <s v="Closed"/>
    <m/>
    <n v="0"/>
    <m/>
    <m/>
    <m/>
    <s v="Aug-24"/>
    <n v="31"/>
    <s v="2024"/>
  </r>
  <r>
    <d v="2024-08-02T00:00:00"/>
    <s v="Samsung Semiconductors"/>
    <s v="Call"/>
    <s v="Corporate"/>
    <x v="0"/>
    <s v="Rupesh"/>
    <s v="ODC at Samsung Bangalore"/>
    <n v="100000"/>
    <n v="0"/>
    <x v="11"/>
    <x v="1"/>
    <x v="0"/>
    <s v="Cancelled"/>
    <s v="Event Cancelled"/>
    <n v="0"/>
    <m/>
    <m/>
    <m/>
    <s v="Aug-24"/>
    <n v="31"/>
    <s v="2024"/>
  </r>
  <r>
    <d v="2024-08-02T00:00:00"/>
    <s v="Delivery at Tarnaka"/>
    <s v="Call"/>
    <s v="Events"/>
    <x v="10"/>
    <s v="Melvin"/>
    <s v="Delivery of CB and VB on 3 August 2024"/>
    <n v="18000"/>
    <n v="18000"/>
    <x v="9"/>
    <x v="0"/>
    <x v="1"/>
    <s v="Closed"/>
    <m/>
    <n v="0"/>
    <m/>
    <m/>
    <m/>
    <s v="Aug-24"/>
    <n v="31"/>
    <s v="2024"/>
  </r>
  <r>
    <d v="2024-08-02T00:00:00"/>
    <s v="Mount opera"/>
    <s v="F2F"/>
    <s v="Corporate"/>
    <x v="1"/>
    <s v="Bhavya"/>
    <s v="Supply of Biryani for students"/>
    <n v="0"/>
    <n v="0"/>
    <x v="12"/>
    <x v="0"/>
    <x v="1"/>
    <s v="Closed"/>
    <m/>
    <n v="0"/>
    <m/>
    <m/>
    <m/>
    <s v="Aug-24"/>
    <n v="31"/>
    <s v="2024"/>
  </r>
  <r>
    <d v="2024-08-02T00:00:00"/>
    <s v="Delivery at Sithaphal Mandi"/>
    <s v="Call"/>
    <s v="Events"/>
    <x v="10"/>
    <s v="Shashank"/>
    <s v="Delivery of CB on 4 August 2024"/>
    <n v="10000"/>
    <n v="10000"/>
    <x v="9"/>
    <x v="0"/>
    <x v="1"/>
    <s v="Closed"/>
    <m/>
    <n v="0"/>
    <m/>
    <m/>
    <m/>
    <s v="Aug-24"/>
    <n v="31"/>
    <s v="2024"/>
  </r>
  <r>
    <d v="2024-08-04T00:00:00"/>
    <s v="Delivery near Gandhi Hospital"/>
    <s v="Call"/>
    <s v="Orphanage"/>
    <x v="14"/>
    <s v="Venky"/>
    <s v="Delivery of CB on 10 August 2024"/>
    <n v="12000"/>
    <n v="12000"/>
    <x v="9"/>
    <x v="0"/>
    <x v="1"/>
    <s v="Closed"/>
    <m/>
    <n v="0"/>
    <m/>
    <m/>
    <m/>
    <s v="Aug-24"/>
    <n v="31"/>
    <s v="2024"/>
  </r>
  <r>
    <d v="2024-08-05T00:00:00"/>
    <s v="Mount opera"/>
    <s v="F2F"/>
    <s v="Corporate"/>
    <x v="1"/>
    <s v="Bhavya"/>
    <s v="Proposal Discussion , food package for students"/>
    <n v="0"/>
    <n v="0"/>
    <x v="12"/>
    <x v="0"/>
    <x v="1"/>
    <s v="Closed"/>
    <m/>
    <n v="0"/>
    <m/>
    <m/>
    <m/>
    <s v="Aug-24"/>
    <n v="32"/>
    <s v="2024"/>
  </r>
  <r>
    <d v="2024-08-05T00:00:00"/>
    <s v="ICICI Towers"/>
    <s v="F2F"/>
    <s v="Corporate"/>
    <x v="21"/>
    <s v="Susan"/>
    <s v="Discussed the pricing of food "/>
    <n v="100000"/>
    <n v="0"/>
    <x v="8"/>
    <x v="0"/>
    <x v="0"/>
    <s v="Cancelled"/>
    <s v="Not profitable for permanent counter"/>
    <n v="0"/>
    <m/>
    <m/>
    <m/>
    <s v="Aug-24"/>
    <n v="32"/>
    <s v="2024"/>
  </r>
  <r>
    <d v="2024-08-05T00:00:00"/>
    <s v="Delivery at Gaddinaram"/>
    <s v="Call"/>
    <s v="Events"/>
    <x v="10"/>
    <s v="Natraj"/>
    <s v="Delivery at Gaddiannaram on 4 August 2024"/>
    <n v="10000"/>
    <n v="10000"/>
    <x v="9"/>
    <x v="0"/>
    <x v="1"/>
    <s v="Closed"/>
    <m/>
    <n v="0"/>
    <m/>
    <m/>
    <m/>
    <s v="Aug-24"/>
    <n v="32"/>
    <s v="2024"/>
  </r>
  <r>
    <d v="2024-08-05T00:00:00"/>
    <s v="Masterminds School"/>
    <s v="F2F"/>
    <s v="School"/>
    <x v="4"/>
    <s v="Madhava"/>
    <s v="Introduction to bulk orders"/>
    <n v="28000"/>
    <n v="0"/>
    <x v="2"/>
    <x v="0"/>
    <x v="0"/>
    <s v="Cancelled"/>
    <s v="No requirement"/>
    <n v="0"/>
    <m/>
    <m/>
    <m/>
    <s v="Aug-24"/>
    <n v="32"/>
    <s v="2023"/>
  </r>
  <r>
    <d v="2024-08-05T00:00:00"/>
    <s v="Sankalp JR College"/>
    <s v="F2F"/>
    <s v="College"/>
    <x v="4"/>
    <s v="Madhukar"/>
    <s v="Introduction to bulk orders"/>
    <n v="30000"/>
    <n v="0"/>
    <x v="12"/>
    <x v="0"/>
    <x v="0"/>
    <s v="Cancelled"/>
    <m/>
    <n v="0"/>
    <m/>
    <m/>
    <m/>
    <s v="Aug-24"/>
    <n v="32"/>
    <s v="2024"/>
  </r>
  <r>
    <d v="2024-08-06T00:00:00"/>
    <s v="Take away from BHEL"/>
    <s v="Call"/>
    <s v="Events"/>
    <x v="10"/>
    <s v="Raghuveer"/>
    <s v="Take away of VB on 7 August 2024"/>
    <n v="8000"/>
    <n v="8000"/>
    <x v="9"/>
    <x v="0"/>
    <x v="1"/>
    <s v="Closed"/>
    <m/>
    <n v="0"/>
    <m/>
    <m/>
    <m/>
    <s v="Aug-24"/>
    <n v="32"/>
    <s v="2024"/>
  </r>
  <r>
    <d v="2024-08-06T00:00:00"/>
    <s v="Buffet Lunch ODC at Madhapur"/>
    <s v="F2F"/>
    <s v="Events"/>
    <x v="10"/>
    <s v="Hrishi"/>
    <s v="ODC at Madhapur on 12 October 2024"/>
    <n v="0"/>
    <n v="0"/>
    <x v="8"/>
    <x v="0"/>
    <x v="1"/>
    <s v="Closed"/>
    <m/>
    <n v="0"/>
    <m/>
    <m/>
    <m/>
    <s v="Aug-24"/>
    <n v="32"/>
    <s v="2024"/>
  </r>
  <r>
    <d v="2024-08-06T00:00:00"/>
    <s v="Alliance Pro IT"/>
    <s v="F2F"/>
    <s v="Corporate"/>
    <x v="0"/>
    <s v="Anchal"/>
    <s v="Introduction to Food delivery"/>
    <n v="25000"/>
    <n v="0"/>
    <x v="12"/>
    <x v="0"/>
    <x v="0"/>
    <s v="Cancelled"/>
    <m/>
    <n v="0"/>
    <m/>
    <m/>
    <m/>
    <s v="Aug-24"/>
    <n v="32"/>
    <s v="2024"/>
  </r>
  <r>
    <d v="2024-08-06T00:00:00"/>
    <s v="Wells Fargo"/>
    <s v="Call"/>
    <s v="Corporate"/>
    <x v="21"/>
    <s v="Ashutosh Goyal"/>
    <s v="Introduction to bulk food delivery"/>
    <n v="30000"/>
    <n v="0"/>
    <x v="12"/>
    <x v="0"/>
    <x v="0"/>
    <s v="Cancelled"/>
    <m/>
    <n v="0"/>
    <m/>
    <m/>
    <m/>
    <s v="Aug-24"/>
    <n v="32"/>
    <s v="2024"/>
  </r>
  <r>
    <d v="2024-08-06T00:00:00"/>
    <s v="Deloitte"/>
    <s v="Call"/>
    <s v="Corporate"/>
    <x v="0"/>
    <s v="Abhishek"/>
    <s v="Introduction to bulk orders"/>
    <n v="20000"/>
    <n v="0"/>
    <x v="12"/>
    <x v="0"/>
    <x v="0"/>
    <s v="Cancelled"/>
    <m/>
    <n v="0"/>
    <m/>
    <m/>
    <m/>
    <s v="Aug-24"/>
    <n v="32"/>
    <s v="2024"/>
  </r>
  <r>
    <d v="2024-08-07T00:00:00"/>
    <s v="Paradise Manikonda"/>
    <s v="F2F"/>
    <s v="Corporate"/>
    <x v="4"/>
    <s v="Bhavya"/>
    <s v="Deiscuuion with MD of Mount opera for supply of Biryani"/>
    <n v="0"/>
    <n v="0"/>
    <x v="11"/>
    <x v="0"/>
    <x v="0"/>
    <s v="Cancelled"/>
    <s v="No response from client "/>
    <n v="0"/>
    <m/>
    <m/>
    <m/>
    <s v="Aug-24"/>
    <n v="32"/>
    <s v="2024"/>
  </r>
  <r>
    <d v="2024-08-07T00:00:00"/>
    <s v="CR Fabric"/>
    <s v="F2F"/>
    <s v="Corporate"/>
    <x v="19"/>
    <s v="Raj"/>
    <s v="Discussion of delivery and take away"/>
    <n v="20000"/>
    <n v="0"/>
    <x v="12"/>
    <x v="0"/>
    <x v="0"/>
    <s v="Cancelled"/>
    <m/>
    <n v="0"/>
    <m/>
    <m/>
    <m/>
    <s v="Aug-24"/>
    <n v="32"/>
    <s v="2024"/>
  </r>
  <r>
    <d v="2024-08-07T00:00:00"/>
    <s v="CA Academy Nanded"/>
    <s v="Call"/>
    <s v="College"/>
    <x v="4"/>
    <s v="Dinesh"/>
    <s v="Shared details of dine in and delivery for travellers"/>
    <n v="25000"/>
    <n v="0"/>
    <x v="12"/>
    <x v="0"/>
    <x v="0"/>
    <s v="Cancelled"/>
    <m/>
    <n v="0"/>
    <m/>
    <m/>
    <m/>
    <s v="Aug-24"/>
    <n v="32"/>
    <s v="2024"/>
  </r>
  <r>
    <d v="2024-08-07T00:00:00"/>
    <s v="Aurobindo Prarma"/>
    <s v="F2F"/>
    <s v="Corporate"/>
    <x v="5"/>
    <s v="Bapiraju"/>
    <s v="Follow up for bulk orders"/>
    <n v="50000"/>
    <n v="0"/>
    <x v="12"/>
    <x v="0"/>
    <x v="0"/>
    <s v="Cancelled"/>
    <m/>
    <n v="0"/>
    <m/>
    <m/>
    <m/>
    <s v="Aug-24"/>
    <n v="32"/>
    <s v="2024"/>
  </r>
  <r>
    <d v="2024-08-07T00:00:00"/>
    <s v="Word and Deed School"/>
    <s v="Call"/>
    <s v="School"/>
    <x v="4"/>
    <s v="Venkat Ramana"/>
    <s v="Introduction to bulk food delivery"/>
    <n v="18000"/>
    <n v="0"/>
    <x v="12"/>
    <x v="0"/>
    <x v="0"/>
    <s v="Cancelled"/>
    <m/>
    <n v="0"/>
    <m/>
    <m/>
    <m/>
    <s v="Aug-24"/>
    <n v="32"/>
    <s v="2024"/>
  </r>
  <r>
    <d v="2024-08-07T00:00:00"/>
    <s v="Delivery at Compass Group Bangalore"/>
    <s v="Call"/>
    <s v="Corporate"/>
    <x v="17"/>
    <s v="Pankaj"/>
    <s v="Delivery of Special CB &amp; MB Handi on 7 August 2024"/>
    <n v="41560"/>
    <n v="41560"/>
    <x v="9"/>
    <x v="1"/>
    <x v="1"/>
    <s v="Closed"/>
    <m/>
    <n v="0"/>
    <m/>
    <m/>
    <m/>
    <s v="Aug-24"/>
    <n v="32"/>
    <s v="2024"/>
  </r>
  <r>
    <d v="2024-08-08T00:00:00"/>
    <s v="NMRIT College Ghatkesar"/>
    <s v="F2F"/>
    <s v="College"/>
    <x v="4"/>
    <s v="Sneha"/>
    <s v="Discussion for food supply in student fest"/>
    <n v="60000"/>
    <n v="0"/>
    <x v="12"/>
    <x v="0"/>
    <x v="0"/>
    <s v="Cancelled"/>
    <m/>
    <n v="0"/>
    <m/>
    <m/>
    <m/>
    <s v="Aug-24"/>
    <n v="32"/>
    <s v="2024"/>
  </r>
  <r>
    <d v="2024-08-08T00:00:00"/>
    <s v="Radha Krishna Toyota"/>
    <s v="F2F"/>
    <s v="Corporate"/>
    <x v="9"/>
    <s v="Naresh"/>
    <s v="Follow up for bulk orders"/>
    <n v="30000"/>
    <n v="0"/>
    <x v="12"/>
    <x v="0"/>
    <x v="0"/>
    <s v="Cancelled"/>
    <m/>
    <n v="0"/>
    <m/>
    <m/>
    <m/>
    <s v="Aug-24"/>
    <n v="32"/>
    <s v="2024"/>
  </r>
  <r>
    <d v="2024-08-08T00:00:00"/>
    <s v="Aurora Engg College"/>
    <s v="F2F"/>
    <s v="College"/>
    <x v="4"/>
    <s v="Balakrishna"/>
    <s v="Introduction to bulk delivery"/>
    <n v="40000"/>
    <n v="0"/>
    <x v="12"/>
    <x v="0"/>
    <x v="0"/>
    <s v="Cancelled"/>
    <m/>
    <n v="0"/>
    <m/>
    <m/>
    <m/>
    <s v="Aug-24"/>
    <n v="32"/>
    <s v="2024"/>
  </r>
  <r>
    <d v="2024-08-08T00:00:00"/>
    <s v="Infosys Campus Pocharam"/>
    <s v="F2F"/>
    <s v="Corporate"/>
    <x v="0"/>
    <s v="Prasad"/>
    <s v="Follow up for bulk orders"/>
    <n v="0"/>
    <n v="0"/>
    <x v="15"/>
    <x v="0"/>
    <x v="1"/>
    <s v="Closed"/>
    <m/>
    <n v="0"/>
    <m/>
    <m/>
    <m/>
    <s v="Aug-24"/>
    <n v="32"/>
    <s v="2025"/>
  </r>
  <r>
    <d v="2024-08-09T00:00:00"/>
    <s v="Qualcomm"/>
    <s v="F2F"/>
    <s v="Corporate"/>
    <x v="0"/>
    <s v="Abhay"/>
    <s v="Introduction to bulk delivery"/>
    <n v="30000"/>
    <n v="0"/>
    <x v="12"/>
    <x v="0"/>
    <x v="0"/>
    <s v="Cancelled"/>
    <m/>
    <n v="0"/>
    <m/>
    <m/>
    <m/>
    <s v="Aug-24"/>
    <n v="32"/>
    <s v="2024"/>
  </r>
  <r>
    <d v="2024-08-09T00:00:00"/>
    <s v="Zenoti"/>
    <s v="F2F"/>
    <s v="Corporate"/>
    <x v="0"/>
    <s v="Abhishek"/>
    <s v="Follow up for bulk orders"/>
    <n v="12000"/>
    <n v="0"/>
    <x v="2"/>
    <x v="0"/>
    <x v="0"/>
    <s v="Cancelled"/>
    <s v="No requirement"/>
    <n v="0"/>
    <m/>
    <m/>
    <m/>
    <s v="Aug-24"/>
    <n v="32"/>
    <s v="2023"/>
  </r>
  <r>
    <d v="2024-08-09T00:00:00"/>
    <s v="Synergies"/>
    <s v="F2F"/>
    <s v="Corporate"/>
    <x v="0"/>
    <s v="Jami"/>
    <s v="Introduction to bulk delivery"/>
    <n v="15000"/>
    <n v="0"/>
    <x v="2"/>
    <x v="0"/>
    <x v="0"/>
    <s v="Cancelled"/>
    <s v="No requirement"/>
    <n v="0"/>
    <m/>
    <m/>
    <m/>
    <s v="Aug-24"/>
    <n v="32"/>
    <s v="2023"/>
  </r>
  <r>
    <d v="2024-08-09T00:00:00"/>
    <s v="UHG"/>
    <s v="F2F"/>
    <s v="Corporate"/>
    <x v="0"/>
    <s v="Aadi"/>
    <s v="Introduction to team lunch"/>
    <n v="20000"/>
    <n v="0"/>
    <x v="2"/>
    <x v="0"/>
    <x v="0"/>
    <s v="Cancelled"/>
    <s v="No requirement"/>
    <n v="0"/>
    <m/>
    <m/>
    <m/>
    <s v="Aug-24"/>
    <n v="32"/>
    <s v="2023"/>
  </r>
  <r>
    <d v="2024-08-12T00:00:00"/>
    <s v="Platos"/>
    <s v="F2F"/>
    <s v="Corporate"/>
    <x v="17"/>
    <s v="Hyder"/>
    <s v="Shared quote for 20 CB Handi in September"/>
    <n v="160000"/>
    <n v="0"/>
    <x v="12"/>
    <x v="0"/>
    <x v="0"/>
    <s v="Cancelled"/>
    <m/>
    <n v="0"/>
    <m/>
    <m/>
    <m/>
    <s v="Aug-24"/>
    <n v="33"/>
    <s v="2024"/>
  </r>
  <r>
    <d v="2024-08-12T00:00:00"/>
    <s v="Fuddo"/>
    <s v="Call"/>
    <s v="Corporate"/>
    <x v="17"/>
    <s v="Gaurav"/>
    <s v="Discussion on onboarding resturants on Fuddo"/>
    <n v="100000"/>
    <n v="0"/>
    <x v="11"/>
    <x v="0"/>
    <x v="0"/>
    <s v="Cancelled"/>
    <s v="Delivery not yet started"/>
    <n v="0"/>
    <m/>
    <m/>
    <m/>
    <s v="Aug-24"/>
    <n v="33"/>
    <s v="2024"/>
  </r>
  <r>
    <d v="2024-08-12T00:00:00"/>
    <s v="Kaushik Enterprise"/>
    <s v="F2F"/>
    <s v="Corporate"/>
    <x v="17"/>
    <s v="Suresh"/>
    <s v="Shared details of Bakery and Gifting items"/>
    <n v="50000"/>
    <n v="0"/>
    <x v="12"/>
    <x v="0"/>
    <x v="0"/>
    <s v="Cancelled"/>
    <m/>
    <n v="0"/>
    <m/>
    <m/>
    <m/>
    <s v="Aug-24"/>
    <n v="33"/>
    <s v="2024"/>
  </r>
  <r>
    <d v="2024-08-12T00:00:00"/>
    <s v="Akruthi School"/>
    <s v="F2F"/>
    <s v="School"/>
    <x v="4"/>
    <s v="Abbas"/>
    <s v="Follow up for bulk orders"/>
    <n v="20000"/>
    <n v="0"/>
    <x v="2"/>
    <x v="0"/>
    <x v="0"/>
    <s v="Cancelled"/>
    <s v="No requirement"/>
    <n v="0"/>
    <m/>
    <m/>
    <m/>
    <s v="Aug-24"/>
    <n v="33"/>
    <s v="2023"/>
  </r>
  <r>
    <d v="2024-08-13T00:00:00"/>
    <s v="Royal Enfield"/>
    <s v="F2F"/>
    <s v="Corporate"/>
    <x v="9"/>
    <s v="Srikanth"/>
    <s v="Dollow up for Bulk order"/>
    <n v="12000"/>
    <n v="0"/>
    <x v="12"/>
    <x v="0"/>
    <x v="0"/>
    <s v="Cancelled"/>
    <m/>
    <n v="0"/>
    <m/>
    <m/>
    <m/>
    <s v="Aug-24"/>
    <n v="33"/>
    <s v="2024"/>
  </r>
  <r>
    <d v="2024-08-13T00:00:00"/>
    <s v="Lancesoft"/>
    <s v="F2F"/>
    <s v="Corporate"/>
    <x v="0"/>
    <s v="Suresh"/>
    <s v="110 Pax dinner on 30 August 2024"/>
    <n v="20955"/>
    <n v="20955"/>
    <x v="9"/>
    <x v="0"/>
    <x v="1"/>
    <s v="Closed"/>
    <m/>
    <n v="0"/>
    <m/>
    <m/>
    <m/>
    <s v="Aug-24"/>
    <n v="33"/>
    <s v="2024"/>
  </r>
  <r>
    <d v="2024-08-13T00:00:00"/>
    <s v="Delivery at Kapra"/>
    <s v="F2F"/>
    <s v="Corporate"/>
    <x v="19"/>
    <s v="Karan"/>
    <s v="Delivery of CB on 14 August 2024"/>
    <n v="8000"/>
    <n v="8000"/>
    <x v="9"/>
    <x v="0"/>
    <x v="1"/>
    <s v="Closed"/>
    <m/>
    <n v="0"/>
    <m/>
    <m/>
    <m/>
    <s v="Aug-24"/>
    <n v="33"/>
    <s v="2024"/>
  </r>
  <r>
    <d v="2024-08-13T00:00:00"/>
    <s v="Kamineni Hospitals"/>
    <s v="F2F"/>
    <s v="Corporate"/>
    <x v="13"/>
    <s v="Priyabatra"/>
    <s v="Delivery of MB and KKM on 14 August 2024"/>
    <n v="17000"/>
    <n v="17000"/>
    <x v="9"/>
    <x v="0"/>
    <x v="1"/>
    <s v="Closed"/>
    <m/>
    <n v="0"/>
    <m/>
    <m/>
    <m/>
    <s v="Aug-24"/>
    <n v="33"/>
    <s v="2024"/>
  </r>
  <r>
    <d v="2024-08-13T00:00:00"/>
    <s v="Heavels India"/>
    <s v="F2F"/>
    <s v="Corporate"/>
    <x v="19"/>
    <s v="Gabbar"/>
    <s v="Introduction to bulk ordwer"/>
    <n v="20000"/>
    <n v="0"/>
    <x v="8"/>
    <x v="0"/>
    <x v="0"/>
    <s v="Cancelled"/>
    <s v="No requirement"/>
    <n v="0"/>
    <m/>
    <m/>
    <m/>
    <s v="Aug-24"/>
    <n v="33"/>
    <s v="2024"/>
  </r>
  <r>
    <d v="2024-08-14T00:00:00"/>
    <s v="Delivery at Compass Group Bangalore"/>
    <s v="Call"/>
    <s v="Corporate"/>
    <x v="17"/>
    <s v="Pankaj"/>
    <s v="Delivery of Special CB &amp; MB Handi on 14 August 2024"/>
    <n v="43500"/>
    <n v="43500"/>
    <x v="9"/>
    <x v="1"/>
    <x v="1"/>
    <s v="Closed"/>
    <m/>
    <n v="0"/>
    <m/>
    <m/>
    <m/>
    <s v="Aug-24"/>
    <n v="33"/>
    <s v="2024"/>
  </r>
  <r>
    <d v="2024-08-14T00:00:00"/>
    <s v="Capgemini"/>
    <s v="F2F"/>
    <s v="Corporate"/>
    <x v="0"/>
    <s v="Bhargav"/>
    <s v="Introduction to Team lunch and dilivery"/>
    <n v="25000"/>
    <n v="0"/>
    <x v="12"/>
    <x v="0"/>
    <x v="0"/>
    <s v="Cancelled"/>
    <m/>
    <n v="0"/>
    <m/>
    <m/>
    <m/>
    <s v="Aug-24"/>
    <n v="33"/>
    <s v="2024"/>
  </r>
  <r>
    <d v="2024-08-14T00:00:00"/>
    <s v="Franklin Templeton"/>
    <s v="F2F"/>
    <s v="Corporate"/>
    <x v="21"/>
    <s v="Anil"/>
    <s v="Follow up for bulk orders"/>
    <n v="20000"/>
    <n v="0"/>
    <x v="12"/>
    <x v="0"/>
    <x v="0"/>
    <s v="Cancelled"/>
    <m/>
    <n v="0"/>
    <m/>
    <m/>
    <m/>
    <s v="Aug-24"/>
    <n v="33"/>
    <s v="2024"/>
  </r>
  <r>
    <d v="2024-08-14T00:00:00"/>
    <s v="Gurudutta Travels"/>
    <s v="F2F"/>
    <s v="Corporate"/>
    <x v="1"/>
    <s v="Gopal"/>
    <s v="Shared proposal for dine in for tourist"/>
    <n v="60000"/>
    <n v="0"/>
    <x v="12"/>
    <x v="0"/>
    <x v="0"/>
    <s v="Cancelled"/>
    <s v="No requoirement"/>
    <n v="0"/>
    <m/>
    <m/>
    <m/>
    <s v="Aug-24"/>
    <n v="33"/>
    <s v="2024"/>
  </r>
  <r>
    <d v="2024-08-14T00:00:00"/>
    <s v="Titan"/>
    <s v="F2F"/>
    <s v="Corporate"/>
    <x v="19"/>
    <s v="Biju"/>
    <s v="Shared details of Gifting for dealers"/>
    <n v="50000"/>
    <n v="0"/>
    <x v="12"/>
    <x v="0"/>
    <x v="0"/>
    <s v="Cancelled"/>
    <m/>
    <n v="0"/>
    <m/>
    <m/>
    <m/>
    <s v="Aug-24"/>
    <n v="33"/>
    <s v="2024"/>
  </r>
  <r>
    <d v="2024-08-17T00:00:00"/>
    <s v="ODC at Bharatnagar"/>
    <s v="Call"/>
    <s v="Events"/>
    <x v="10"/>
    <s v="Vijay Kumar"/>
    <s v="CB and MB in August"/>
    <n v="50000"/>
    <n v="0"/>
    <x v="8"/>
    <x v="0"/>
    <x v="0"/>
    <s v="Cancelled"/>
    <m/>
    <n v="0"/>
    <m/>
    <m/>
    <m/>
    <s v="Aug-24"/>
    <n v="33"/>
    <s v="2024"/>
  </r>
  <r>
    <d v="2024-08-19T00:00:00"/>
    <s v="Care Hospital Malakpet"/>
    <s v="F2F"/>
    <s v="Corporate"/>
    <x v="13"/>
    <s v="Kirmani"/>
    <s v="Delivery of CB and VB on 21 August"/>
    <n v="10000"/>
    <n v="10000"/>
    <x v="9"/>
    <x v="0"/>
    <x v="1"/>
    <s v="Closed"/>
    <m/>
    <n v="0"/>
    <m/>
    <m/>
    <m/>
    <s v="Aug-24"/>
    <n v="34"/>
    <s v="2024"/>
  </r>
  <r>
    <d v="2024-08-19T00:00:00"/>
    <s v="Marino Foods"/>
    <s v="F2F"/>
    <s v="Corporate"/>
    <x v="17"/>
    <s v="Abhishek"/>
    <s v="Introduction to Bulk Orders"/>
    <n v="20000"/>
    <n v="0"/>
    <x v="12"/>
    <x v="0"/>
    <x v="0"/>
    <s v="Cancelled"/>
    <m/>
    <n v="0"/>
    <m/>
    <m/>
    <m/>
    <s v="Aug-24"/>
    <n v="34"/>
    <s v="2024"/>
  </r>
  <r>
    <d v="2024-08-19T00:00:00"/>
    <s v="Masterminds School"/>
    <s v="F2F"/>
    <s v="School"/>
    <x v="4"/>
    <s v="Adarsh Reddy"/>
    <s v="Introduction for bulk orders"/>
    <n v="22000"/>
    <n v="0"/>
    <x v="12"/>
    <x v="0"/>
    <x v="0"/>
    <s v="Cancelled"/>
    <m/>
    <n v="0"/>
    <m/>
    <m/>
    <m/>
    <s v="Aug-24"/>
    <n v="34"/>
    <s v="2024"/>
  </r>
  <r>
    <d v="2024-08-19T00:00:00"/>
    <s v="Birlasoft"/>
    <s v="F2F"/>
    <s v="Corporate"/>
    <x v="0"/>
    <s v="Adinarayan"/>
    <s v="Introduction to bulk order"/>
    <n v="20000"/>
    <n v="0"/>
    <x v="12"/>
    <x v="0"/>
    <x v="0"/>
    <s v="Cancelled"/>
    <m/>
    <n v="0"/>
    <m/>
    <m/>
    <m/>
    <s v="Aug-24"/>
    <n v="34"/>
    <s v="2024"/>
  </r>
  <r>
    <d v="2024-08-19T00:00:00"/>
    <s v="KPMG"/>
    <s v="F2F"/>
    <s v="Corporate"/>
    <x v="0"/>
    <s v="Aditya"/>
    <s v="Introduction to bulk order"/>
    <n v="25000"/>
    <n v="0"/>
    <x v="12"/>
    <x v="0"/>
    <x v="0"/>
    <s v="Cancelled"/>
    <m/>
    <n v="0"/>
    <m/>
    <m/>
    <m/>
    <s v="Aug-24"/>
    <n v="34"/>
    <s v="2024"/>
  </r>
  <r>
    <d v="2024-08-20T00:00:00"/>
    <s v="Vardhaman Engg College"/>
    <s v="Call"/>
    <s v="College"/>
    <x v="4"/>
    <s v="Rahul"/>
    <s v="Planning ODC on 23 August , E Summit Event"/>
    <n v="50000"/>
    <n v="0"/>
    <x v="9"/>
    <x v="0"/>
    <x v="0"/>
    <s v="Cancelled"/>
    <s v="Cancelled due to less crowd"/>
    <n v="0"/>
    <m/>
    <m/>
    <m/>
    <s v="Aug-24"/>
    <n v="34"/>
    <s v="2024"/>
  </r>
  <r>
    <d v="2024-08-20T00:00:00"/>
    <s v="Bangia Durga pooja , Gachibowli"/>
    <s v="F2F"/>
    <s v="Corporate"/>
    <x v="3"/>
    <s v="Tarun"/>
    <s v="ODC Event in Durga Pooja"/>
    <n v="0"/>
    <n v="0"/>
    <x v="8"/>
    <x v="0"/>
    <x v="1"/>
    <s v="Closed"/>
    <m/>
    <n v="0"/>
    <m/>
    <m/>
    <m/>
    <s v="Aug-24"/>
    <n v="34"/>
    <s v="2024"/>
  </r>
  <r>
    <d v="2024-08-20T00:00:00"/>
    <s v="Socio Cultural Association"/>
    <s v="Call"/>
    <s v="Corporate"/>
    <x v="3"/>
    <s v="Somick"/>
    <s v="ODC Event in Durga Pooja"/>
    <n v="250000"/>
    <n v="0"/>
    <x v="8"/>
    <x v="0"/>
    <x v="0"/>
    <s v="Cancelled"/>
    <s v="Not Profitable"/>
    <n v="0"/>
    <m/>
    <m/>
    <m/>
    <s v="Aug-24"/>
    <n v="34"/>
    <s v="2024"/>
  </r>
  <r>
    <d v="2024-08-20T00:00:00"/>
    <s v="BDO Rise Pvt LTD"/>
    <s v="F2F"/>
    <s v="Corporate"/>
    <x v="21"/>
    <s v="Vishal Jain"/>
    <s v="Introduction to team lunch and bulk delivery"/>
    <n v="30000"/>
    <n v="0"/>
    <x v="12"/>
    <x v="0"/>
    <x v="0"/>
    <s v="Cancelled"/>
    <m/>
    <n v="0"/>
    <m/>
    <m/>
    <m/>
    <s v="Aug-24"/>
    <n v="34"/>
    <s v="2024"/>
  </r>
  <r>
    <d v="2024-08-20T00:00:00"/>
    <s v="Infosys Campus Pocharam"/>
    <s v="Call"/>
    <s v="Corporate"/>
    <x v="0"/>
    <s v="Upanna"/>
    <s v="Take away of CM on 21 August 2024"/>
    <n v="7000"/>
    <n v="7000"/>
    <x v="9"/>
    <x v="0"/>
    <x v="1"/>
    <s v="Closed"/>
    <m/>
    <n v="0"/>
    <m/>
    <m/>
    <m/>
    <s v="Aug-24"/>
    <n v="34"/>
    <s v="2024"/>
  </r>
  <r>
    <d v="2024-08-21T00:00:00"/>
    <s v="Vardhaman Engg College, Shamshabad"/>
    <s v="F2F"/>
    <s v="College"/>
    <x v="4"/>
    <s v="Aron"/>
    <s v="Planning ODC on 23 August , E Summit Eventy"/>
    <n v="50000"/>
    <n v="0"/>
    <x v="9"/>
    <x v="0"/>
    <x v="0"/>
    <s v="Cancelled"/>
    <s v="Event was not profitable due to less crowd"/>
    <n v="0"/>
    <m/>
    <m/>
    <m/>
    <s v="Aug-24"/>
    <n v="34"/>
    <s v="2024"/>
  </r>
  <r>
    <d v="2024-08-21T00:00:00"/>
    <s v="Lancesoft"/>
    <s v="F2F"/>
    <s v="Corporate"/>
    <x v="0"/>
    <s v="Seshu"/>
    <s v="Planning for 70 pax team lunch in August"/>
    <n v="22000"/>
    <n v="22000"/>
    <x v="9"/>
    <x v="0"/>
    <x v="1"/>
    <s v="Closed"/>
    <m/>
    <n v="0"/>
    <m/>
    <m/>
    <m/>
    <s v="Aug-24"/>
    <n v="34"/>
    <s v="2024"/>
  </r>
  <r>
    <d v="2024-08-21T00:00:00"/>
    <s v="MIT Hyderabad"/>
    <s v="F2F"/>
    <s v="College"/>
    <x v="4"/>
    <s v="Rahul"/>
    <s v="Planning for fest in August"/>
    <n v="40000"/>
    <n v="0"/>
    <x v="11"/>
    <x v="0"/>
    <x v="0"/>
    <s v="Cancelled"/>
    <s v="Less Participants"/>
    <n v="0"/>
    <m/>
    <m/>
    <m/>
    <s v="Aug-24"/>
    <n v="34"/>
    <s v="2024"/>
  </r>
  <r>
    <d v="2024-08-21T00:00:00"/>
    <s v="Johnson Grammer School"/>
    <s v="F2F"/>
    <s v="School"/>
    <x v="4"/>
    <s v="Pradeep"/>
    <s v="Shared details regarding bulk supply of foods"/>
    <n v="18000"/>
    <n v="0"/>
    <x v="12"/>
    <x v="0"/>
    <x v="0"/>
    <s v="Cancelled"/>
    <m/>
    <n v="0"/>
    <m/>
    <m/>
    <m/>
    <s v="Aug-24"/>
    <n v="34"/>
    <s v="2024"/>
  </r>
  <r>
    <d v="2024-08-21T00:00:00"/>
    <s v="Citizen Cooperative Society "/>
    <s v="F2F"/>
    <s v="Corporate"/>
    <x v="21"/>
    <s v="Babita"/>
    <s v="Follow up for bulk orders"/>
    <n v="25000"/>
    <n v="0"/>
    <x v="12"/>
    <x v="0"/>
    <x v="0"/>
    <s v="Cancelled"/>
    <m/>
    <n v="0"/>
    <m/>
    <m/>
    <m/>
    <s v="Aug-24"/>
    <n v="34"/>
    <s v="2024"/>
  </r>
  <r>
    <d v="2024-08-21T00:00:00"/>
    <s v="Delivery at Compass Group Bangalore"/>
    <s v="Call"/>
    <s v="Corporate"/>
    <x v="17"/>
    <s v="Pankaj"/>
    <s v="Delivery of Special CB &amp; MB Handi on 21 August 2024"/>
    <n v="43500"/>
    <n v="43500"/>
    <x v="9"/>
    <x v="1"/>
    <x v="1"/>
    <s v="Closed"/>
    <m/>
    <n v="0"/>
    <m/>
    <m/>
    <m/>
    <s v="Aug-24"/>
    <n v="34"/>
    <s v="2024"/>
  </r>
  <r>
    <d v="2024-08-22T00:00:00"/>
    <s v="Take away from Secundrabad"/>
    <s v="Call"/>
    <s v="Events"/>
    <x v="10"/>
    <s v="Kruthik"/>
    <s v="Take away of MB and starters on 22 August 2024"/>
    <n v="12000"/>
    <n v="12000"/>
    <x v="9"/>
    <x v="0"/>
    <x v="1"/>
    <s v="Closed"/>
    <m/>
    <n v="0"/>
    <m/>
    <m/>
    <m/>
    <s v="Aug-24"/>
    <n v="34"/>
    <s v="2024"/>
  </r>
  <r>
    <d v="2024-08-22T00:00:00"/>
    <s v="Narayana Academy"/>
    <s v="F2F"/>
    <s v="College"/>
    <x v="4"/>
    <s v="Yadagiri"/>
    <s v="Follow up for bulk orders"/>
    <n v="18000"/>
    <n v="0"/>
    <x v="12"/>
    <x v="0"/>
    <x v="0"/>
    <s v="Cancelled"/>
    <m/>
    <n v="0"/>
    <m/>
    <m/>
    <m/>
    <s v="Aug-24"/>
    <n v="34"/>
    <s v="2024"/>
  </r>
  <r>
    <d v="2002-08-22T00:00:00"/>
    <s v="Wud Lam Gallery"/>
    <s v="F2F"/>
    <s v="Corporate"/>
    <x v="19"/>
    <s v="Laxman"/>
    <s v="Introduction for gifting"/>
    <n v="200000"/>
    <n v="0"/>
    <x v="12"/>
    <x v="0"/>
    <x v="0"/>
    <s v="Cancelled"/>
    <m/>
    <n v="0"/>
    <m/>
    <m/>
    <m/>
    <s v="Aug-02"/>
    <n v="34"/>
    <s v="2024"/>
  </r>
  <r>
    <d v="2024-08-22T00:00:00"/>
    <s v="Wison Infotech"/>
    <s v="F2F"/>
    <s v="Corporate"/>
    <x v="0"/>
    <s v="Arvind"/>
    <s v="Introduction to bulk delivery"/>
    <n v="15000"/>
    <n v="0"/>
    <x v="12"/>
    <x v="0"/>
    <x v="0"/>
    <s v="Cancelled"/>
    <m/>
    <n v="0"/>
    <m/>
    <m/>
    <m/>
    <s v="Aug-24"/>
    <n v="34"/>
    <s v="2024"/>
  </r>
  <r>
    <d v="2024-08-22T00:00:00"/>
    <s v="Deloitte"/>
    <s v="F2F"/>
    <s v="Corporate"/>
    <x v="0"/>
    <s v="Wasim"/>
    <s v="Introduction to team lunch"/>
    <n v="25000"/>
    <n v="0"/>
    <x v="12"/>
    <x v="0"/>
    <x v="0"/>
    <s v="Cancelled"/>
    <m/>
    <n v="0"/>
    <m/>
    <m/>
    <m/>
    <s v="Aug-24"/>
    <n v="34"/>
    <s v="2024"/>
  </r>
  <r>
    <d v="2024-08-23T00:00:00"/>
    <s v="Friends Jim"/>
    <s v="F2F"/>
    <s v="Corporate"/>
    <x v="13"/>
    <s v="Kaleem"/>
    <s v="Shared quote for CB on 25 August 2024"/>
    <n v="8000"/>
    <n v="8000"/>
    <x v="9"/>
    <x v="0"/>
    <x v="1"/>
    <s v="Closed"/>
    <m/>
    <n v="0"/>
    <m/>
    <m/>
    <m/>
    <s v="Aug-24"/>
    <n v="34"/>
    <s v="2024"/>
  </r>
  <r>
    <d v="2024-08-23T00:00:00"/>
    <s v="JPMC"/>
    <s v="Call"/>
    <s v="Corporate"/>
    <x v="21"/>
    <s v="Praveen"/>
    <s v="2700 people bulk delivery in september"/>
    <n v="600000"/>
    <n v="0"/>
    <x v="11"/>
    <x v="0"/>
    <x v="0"/>
    <s v="Cancelled"/>
    <s v="Unable to deliver in Mumbai"/>
    <n v="0"/>
    <m/>
    <m/>
    <m/>
    <s v="Aug-24"/>
    <n v="34"/>
    <s v="2024"/>
  </r>
  <r>
    <d v="2024-08-23T00:00:00"/>
    <s v="Bangia Durga pooja Association"/>
    <s v="F2F"/>
    <s v="Corporate"/>
    <x v="3"/>
    <s v="Jiban"/>
    <s v="discussion regarding food counters in durga pandal"/>
    <n v="0"/>
    <n v="0"/>
    <x v="8"/>
    <x v="0"/>
    <x v="1"/>
    <s v="Closed"/>
    <m/>
    <n v="0"/>
    <m/>
    <m/>
    <m/>
    <s v="Aug-24"/>
    <n v="34"/>
    <s v="2024"/>
  </r>
  <r>
    <d v="2024-08-23T00:00:00"/>
    <s v="Spectrum Biosides"/>
    <s v="F2F"/>
    <s v="Corporate"/>
    <x v="5"/>
    <s v="Jagdish"/>
    <s v="Introduction to gifting and bulk order"/>
    <n v="25000"/>
    <n v="0"/>
    <x v="12"/>
    <x v="0"/>
    <x v="0"/>
    <s v="Cancelled"/>
    <m/>
    <n v="0"/>
    <m/>
    <m/>
    <m/>
    <s v="Aug-24"/>
    <n v="34"/>
    <s v="2024"/>
  </r>
  <r>
    <d v="2024-08-23T00:00:00"/>
    <s v="MTAR"/>
    <s v="F2F"/>
    <s v="Corporate"/>
    <x v="7"/>
    <s v="Jagan"/>
    <s v="Introduction to bulk order"/>
    <n v="30000"/>
    <n v="0"/>
    <x v="12"/>
    <x v="0"/>
    <x v="0"/>
    <s v="Cancelled"/>
    <m/>
    <n v="0"/>
    <m/>
    <m/>
    <m/>
    <s v="Aug-24"/>
    <n v="34"/>
    <s v="2024"/>
  </r>
  <r>
    <d v="2024-08-26T00:00:00"/>
    <s v="MSN Labs"/>
    <s v="F2F"/>
    <s v="Corporate"/>
    <x v="5"/>
    <s v="Satya"/>
    <s v="Discussion about next PO to be raised for Nov"/>
    <n v="0"/>
    <n v="0"/>
    <x v="16"/>
    <x v="0"/>
    <x v="1"/>
    <s v="Closed"/>
    <m/>
    <n v="0"/>
    <m/>
    <m/>
    <m/>
    <s v="Aug-24"/>
    <n v="35"/>
    <s v="2024"/>
  </r>
  <r>
    <d v="2024-08-26T00:00:00"/>
    <s v="JPMC"/>
    <s v="Call"/>
    <s v="Corporate"/>
    <x v="21"/>
    <s v="Praveen"/>
    <s v="Discussion about 2700 biryani, followup"/>
    <n v="0"/>
    <n v="0"/>
    <x v="11"/>
    <x v="0"/>
    <x v="0"/>
    <s v="Cancelled"/>
    <m/>
    <n v="0"/>
    <m/>
    <m/>
    <m/>
    <s v="Aug-24"/>
    <n v="35"/>
    <s v="2024"/>
  </r>
  <r>
    <d v="2024-08-26T00:00:00"/>
    <s v="Take away from jublee hills"/>
    <s v="Call"/>
    <s v="Corporate"/>
    <x v="0"/>
    <s v="Sowmya"/>
    <s v="Take away of CB from jublee hills on 27 August 2024"/>
    <n v="12000"/>
    <n v="12000"/>
    <x v="9"/>
    <x v="0"/>
    <x v="1"/>
    <s v="Closed"/>
    <m/>
    <n v="0"/>
    <m/>
    <m/>
    <m/>
    <s v="Aug-24"/>
    <n v="35"/>
    <s v="2024"/>
  </r>
  <r>
    <d v="2024-08-26T00:00:00"/>
    <s v="Narayana Academy"/>
    <s v="Call"/>
    <s v="School"/>
    <x v="4"/>
    <s v="Yadagiri"/>
    <s v="Followup"/>
    <n v="20000"/>
    <n v="0"/>
    <x v="2"/>
    <x v="0"/>
    <x v="0"/>
    <s v="Cancelled"/>
    <s v="No requirement"/>
    <n v="0"/>
    <m/>
    <m/>
    <m/>
    <s v="Aug-24"/>
    <n v="35"/>
    <s v="2023"/>
  </r>
  <r>
    <d v="2024-08-26T00:00:00"/>
    <s v="Carmel School"/>
    <s v="Call"/>
    <s v="School"/>
    <x v="4"/>
    <s v="Wilson"/>
    <s v="Follow up fpr bulk order"/>
    <n v="15000"/>
    <n v="0"/>
    <x v="12"/>
    <x v="0"/>
    <x v="0"/>
    <s v="Cancelled"/>
    <m/>
    <n v="0"/>
    <m/>
    <m/>
    <m/>
    <s v="Aug-24"/>
    <n v="35"/>
    <s v="2024"/>
  </r>
  <r>
    <d v="2024-08-27T00:00:00"/>
    <s v="SrestaOrganics"/>
    <s v="F2F"/>
    <s v="Corporate"/>
    <x v="18"/>
    <s v="Rajshree"/>
    <s v="SN"/>
    <n v="30000"/>
    <n v="0"/>
    <x v="12"/>
    <x v="0"/>
    <x v="0"/>
    <s v="Cancelled"/>
    <m/>
    <n v="0"/>
    <m/>
    <m/>
    <m/>
    <s v="Aug-24"/>
    <n v="35"/>
    <s v="2024"/>
  </r>
  <r>
    <d v="2024-08-27T00:00:00"/>
    <s v="Prime Era"/>
    <s v="F2F"/>
    <s v="Corporate"/>
    <x v="0"/>
    <s v="Mohan"/>
    <s v="Shared details of team lunch and delivery"/>
    <n v="20000"/>
    <n v="0"/>
    <x v="8"/>
    <x v="0"/>
    <x v="0"/>
    <s v="Cancelled"/>
    <s v="No requirements as of now"/>
    <n v="0"/>
    <m/>
    <m/>
    <m/>
    <s v="Aug-24"/>
    <n v="35"/>
    <s v="2024"/>
  </r>
  <r>
    <d v="2024-08-27T00:00:00"/>
    <s v="Xponential AI"/>
    <s v="F2F"/>
    <s v="Corporate"/>
    <x v="0"/>
    <s v="Jasmin"/>
    <s v="Shared details of bulk orders and gifting"/>
    <n v="15000"/>
    <n v="0"/>
    <x v="12"/>
    <x v="0"/>
    <x v="0"/>
    <s v="Cancelled"/>
    <m/>
    <n v="0"/>
    <m/>
    <m/>
    <m/>
    <s v="Aug-24"/>
    <n v="35"/>
    <s v="2024"/>
  </r>
  <r>
    <d v="2024-08-27T00:00:00"/>
    <s v="Delivery at Ameerpet"/>
    <s v="Call"/>
    <s v="Corporate"/>
    <x v="0"/>
    <s v="Shiva"/>
    <s v="Delivery of VB Handi on 1 September 2024"/>
    <n v="8000"/>
    <n v="8000"/>
    <x v="11"/>
    <x v="0"/>
    <x v="1"/>
    <s v="Closed"/>
    <m/>
    <n v="0"/>
    <m/>
    <m/>
    <m/>
    <s v="Aug-24"/>
    <n v="35"/>
    <s v="2024"/>
  </r>
  <r>
    <d v="2024-08-27T00:00:00"/>
    <s v="Akrivaia"/>
    <s v="F2F"/>
    <s v="Corporate"/>
    <x v="0"/>
    <s v="Krishna "/>
    <s v="Shared details of team lunch and daily food"/>
    <n v="20000"/>
    <n v="0"/>
    <x v="12"/>
    <x v="0"/>
    <x v="0"/>
    <s v="Cancelled"/>
    <m/>
    <n v="0"/>
    <m/>
    <m/>
    <m/>
    <s v="Aug-24"/>
    <n v="35"/>
    <s v="2024"/>
  </r>
  <r>
    <d v="2024-08-28T00:00:00"/>
    <s v="Biological E Limited"/>
    <s v="F2F"/>
    <s v="Corporate"/>
    <x v="5"/>
    <s v="Naveen Kumar"/>
    <s v="Discussion about id card offer and Gifting"/>
    <n v="40000"/>
    <n v="0"/>
    <x v="8"/>
    <x v="0"/>
    <x v="0"/>
    <s v="Cancelled"/>
    <s v="No requirements"/>
    <n v="0"/>
    <m/>
    <m/>
    <m/>
    <s v="Aug-24"/>
    <n v="35"/>
    <s v="2024"/>
  </r>
  <r>
    <d v="2024-08-28T00:00:00"/>
    <s v="Hungerbox"/>
    <s v="F2F"/>
    <s v="Corporate"/>
    <x v="17"/>
    <s v="Santosh G"/>
    <s v="Shared details of ODC , Snacks &amp; Gifting"/>
    <n v="50000"/>
    <n v="0"/>
    <x v="12"/>
    <x v="0"/>
    <x v="0"/>
    <s v="Cancelled"/>
    <m/>
    <n v="0"/>
    <m/>
    <m/>
    <m/>
    <s v="Aug-24"/>
    <n v="35"/>
    <s v="2024"/>
  </r>
  <r>
    <d v="2024-08-28T00:00:00"/>
    <s v="Isthara "/>
    <s v="F2F"/>
    <s v="Corporate"/>
    <x v="17"/>
    <s v="Sumit"/>
    <s v="Shared details of Popup and events"/>
    <n v="40000"/>
    <n v="0"/>
    <x v="12"/>
    <x v="0"/>
    <x v="0"/>
    <s v="Cancelled"/>
    <m/>
    <n v="0"/>
    <m/>
    <m/>
    <m/>
    <s v="Aug-24"/>
    <n v="35"/>
    <s v="2024"/>
  </r>
  <r>
    <d v="2024-08-28T00:00:00"/>
    <s v="The Headquarters"/>
    <s v="F2F"/>
    <s v="Corporate"/>
    <x v="15"/>
    <s v="Yashvant"/>
    <s v="Shared details of Popup and daily lunch"/>
    <n v="30000"/>
    <n v="0"/>
    <x v="12"/>
    <x v="0"/>
    <x v="0"/>
    <s v="Cancelled"/>
    <m/>
    <n v="0"/>
    <m/>
    <m/>
    <m/>
    <s v="Aug-24"/>
    <n v="35"/>
    <s v="2024"/>
  </r>
  <r>
    <d v="2024-08-28T00:00:00"/>
    <s v="Delivery at Compass Group Bangalore"/>
    <s v="Call"/>
    <s v="Corporate"/>
    <x v="17"/>
    <s v="Pankaj"/>
    <s v="Delivery of Special CB &amp; MB Handi on 28 August 2024"/>
    <n v="43500"/>
    <n v="43500"/>
    <x v="9"/>
    <x v="1"/>
    <x v="1"/>
    <s v="Closed"/>
    <m/>
    <n v="0"/>
    <m/>
    <m/>
    <m/>
    <s v="Aug-24"/>
    <n v="35"/>
    <s v="2024"/>
  </r>
  <r>
    <d v="2024-08-29T00:00:00"/>
    <s v="Dine in at Secundrabad"/>
    <s v="F2F"/>
    <s v="Corporate"/>
    <x v="1"/>
    <s v="Madhu"/>
    <s v="Lunch Bethney School 104 students 30 August 2024"/>
    <n v="27300"/>
    <n v="27300"/>
    <x v="9"/>
    <x v="0"/>
    <x v="1"/>
    <s v="Closed"/>
    <m/>
    <n v="0"/>
    <m/>
    <m/>
    <m/>
    <s v="Aug-24"/>
    <n v="35"/>
    <s v="2024"/>
  </r>
  <r>
    <d v="2024-08-29T00:00:00"/>
    <s v="Hungerbox"/>
    <s v="Call"/>
    <s v="Corporate"/>
    <x v="17"/>
    <s v="Santosh"/>
    <s v="Shared quote for snacks "/>
    <n v="17000"/>
    <n v="0"/>
    <x v="12"/>
    <x v="0"/>
    <x v="0"/>
    <s v="Cancelled"/>
    <s v="No requirement"/>
    <n v="0"/>
    <m/>
    <m/>
    <m/>
    <s v="Aug-24"/>
    <n v="35"/>
    <s v="2024"/>
  </r>
  <r>
    <d v="2024-08-29T00:00:00"/>
    <s v="Dine in at Shamshabad"/>
    <s v="F2F"/>
    <s v="Corporate"/>
    <x v="1"/>
    <s v="Madhu"/>
    <s v="Dinner Bethney School 104 students 31 August 2024"/>
    <n v="28000"/>
    <n v="28000"/>
    <x v="9"/>
    <x v="0"/>
    <x v="1"/>
    <s v="Closed"/>
    <m/>
    <n v="0"/>
    <m/>
    <m/>
    <m/>
    <s v="Aug-24"/>
    <n v="35"/>
    <s v="2024"/>
  </r>
  <r>
    <d v="2024-08-29T00:00:00"/>
    <s v="New Edge Consultancy"/>
    <s v="F2F"/>
    <s v="Corporate"/>
    <x v="0"/>
    <s v="Arthi"/>
    <s v="Follow up for bulk order"/>
    <n v="18000"/>
    <n v="0"/>
    <x v="11"/>
    <x v="0"/>
    <x v="0"/>
    <s v="Cancelled"/>
    <m/>
    <n v="0"/>
    <m/>
    <m/>
    <m/>
    <s v="Aug-24"/>
    <n v="35"/>
    <s v="2024"/>
  </r>
  <r>
    <d v="2024-08-30T00:00:00"/>
    <s v="Annie Basant JR college"/>
    <s v="F2F"/>
    <s v="College"/>
    <x v="4"/>
    <s v="Sai"/>
    <s v="Follow up for food requirement"/>
    <n v="20000"/>
    <n v="0"/>
    <x v="12"/>
    <x v="0"/>
    <x v="0"/>
    <s v="Cancelled"/>
    <m/>
    <n v="0"/>
    <m/>
    <m/>
    <m/>
    <s v="Aug-24"/>
    <n v="35"/>
    <s v="2024"/>
  </r>
  <r>
    <d v="2024-08-30T00:00:00"/>
    <s v="Param Info"/>
    <s v="F2F"/>
    <s v="Corporate"/>
    <x v="0"/>
    <s v="Kalyan"/>
    <s v="Introduction to bulk order"/>
    <n v="15000"/>
    <n v="0"/>
    <x v="8"/>
    <x v="0"/>
    <x v="0"/>
    <s v="Cancelled"/>
    <s v="No requirements as of now"/>
    <n v="0"/>
    <m/>
    <m/>
    <m/>
    <s v="Aug-24"/>
    <n v="35"/>
    <s v="2024"/>
  </r>
  <r>
    <d v="2024-09-01T00:00:00"/>
    <s v="Take away from Secundrabad"/>
    <s v="Call"/>
    <s v="Events"/>
    <x v="10"/>
    <s v="Ambka"/>
    <s v="Take Away fron charminar in September"/>
    <n v="12000"/>
    <n v="0"/>
    <x v="11"/>
    <x v="0"/>
    <x v="0"/>
    <s v="Cancelled"/>
    <s v="Low budget "/>
    <n v="0"/>
    <m/>
    <m/>
    <m/>
    <s v="Sep-24"/>
    <n v="35"/>
    <s v="2024"/>
  </r>
  <r>
    <d v="2024-09-01T00:00:00"/>
    <s v="Take away from Malkajgiri"/>
    <s v="Call"/>
    <s v="Events"/>
    <x v="10"/>
    <s v="Chandar"/>
    <s v="Take away from Malkajgiri"/>
    <n v="22000"/>
    <n v="0"/>
    <x v="11"/>
    <x v="0"/>
    <x v="0"/>
    <s v="Cancelled"/>
    <s v="Cancelled due to rain"/>
    <n v="0"/>
    <m/>
    <m/>
    <m/>
    <s v="Sep-24"/>
    <n v="35"/>
    <s v="2024"/>
  </r>
  <r>
    <d v="2024-09-02T00:00:00"/>
    <s v="Naval Academy Vyzag"/>
    <s v="Call"/>
    <s v="Corporate"/>
    <x v="22"/>
    <s v="Rajan"/>
    <s v="Discussion regarding 31 December 2000 pax buffet"/>
    <n v="1200000"/>
    <n v="0"/>
    <x v="12"/>
    <x v="0"/>
    <x v="0"/>
    <s v="Cancelled"/>
    <s v="Less Budget"/>
    <n v="0"/>
    <m/>
    <m/>
    <m/>
    <s v="Sep-24"/>
    <n v="36"/>
    <s v="2024"/>
  </r>
  <r>
    <d v="2024-09-02T00:00:00"/>
    <s v="Indorama Industries"/>
    <s v="F2F"/>
    <s v="Corporate"/>
    <x v="7"/>
    <s v="Ekta"/>
    <s v="Introduction to bulk orders"/>
    <n v="18000"/>
    <n v="0"/>
    <x v="8"/>
    <x v="0"/>
    <x v="0"/>
    <s v="Cancelled"/>
    <s v="No requirement"/>
    <n v="0"/>
    <m/>
    <m/>
    <m/>
    <s v="Sep-24"/>
    <n v="36"/>
    <s v="2024"/>
  </r>
  <r>
    <d v="2024-09-02T00:00:00"/>
    <s v="Ratna Solutions"/>
    <s v="F2F"/>
    <s v="Corporate"/>
    <x v="0"/>
    <s v="Elisha"/>
    <s v="Follow up for bulk orders"/>
    <n v="20000"/>
    <n v="0"/>
    <x v="12"/>
    <x v="0"/>
    <x v="0"/>
    <s v="Cancelled"/>
    <m/>
    <n v="0"/>
    <m/>
    <m/>
    <m/>
    <s v="Sep-24"/>
    <n v="36"/>
    <s v="2024"/>
  </r>
  <r>
    <d v="2024-09-02T00:00:00"/>
    <s v="Shivashakti"/>
    <s v="F2F"/>
    <s v="Corporate"/>
    <x v="18"/>
    <s v="Firoz"/>
    <s v="Introduction to bulk order and gifting"/>
    <n v="40000"/>
    <n v="0"/>
    <x v="12"/>
    <x v="0"/>
    <x v="0"/>
    <s v="Cancelled"/>
    <m/>
    <n v="0"/>
    <m/>
    <m/>
    <m/>
    <s v="Sep-24"/>
    <n v="36"/>
    <s v="2024"/>
  </r>
  <r>
    <d v="2024-09-03T00:00:00"/>
    <s v="MSN Labs"/>
    <s v="F2F"/>
    <s v="Corporate"/>
    <x v="5"/>
    <s v="Satya"/>
    <s v="Shared quotation for Lunch for 40 people"/>
    <n v="14000"/>
    <n v="0"/>
    <x v="11"/>
    <x v="0"/>
    <x v="0"/>
    <s v="Cancelled"/>
    <s v="Low budget "/>
    <n v="0"/>
    <m/>
    <m/>
    <m/>
    <s v="Sep-24"/>
    <n v="36"/>
    <s v="2024"/>
  </r>
  <r>
    <d v="2024-09-03T00:00:00"/>
    <s v="Popup Events in Fest"/>
    <s v="F2F"/>
    <s v="Corporate"/>
    <x v="3"/>
    <s v="Pasha"/>
    <s v="Discussion in regards with participation in events"/>
    <n v="50000"/>
    <n v="0"/>
    <x v="12"/>
    <x v="0"/>
    <x v="0"/>
    <s v="Cancelled"/>
    <s v="Event Cancelled"/>
    <n v="0"/>
    <m/>
    <m/>
    <m/>
    <s v="Sep-24"/>
    <n v="36"/>
    <s v="2024"/>
  </r>
  <r>
    <d v="2002-09-03T00:00:00"/>
    <s v="DCB Bank"/>
    <s v="Call"/>
    <s v="Corporate"/>
    <x v="21"/>
    <s v="Tabitha"/>
    <s v="Shared quote for team lunch"/>
    <n v="10000"/>
    <n v="0"/>
    <x v="12"/>
    <x v="0"/>
    <x v="0"/>
    <s v="Cancelled"/>
    <m/>
    <n v="0"/>
    <m/>
    <m/>
    <m/>
    <s v="Sep-02"/>
    <n v="36"/>
    <s v="2024"/>
  </r>
  <r>
    <d v="2024-09-03T00:00:00"/>
    <s v="Coluryt IT"/>
    <s v="F2F"/>
    <s v="Corporate"/>
    <x v="0"/>
    <s v="Tarun"/>
    <s v="Introduction to team lunch and delivery"/>
    <n v="20000"/>
    <n v="0"/>
    <x v="8"/>
    <x v="0"/>
    <x v="0"/>
    <s v="Cancelled"/>
    <s v="No requirement as of now"/>
    <n v="0"/>
    <m/>
    <m/>
    <m/>
    <s v="Sep-24"/>
    <n v="36"/>
    <s v="2024"/>
  </r>
  <r>
    <d v="2024-09-03T00:00:00"/>
    <s v="Factset"/>
    <s v="Call"/>
    <s v="Corporate"/>
    <x v="0"/>
    <s v="Teja"/>
    <s v="Introduction to bulk delivery"/>
    <n v="30000"/>
    <n v="0"/>
    <x v="12"/>
    <x v="0"/>
    <x v="0"/>
    <s v="Cancelled"/>
    <m/>
    <n v="0"/>
    <m/>
    <m/>
    <m/>
    <s v="Sep-24"/>
    <n v="36"/>
    <s v="2024"/>
  </r>
  <r>
    <d v="2024-09-04T00:00:00"/>
    <s v="Delivery at Compass Group Bangalore"/>
    <s v="Call"/>
    <s v="Corporate"/>
    <x v="17"/>
    <s v="Pankaj"/>
    <s v="Delivery of Special CB &amp; MB Handi on 4 Sept 2024"/>
    <n v="43500"/>
    <n v="43500"/>
    <x v="11"/>
    <x v="1"/>
    <x v="1"/>
    <s v="Closed"/>
    <m/>
    <n v="0"/>
    <m/>
    <m/>
    <m/>
    <s v="Sep-24"/>
    <n v="36"/>
    <s v="2024"/>
  </r>
  <r>
    <d v="2024-09-04T00:00:00"/>
    <s v="Delivery at TX hospital uppal"/>
    <s v="F2F"/>
    <s v="Corporate"/>
    <x v="13"/>
    <s v="Kirmani"/>
    <s v="Delivery of cb on 6 September 2024"/>
    <n v="20000"/>
    <n v="20000"/>
    <x v="11"/>
    <x v="0"/>
    <x v="1"/>
    <s v="Closed"/>
    <m/>
    <n v="0"/>
    <m/>
    <m/>
    <m/>
    <s v="Sep-24"/>
    <n v="36"/>
    <s v="2024"/>
  </r>
  <r>
    <d v="2024-09-05T00:00:00"/>
    <s v="Delivery of Biryani "/>
    <s v="Call"/>
    <s v="Events"/>
    <x v="10"/>
    <s v="Surajit"/>
    <s v="Delivery of biryani at Secundrabad"/>
    <n v="10000"/>
    <n v="0"/>
    <x v="11"/>
    <x v="0"/>
    <x v="0"/>
    <s v="Cancelled"/>
    <s v="Less Quantity"/>
    <n v="0"/>
    <m/>
    <m/>
    <m/>
    <s v="Sep-24"/>
    <n v="36"/>
    <s v="2024"/>
  </r>
  <r>
    <d v="2024-09-06T00:00:00"/>
    <s v="Delivery of CB at LB Nagar "/>
    <s v="F2F"/>
    <s v="Events"/>
    <x v="10"/>
    <s v="Ashok"/>
    <s v="Delivery of cb for "/>
    <n v="80000"/>
    <n v="0"/>
    <x v="11"/>
    <x v="0"/>
    <x v="0"/>
    <s v="Cancelled"/>
    <s v="Low budget "/>
    <n v="0"/>
    <m/>
    <m/>
    <m/>
    <s v="Sep-24"/>
    <n v="36"/>
    <s v="2024"/>
  </r>
  <r>
    <d v="2024-09-06T00:00:00"/>
    <s v="Havels India"/>
    <s v="F2F"/>
    <s v="Corporate"/>
    <x v="19"/>
    <s v="Ashish"/>
    <s v="Introduction to bulk delivery and gifting "/>
    <n v="60000"/>
    <n v="0"/>
    <x v="8"/>
    <x v="0"/>
    <x v="0"/>
    <s v="Cancelled"/>
    <s v="No requirement as of now"/>
    <n v="0"/>
    <m/>
    <m/>
    <m/>
    <s v="Sep-24"/>
    <n v="36"/>
    <s v="2024"/>
  </r>
  <r>
    <d v="2024-09-08T00:00:00"/>
    <s v="Delivery at Malkajgiri"/>
    <s v="Call"/>
    <s v="Events"/>
    <x v="10"/>
    <s v="Srinivas"/>
    <s v="Delivery in september"/>
    <n v="12000"/>
    <n v="0"/>
    <x v="11"/>
    <x v="0"/>
    <x v="0"/>
    <s v="Cancelled"/>
    <s v="Event Cancelled"/>
    <n v="0"/>
    <m/>
    <m/>
    <m/>
    <s v="Sep-24"/>
    <n v="36"/>
    <s v="2024"/>
  </r>
  <r>
    <d v="2024-09-09T00:00:00"/>
    <s v="Exponential AI"/>
    <s v="F2F"/>
    <s v="Corporate"/>
    <x v="0"/>
    <s v="Jasmin"/>
    <s v="Delivery of lunch for 50 people on 10 Sept 2024"/>
    <n v="24000"/>
    <n v="24000"/>
    <x v="11"/>
    <x v="0"/>
    <x v="1"/>
    <s v="Closed"/>
    <m/>
    <n v="0"/>
    <m/>
    <m/>
    <m/>
    <s v="Sep-24"/>
    <n v="37"/>
    <s v="2024"/>
  </r>
  <r>
    <d v="2024-09-09T00:00:00"/>
    <s v="Biological E Limited"/>
    <s v="F2F"/>
    <s v="Corporate"/>
    <x v="5"/>
    <s v="Chandrasekhar"/>
    <s v="Delivery of CB on 10 Sept 2024"/>
    <n v="14000"/>
    <n v="14000"/>
    <x v="11"/>
    <x v="0"/>
    <x v="1"/>
    <s v="Closed"/>
    <m/>
    <n v="0"/>
    <m/>
    <m/>
    <m/>
    <s v="Sep-24"/>
    <n v="37"/>
    <s v="2024"/>
  </r>
  <r>
    <d v="2024-09-09T00:00:00"/>
    <s v="MIT Hyderabad"/>
    <s v="Call"/>
    <s v="College"/>
    <x v="4"/>
    <s v="Amit"/>
    <s v="Discussion in regards with event"/>
    <n v="40000"/>
    <n v="0"/>
    <x v="8"/>
    <x v="0"/>
    <x v="0"/>
    <s v="Cancelled"/>
    <s v="Not profitable"/>
    <n v="0"/>
    <m/>
    <m/>
    <m/>
    <s v="Sep-24"/>
    <n v="37"/>
    <s v="2024"/>
  </r>
  <r>
    <d v="2024-09-09T00:00:00"/>
    <s v="Laughinout by swiggy"/>
    <s v="Call"/>
    <s v="Corporate"/>
    <x v="17"/>
    <s v="Arpita"/>
    <s v="Discussion in regards with event in Vijaywada"/>
    <n v="50000"/>
    <n v="0"/>
    <x v="11"/>
    <x v="0"/>
    <x v="0"/>
    <s v="Cancelled"/>
    <s v="Less Participants due to flood"/>
    <n v="0"/>
    <m/>
    <m/>
    <m/>
    <s v="Sep-24"/>
    <n v="37"/>
    <s v="2024"/>
  </r>
  <r>
    <d v="2024-09-09T00:00:00"/>
    <s v="Karl public School"/>
    <s v="F2F"/>
    <s v="College"/>
    <x v="4"/>
    <s v="Daniel"/>
    <s v="Discussion in regards with event"/>
    <n v="40000"/>
    <n v="0"/>
    <x v="11"/>
    <x v="0"/>
    <x v="0"/>
    <s v="Cancelled"/>
    <s v="No Budget"/>
    <n v="0"/>
    <m/>
    <m/>
    <m/>
    <s v="Sep-24"/>
    <n v="37"/>
    <s v="2024"/>
  </r>
  <r>
    <d v="2024-09-10T00:00:00"/>
    <s v="Exponentioal Ai"/>
    <s v="F2F"/>
    <s v="Corporate"/>
    <x v="0"/>
    <s v="Venkat"/>
    <s v="Delivery from shilparamam on 10 September 2024"/>
    <n v="10000"/>
    <n v="10000"/>
    <x v="11"/>
    <x v="0"/>
    <x v="1"/>
    <s v="Closed"/>
    <m/>
    <n v="0"/>
    <m/>
    <m/>
    <m/>
    <s v="Sep-24"/>
    <n v="37"/>
    <s v="2024"/>
  </r>
  <r>
    <d v="2024-09-10T00:00:00"/>
    <s v="Delivery from Padmaraonagar"/>
    <s v="Call"/>
    <s v="Travel Group"/>
    <x v="1"/>
    <s v="Aditya"/>
    <s v="Delivery at Secundrabad station on 19 Sept 2024"/>
    <n v="4000"/>
    <n v="4000"/>
    <x v="11"/>
    <x v="0"/>
    <x v="1"/>
    <s v="Closed"/>
    <m/>
    <n v="0"/>
    <m/>
    <m/>
    <m/>
    <s v="Sep-24"/>
    <n v="37"/>
    <s v="2024"/>
  </r>
  <r>
    <d v="2002-09-10T00:00:00"/>
    <s v="Yashoda Hospital "/>
    <s v="F2F"/>
    <s v="Corporate"/>
    <x v="13"/>
    <s v="Vijay"/>
    <s v="Corporate discount for bulk order"/>
    <n v="25000"/>
    <n v="0"/>
    <x v="8"/>
    <x v="0"/>
    <x v="0"/>
    <s v="Cancelled"/>
    <s v="Purchased directly from Heritage"/>
    <n v="0"/>
    <m/>
    <m/>
    <m/>
    <s v="Sep-02"/>
    <n v="37"/>
    <s v="2024"/>
  </r>
  <r>
    <d v="2024-09-10T00:00:00"/>
    <s v="Eastwood Sports"/>
    <s v="F2F"/>
    <s v="Corporate"/>
    <x v="19"/>
    <s v="Anil Reddy"/>
    <s v=" party orders 19 Sept 2024"/>
    <n v="20000"/>
    <n v="0"/>
    <x v="11"/>
    <x v="0"/>
    <x v="0"/>
    <s v="Cancelled"/>
    <s v="Event Cancelled"/>
    <n v="0"/>
    <m/>
    <m/>
    <m/>
    <s v="Sep-24"/>
    <n v="37"/>
    <s v="2024"/>
  </r>
  <r>
    <d v="2024-09-11T00:00:00"/>
    <s v="Delivery at Compass Group Bangalore"/>
    <s v="Call"/>
    <s v="Corporate"/>
    <x v="17"/>
    <s v="Pankaj"/>
    <s v="Delivery of Special CB &amp; MB Handi on 11 Sept 2024"/>
    <n v="41500"/>
    <n v="41500"/>
    <x v="11"/>
    <x v="1"/>
    <x v="1"/>
    <s v="Closed"/>
    <m/>
    <n v="0"/>
    <m/>
    <m/>
    <m/>
    <s v="Sep-24"/>
    <n v="37"/>
    <s v="2024"/>
  </r>
  <r>
    <d v="2024-09-11T00:00:00"/>
    <s v="Karthick star event at Vijayawada"/>
    <s v="Call"/>
    <s v="Corporate"/>
    <x v="17"/>
    <s v="Arpita"/>
    <s v="Karthik Star event on 28 September 2024"/>
    <n v="55000"/>
    <n v="0"/>
    <x v="11"/>
    <x v="0"/>
    <x v="0"/>
    <s v="Cancelled"/>
    <s v="Less Participants"/>
    <n v="0"/>
    <m/>
    <m/>
    <m/>
    <s v="Sep-24"/>
    <n v="37"/>
    <s v="2024"/>
  </r>
  <r>
    <d v="2024-09-11T00:00:00"/>
    <s v="Utsab Cultural Association"/>
    <s v="F2F"/>
    <s v="Exhibition"/>
    <x v="26"/>
    <s v="Sujay"/>
    <s v="Follow up for stall allotment in event"/>
    <n v="0"/>
    <n v="0"/>
    <x v="8"/>
    <x v="0"/>
    <x v="1"/>
    <s v="Closed"/>
    <m/>
    <n v="0"/>
    <m/>
    <m/>
    <m/>
    <s v="Sep-24"/>
    <n v="37"/>
    <s v="2024"/>
  </r>
  <r>
    <d v="2024-09-11T00:00:00"/>
    <s v="Hungerbox"/>
    <s v="F2F"/>
    <s v="Corporate"/>
    <x v="17"/>
    <s v="Santosh"/>
    <s v="Follow up for popup stall"/>
    <n v="50000"/>
    <n v="0"/>
    <x v="11"/>
    <x v="0"/>
    <x v="0"/>
    <s v="Cancelled"/>
    <s v="Not Fesiable"/>
    <n v="0"/>
    <m/>
    <m/>
    <m/>
    <s v="Sep-24"/>
    <n v="37"/>
    <s v="2024"/>
  </r>
  <r>
    <d v="2024-09-12T00:00:00"/>
    <s v="Yashoda Hospital Secundrabad"/>
    <s v="F2F"/>
    <s v="Corporate"/>
    <x v="13"/>
    <s v="Shankar"/>
    <s v="Discussion in regards with team lunch"/>
    <n v="20000"/>
    <n v="0"/>
    <x v="8"/>
    <x v="0"/>
    <x v="0"/>
    <s v="Cancelled"/>
    <s v="Event Cancelled"/>
    <n v="0"/>
    <m/>
    <m/>
    <m/>
    <s v="Sep-24"/>
    <n v="37"/>
    <s v="2024"/>
  </r>
  <r>
    <d v="2024-09-12T00:00:00"/>
    <s v="Celkon"/>
    <s v="F2F"/>
    <s v="Corporate"/>
    <x v="19"/>
    <s v="Lalith"/>
    <s v="Follow up for bulk orders"/>
    <n v="25000"/>
    <n v="0"/>
    <x v="8"/>
    <x v="0"/>
    <x v="0"/>
    <s v="Cancelled"/>
    <s v="No requirement as of now"/>
    <n v="0"/>
    <m/>
    <m/>
    <m/>
    <s v="Sep-24"/>
    <n v="37"/>
    <s v="2024"/>
  </r>
  <r>
    <d v="2024-09-12T00:00:00"/>
    <s v="AIMS"/>
    <s v="Call"/>
    <s v="Corporate"/>
    <x v="13"/>
    <s v="Lashya"/>
    <s v="Introduction to bulk order and delivery"/>
    <n v="30000"/>
    <n v="0"/>
    <x v="12"/>
    <x v="0"/>
    <x v="0"/>
    <s v="Cancelled"/>
    <m/>
    <n v="0"/>
    <m/>
    <m/>
    <m/>
    <s v="Sep-24"/>
    <n v="37"/>
    <s v="2024"/>
  </r>
  <r>
    <d v="2024-09-12T00:00:00"/>
    <s v="Relax Holidays"/>
    <s v="Call"/>
    <s v="Corporate"/>
    <x v="1"/>
    <s v="Latiff"/>
    <s v="Discussion for travel group food delivery"/>
    <n v="25000"/>
    <n v="0"/>
    <x v="12"/>
    <x v="0"/>
    <x v="0"/>
    <s v="Cancelled"/>
    <m/>
    <n v="0"/>
    <m/>
    <m/>
    <m/>
    <s v="Sep-24"/>
    <n v="37"/>
    <s v="2024"/>
  </r>
  <r>
    <d v="2024-09-13T00:00:00"/>
    <s v="Delivery at Gudimalkapur"/>
    <s v="Call"/>
    <s v="Events"/>
    <x v="10"/>
    <s v="Ramchandra"/>
    <s v="Delivery of CB on 16September 2024"/>
    <n v="9000"/>
    <n v="0"/>
    <x v="11"/>
    <x v="0"/>
    <x v="0"/>
    <s v="Cancelled"/>
    <s v="Less Budget"/>
    <n v="0"/>
    <m/>
    <m/>
    <m/>
    <s v="Sep-24"/>
    <n v="37"/>
    <s v="2024"/>
  </r>
  <r>
    <d v="2024-08-13T00:00:00"/>
    <s v="Rockwell "/>
    <s v="F2F"/>
    <s v="Corporate"/>
    <x v="0"/>
    <s v="Damodar"/>
    <s v="Follow up for bulk order"/>
    <n v="22000"/>
    <n v="0"/>
    <x v="12"/>
    <x v="0"/>
    <x v="0"/>
    <s v="Cancelled"/>
    <m/>
    <n v="0"/>
    <m/>
    <m/>
    <m/>
    <s v="Aug-24"/>
    <n v="33"/>
    <s v="2024"/>
  </r>
  <r>
    <d v="2024-09-13T00:00:00"/>
    <s v="Cyient LTD"/>
    <s v="F2F"/>
    <s v="Corporate"/>
    <x v="0"/>
    <s v="Vidyachari"/>
    <s v="Introduction to team lunch &amp; Delivery"/>
    <n v="30000"/>
    <n v="0"/>
    <x v="12"/>
    <x v="0"/>
    <x v="0"/>
    <s v="Cancelled"/>
    <m/>
    <n v="0"/>
    <m/>
    <m/>
    <m/>
    <s v="Sep-24"/>
    <n v="37"/>
    <s v="2024"/>
  </r>
  <r>
    <d v="2024-09-16T00:00:00"/>
    <s v="MSN LAB"/>
    <s v="F2F"/>
    <s v="Corporate"/>
    <x v="0"/>
    <s v="Satya"/>
    <s v="Follow up for PO, Relationship call"/>
    <n v="0"/>
    <n v="0"/>
    <x v="12"/>
    <x v="0"/>
    <x v="1"/>
    <s v="Closed"/>
    <m/>
    <n v="0"/>
    <m/>
    <m/>
    <m/>
    <s v="Sep-24"/>
    <n v="38"/>
    <s v="2024"/>
  </r>
  <r>
    <d v="2024-09-16T00:00:00"/>
    <s v="Platos"/>
    <s v="F2F"/>
    <s v="Corporate"/>
    <x v="17"/>
    <s v="Hyder"/>
    <s v="Follow up for bigger oeders"/>
    <n v="50000"/>
    <n v="0"/>
    <x v="12"/>
    <x v="0"/>
    <x v="0"/>
    <s v="Cancelled"/>
    <s v="Event Cancelled"/>
    <n v="0"/>
    <m/>
    <m/>
    <m/>
    <s v="Sep-24"/>
    <n v="38"/>
    <s v="2024"/>
  </r>
  <r>
    <d v="2024-09-16T00:00:00"/>
    <s v="Takeaway from kukatpally"/>
    <s v="Call"/>
    <s v="Events"/>
    <x v="10"/>
    <s v="Anil Kumar"/>
    <s v="Take away of CB Handi on 16 September 2024"/>
    <n v="10000"/>
    <n v="10000"/>
    <x v="11"/>
    <x v="0"/>
    <x v="1"/>
    <s v="Closed"/>
    <m/>
    <n v="0"/>
    <m/>
    <m/>
    <m/>
    <s v="Sep-24"/>
    <n v="38"/>
    <s v="2024"/>
  </r>
  <r>
    <d v="2024-09-16T00:00:00"/>
    <s v="Simens"/>
    <s v="F2F"/>
    <s v="Corporate"/>
    <x v="0"/>
    <s v="Abhishek"/>
    <s v="Introduction to bulk delivery of food and snacks"/>
    <n v="20000"/>
    <n v="0"/>
    <x v="8"/>
    <x v="0"/>
    <x v="0"/>
    <s v="Cancelled"/>
    <s v="No requirements"/>
    <n v="0"/>
    <m/>
    <m/>
    <m/>
    <s v="Sep-24"/>
    <n v="38"/>
    <s v="2024"/>
  </r>
  <r>
    <d v="2024-09-16T00:00:00"/>
    <s v="Goldstone Technologu"/>
    <s v="F2F"/>
    <s v="Corporate"/>
    <x v="0"/>
    <s v="Afroz Banu"/>
    <s v="Introduction to bulk orders"/>
    <n v="15000"/>
    <n v="0"/>
    <x v="8"/>
    <x v="0"/>
    <x v="0"/>
    <s v="Cancelled"/>
    <s v="No requirement as of now"/>
    <n v="0"/>
    <m/>
    <m/>
    <m/>
    <s v="Sep-24"/>
    <n v="38"/>
    <s v="2024"/>
  </r>
  <r>
    <d v="2023-09-17T00:00:00"/>
    <s v="Dedlivery at Tarnaka"/>
    <s v="Call"/>
    <s v="Corporate"/>
    <x v="0"/>
    <s v="Prasad"/>
    <s v="Delivery on 22 September"/>
    <n v="25000"/>
    <n v="25000"/>
    <x v="11"/>
    <x v="0"/>
    <x v="1"/>
    <s v="Closed"/>
    <m/>
    <n v="0"/>
    <m/>
    <m/>
    <m/>
    <s v="Sep-23"/>
    <n v="37"/>
    <s v="2024"/>
  </r>
  <r>
    <d v="2023-09-17T00:00:00"/>
    <s v="Delivery of Biryani kit at Dehradun"/>
    <s v="Call"/>
    <s v="Corporate"/>
    <x v="17"/>
    <s v="Abhilesh"/>
    <s v="Delivery in october"/>
    <n v="50000"/>
    <n v="0"/>
    <x v="8"/>
    <x v="0"/>
    <x v="0"/>
    <s v="Cancelled"/>
    <s v="They require kits without branding"/>
    <n v="0"/>
    <m/>
    <m/>
    <m/>
    <s v="Sep-23"/>
    <n v="37"/>
    <s v="2024"/>
  </r>
  <r>
    <d v="2023-09-17T00:00:00"/>
    <s v="Don Bosco Orphanage"/>
    <s v="F2F"/>
    <s v="Corporate"/>
    <x v="14"/>
    <s v="Thomas"/>
    <s v="Introduction to bulk delivery"/>
    <n v="30000"/>
    <n v="0"/>
    <x v="12"/>
    <x v="0"/>
    <x v="0"/>
    <s v="Cancelled"/>
    <m/>
    <n v="0"/>
    <m/>
    <m/>
    <m/>
    <s v="Sep-23"/>
    <n v="37"/>
    <s v="2024"/>
  </r>
  <r>
    <d v="2023-09-17T00:00:00"/>
    <s v="FITJEE"/>
    <s v="F2F"/>
    <s v="College"/>
    <x v="4"/>
    <s v="Balakrishna"/>
    <s v="Introduction to bulk delivery"/>
    <n v="25000"/>
    <n v="0"/>
    <x v="12"/>
    <x v="0"/>
    <x v="0"/>
    <s v="Cancelled"/>
    <m/>
    <n v="0"/>
    <m/>
    <m/>
    <m/>
    <s v="Sep-23"/>
    <n v="37"/>
    <s v="2024"/>
  </r>
  <r>
    <d v="2023-09-17T00:00:00"/>
    <s v="Value Momentum"/>
    <s v="F2F"/>
    <s v="Corporate"/>
    <x v="0"/>
    <s v="Francis"/>
    <s v="Introduction to team lunch and delivery"/>
    <n v="30000"/>
    <n v="0"/>
    <x v="12"/>
    <x v="0"/>
    <x v="0"/>
    <s v="Cancelled"/>
    <m/>
    <n v="0"/>
    <m/>
    <m/>
    <m/>
    <s v="Sep-23"/>
    <n v="37"/>
    <s v="2024"/>
  </r>
  <r>
    <d v="2024-09-18T00:00:00"/>
    <s v="Delivery at Compass Group Bangalore"/>
    <s v="Call"/>
    <s v="Corporate"/>
    <x v="17"/>
    <s v="Pankaj"/>
    <s v="Delivery of Special CB &amp; MB Handi on 18 Sept 2024"/>
    <n v="44198"/>
    <n v="44198"/>
    <x v="11"/>
    <x v="1"/>
    <x v="1"/>
    <s v="Closed"/>
    <m/>
    <n v="0"/>
    <m/>
    <m/>
    <m/>
    <s v="Sep-24"/>
    <n v="38"/>
    <s v="2024"/>
  </r>
  <r>
    <d v="2024-09-18T00:00:00"/>
    <s v="Granules India"/>
    <s v="F2F"/>
    <s v="Corporate"/>
    <x v="5"/>
    <s v="Sravan"/>
    <s v="Follow up for bulk order"/>
    <n v="33000"/>
    <n v="0"/>
    <x v="8"/>
    <x v="0"/>
    <x v="0"/>
    <s v="Cancelled"/>
    <s v="No requirement as of now"/>
    <n v="0"/>
    <m/>
    <m/>
    <m/>
    <s v="Sep-24"/>
    <n v="38"/>
    <s v="2024"/>
  </r>
  <r>
    <d v="2024-09-18T00:00:00"/>
    <s v="B4S"/>
    <s v="F2F"/>
    <s v="Corporate"/>
    <x v="0"/>
    <s v="Surendra"/>
    <s v="Shared details of bulk orders and team lunch"/>
    <n v="15000"/>
    <n v="0"/>
    <x v="8"/>
    <x v="0"/>
    <x v="0"/>
    <s v="Cancelled"/>
    <s v="No requiremwnts"/>
    <n v="0"/>
    <m/>
    <m/>
    <m/>
    <s v="Sep-24"/>
    <n v="38"/>
    <s v="2024"/>
  </r>
  <r>
    <d v="2024-09-18T00:00:00"/>
    <s v="CA Academy Nanded"/>
    <s v="Call"/>
    <s v="College"/>
    <x v="4"/>
    <s v="Dinesh"/>
    <s v="Follow up for dine in for travellers"/>
    <n v="30000"/>
    <n v="0"/>
    <x v="12"/>
    <x v="0"/>
    <x v="0"/>
    <s v="Cancelled"/>
    <m/>
    <n v="0"/>
    <m/>
    <m/>
    <m/>
    <s v="Sep-24"/>
    <n v="38"/>
    <s v="2024"/>
  </r>
  <r>
    <d v="2024-09-18T00:00:00"/>
    <s v="St Maries Engg College Deshmukhi"/>
    <s v="F2F"/>
    <s v="College"/>
    <x v="4"/>
    <s v="Carolina"/>
    <s v="Following up for bulk orders"/>
    <n v="25000"/>
    <n v="0"/>
    <x v="12"/>
    <x v="0"/>
    <x v="0"/>
    <s v="Cancelled"/>
    <s v="Less Budget"/>
    <n v="0"/>
    <m/>
    <m/>
    <m/>
    <s v="Sep-24"/>
    <n v="38"/>
    <s v="2024"/>
  </r>
  <r>
    <d v="2024-09-19T00:00:00"/>
    <s v="Olectra Greentech"/>
    <s v="F2F"/>
    <s v="Corporate"/>
    <x v="7"/>
    <s v="Sanjay"/>
    <s v="Introduction to bulk delivery and Gifting"/>
    <n v="30000"/>
    <n v="0"/>
    <x v="12"/>
    <x v="0"/>
    <x v="0"/>
    <s v="Cancelled"/>
    <m/>
    <n v="0"/>
    <m/>
    <m/>
    <m/>
    <s v="Sep-24"/>
    <n v="38"/>
    <s v="2024"/>
  </r>
  <r>
    <d v="2024-09-19T00:00:00"/>
    <s v="Dine in at Secundrabad"/>
    <s v="Call"/>
    <s v="Travel Group"/>
    <x v="1"/>
    <s v="Aditya"/>
    <s v="Tourist group from mumbai"/>
    <n v="27000"/>
    <n v="27000"/>
    <x v="11"/>
    <x v="0"/>
    <x v="1"/>
    <s v="Closed"/>
    <m/>
    <n v="0"/>
    <m/>
    <m/>
    <m/>
    <s v="Sep-24"/>
    <n v="38"/>
    <s v="2024"/>
  </r>
  <r>
    <d v="2024-09-19T00:00:00"/>
    <s v="Delivery at KIMS Hospital"/>
    <s v="F2F"/>
    <s v="Hospital"/>
    <x v="13"/>
    <s v="Gururaj"/>
    <s v="Delivery of CB &amp; VB from Begumpet"/>
    <n v="12000"/>
    <n v="12000"/>
    <x v="11"/>
    <x v="0"/>
    <x v="1"/>
    <s v="Closed"/>
    <m/>
    <n v="0"/>
    <m/>
    <m/>
    <m/>
    <s v="Sep-24"/>
    <n v="38"/>
    <s v="2024"/>
  </r>
  <r>
    <d v="2024-09-19T00:00:00"/>
    <s v="Delivery at Santoshnagar"/>
    <s v="Call"/>
    <s v="Events"/>
    <x v="10"/>
    <s v="Kabeer"/>
    <s v="Delivery of CB in September"/>
    <n v="22000"/>
    <n v="0"/>
    <x v="11"/>
    <x v="0"/>
    <x v="0"/>
    <s v="Cancelled"/>
    <s v="Less budget, went for other vendor"/>
    <n v="0"/>
    <m/>
    <m/>
    <m/>
    <s v="Sep-24"/>
    <n v="38"/>
    <s v="2024"/>
  </r>
  <r>
    <d v="2024-09-19T00:00:00"/>
    <s v="Care Hospital  "/>
    <s v="Call"/>
    <s v="Hospital"/>
    <x v="13"/>
    <s v="Sabiha"/>
    <s v="Introduction to bulk order"/>
    <n v="20000"/>
    <n v="0"/>
    <x v="12"/>
    <x v="0"/>
    <x v="0"/>
    <s v="Cancelled"/>
    <m/>
    <n v="0"/>
    <m/>
    <m/>
    <m/>
    <s v="Sep-24"/>
    <n v="38"/>
    <s v="2024"/>
  </r>
  <r>
    <d v="2024-09-20T00:00:00"/>
    <s v="Delivery at Bowenpally"/>
    <s v="Call"/>
    <s v="Events"/>
    <x v="10"/>
    <s v="Azgar"/>
    <s v="Delivery of CB"/>
    <n v="20000"/>
    <n v="0"/>
    <x v="11"/>
    <x v="0"/>
    <x v="0"/>
    <s v="Cancelled"/>
    <s v="Purchased for less price from other vendor"/>
    <n v="0"/>
    <m/>
    <m/>
    <m/>
    <s v="Sep-24"/>
    <n v="38"/>
    <s v="2024"/>
  </r>
  <r>
    <d v="2024-09-20T00:00:00"/>
    <s v="Srinidhi College of Engineering"/>
    <s v="F2F"/>
    <s v="College"/>
    <x v="4"/>
    <s v="Renitha"/>
    <s v="Delivery of CB for 150 People"/>
    <n v="28000"/>
    <n v="0"/>
    <x v="8"/>
    <x v="0"/>
    <x v="0"/>
    <s v="Cancelled"/>
    <s v="Less Budget"/>
    <n v="0"/>
    <m/>
    <m/>
    <m/>
    <s v="Sep-24"/>
    <n v="38"/>
    <s v="2024"/>
  </r>
  <r>
    <d v="2024-09-20T00:00:00"/>
    <s v="Brihaspati "/>
    <s v="F2F"/>
    <s v="Corporate"/>
    <x v="0"/>
    <s v="Madhavi"/>
    <s v="Introduction to bulk order"/>
    <n v="18000"/>
    <n v="0"/>
    <x v="12"/>
    <x v="0"/>
    <x v="0"/>
    <s v="Cancelled"/>
    <m/>
    <n v="0"/>
    <m/>
    <m/>
    <m/>
    <s v="Sep-24"/>
    <n v="38"/>
    <s v="2024"/>
  </r>
  <r>
    <d v="2024-09-20T00:00:00"/>
    <s v="Kapil Chits "/>
    <s v="F2F"/>
    <s v="Corporate"/>
    <x v="21"/>
    <s v="Srinivas"/>
    <s v="Introduction to bulk order"/>
    <n v="40000"/>
    <n v="0"/>
    <x v="12"/>
    <x v="0"/>
    <x v="0"/>
    <s v="Cancelled"/>
    <m/>
    <n v="0"/>
    <m/>
    <m/>
    <m/>
    <s v="Sep-24"/>
    <n v="38"/>
    <s v="2024"/>
  </r>
  <r>
    <d v="2024-09-21T00:00:00"/>
    <s v="Delivery at Secundrabad Station"/>
    <s v="Call"/>
    <s v="Tourist Group"/>
    <x v="1"/>
    <s v="Shobhindar"/>
    <s v="Delivery fron padmaraonagar 21 Sept 2024"/>
    <n v="10000"/>
    <n v="10000"/>
    <x v="11"/>
    <x v="0"/>
    <x v="1"/>
    <s v="Closed"/>
    <m/>
    <n v="0"/>
    <m/>
    <m/>
    <m/>
    <s v="Sep-24"/>
    <n v="38"/>
    <s v="2024"/>
  </r>
  <r>
    <d v="2024-09-22T00:00:00"/>
    <s v="Delivery at Kukatpoally"/>
    <s v="Call"/>
    <s v="Events"/>
    <x v="10"/>
    <s v="Rachel"/>
    <s v="Delivery of CB on 22 Sept 2024"/>
    <n v="9000"/>
    <n v="9000"/>
    <x v="11"/>
    <x v="0"/>
    <x v="1"/>
    <s v="Closed"/>
    <m/>
    <n v="0"/>
    <m/>
    <m/>
    <m/>
    <s v="Sep-24"/>
    <n v="38"/>
    <s v="2024"/>
  </r>
  <r>
    <d v="2024-09-23T00:00:00"/>
    <s v="DPS Nacharam"/>
    <s v="F2F"/>
    <s v="School"/>
    <x v="4"/>
    <s v="Venkatesk"/>
    <s v="Introduction for supply in fest"/>
    <n v="40000"/>
    <n v="0"/>
    <x v="12"/>
    <x v="0"/>
    <x v="0"/>
    <s v="Cancelled"/>
    <m/>
    <n v="0"/>
    <m/>
    <m/>
    <m/>
    <s v="Sep-24"/>
    <n v="39"/>
    <s v="2024"/>
  </r>
  <r>
    <d v="2024-09-23T00:00:00"/>
    <s v="Maradpally Church"/>
    <s v="F2F"/>
    <s v="Church"/>
    <x v="8"/>
    <s v="Harismitha"/>
    <s v="Delivery of CB in November"/>
    <n v="45000"/>
    <n v="0"/>
    <x v="12"/>
    <x v="0"/>
    <x v="0"/>
    <s v="Cancelled"/>
    <s v="Prepared food inhouse"/>
    <n v="0"/>
    <m/>
    <m/>
    <m/>
    <s v="Sep-24"/>
    <n v="39"/>
    <s v="2024"/>
  </r>
  <r>
    <d v="2024-09-23T00:00:00"/>
    <s v="CR Fabric"/>
    <s v="Call"/>
    <s v="Corporate"/>
    <x v="19"/>
    <s v="Raj"/>
    <s v="Follow up for bulk order"/>
    <n v="20000"/>
    <n v="0"/>
    <x v="8"/>
    <x v="0"/>
    <x v="0"/>
    <s v="Cancelled"/>
    <s v="No requirement"/>
    <n v="0"/>
    <m/>
    <m/>
    <m/>
    <s v="Sep-24"/>
    <n v="39"/>
    <s v="2024"/>
  </r>
  <r>
    <d v="2024-09-23T00:00:00"/>
    <s v="Tata Trent LTD"/>
    <s v="F2F"/>
    <s v="Corporate"/>
    <x v="19"/>
    <s v="Verma"/>
    <s v="Introduction to team lunch and bulk delivery"/>
    <n v="25000"/>
    <n v="0"/>
    <x v="12"/>
    <x v="0"/>
    <x v="0"/>
    <s v="Cancelled"/>
    <m/>
    <n v="0"/>
    <m/>
    <m/>
    <m/>
    <s v="Sep-24"/>
    <n v="39"/>
    <s v="2024"/>
  </r>
  <r>
    <d v="2024-09-24T00:00:00"/>
    <s v="Delivery at Maradpally orphanage"/>
    <s v="Call"/>
    <s v="Events"/>
    <x v="10"/>
    <s v="Siraj"/>
    <s v="Delivery of CB on 28 September 2024"/>
    <n v="25000"/>
    <n v="25000"/>
    <x v="11"/>
    <x v="0"/>
    <x v="1"/>
    <s v="Closed"/>
    <m/>
    <n v="0"/>
    <m/>
    <m/>
    <m/>
    <s v="Sep-24"/>
    <n v="39"/>
    <s v="2024"/>
  </r>
  <r>
    <d v="2024-09-24T00:00:00"/>
    <s v="Cube Highways (GMR)"/>
    <s v="Call"/>
    <s v="Corporate"/>
    <x v="15"/>
    <s v="Kiran"/>
    <s v="Buffet Lunch on 24 October"/>
    <n v="0"/>
    <n v="0"/>
    <x v="8"/>
    <x v="0"/>
    <x v="1"/>
    <s v="Closed"/>
    <m/>
    <n v="0"/>
    <m/>
    <m/>
    <m/>
    <s v="Sep-24"/>
    <n v="39"/>
    <s v="2024"/>
  </r>
  <r>
    <d v="2024-09-24T00:00:00"/>
    <s v="Epiroc Drilling Tools"/>
    <s v="F2F"/>
    <s v="Corporate"/>
    <x v="7"/>
    <s v="Mahesh"/>
    <s v="Wallet recharge of 193 employees on 25 Sept 2024"/>
    <n v="96500"/>
    <n v="96500"/>
    <x v="11"/>
    <x v="0"/>
    <x v="1"/>
    <s v="Closed"/>
    <m/>
    <n v="0"/>
    <m/>
    <m/>
    <m/>
    <s v="Sep-24"/>
    <n v="39"/>
    <s v="2024"/>
  </r>
  <r>
    <d v="2024-09-24T00:00:00"/>
    <s v="MSN"/>
    <s v="F2F"/>
    <s v="Corporate"/>
    <x v="5"/>
    <s v="Sandeep"/>
    <s v="Follow up for PO"/>
    <n v="0"/>
    <n v="0"/>
    <x v="12"/>
    <x v="0"/>
    <x v="1"/>
    <s v="Closed"/>
    <m/>
    <n v="0"/>
    <m/>
    <m/>
    <m/>
    <s v="Sep-24"/>
    <n v="39"/>
    <s v="2024"/>
  </r>
  <r>
    <d v="2024-09-24T00:00:00"/>
    <s v="Smart Q"/>
    <s v="Call"/>
    <s v="Corporate"/>
    <x v="17"/>
    <s v="Varsha"/>
    <s v="Discussion in regards with pop up counter"/>
    <n v="30000"/>
    <n v="0"/>
    <x v="12"/>
    <x v="0"/>
    <x v="0"/>
    <s v="Cancelled"/>
    <m/>
    <n v="0"/>
    <m/>
    <m/>
    <m/>
    <s v="Sep-24"/>
    <n v="39"/>
    <s v="2024"/>
  </r>
  <r>
    <d v="2024-09-25T00:00:00"/>
    <s v="Delivery at Compass Group Bangalore"/>
    <s v="Call"/>
    <s v="Corporate"/>
    <x v="17"/>
    <s v="Pankaj"/>
    <s v="Delivery of Special CB &amp; MB Handi on 25 Sept 2024"/>
    <n v="44198"/>
    <n v="44198"/>
    <x v="11"/>
    <x v="1"/>
    <x v="1"/>
    <s v="Closed"/>
    <m/>
    <n v="0"/>
    <m/>
    <m/>
    <m/>
    <s v="Sep-24"/>
    <n v="39"/>
    <s v="2024"/>
  </r>
  <r>
    <d v="2024-09-25T00:00:00"/>
    <s v="GMR Shamshabad"/>
    <s v="F2F"/>
    <s v="Corporate"/>
    <x v="15"/>
    <s v="Reena"/>
    <s v="Discussion in regards with buffet for 130 peoploe"/>
    <n v="0"/>
    <n v="0"/>
    <x v="8"/>
    <x v="0"/>
    <x v="1"/>
    <s v="Closed"/>
    <m/>
    <n v="0"/>
    <m/>
    <m/>
    <m/>
    <s v="Sep-24"/>
    <n v="39"/>
    <s v="2024"/>
  </r>
  <r>
    <d v="2024-09-25T00:00:00"/>
    <s v="Delivery at Alwal"/>
    <s v="F2F"/>
    <s v="Events"/>
    <x v="10"/>
    <s v="Geetha"/>
    <s v="Discussion in regards with buffet lunch"/>
    <n v="40000"/>
    <n v="0"/>
    <x v="8"/>
    <x v="0"/>
    <x v="0"/>
    <s v="Cancelled"/>
    <s v="Less Budget"/>
    <n v="0"/>
    <m/>
    <m/>
    <m/>
    <s v="Sep-24"/>
    <n v="39"/>
    <s v="2024"/>
  </r>
  <r>
    <d v="2024-09-25T00:00:00"/>
    <s v="Qualcomm"/>
    <s v="F2F"/>
    <s v="Corporate"/>
    <x v="0"/>
    <s v="Yugandhar"/>
    <s v="Introduction to bulk order"/>
    <n v="30000"/>
    <n v="0"/>
    <x v="12"/>
    <x v="0"/>
    <x v="0"/>
    <s v="Cancelled"/>
    <m/>
    <n v="0"/>
    <m/>
    <m/>
    <m/>
    <s v="Sep-24"/>
    <n v="39"/>
    <s v="2024"/>
  </r>
  <r>
    <d v="2024-09-26T00:00:00"/>
    <s v="Dine in at Shamshabad"/>
    <s v="Call"/>
    <s v="Travel Group"/>
    <x v="1"/>
    <s v="Somnath"/>
    <s v="Tourist group from Kolkata on 26 September 2024"/>
    <n v="15000"/>
    <n v="15000"/>
    <x v="11"/>
    <x v="0"/>
    <x v="1"/>
    <s v="Closed"/>
    <m/>
    <n v="0"/>
    <m/>
    <m/>
    <m/>
    <s v="Sep-24"/>
    <n v="39"/>
    <s v="2024"/>
  </r>
  <r>
    <d v="2024-09-26T00:00:00"/>
    <s v="Compass Group"/>
    <s v="F2F"/>
    <s v="Corporate"/>
    <x v="17"/>
    <s v="Helal"/>
    <s v="Discussion in regards with popup counter"/>
    <n v="30000"/>
    <n v="0"/>
    <x v="12"/>
    <x v="0"/>
    <x v="0"/>
    <s v="Cancelled"/>
    <m/>
    <n v="0"/>
    <m/>
    <m/>
    <m/>
    <s v="Sep-24"/>
    <n v="39"/>
    <s v="2024"/>
  </r>
  <r>
    <d v="2024-09-26T00:00:00"/>
    <s v="Walking Tree"/>
    <s v="F2F"/>
    <s v="Corporate"/>
    <x v="0"/>
    <s v="Sonam"/>
    <s v="Introduction to team lunch and delivery"/>
    <n v="20000"/>
    <n v="0"/>
    <x v="12"/>
    <x v="0"/>
    <x v="0"/>
    <s v="Cancelled"/>
    <m/>
    <n v="0"/>
    <m/>
    <m/>
    <m/>
    <s v="Sep-24"/>
    <n v="39"/>
    <s v="2024"/>
  </r>
  <r>
    <d v="2024-09-26T00:00:00"/>
    <s v="Naagarjuna School"/>
    <s v="Call"/>
    <s v="School"/>
    <x v="4"/>
    <s v="Vittal Reddy"/>
    <s v="Introduction to bulk delivery of food and snacks"/>
    <n v="40000"/>
    <n v="0"/>
    <x v="12"/>
    <x v="0"/>
    <x v="0"/>
    <s v="Cancelled"/>
    <m/>
    <n v="0"/>
    <m/>
    <m/>
    <m/>
    <s v="Sep-24"/>
    <n v="39"/>
    <s v="2024"/>
  </r>
  <r>
    <d v="2024-09-26T00:00:00"/>
    <s v="Genpact"/>
    <s v="Call"/>
    <s v="Corporate"/>
    <x v="0"/>
    <s v="Vivek"/>
    <s v="Introduction to team lunch "/>
    <n v="30000"/>
    <n v="0"/>
    <x v="12"/>
    <x v="0"/>
    <x v="0"/>
    <s v="Cancelled"/>
    <m/>
    <n v="0"/>
    <m/>
    <m/>
    <m/>
    <s v="Sep-24"/>
    <n v="39"/>
    <s v="2024"/>
  </r>
  <r>
    <d v="2024-09-27T00:00:00"/>
    <s v="Epiroc Drilling Tools"/>
    <s v="Call"/>
    <s v="Corporate"/>
    <x v="7"/>
    <s v="Mahesh"/>
    <s v="Recharged wallet of 5 employees"/>
    <n v="2500"/>
    <n v="2500"/>
    <x v="11"/>
    <x v="0"/>
    <x v="1"/>
    <s v="Closed"/>
    <m/>
    <n v="0"/>
    <m/>
    <m/>
    <m/>
    <s v="Sep-24"/>
    <n v="39"/>
    <s v="2024"/>
  </r>
  <r>
    <d v="2024-09-27T00:00:00"/>
    <s v="Delivery at Masabtank"/>
    <s v="Call"/>
    <s v="Events"/>
    <x v="10"/>
    <s v="Praveen"/>
    <s v="Delivery of MB Handi and CB on 27 Sept 2024"/>
    <n v="20000"/>
    <n v="20000"/>
    <x v="11"/>
    <x v="0"/>
    <x v="1"/>
    <s v="Closed"/>
    <m/>
    <n v="0"/>
    <m/>
    <m/>
    <m/>
    <s v="Sep-24"/>
    <n v="39"/>
    <s v="2024"/>
  </r>
  <r>
    <d v="2024-09-27T00:00:00"/>
    <s v="Ratna Global technologioes"/>
    <s v="F2F"/>
    <s v="Corporate"/>
    <x v="0"/>
    <s v="Elisha"/>
    <s v="Follow up for bulk orders"/>
    <n v="18000"/>
    <n v="0"/>
    <x v="12"/>
    <x v="0"/>
    <x v="0"/>
    <s v="Cancelled"/>
    <m/>
    <n v="0"/>
    <m/>
    <m/>
    <m/>
    <s v="Sep-24"/>
    <n v="39"/>
    <s v="2024"/>
  </r>
  <r>
    <d v="2024-09-27T00:00:00"/>
    <s v="Dine in at Begumpet"/>
    <s v="Call"/>
    <s v="Travel Group"/>
    <x v="1"/>
    <s v="Aquila"/>
    <s v="Dine in at Begumpet on 28 September 2024"/>
    <n v="15000"/>
    <n v="15000"/>
    <x v="11"/>
    <x v="0"/>
    <x v="1"/>
    <s v="Closed"/>
    <m/>
    <n v="0"/>
    <m/>
    <m/>
    <m/>
    <s v="Sep-24"/>
    <n v="39"/>
    <s v="2024"/>
  </r>
  <r>
    <d v="2024-09-28T00:00:00"/>
    <s v="Delivery of VB at Airport"/>
    <s v="Call"/>
    <s v="Travel Group"/>
    <x v="1"/>
    <s v="Somnaath"/>
    <s v="Delivery of VB on 28 September 2024"/>
    <n v="10000"/>
    <n v="10000"/>
    <x v="11"/>
    <x v="0"/>
    <x v="1"/>
    <s v="Closed"/>
    <m/>
    <n v="0"/>
    <m/>
    <m/>
    <m/>
    <s v="Sep-24"/>
    <n v="39"/>
    <s v="2024"/>
  </r>
  <r>
    <d v="2024-09-29T00:00:00"/>
    <s v="Delivery at Kothapet Orphanage"/>
    <s v="Call"/>
    <s v="Orphanage"/>
    <x v="14"/>
    <s v="Siraj"/>
    <s v="Delivery of CB on 29 September 2024"/>
    <n v="8000"/>
    <n v="8000"/>
    <x v="11"/>
    <x v="0"/>
    <x v="1"/>
    <s v="Closed"/>
    <m/>
    <n v="0"/>
    <m/>
    <m/>
    <m/>
    <s v="Sep-24"/>
    <n v="39"/>
    <s v="2024"/>
  </r>
  <r>
    <d v="2024-09-29T00:00:00"/>
    <s v="Dine in at IMAX"/>
    <s v="Call"/>
    <s v="Travel Group"/>
    <x v="1"/>
    <s v="Abbu"/>
    <s v="Travel group from Kerela 29 September 2024"/>
    <n v="25000"/>
    <n v="25000"/>
    <x v="11"/>
    <x v="0"/>
    <x v="1"/>
    <s v="Closed"/>
    <m/>
    <n v="0"/>
    <m/>
    <m/>
    <m/>
    <s v="Sep-24"/>
    <n v="39"/>
    <s v="2024"/>
  </r>
  <r>
    <d v="2024-09-30T00:00:00"/>
    <s v="Delivery at Airport"/>
    <s v="Call"/>
    <s v="Travel Group"/>
    <x v="1"/>
    <s v="Shubendu"/>
    <s v="Travel group from Kolkata on 30 September 2024"/>
    <n v="10000"/>
    <n v="10000"/>
    <x v="11"/>
    <x v="0"/>
    <x v="1"/>
    <s v="Closed"/>
    <m/>
    <n v="0"/>
    <m/>
    <m/>
    <m/>
    <s v="Sep-24"/>
    <n v="40"/>
    <s v="2024"/>
  </r>
  <r>
    <d v="2024-09-30T00:00:00"/>
    <s v="Axis Securities "/>
    <s v="F2F"/>
    <s v="Corporate"/>
    <x v="21"/>
    <s v="Nilesh"/>
    <s v="Delivery of CB and MB from Begumpet on 30-9-24"/>
    <n v="14500"/>
    <n v="14500"/>
    <x v="11"/>
    <x v="0"/>
    <x v="1"/>
    <s v="Closed"/>
    <m/>
    <n v="0"/>
    <m/>
    <m/>
    <m/>
    <s v="Sep-24"/>
    <n v="40"/>
    <s v="2024"/>
  </r>
  <r>
    <d v="2024-09-30T00:00:00"/>
    <s v="Dine In at Padmaraonagar"/>
    <s v="F2F"/>
    <s v="Corporate"/>
    <x v="1"/>
    <s v="Poorvi"/>
    <s v="Dine in on 30 September 2024"/>
    <n v="16000"/>
    <n v="16000"/>
    <x v="11"/>
    <x v="0"/>
    <x v="1"/>
    <s v="Closed"/>
    <m/>
    <n v="0"/>
    <m/>
    <m/>
    <m/>
    <s v="Sep-24"/>
    <n v="40"/>
    <s v="2024"/>
  </r>
  <r>
    <d v="2024-09-30T00:00:00"/>
    <s v="Delivery at Manikonda"/>
    <s v="Call"/>
    <s v="Corporate"/>
    <x v="0"/>
    <s v="Karthik"/>
    <s v="Delivery of chicken Tikka on 1 October 2024"/>
    <n v="4000"/>
    <n v="4000"/>
    <x v="8"/>
    <x v="0"/>
    <x v="1"/>
    <s v="Closed"/>
    <m/>
    <n v="0"/>
    <m/>
    <m/>
    <m/>
    <s v="Sep-24"/>
    <n v="40"/>
    <s v="2024"/>
  </r>
  <r>
    <d v="2024-09-30T00:00:00"/>
    <s v="Smart Q"/>
    <s v="F2F"/>
    <s v="Corporate"/>
    <x v="17"/>
    <s v="Nikita"/>
    <s v="Discussion in regards with popup counter"/>
    <n v="50000"/>
    <n v="0"/>
    <x v="12"/>
    <x v="0"/>
    <x v="0"/>
    <s v="Cancelled"/>
    <m/>
    <n v="0"/>
    <m/>
    <m/>
    <m/>
    <s v="Sep-24"/>
    <n v="40"/>
    <s v="2024"/>
  </r>
  <r>
    <d v="2024-10-01T00:00:00"/>
    <s v="Kheti Corporate"/>
    <s v="F2F"/>
    <s v="Corporate"/>
    <x v="18"/>
    <s v="Praveen"/>
    <s v="Dine in at Gachibowli onn 1st October 2024"/>
    <n v="19500"/>
    <n v="19500"/>
    <x v="8"/>
    <x v="0"/>
    <x v="1"/>
    <s v="Closed"/>
    <m/>
    <n v="0"/>
    <m/>
    <m/>
    <m/>
    <s v="Oct-24"/>
    <n v="40"/>
    <s v="2024"/>
  </r>
  <r>
    <d v="2024-10-01T00:00:00"/>
    <s v="Utsab Cultural Association"/>
    <s v="F2F"/>
    <s v="Exhibition"/>
    <x v="17"/>
    <s v="Indronil"/>
    <s v="Stall setup and menu confirmation"/>
    <n v="0"/>
    <n v="0"/>
    <x v="8"/>
    <x v="0"/>
    <x v="1"/>
    <s v="Closed"/>
    <m/>
    <n v="0"/>
    <m/>
    <m/>
    <m/>
    <s v="Oct-24"/>
    <n v="40"/>
    <s v="2024"/>
  </r>
  <r>
    <d v="2024-10-01T00:00:00"/>
    <s v="King Research Academy"/>
    <s v="F2F"/>
    <s v="Corporate"/>
    <x v="4"/>
    <s v="Vijay"/>
    <s v="Follow up for Team Lunch Order"/>
    <n v="0"/>
    <n v="0"/>
    <x v="8"/>
    <x v="0"/>
    <x v="1"/>
    <s v="Closed"/>
    <m/>
    <n v="0"/>
    <m/>
    <m/>
    <m/>
    <s v="Oct-24"/>
    <n v="40"/>
    <s v="2024"/>
  </r>
  <r>
    <d v="2024-10-01T00:00:00"/>
    <s v="Cube Highways (GMR)"/>
    <s v="F2F"/>
    <s v="Corporate"/>
    <x v="15"/>
    <s v="Kiran"/>
    <s v="Buffet Lunch on 25 October"/>
    <n v="0"/>
    <n v="0"/>
    <x v="8"/>
    <x v="0"/>
    <x v="1"/>
    <s v="Closed"/>
    <m/>
    <n v="0"/>
    <m/>
    <m/>
    <m/>
    <s v="Oct-24"/>
    <n v="40"/>
    <s v="2024"/>
  </r>
  <r>
    <d v="2024-10-02T00:00:00"/>
    <s v="Delivery at Kondapur"/>
    <s v="Call"/>
    <s v="Events"/>
    <x v="10"/>
    <s v="Annie"/>
    <s v="Delivery of CB on 6 October 2024"/>
    <n v="24000"/>
    <n v="24000"/>
    <x v="8"/>
    <x v="0"/>
    <x v="1"/>
    <s v="Closed"/>
    <m/>
    <n v="0"/>
    <m/>
    <m/>
    <m/>
    <s v="Oct-24"/>
    <n v="40"/>
    <s v="2024"/>
  </r>
  <r>
    <d v="2024-10-02T00:00:00"/>
    <s v="Delivery at Nampally Station"/>
    <s v="Call"/>
    <s v="Tourist Group"/>
    <x v="1"/>
    <s v="Nitin"/>
    <s v="Delivery of CB &amp; VB on 2 October 2022"/>
    <n v="10000"/>
    <n v="10000"/>
    <x v="8"/>
    <x v="0"/>
    <x v="1"/>
    <s v="Closed"/>
    <m/>
    <n v="0"/>
    <m/>
    <m/>
    <m/>
    <s v="Oct-24"/>
    <n v="40"/>
    <s v="2024"/>
  </r>
  <r>
    <d v="2024-10-03T00:00:00"/>
    <s v="Delivery at Manikonda"/>
    <s v="F2F"/>
    <s v="Events"/>
    <x v="10"/>
    <s v="Sattar"/>
    <s v="Delivery of CB on 04 October 2024"/>
    <n v="8000"/>
    <n v="8000"/>
    <x v="8"/>
    <x v="0"/>
    <x v="1"/>
    <s v="Closed"/>
    <m/>
    <n v="0"/>
    <m/>
    <m/>
    <m/>
    <s v="Oct-24"/>
    <n v="40"/>
    <s v="2024"/>
  </r>
  <r>
    <d v="2024-10-03T00:00:00"/>
    <s v="Isthara "/>
    <s v="F2F"/>
    <s v="Corporate"/>
    <x v="17"/>
    <s v="Sumit"/>
    <s v="Discussion in regards with corporate counter and Gifting"/>
    <n v="50000"/>
    <n v="0"/>
    <x v="17"/>
    <x v="0"/>
    <x v="0"/>
    <s v="Cancelled"/>
    <m/>
    <n v="0"/>
    <m/>
    <m/>
    <m/>
    <s v="Oct-24"/>
    <n v="40"/>
    <s v="2025"/>
  </r>
  <r>
    <d v="2024-10-03T00:00:00"/>
    <s v="Aurbindo Pharma"/>
    <s v="F2F"/>
    <s v="Corporate"/>
    <x v="5"/>
    <s v="Bapiraju"/>
    <s v="Discussion for Corporate Gifting and Bulk order"/>
    <n v="0"/>
    <n v="0"/>
    <x v="13"/>
    <x v="0"/>
    <x v="1"/>
    <s v="Closed"/>
    <m/>
    <n v="0"/>
    <m/>
    <m/>
    <m/>
    <s v="Oct-24"/>
    <n v="40"/>
    <s v="2025"/>
  </r>
  <r>
    <d v="2024-10-03T00:00:00"/>
    <s v="CGR International School"/>
    <s v="F2F"/>
    <s v="School"/>
    <x v="4"/>
    <s v="Jaffar"/>
    <s v="Introduction to bulk order and delivery"/>
    <n v="30000"/>
    <n v="0"/>
    <x v="13"/>
    <x v="0"/>
    <x v="0"/>
    <s v="Cancelled"/>
    <s v="Event Cancelled"/>
    <n v="0"/>
    <m/>
    <m/>
    <m/>
    <s v="Oct-24"/>
    <n v="40"/>
    <s v="2025"/>
  </r>
  <r>
    <d v="2024-10-03T00:00:00"/>
    <s v="Jodas Expiom Bio"/>
    <s v="Call"/>
    <s v="Corporate"/>
    <x v="5"/>
    <s v="Ishika"/>
    <s v="Introduction to bulk order and Gifting"/>
    <n v="50000"/>
    <n v="0"/>
    <x v="13"/>
    <x v="0"/>
    <x v="0"/>
    <s v="Cancelled"/>
    <s v="No requirement"/>
    <n v="0"/>
    <m/>
    <m/>
    <m/>
    <s v="Oct-24"/>
    <n v="40"/>
    <s v="2025"/>
  </r>
  <r>
    <d v="2024-10-04T00:00:00"/>
    <s v="Utsab Cultural Association"/>
    <s v="F2F"/>
    <s v="Exhibition"/>
    <x v="17"/>
    <s v="Indronil"/>
    <s v="Stall setup and menu confirmation"/>
    <n v="0"/>
    <n v="0"/>
    <x v="8"/>
    <x v="0"/>
    <x v="1"/>
    <s v="Closed"/>
    <m/>
    <n v="0"/>
    <m/>
    <m/>
    <m/>
    <s v="Oct-24"/>
    <n v="40"/>
    <s v="2024"/>
  </r>
  <r>
    <d v="2024-10-05T00:00:00"/>
    <s v="Delivery at Saidabad"/>
    <s v="Call"/>
    <s v="Events"/>
    <x v="10"/>
    <s v="Dilip"/>
    <s v="CB,MB and Kabab from Kothapet on 6 October 2024"/>
    <n v="21000"/>
    <n v="21000"/>
    <x v="8"/>
    <x v="0"/>
    <x v="1"/>
    <s v="Closed"/>
    <m/>
    <n v="0"/>
    <m/>
    <m/>
    <m/>
    <s v="Oct-24"/>
    <n v="40"/>
    <s v="2024"/>
  </r>
  <r>
    <d v="2024-10-07T00:00:00"/>
    <s v="Intercity Transport Logistics"/>
    <s v="F2F"/>
    <s v="Corporate"/>
    <x v="17"/>
    <s v="Mallikarjuna"/>
    <s v="Delivery of CB at Multi locations in October"/>
    <n v="0"/>
    <n v="0"/>
    <x v="8"/>
    <x v="0"/>
    <x v="1"/>
    <s v="Closed"/>
    <m/>
    <n v="0"/>
    <m/>
    <m/>
    <m/>
    <s v="Oct-24"/>
    <n v="41"/>
    <s v="2024"/>
  </r>
  <r>
    <d v="2024-10-07T00:00:00"/>
    <s v="Epiroc Drilling Tools"/>
    <s v="F2F"/>
    <s v="Corporate"/>
    <x v="7"/>
    <s v="Mahesh"/>
    <s v="Follow up "/>
    <n v="0"/>
    <n v="0"/>
    <x v="18"/>
    <x v="0"/>
    <x v="0"/>
    <s v="Cancelled"/>
    <m/>
    <n v="0"/>
    <s v="Bulk Order"/>
    <m/>
    <m/>
    <s v="Oct-24"/>
    <n v="41"/>
    <s v="2025"/>
  </r>
  <r>
    <d v="2024-10-07T00:00:00"/>
    <s v="Bangia Sanskritik Sangh"/>
    <s v="F2F"/>
    <s v="Corporate"/>
    <x v="17"/>
    <s v="Ram"/>
    <s v="Stall setup and Branding"/>
    <n v="0"/>
    <n v="0"/>
    <x v="8"/>
    <x v="0"/>
    <x v="1"/>
    <s v="Closed"/>
    <m/>
    <n v="0"/>
    <m/>
    <m/>
    <m/>
    <s v="Oct-24"/>
    <n v="41"/>
    <s v="2024"/>
  </r>
  <r>
    <d v="2024-10-08T00:00:00"/>
    <s v="MSN Labs"/>
    <s v="F2F"/>
    <s v="Corporate"/>
    <x v="5"/>
    <s v="Satya"/>
    <s v="Follow up for PO"/>
    <n v="0"/>
    <n v="0"/>
    <x v="8"/>
    <x v="0"/>
    <x v="1"/>
    <s v="Closed"/>
    <m/>
    <n v="0"/>
    <m/>
    <m/>
    <m/>
    <s v="Oct-24"/>
    <n v="41"/>
    <s v="2024"/>
  </r>
  <r>
    <d v="2024-10-08T00:00:00"/>
    <s v="ODC at Hrishi Sir's Place"/>
    <s v="F2F"/>
    <s v="Events"/>
    <x v="10"/>
    <s v="Hrishikesh"/>
    <s v="B Day party on 11 October 2024"/>
    <n v="61690"/>
    <n v="61690"/>
    <x v="8"/>
    <x v="0"/>
    <x v="1"/>
    <s v="Closed"/>
    <m/>
    <n v="0"/>
    <m/>
    <m/>
    <m/>
    <s v="Oct-24"/>
    <n v="41"/>
    <s v="2024"/>
  </r>
  <r>
    <d v="2024-10-09T00:00:00"/>
    <s v="Intercity Transport Logistics"/>
    <s v="F2F"/>
    <s v="Corporate"/>
    <x v="2"/>
    <s v="Mallikarjuna"/>
    <s v="lunch delivery on 10 October 2024"/>
    <n v="219180"/>
    <n v="219180"/>
    <x v="8"/>
    <x v="0"/>
    <x v="1"/>
    <s v="Closed"/>
    <m/>
    <n v="0"/>
    <m/>
    <m/>
    <m/>
    <s v="Oct-24"/>
    <n v="41"/>
    <s v="2024"/>
  </r>
  <r>
    <d v="2024-10-10T00:00:00"/>
    <s v="Dine in at Kukatpally"/>
    <s v="Call"/>
    <s v="Travel Group"/>
    <x v="1"/>
    <s v="Vivek"/>
    <s v="Dine in at kukatpally on 11 October 2024"/>
    <n v="12000"/>
    <n v="12000"/>
    <x v="8"/>
    <x v="0"/>
    <x v="1"/>
    <s v="Closed"/>
    <m/>
    <n v="0"/>
    <m/>
    <m/>
    <m/>
    <s v="Oct-24"/>
    <n v="41"/>
    <s v="2024"/>
  </r>
  <r>
    <d v="2024-10-10T00:00:00"/>
    <s v="Delivery at Y Junction "/>
    <s v="Call"/>
    <s v="Events"/>
    <x v="10"/>
    <s v="Mallikarkuna"/>
    <s v="Delivery of CB and Kabab on 10 October 2024"/>
    <n v="9000"/>
    <n v="9000"/>
    <x v="8"/>
    <x v="0"/>
    <x v="1"/>
    <s v="Closed"/>
    <m/>
    <n v="0"/>
    <m/>
    <m/>
    <m/>
    <s v="Oct-24"/>
    <n v="41"/>
    <s v="2024"/>
  </r>
  <r>
    <d v="2024-10-10T00:00:00"/>
    <s v="MSN Labs"/>
    <s v="F2F"/>
    <s v="Corporate"/>
    <x v="5"/>
    <s v="Sandeep"/>
    <s v="Follow up for PO"/>
    <n v="0"/>
    <n v="0"/>
    <x v="8"/>
    <x v="0"/>
    <x v="1"/>
    <s v="Closed"/>
    <m/>
    <n v="0"/>
    <m/>
    <m/>
    <m/>
    <s v="Oct-24"/>
    <n v="41"/>
    <s v="2024"/>
  </r>
  <r>
    <d v="2024-10-10T00:00:00"/>
    <s v="Durga Pooja at Keys High School"/>
    <s v="F2F"/>
    <s v="Corporate"/>
    <x v="17"/>
    <s v="Ram"/>
    <s v="Food Stall on 8.9,10 ,11 ,12,October"/>
    <n v="37650"/>
    <n v="37650"/>
    <x v="8"/>
    <x v="0"/>
    <x v="1"/>
    <s v="Closed"/>
    <m/>
    <n v="0"/>
    <m/>
    <m/>
    <m/>
    <s v="Oct-24"/>
    <n v="41"/>
    <s v="2024"/>
  </r>
  <r>
    <d v="2024-10-10T00:00:00"/>
    <s v="Durga Pooja at NITHM"/>
    <s v="F2F"/>
    <s v="Corporate"/>
    <x v="17"/>
    <s v="Indronil"/>
    <s v="Food Stall on 8.9,10 ,11 ,12,13 October"/>
    <n v="58000"/>
    <n v="58000"/>
    <x v="8"/>
    <x v="0"/>
    <x v="1"/>
    <s v="Closed"/>
    <m/>
    <n v="0"/>
    <m/>
    <m/>
    <m/>
    <s v="Oct-24"/>
    <n v="41"/>
    <s v="2024"/>
  </r>
  <r>
    <d v="2024-10-14T00:00:00"/>
    <s v="Amazon"/>
    <s v="F2F"/>
    <s v="Corporate"/>
    <x v="0"/>
    <s v="Kalyan"/>
    <s v="Planning for 3000 Royal CB by november"/>
    <n v="550000"/>
    <n v="0"/>
    <x v="12"/>
    <x v="0"/>
    <x v="0"/>
    <s v="Cancelled"/>
    <m/>
    <n v="0"/>
    <m/>
    <m/>
    <m/>
    <s v="Oct-24"/>
    <n v="42"/>
    <s v="2024"/>
  </r>
  <r>
    <d v="2024-10-14T00:00:00"/>
    <s v="Brihaspati Technologies"/>
    <s v="F2F"/>
    <s v="Corporate"/>
    <x v="0"/>
    <s v="Madhavi"/>
    <s v="I ntroduction to Bulk orders and Gifting"/>
    <n v="30000"/>
    <n v="0"/>
    <x v="13"/>
    <x v="0"/>
    <x v="0"/>
    <s v="Cancelled"/>
    <s v="No requirement"/>
    <n v="0"/>
    <m/>
    <m/>
    <m/>
    <s v="Oct-24"/>
    <n v="42"/>
    <s v="2025"/>
  </r>
  <r>
    <d v="2024-10-14T00:00:00"/>
    <s v="Archana Travels"/>
    <s v="F2F"/>
    <s v="Corporate"/>
    <x v="2"/>
    <s v="Abhilash"/>
    <s v="Introduction to bulk orders"/>
    <n v="25000"/>
    <n v="0"/>
    <x v="13"/>
    <x v="0"/>
    <x v="0"/>
    <s v="Cancelled"/>
    <s v="No requirement"/>
    <n v="0"/>
    <m/>
    <m/>
    <m/>
    <s v="Oct-24"/>
    <n v="42"/>
    <s v="2025"/>
  </r>
  <r>
    <d v="2024-10-15T00:00:00"/>
    <s v="DRDO"/>
    <s v="F2F"/>
    <s v="Corporate"/>
    <x v="22"/>
    <s v="Bala Sunramanyan"/>
    <s v="Delivery of CB,MB,VB,DKM on 17 October 2024 "/>
    <n v="28000"/>
    <n v="28000"/>
    <x v="8"/>
    <x v="0"/>
    <x v="1"/>
    <s v="Closed"/>
    <m/>
    <n v="0"/>
    <m/>
    <m/>
    <m/>
    <s v="Oct-24"/>
    <n v="42"/>
    <s v="2024"/>
  </r>
  <r>
    <d v="2024-10-15T00:00:00"/>
    <s v="HDFC"/>
    <s v="Call"/>
    <s v="Corporate"/>
    <x v="21"/>
    <s v="Venkat"/>
    <s v="Delivery of CB,VB, Snacks ob 20 October 2024"/>
    <n v="0"/>
    <n v="0"/>
    <x v="8"/>
    <x v="0"/>
    <x v="1"/>
    <s v="Closed"/>
    <m/>
    <n v="0"/>
    <m/>
    <m/>
    <m/>
    <s v="Oct-24"/>
    <n v="42"/>
    <s v="2024"/>
  </r>
  <r>
    <d v="2024-10-15T00:00:00"/>
    <s v="Hive Space"/>
    <s v="F2F"/>
    <s v="Corporate"/>
    <x v="0"/>
    <s v="Malliakrjuna"/>
    <s v="Introduction to gifting and bulk order"/>
    <n v="30000"/>
    <n v="0"/>
    <x v="13"/>
    <x v="0"/>
    <x v="0"/>
    <s v="Cancelled"/>
    <s v="Less Budget"/>
    <n v="0"/>
    <m/>
    <m/>
    <m/>
    <s v="Oct-24"/>
    <n v="42"/>
    <s v="2025"/>
  </r>
  <r>
    <d v="2024-10-15T00:00:00"/>
    <s v="Biological E Limited"/>
    <s v="Call"/>
    <s v="Corporate"/>
    <x v="5"/>
    <s v="Chakrapani"/>
    <s v="Shared details of Gifting options"/>
    <n v="50000"/>
    <n v="0"/>
    <x v="13"/>
    <x v="0"/>
    <x v="0"/>
    <s v="Cancelled"/>
    <s v="Directly came for dine in in small teams"/>
    <n v="0"/>
    <m/>
    <m/>
    <m/>
    <s v="Oct-24"/>
    <n v="42"/>
    <s v="2025"/>
  </r>
  <r>
    <d v="2024-10-16T00:00:00"/>
    <s v="Travel group fron Tanjaur"/>
    <s v="Call"/>
    <s v="Travel Group"/>
    <x v="1"/>
    <s v="Anabarasan"/>
    <s v="Dine in at I MAX on 17 October 2024"/>
    <n v="36000"/>
    <n v="36000"/>
    <x v="8"/>
    <x v="0"/>
    <x v="1"/>
    <s v="Closed"/>
    <m/>
    <n v="0"/>
    <m/>
    <m/>
    <m/>
    <s v="Oct-24"/>
    <n v="42"/>
    <s v="2024"/>
  </r>
  <r>
    <d v="2024-10-16T00:00:00"/>
    <s v="HDFC Bank"/>
    <s v="F2F"/>
    <s v="Corporate"/>
    <x v="21"/>
    <s v="Praveen"/>
    <s v="Discussion and upsell of food for delivery on 20 Oct 24"/>
    <n v="402550"/>
    <n v="402550"/>
    <x v="8"/>
    <x v="0"/>
    <x v="1"/>
    <s v="Closed"/>
    <m/>
    <n v="0"/>
    <m/>
    <m/>
    <m/>
    <s v="Oct-24"/>
    <n v="42"/>
    <s v="2024"/>
  </r>
  <r>
    <d v="2024-10-16T00:00:00"/>
    <s v="Zomato"/>
    <s v="F2F"/>
    <s v="Corporate"/>
    <x v="17"/>
    <s v="Shubham"/>
    <s v="Discussion for food delivery on 22 OCT 2024"/>
    <n v="557702"/>
    <n v="557702"/>
    <x v="8"/>
    <x v="0"/>
    <x v="1"/>
    <s v="Closed"/>
    <m/>
    <n v="0"/>
    <m/>
    <m/>
    <m/>
    <s v="Oct-24"/>
    <n v="42"/>
    <s v="2024"/>
  </r>
  <r>
    <d v="2024-10-16T00:00:00"/>
    <s v="Mount Opera"/>
    <s v="Call"/>
    <s v="Corporate"/>
    <x v="6"/>
    <s v="Bhavya"/>
    <s v="Follow up for student food"/>
    <n v="100000"/>
    <n v="0"/>
    <x v="12"/>
    <x v="0"/>
    <x v="0"/>
    <s v="Cancelled"/>
    <m/>
    <n v="0"/>
    <m/>
    <m/>
    <m/>
    <s v="Oct-24"/>
    <n v="42"/>
    <s v="2024"/>
  </r>
  <r>
    <d v="2024-10-16T00:00:00"/>
    <s v="Preventive Pharma"/>
    <s v="F2F"/>
    <s v="Corporate"/>
    <x v="5"/>
    <s v="Naresh"/>
    <s v="Introduction to bulk order"/>
    <n v="50000"/>
    <m/>
    <x v="19"/>
    <x v="0"/>
    <x v="0"/>
    <s v="Cold"/>
    <m/>
    <n v="0"/>
    <m/>
    <m/>
    <m/>
    <s v="Oct-24"/>
    <n v="42"/>
    <s v="2025"/>
  </r>
  <r>
    <d v="2024-10-17T00:00:00"/>
    <s v="HDFC"/>
    <s v="F2F"/>
    <s v="Corporate"/>
    <x v="21"/>
    <s v="Praveen"/>
    <s v="Followup for closure"/>
    <n v="0"/>
    <n v="0"/>
    <x v="8"/>
    <x v="0"/>
    <x v="1"/>
    <s v="Closed"/>
    <m/>
    <n v="0"/>
    <m/>
    <m/>
    <m/>
    <s v="Oct-24"/>
    <n v="42"/>
    <s v="2024"/>
  </r>
  <r>
    <d v="2024-10-17T00:00:00"/>
    <s v="Intercity Transport Logistics"/>
    <s v="F2F"/>
    <s v="Corporate"/>
    <x v="2"/>
    <s v="Mallikarjuna"/>
    <s v="Follow up for payment"/>
    <n v="0"/>
    <n v="0"/>
    <x v="8"/>
    <x v="0"/>
    <x v="1"/>
    <s v="Closed"/>
    <m/>
    <n v="0"/>
    <m/>
    <m/>
    <m/>
    <s v="Oct-24"/>
    <n v="42"/>
    <s v="2024"/>
  </r>
  <r>
    <d v="2024-10-18T00:00:00"/>
    <s v="Delivery at Bowenpally"/>
    <s v="Call"/>
    <s v="Events"/>
    <x v="10"/>
    <s v="Sarfaraz"/>
    <s v="Delivery of CB on 19 October 2024 "/>
    <n v="12000"/>
    <n v="12000"/>
    <x v="8"/>
    <x v="0"/>
    <x v="1"/>
    <s v="Closed"/>
    <m/>
    <n v="0"/>
    <m/>
    <m/>
    <m/>
    <s v="Oct-24"/>
    <n v="42"/>
    <s v="2024"/>
  </r>
  <r>
    <d v="2024-10-18T00:00:00"/>
    <s v="Delivery at Tarnaka"/>
    <s v="Call"/>
    <s v="Events"/>
    <x v="10"/>
    <s v="Chandrakala"/>
    <s v="Delivery of MB and starters on 27 October 2024"/>
    <n v="35000"/>
    <n v="0"/>
    <x v="8"/>
    <x v="0"/>
    <x v="0"/>
    <s v="Cancelled"/>
    <m/>
    <n v="0"/>
    <m/>
    <m/>
    <m/>
    <s v="Oct-24"/>
    <n v="42"/>
    <s v="2024"/>
  </r>
  <r>
    <d v="2024-10-18T00:00:00"/>
    <s v="ODC at Aurora Design Institute"/>
    <s v="F2F"/>
    <s v="College"/>
    <x v="4"/>
    <s v="Sheema"/>
    <s v="ODC Event on 25th to 27th October 2024"/>
    <n v="60000"/>
    <n v="0"/>
    <x v="8"/>
    <x v="0"/>
    <x v="0"/>
    <s v="Cancelled"/>
    <s v="Not feasible/Profitable."/>
    <n v="0"/>
    <m/>
    <m/>
    <m/>
    <s v="Oct-24"/>
    <n v="42"/>
    <s v="2024"/>
  </r>
  <r>
    <d v="2024-10-23T00:00:00"/>
    <s v="DBS "/>
    <s v="F2F"/>
    <s v="Corporate"/>
    <x v="21"/>
    <s v="Sadhiqa"/>
    <s v="Delivery of Combo meal for 127 people on 25-11-24"/>
    <n v="46405"/>
    <n v="46405"/>
    <x v="8"/>
    <x v="0"/>
    <x v="1"/>
    <s v="Closed"/>
    <m/>
    <n v="0"/>
    <m/>
    <m/>
    <m/>
    <s v="Oct-24"/>
    <n v="43"/>
    <s v="2024"/>
  </r>
  <r>
    <d v="2024-10-23T00:00:00"/>
    <s v="Buffet Lunch at Padmaraonagar"/>
    <s v="F2F"/>
    <s v="Events"/>
    <x v="10"/>
    <s v="Nazir"/>
    <s v="Buffet lunch for 120 PAX on 27 October"/>
    <n v="90000"/>
    <n v="0"/>
    <x v="8"/>
    <x v="0"/>
    <x v="0"/>
    <s v="Cancelled"/>
    <s v="Less Budget"/>
    <n v="0"/>
    <m/>
    <m/>
    <m/>
    <s v="Oct-24"/>
    <n v="43"/>
    <s v="2024"/>
  </r>
  <r>
    <d v="2024-10-23T00:00:00"/>
    <s v="Gokhana Capital Land Ataria"/>
    <s v="F2F"/>
    <s v="Corporate"/>
    <x v="17"/>
    <s v="Sandhya"/>
    <s v="Site visit of Cafateria "/>
    <n v="0"/>
    <n v="0"/>
    <x v="14"/>
    <x v="0"/>
    <x v="1"/>
    <s v="Closed"/>
    <m/>
    <n v="0"/>
    <m/>
    <m/>
    <m/>
    <s v="Oct-24"/>
    <n v="43"/>
    <s v="2025"/>
  </r>
  <r>
    <d v="2024-10-23T00:00:00"/>
    <s v="IIT HYD"/>
    <s v="F2F"/>
    <s v="College"/>
    <x v="4"/>
    <s v="Anik Das"/>
    <s v="Buffet Lunch for 100 PAX on 6 November 2024"/>
    <n v="0"/>
    <n v="0"/>
    <x v="16"/>
    <x v="0"/>
    <x v="1"/>
    <s v="Closed"/>
    <m/>
    <n v="0"/>
    <m/>
    <m/>
    <m/>
    <s v="Oct-24"/>
    <n v="43"/>
    <s v="2024"/>
  </r>
  <r>
    <d v="2024-10-24T00:00:00"/>
    <s v="Azad Engineering"/>
    <s v="F2F"/>
    <s v="Corporate"/>
    <x v="7"/>
    <s v="bharat Singh"/>
    <s v="Gift Vouchers for employees "/>
    <n v="1556000"/>
    <n v="1556000"/>
    <x v="8"/>
    <x v="0"/>
    <x v="1"/>
    <s v="Closed"/>
    <m/>
    <n v="0"/>
    <m/>
    <m/>
    <m/>
    <s v="Oct-24"/>
    <n v="43"/>
    <s v="2024"/>
  </r>
  <r>
    <d v="2024-10-24T00:00:00"/>
    <s v="Max Vision Eye Care"/>
    <s v="Call"/>
    <s v="Corporate"/>
    <x v="13"/>
    <s v="Mahendra"/>
    <s v="Dine in at secundrabad on 22 October 2024"/>
    <n v="10000"/>
    <n v="10000"/>
    <x v="8"/>
    <x v="0"/>
    <x v="1"/>
    <s v="Closed"/>
    <m/>
    <n v="0"/>
    <m/>
    <m/>
    <m/>
    <s v="Oct-24"/>
    <n v="43"/>
    <s v="2024"/>
  </r>
  <r>
    <d v="2024-10-24T00:00:00"/>
    <s v="King Research Academy"/>
    <s v="F2F"/>
    <s v="Corporate"/>
    <x v="4"/>
    <s v="Harindar"/>
    <s v="Deliverd 30 Platinum Gift Hampers on 24 October 2024"/>
    <n v="30000"/>
    <n v="30000"/>
    <x v="8"/>
    <x v="0"/>
    <x v="1"/>
    <s v="Closed"/>
    <m/>
    <n v="0"/>
    <m/>
    <m/>
    <m/>
    <s v="Oct-24"/>
    <n v="43"/>
    <s v="2024"/>
  </r>
  <r>
    <d v="2024-10-24T00:00:00"/>
    <s v="Shrestha Organics"/>
    <s v="F2F"/>
    <s v="Corporate"/>
    <x v="7"/>
    <s v="Renuka"/>
    <s v="Shared details of Diwali Gift Hampers"/>
    <n v="35000"/>
    <n v="0"/>
    <x v="14"/>
    <x v="0"/>
    <x v="0"/>
    <s v="Cold"/>
    <m/>
    <n v="0"/>
    <m/>
    <m/>
    <m/>
    <s v="Oct-24"/>
    <n v="43"/>
    <s v="2025"/>
  </r>
  <r>
    <d v="2024-10-25T00:00:00"/>
    <s v="Cube Highways (GMR)"/>
    <s v="F2F"/>
    <s v="Corporate"/>
    <x v="15"/>
    <s v="Kiran"/>
    <s v="Buffet Lunch on 25 October"/>
    <n v="191100"/>
    <n v="191100"/>
    <x v="8"/>
    <x v="0"/>
    <x v="1"/>
    <s v="Closed"/>
    <m/>
    <n v="0"/>
    <m/>
    <m/>
    <m/>
    <s v="Oct-24"/>
    <n v="43"/>
    <s v="2024"/>
  </r>
  <r>
    <d v="2024-10-26T00:00:00"/>
    <s v="Delivery at Secundrabad"/>
    <s v="Call"/>
    <s v="Events"/>
    <x v="10"/>
    <s v="Venu Gopal"/>
    <s v="Delivery of CB on 27 October 2024"/>
    <n v="25000"/>
    <n v="25000"/>
    <x v="8"/>
    <x v="0"/>
    <x v="1"/>
    <s v="Closed"/>
    <m/>
    <n v="0"/>
    <m/>
    <m/>
    <m/>
    <s v="Oct-24"/>
    <n v="43"/>
    <s v="2024"/>
  </r>
  <r>
    <d v="2024-10-27T00:00:00"/>
    <s v="Delivery at rajmundhry Railway station"/>
    <s v="Call"/>
    <s v="Corporate"/>
    <x v="1"/>
    <s v="Priya Thakur"/>
    <s v="Deliverd CB &amp; VB on 27 Oct 2024"/>
    <n v="28000"/>
    <n v="28000"/>
    <x v="8"/>
    <x v="0"/>
    <x v="1"/>
    <s v="Closed"/>
    <m/>
    <n v="0"/>
    <m/>
    <m/>
    <m/>
    <s v="Oct-24"/>
    <n v="43"/>
    <s v="2024"/>
  </r>
  <r>
    <d v="2024-10-29T00:00:00"/>
    <s v="Delivery at Manikonda"/>
    <s v="Call"/>
    <s v="Events"/>
    <x v="10"/>
    <s v="Surya"/>
    <s v="Delivery of CB at Manikonda on 29-10-24"/>
    <n v="7000"/>
    <n v="7000"/>
    <x v="8"/>
    <x v="0"/>
    <x v="1"/>
    <s v="Closed"/>
    <m/>
    <n v="0"/>
    <m/>
    <m/>
    <m/>
    <s v="Oct-24"/>
    <n v="44"/>
    <s v="2024"/>
  </r>
  <r>
    <d v="2024-10-29T00:00:00"/>
    <s v="Delivery at Jeive Convention Shamirpet"/>
    <s v="Call"/>
    <s v="Corporate"/>
    <x v="3"/>
    <s v="Vyshali"/>
    <s v="Delivery of MB,VB &amp; DKM on 17 November"/>
    <n v="30000"/>
    <n v="0"/>
    <x v="16"/>
    <x v="0"/>
    <x v="0"/>
    <s v="Cancelled"/>
    <s v="Less Budget"/>
    <n v="0"/>
    <m/>
    <m/>
    <m/>
    <s v="Oct-24"/>
    <n v="44"/>
    <s v="2024"/>
  </r>
  <r>
    <d v="2024-10-29T00:00:00"/>
    <s v="Take away From Secundrabad"/>
    <s v="Call"/>
    <s v="Events"/>
    <x v="10"/>
    <s v="Srinivas"/>
    <s v="Take away from secundrabad on 29 Oct 2024"/>
    <n v="25000"/>
    <n v="25000"/>
    <x v="8"/>
    <x v="0"/>
    <x v="1"/>
    <s v="Closed"/>
    <m/>
    <n v="0"/>
    <m/>
    <m/>
    <m/>
    <s v="Oct-24"/>
    <n v="44"/>
    <s v="2024"/>
  </r>
  <r>
    <d v="2024-10-29T00:00:00"/>
    <s v="Delivery at SEBLR Banglore (Compass)"/>
    <s v="Call"/>
    <s v="Corporate"/>
    <x v="17"/>
    <s v="Saad"/>
    <s v="New Delivery at Compass group on 30-10-24"/>
    <n v="36855"/>
    <n v="36855"/>
    <x v="8"/>
    <x v="1"/>
    <x v="1"/>
    <s v="Closed"/>
    <m/>
    <n v="0"/>
    <m/>
    <m/>
    <m/>
    <s v="Oct-24"/>
    <n v="44"/>
    <s v="2024"/>
  </r>
  <r>
    <d v="2024-10-30T00:00:00"/>
    <s v="Delivery at Begumpet"/>
    <s v="Call"/>
    <s v="Events"/>
    <x v="10"/>
    <s v="Shiva Reddy"/>
    <s v="Delivery of CB on 16 Nov"/>
    <n v="20000"/>
    <n v="0"/>
    <x v="12"/>
    <x v="0"/>
    <x v="0"/>
    <s v="Cancelled"/>
    <m/>
    <n v="0"/>
    <m/>
    <m/>
    <m/>
    <s v="Oct-24"/>
    <n v="44"/>
    <s v="2024"/>
  </r>
  <r>
    <d v="2024-10-30T00:00:00"/>
    <s v="Intercity Transport Logistics"/>
    <s v="F2F"/>
    <s v="Corporate"/>
    <x v="2"/>
    <s v="Mallikarkjuna"/>
    <s v="Delivery of Diwali Gift Hamper"/>
    <n v="0"/>
    <n v="0"/>
    <x v="8"/>
    <x v="0"/>
    <x v="1"/>
    <s v="Closed"/>
    <m/>
    <n v="0"/>
    <m/>
    <m/>
    <m/>
    <s v="Oct-24"/>
    <n v="44"/>
    <s v="2024"/>
  </r>
  <r>
    <d v="2024-10-30T00:00:00"/>
    <s v="Ramco Cement"/>
    <s v="F2F"/>
    <s v="Corporate"/>
    <x v="23"/>
    <s v="Sriram Reddy"/>
    <s v="Delivery of Diwali Gift Hamper"/>
    <n v="0"/>
    <n v="0"/>
    <x v="8"/>
    <x v="0"/>
    <x v="1"/>
    <s v="Closed"/>
    <m/>
    <n v="0"/>
    <m/>
    <m/>
    <m/>
    <s v="Oct-24"/>
    <n v="44"/>
    <s v="2024"/>
  </r>
  <r>
    <d v="2024-10-30T00:00:00"/>
    <s v="Cube Highways (GMR)"/>
    <s v="F2F"/>
    <s v="Corporate"/>
    <x v="15"/>
    <s v="Reena"/>
    <s v="Delivery of Diwali Gift Hamper"/>
    <n v="0"/>
    <n v="0"/>
    <x v="8"/>
    <x v="0"/>
    <x v="1"/>
    <s v="Closed"/>
    <m/>
    <n v="0"/>
    <m/>
    <m/>
    <m/>
    <s v="Oct-24"/>
    <n v="44"/>
    <s v="2024"/>
  </r>
  <r>
    <d v="2024-10-30T00:00:00"/>
    <s v="Delivery at Kokapet"/>
    <s v="Call"/>
    <s v="Events"/>
    <x v="10"/>
    <s v="Saikiran"/>
    <s v="Delivery of CB and Curries on 30-10-24"/>
    <n v="5000"/>
    <n v="5000"/>
    <x v="8"/>
    <x v="0"/>
    <x v="1"/>
    <s v="Closed"/>
    <m/>
    <n v="0"/>
    <m/>
    <m/>
    <m/>
    <s v="Oct-24"/>
    <n v="44"/>
    <s v="2024"/>
  </r>
  <r>
    <d v="2024-11-01T00:00:00"/>
    <s v="IIT HYD"/>
    <s v="Call"/>
    <s v="College"/>
    <x v="4"/>
    <s v="Anik Das"/>
    <s v="Received advance for food delivery on 6 Nov 2024"/>
    <n v="50000"/>
    <n v="50000"/>
    <x v="16"/>
    <x v="0"/>
    <x v="1"/>
    <s v="Closed"/>
    <m/>
    <n v="0"/>
    <m/>
    <m/>
    <m/>
    <s v="Nov-24"/>
    <n v="44"/>
    <s v="2024"/>
  </r>
  <r>
    <d v="2024-11-04T00:00:00"/>
    <s v="Delivery at Vijawada railway staton"/>
    <s v="Call"/>
    <s v="Travel Group"/>
    <x v="1"/>
    <s v="Karanbir"/>
    <s v="Deliverd CB at Vijawada on 4-11-24"/>
    <n v="20000"/>
    <n v="20000"/>
    <x v="16"/>
    <x v="0"/>
    <x v="1"/>
    <s v="Closed"/>
    <m/>
    <n v="0"/>
    <m/>
    <m/>
    <m/>
    <s v="Nov-24"/>
    <n v="45"/>
    <s v="2024"/>
  </r>
  <r>
    <d v="2024-11-05T00:00:00"/>
    <s v="Delivery at SEBLR Banglore (Compass)"/>
    <s v="Call"/>
    <s v="Corporate"/>
    <x v="17"/>
    <s v="Saad"/>
    <s v="New Delivery at Compass group on 6-11-24"/>
    <n v="36855"/>
    <n v="36855"/>
    <x v="16"/>
    <x v="1"/>
    <x v="1"/>
    <s v="Closed"/>
    <m/>
    <n v="0"/>
    <m/>
    <m/>
    <m/>
    <s v="Nov-24"/>
    <n v="45"/>
    <s v="2024"/>
  </r>
  <r>
    <d v="2024-11-06T00:00:00"/>
    <s v="Buffet lunch at Nizampet"/>
    <s v="Call"/>
    <s v="Events"/>
    <x v="10"/>
    <s v="Rafi"/>
    <s v="Delivery in November 200 Pax Buffet"/>
    <n v="160000"/>
    <n v="0"/>
    <x v="16"/>
    <x v="0"/>
    <x v="0"/>
    <s v="Cancelled"/>
    <m/>
    <n v="0"/>
    <m/>
    <m/>
    <m/>
    <s v="Nov-24"/>
    <n v="45"/>
    <s v="2024"/>
  </r>
  <r>
    <d v="2024-11-06T00:00:00"/>
    <s v="Saga Events &amp; Holidays"/>
    <s v="Call"/>
    <s v="Events"/>
    <x v="10"/>
    <s v="Vikram"/>
    <s v="Dine in at secundrabad on 6-11-24"/>
    <n v="15000"/>
    <n v="15000"/>
    <x v="16"/>
    <x v="0"/>
    <x v="1"/>
    <s v="Closed"/>
    <m/>
    <n v="0"/>
    <m/>
    <m/>
    <m/>
    <s v="Nov-24"/>
    <n v="45"/>
    <s v="2024"/>
  </r>
  <r>
    <d v="2024-11-06T00:00:00"/>
    <s v="Teavel Group from Nagpur"/>
    <s v="Call"/>
    <s v="Events"/>
    <x v="10"/>
    <s v="Nitin"/>
    <s v="Dine in at secundrabad on 10-11-24"/>
    <n v="23800"/>
    <n v="23800"/>
    <x v="16"/>
    <x v="0"/>
    <x v="1"/>
    <s v="Closed"/>
    <m/>
    <n v="0"/>
    <m/>
    <m/>
    <m/>
    <s v="Nov-24"/>
    <n v="45"/>
    <s v="2024"/>
  </r>
  <r>
    <d v="2024-11-06T00:00:00"/>
    <s v="Kaushik Enterprise "/>
    <s v="Call"/>
    <s v="Corporate"/>
    <x v="17"/>
    <s v="Suresh"/>
    <s v="Delivery  of CB, MB &amp; VB at DBS on 7-11-24"/>
    <n v="29000"/>
    <n v="29000"/>
    <x v="16"/>
    <x v="0"/>
    <x v="1"/>
    <s v="Closed"/>
    <m/>
    <n v="0"/>
    <m/>
    <m/>
    <m/>
    <s v="Nov-24"/>
    <n v="45"/>
    <s v="2024"/>
  </r>
  <r>
    <d v="2024-11-07T00:00:00"/>
    <s v="DBS Waverock"/>
    <s v="Call"/>
    <s v="Corporate"/>
    <x v="0"/>
    <s v="Bhanu"/>
    <s v="Follow up for Delivery on 28 November 2024"/>
    <n v="220000"/>
    <n v="0"/>
    <x v="12"/>
    <x v="0"/>
    <x v="0"/>
    <s v="Cancelled"/>
    <s v="Distributed amazon vouchers instead of food"/>
    <n v="0"/>
    <m/>
    <m/>
    <m/>
    <s v="Nov-24"/>
    <n v="45"/>
    <s v="2024"/>
  </r>
  <r>
    <d v="2024-11-07T00:00:00"/>
    <s v="Delivery at DBS"/>
    <s v="Call"/>
    <s v="Corporate"/>
    <x v="0"/>
    <s v="Sadhiqua"/>
    <s v="Delivery of CB and VB Combo on 7th November"/>
    <n v="19000"/>
    <n v="19000"/>
    <x v="16"/>
    <x v="0"/>
    <x v="1"/>
    <s v="Closed"/>
    <m/>
    <n v="0"/>
    <m/>
    <m/>
    <m/>
    <s v="Nov-24"/>
    <n v="45"/>
    <s v="2024"/>
  </r>
  <r>
    <d v="2024-11-10T00:00:00"/>
    <s v="Saga Events &amp; Holidays"/>
    <s v="Call"/>
    <s v="Events"/>
    <x v="10"/>
    <s v="Vikram"/>
    <s v="Delivery at secundrabad railway at 22-12-24"/>
    <n v="50000"/>
    <n v="0"/>
    <x v="12"/>
    <x v="0"/>
    <x v="0"/>
    <s v="Cancelled"/>
    <s v="Event Cancelled"/>
    <n v="0"/>
    <m/>
    <m/>
    <m/>
    <s v="Nov-24"/>
    <n v="45"/>
    <s v="2024"/>
  </r>
  <r>
    <d v="2014-11-11T00:00:00"/>
    <s v="Meditronics"/>
    <s v="F2F"/>
    <s v="Corporate"/>
    <x v="5"/>
    <s v="Arif"/>
    <s v="Received advance for Delivery at NIMS Hospital on 14-11-24"/>
    <n v="40500"/>
    <n v="40500"/>
    <x v="16"/>
    <x v="0"/>
    <x v="1"/>
    <s v="Closed"/>
    <m/>
    <n v="0"/>
    <m/>
    <m/>
    <m/>
    <s v="Nov-14"/>
    <n v="46"/>
    <s v="2024"/>
  </r>
  <r>
    <d v="2024-11-11T00:00:00"/>
    <s v="Delivery at DBS"/>
    <s v="Call"/>
    <s v="Corporate"/>
    <x v="0"/>
    <s v="Sadhiqua"/>
    <s v="Delivery of CB and VB Combo on 9th November"/>
    <n v="7000"/>
    <n v="7000"/>
    <x v="16"/>
    <x v="0"/>
    <x v="1"/>
    <s v="Closed"/>
    <m/>
    <n v="0"/>
    <m/>
    <m/>
    <m/>
    <s v="Nov-24"/>
    <n v="46"/>
    <s v="2024"/>
  </r>
  <r>
    <d v="2024-11-11T00:00:00"/>
    <s v="Inductive Quotent"/>
    <s v="F2F"/>
    <s v="Corporate"/>
    <x v="0"/>
    <s v="Ramaiah"/>
    <s v="Introduction to bulk order and delivery"/>
    <n v="0"/>
    <n v="0"/>
    <x v="14"/>
    <x v="0"/>
    <x v="0"/>
    <s v="Cold"/>
    <m/>
    <n v="0"/>
    <m/>
    <m/>
    <m/>
    <s v="Nov-24"/>
    <n v="46"/>
    <s v="2025"/>
  </r>
  <r>
    <d v="2024-11-12T00:00:00"/>
    <s v="Delivery at SEBLR Banglore (Compass)"/>
    <s v="Call"/>
    <s v="Corporate"/>
    <x v="17"/>
    <s v="Saad"/>
    <s v="New Delivery at Compass group on 13-11-24"/>
    <n v="36855"/>
    <n v="36855"/>
    <x v="16"/>
    <x v="1"/>
    <x v="1"/>
    <s v="Closed"/>
    <m/>
    <n v="0"/>
    <m/>
    <m/>
    <m/>
    <s v="Nov-24"/>
    <n v="46"/>
    <s v="2024"/>
  </r>
  <r>
    <d v="2024-11-12T00:00:00"/>
    <s v="Delivery at Compass Group Bangalore"/>
    <s v="Call"/>
    <s v="Corporate"/>
    <x v="17"/>
    <s v="Pankaj"/>
    <s v="Delivery of Special CB &amp; MB Handi on 13-11- 2024"/>
    <n v="65000"/>
    <n v="65000"/>
    <x v="16"/>
    <x v="1"/>
    <x v="1"/>
    <s v="Closed"/>
    <m/>
    <n v="0"/>
    <m/>
    <m/>
    <m/>
    <s v="Nov-24"/>
    <n v="46"/>
    <s v="2024"/>
  </r>
  <r>
    <d v="2024-11-12T00:00:00"/>
    <s v="Dil Luminati Event"/>
    <s v="Call"/>
    <s v="Corporate"/>
    <x v="27"/>
    <s v="Avinash"/>
    <s v="Participating in the event on 15-11-24"/>
    <n v="220000"/>
    <n v="0"/>
    <x v="16"/>
    <x v="0"/>
    <x v="0"/>
    <s v="Cancelled"/>
    <m/>
    <n v="0"/>
    <m/>
    <m/>
    <m/>
    <s v="Nov-24"/>
    <n v="46"/>
    <s v="2024"/>
  </r>
  <r>
    <d v="2014-11-12T00:00:00"/>
    <s v="Exponential AI"/>
    <s v="F2F"/>
    <s v="Corporate"/>
    <x v="0"/>
    <s v="Jasmin"/>
    <s v="Follow up for new ODC"/>
    <n v="35000"/>
    <n v="0"/>
    <x v="14"/>
    <x v="0"/>
    <x v="0"/>
    <s v="Cold"/>
    <m/>
    <n v="0"/>
    <m/>
    <m/>
    <m/>
    <s v="Nov-14"/>
    <n v="46"/>
    <s v="2025"/>
  </r>
  <r>
    <d v="2024-11-13T00:00:00"/>
    <s v="Dil Luminati Event"/>
    <s v="F2F"/>
    <s v="Public Event"/>
    <x v="27"/>
    <s v="Avinash"/>
    <s v="Not participating in the event "/>
    <n v="220000"/>
    <n v="0"/>
    <x v="16"/>
    <x v="0"/>
    <x v="0"/>
    <s v="Cancelled"/>
    <s v="operationally not feaisable"/>
    <n v="0"/>
    <m/>
    <m/>
    <m/>
    <s v="Nov-24"/>
    <n v="46"/>
    <s v="2024"/>
  </r>
  <r>
    <d v="2024-11-13T00:00:00"/>
    <s v="GMR Arena Cube Highways"/>
    <s v="F2F"/>
    <s v="Corporate"/>
    <x v="15"/>
    <s v="Reena"/>
    <s v="Deliverd CB &amp; MB on 13-11-24"/>
    <n v="2400"/>
    <n v="2400"/>
    <x v="16"/>
    <x v="0"/>
    <x v="1"/>
    <s v="Closed"/>
    <m/>
    <n v="0"/>
    <m/>
    <m/>
    <m/>
    <s v="Nov-24"/>
    <n v="46"/>
    <s v="2024"/>
  </r>
  <r>
    <d v="2024-11-14T00:00:00"/>
    <s v="Delivery at Sec Railway station"/>
    <s v="F2F"/>
    <s v="Corporate"/>
    <x v="1"/>
    <s v="Alnoor chandani"/>
    <s v="Delivery of CB on 19-11-24 at Secbad Station"/>
    <n v="8900"/>
    <n v="8900"/>
    <x v="16"/>
    <x v="0"/>
    <x v="1"/>
    <s v="Closed"/>
    <m/>
    <n v="0"/>
    <m/>
    <m/>
    <m/>
    <s v="Nov-24"/>
    <n v="46"/>
    <s v="2024"/>
  </r>
  <r>
    <d v="2024-11-14T00:00:00"/>
    <s v="NIMS Hospital"/>
    <s v="F2F"/>
    <s v="Corporate"/>
    <x v="13"/>
    <s v="Arif"/>
    <s v="Delivery and discussion for further orders"/>
    <n v="25000"/>
    <n v="0"/>
    <x v="14"/>
    <x v="0"/>
    <x v="0"/>
    <s v="Hot"/>
    <m/>
    <n v="0"/>
    <m/>
    <m/>
    <m/>
    <s v="Nov-24"/>
    <n v="46"/>
    <s v="2025"/>
  </r>
  <r>
    <d v="2024-11-14T00:00:00"/>
    <s v="Shejal Global Holidays"/>
    <s v="F2F"/>
    <s v="Corporate"/>
    <x v="1"/>
    <s v="Shoibhindar"/>
    <s v="Discussion in regards with food for travellers"/>
    <n v="40000"/>
    <n v="0"/>
    <x v="14"/>
    <x v="0"/>
    <x v="0"/>
    <s v="Hot"/>
    <m/>
    <n v="0"/>
    <m/>
    <m/>
    <m/>
    <s v="Nov-24"/>
    <n v="46"/>
    <s v="2025"/>
  </r>
  <r>
    <d v="2024-11-17T00:00:00"/>
    <s v="Delivery at Mount Opera Amusement Park"/>
    <s v="F2F"/>
    <s v="Corporate"/>
    <x v="28"/>
    <s v="Bhavya"/>
    <s v="Deliverd 830 CB On 18-11-24"/>
    <n v="84600"/>
    <n v="84600"/>
    <x v="16"/>
    <x v="0"/>
    <x v="1"/>
    <s v="Closed"/>
    <m/>
    <n v="0"/>
    <m/>
    <m/>
    <m/>
    <s v="Nov-24"/>
    <n v="46"/>
    <s v="2024"/>
  </r>
  <r>
    <d v="2024-11-18T00:00:00"/>
    <s v="Nalla Malla Engineering College"/>
    <s v="F2F"/>
    <s v="College"/>
    <x v="4"/>
    <s v="Sneha Nalla"/>
    <s v="Introduction to bulk orders"/>
    <n v="0"/>
    <n v="0"/>
    <x v="14"/>
    <x v="0"/>
    <x v="0"/>
    <s v="Cold"/>
    <m/>
    <n v="0"/>
    <m/>
    <m/>
    <m/>
    <s v="Nov-24"/>
    <n v="47"/>
    <s v="2025"/>
  </r>
  <r>
    <d v="2024-11-18T00:00:00"/>
    <s v="Priest Association From Milan, Italy"/>
    <s v="F2F"/>
    <s v="Corporate"/>
    <x v="29"/>
    <s v="Loudu Xavier"/>
    <s v="Advance received for buffet lunch on 20-11-24"/>
    <n v="40000"/>
    <n v="40000"/>
    <x v="16"/>
    <x v="0"/>
    <x v="1"/>
    <s v="Closed"/>
    <m/>
    <n v="0"/>
    <m/>
    <m/>
    <m/>
    <s v="Nov-24"/>
    <n v="47"/>
    <s v="2024"/>
  </r>
  <r>
    <d v="2024-11-18T00:00:00"/>
    <s v="Woxen College"/>
    <s v="Call"/>
    <s v="College"/>
    <x v="4"/>
    <s v="Ankit Sharma"/>
    <s v="Discussion in regards with event on 30-11-24"/>
    <n v="50000"/>
    <n v="0"/>
    <x v="12"/>
    <x v="0"/>
    <x v="0"/>
    <s v="Cancelled"/>
    <s v="Not Profitable"/>
    <n v="0"/>
    <m/>
    <m/>
    <m/>
    <s v="Nov-24"/>
    <n v="47"/>
    <s v="2024"/>
  </r>
  <r>
    <d v="2024-11-18T00:00:00"/>
    <s v="St Francis College Begumpet"/>
    <s v="F2F"/>
    <s v="College"/>
    <x v="4"/>
    <s v="Shirin"/>
    <s v="Discussion in regards with event on 29-11-24"/>
    <n v="40000"/>
    <n v="0"/>
    <x v="12"/>
    <x v="0"/>
    <x v="0"/>
    <s v="Cancelled"/>
    <s v="Not Profitable"/>
    <n v="0"/>
    <m/>
    <m/>
    <m/>
    <s v="Nov-24"/>
    <n v="47"/>
    <s v="2024"/>
  </r>
  <r>
    <d v="2024-11-18T00:00:00"/>
    <s v="ICFAI Business School"/>
    <s v="Call"/>
    <s v="College"/>
    <x v="4"/>
    <s v="Aastha Thakur"/>
    <s v="Discussion in regards with event in December"/>
    <n v="50000"/>
    <n v="0"/>
    <x v="12"/>
    <x v="0"/>
    <x v="0"/>
    <s v="Cancelled"/>
    <s v="Not Profitable"/>
    <n v="0"/>
    <m/>
    <m/>
    <m/>
    <s v="Nov-24"/>
    <n v="47"/>
    <s v="2024"/>
  </r>
  <r>
    <d v="2024-11-19T00:00:00"/>
    <s v="FCCSA"/>
    <s v="Call"/>
    <s v="Corporate"/>
    <x v="30"/>
    <s v="Venkat"/>
    <s v="Discussion in regards with complementary biryani"/>
    <n v="0"/>
    <n v="0"/>
    <x v="16"/>
    <x v="0"/>
    <x v="1"/>
    <s v="Closed"/>
    <m/>
    <n v="0"/>
    <m/>
    <m/>
    <m/>
    <s v="Nov-24"/>
    <n v="47"/>
    <s v="2024"/>
  </r>
  <r>
    <d v="2024-11-19T00:00:00"/>
    <s v="Delivery at SEBLR Banglore (Compass)"/>
    <s v="Call"/>
    <s v="Corporate"/>
    <x v="17"/>
    <s v="Saad"/>
    <s v="New Delivery at Compass group on 20-11-24"/>
    <n v="36855"/>
    <n v="36855"/>
    <x v="16"/>
    <x v="1"/>
    <x v="1"/>
    <s v="Closed"/>
    <m/>
    <n v="0"/>
    <m/>
    <m/>
    <m/>
    <s v="Nov-24"/>
    <n v="47"/>
    <s v="2024"/>
  </r>
  <r>
    <d v="2024-11-19T00:00:00"/>
    <s v="Axis Clinicals"/>
    <s v="F2F"/>
    <s v="Corporate"/>
    <x v="5"/>
    <s v="Anusha"/>
    <s v="Introduction to bulk orders and gifting"/>
    <n v="0"/>
    <n v="0"/>
    <x v="14"/>
    <x v="0"/>
    <x v="0"/>
    <s v="Cold"/>
    <m/>
    <n v="0"/>
    <m/>
    <m/>
    <m/>
    <s v="Nov-24"/>
    <n v="47"/>
    <s v="2025"/>
  </r>
  <r>
    <d v="2024-11-19T00:00:00"/>
    <s v="Haldirams"/>
    <s v="Call"/>
    <s v="Corporate"/>
    <x v="17"/>
    <s v="Deva"/>
    <s v="Introduction to buffet lunch "/>
    <n v="0"/>
    <n v="0"/>
    <x v="14"/>
    <x v="0"/>
    <x v="0"/>
    <s v="Cold"/>
    <m/>
    <n v="0"/>
    <m/>
    <m/>
    <m/>
    <s v="Nov-24"/>
    <n v="47"/>
    <s v="2025"/>
  </r>
  <r>
    <d v="2024-11-20T00:00:00"/>
    <s v="Mount opera Amusement Park"/>
    <s v="Call"/>
    <s v="Corporate"/>
    <x v="6"/>
    <s v="Bhavya"/>
    <s v="Discussion in regards with food for guest"/>
    <n v="0"/>
    <n v="0"/>
    <x v="16"/>
    <x v="0"/>
    <x v="1"/>
    <s v="Closed"/>
    <m/>
    <n v="0"/>
    <m/>
    <m/>
    <m/>
    <s v="Nov-24"/>
    <n v="47"/>
    <s v="2024"/>
  </r>
  <r>
    <d v="2024-11-21T00:00:00"/>
    <s v="Bijli Rides"/>
    <s v="F2F"/>
    <s v="Corporate"/>
    <x v="2"/>
    <s v="Shivam"/>
    <s v="Follow up for business"/>
    <n v="30000"/>
    <n v="0"/>
    <x v="14"/>
    <x v="0"/>
    <x v="0"/>
    <s v="Cold"/>
    <m/>
    <n v="0"/>
    <m/>
    <m/>
    <m/>
    <s v="Nov-24"/>
    <n v="47"/>
    <s v="2025"/>
  </r>
  <r>
    <d v="2024-11-21T00:00:00"/>
    <s v="Rishi Jr College"/>
    <s v="Call"/>
    <s v="College"/>
    <x v="4"/>
    <s v="Babul"/>
    <s v="Follow up for orders"/>
    <n v="25000"/>
    <n v="0"/>
    <x v="14"/>
    <x v="0"/>
    <x v="0"/>
    <s v="Cancelled"/>
    <s v="Event Cancelled"/>
    <n v="0"/>
    <m/>
    <m/>
    <m/>
    <s v="Nov-24"/>
    <n v="47"/>
    <s v="2025"/>
  </r>
  <r>
    <d v="2024-11-21T00:00:00"/>
    <s v="Woxen College"/>
    <s v="Call"/>
    <s v="College"/>
    <x v="4"/>
    <s v="Ankit Sharma"/>
    <s v="Discussion in regards with event on 14-12-24"/>
    <n v="50000"/>
    <n v="0"/>
    <x v="12"/>
    <x v="0"/>
    <x v="0"/>
    <s v="Cancelled"/>
    <s v="Not Profitable,more rent"/>
    <n v="0"/>
    <m/>
    <m/>
    <m/>
    <s v="Nov-24"/>
    <n v="47"/>
    <s v="2024"/>
  </r>
  <r>
    <d v="2024-11-22T00:00:00"/>
    <s v="Mount opera Amusement Park"/>
    <s v="F2F"/>
    <s v="Corporate"/>
    <x v="6"/>
    <s v="Bhavya"/>
    <s v="delivery of CB on 24-11-24"/>
    <n v="65000"/>
    <n v="65000"/>
    <x v="16"/>
    <x v="0"/>
    <x v="1"/>
    <s v="Closed"/>
    <m/>
    <n v="0"/>
    <m/>
    <m/>
    <m/>
    <s v="Nov-24"/>
    <n v="47"/>
    <s v="2024"/>
  </r>
  <r>
    <d v="2024-11-22T00:00:00"/>
    <s v="Weddding event at Ghatkesar"/>
    <s v="F2F"/>
    <s v="Events"/>
    <x v="10"/>
    <s v="Vedha"/>
    <s v="Buffet dinner for 300 people on 11-12-24"/>
    <n v="0"/>
    <n v="0"/>
    <x v="12"/>
    <x v="0"/>
    <x v="0"/>
    <s v="Cancelled"/>
    <m/>
    <n v="0"/>
    <m/>
    <m/>
    <m/>
    <s v="Nov-24"/>
    <n v="47"/>
    <s v="2024"/>
  </r>
  <r>
    <d v="2024-11-22T00:00:00"/>
    <s v="Medha Traction Equipments "/>
    <s v="F2F"/>
    <s v="Corporate"/>
    <x v="7"/>
    <s v="Varshit Reddy"/>
    <s v="Introduction to bulk deliveries"/>
    <n v="0"/>
    <n v="0"/>
    <x v="15"/>
    <x v="0"/>
    <x v="0"/>
    <s v="Cancelled"/>
    <s v="Outside food not allowed in campus"/>
    <n v="0"/>
    <m/>
    <m/>
    <m/>
    <s v="Nov-24"/>
    <n v="47"/>
    <s v="2025"/>
  </r>
  <r>
    <d v="2024-11-22T00:00:00"/>
    <s v="MSN LABS"/>
    <s v="F2F"/>
    <s v="Corporate"/>
    <x v="5"/>
    <s v="Satyanarayana"/>
    <s v="Amount received for delivery of Biryani kits in NOV"/>
    <n v="3111894"/>
    <n v="3111894"/>
    <x v="16"/>
    <x v="0"/>
    <x v="1"/>
    <s v="Closed"/>
    <m/>
    <n v="0"/>
    <m/>
    <m/>
    <m/>
    <s v="Nov-24"/>
    <n v="47"/>
    <s v="2024"/>
  </r>
  <r>
    <d v="2024-11-25T00:00:00"/>
    <s v="Roush Pharma"/>
    <s v="F2F"/>
    <s v="Corporate"/>
    <x v="5"/>
    <s v="Shubendu"/>
    <s v="Delivery of VB on 26-11-24 from padmaraonagar "/>
    <n v="14685"/>
    <n v="14685"/>
    <x v="16"/>
    <x v="0"/>
    <x v="1"/>
    <s v="Closed"/>
    <m/>
    <n v="0"/>
    <m/>
    <m/>
    <m/>
    <s v="Nov-24"/>
    <n v="48"/>
    <s v="2024"/>
  </r>
  <r>
    <d v="2024-11-25T00:00:00"/>
    <s v="Take away from muthangi"/>
    <s v="Call"/>
    <s v="Events"/>
    <x v="10"/>
    <s v="Hanumanth"/>
    <s v="Take away of CB on 26-11-24"/>
    <n v="5500"/>
    <n v="5500"/>
    <x v="16"/>
    <x v="0"/>
    <x v="1"/>
    <s v="Closed"/>
    <m/>
    <n v="0"/>
    <m/>
    <m/>
    <m/>
    <s v="Nov-24"/>
    <n v="48"/>
    <s v="2024"/>
  </r>
  <r>
    <d v="2024-11-25T00:00:00"/>
    <s v="Weddding event at Ghatkesar"/>
    <s v="F2F"/>
    <s v="Events"/>
    <x v="10"/>
    <s v="Vedha"/>
    <s v="Buffet dinner for 300 people on 11-12-24"/>
    <n v="250000"/>
    <n v="0"/>
    <x v="12"/>
    <x v="0"/>
    <x v="0"/>
    <s v="Cancelled"/>
    <s v="Less Budget"/>
    <n v="0"/>
    <m/>
    <m/>
    <m/>
    <s v="Nov-24"/>
    <n v="48"/>
    <s v="2024"/>
  </r>
  <r>
    <d v="2024-11-25T00:00:00"/>
    <s v="Vagdevi School Mallapur"/>
    <s v="F2F"/>
    <s v="School"/>
    <x v="4"/>
    <s v="Srinivas"/>
    <s v="Introduction to food delivery"/>
    <n v="0"/>
    <n v="0"/>
    <x v="14"/>
    <x v="0"/>
    <x v="0"/>
    <s v="Cancelled"/>
    <s v="No requirement"/>
    <n v="0"/>
    <m/>
    <m/>
    <m/>
    <s v="Nov-24"/>
    <n v="48"/>
    <s v="2025"/>
  </r>
  <r>
    <d v="2024-11-26T00:00:00"/>
    <s v="Mettuguda Church"/>
    <s v="F2F"/>
    <s v="Corporate"/>
    <x v="3"/>
    <s v="Gladson"/>
    <s v="Followup "/>
    <n v="30000"/>
    <n v="0"/>
    <x v="14"/>
    <x v="0"/>
    <x v="0"/>
    <s v="Cancelled"/>
    <s v="No requirement"/>
    <n v="0"/>
    <m/>
    <m/>
    <m/>
    <s v="Nov-24"/>
    <n v="48"/>
    <s v="2025"/>
  </r>
  <r>
    <d v="2024-11-26T00:00:00"/>
    <s v="Preventive Pharma"/>
    <s v="F2F"/>
    <s v="Corporate"/>
    <x v="5"/>
    <s v="Prasad"/>
    <s v="followup for gifting order"/>
    <n v="50000"/>
    <n v="0"/>
    <x v="13"/>
    <x v="0"/>
    <x v="0"/>
    <s v="Cancelled"/>
    <s v="No requirement"/>
    <n v="0"/>
    <m/>
    <m/>
    <m/>
    <s v="Nov-24"/>
    <n v="48"/>
    <s v="2025"/>
  </r>
  <r>
    <d v="2024-11-26T00:00:00"/>
    <s v="Delivery at SEBLR Banglore (Compass)"/>
    <s v="Call"/>
    <s v="Corporate"/>
    <x v="17"/>
    <s v="Saad"/>
    <s v="New Delivery at Compass group on 27-11-24"/>
    <n v="0"/>
    <n v="0"/>
    <x v="16"/>
    <x v="1"/>
    <x v="1"/>
    <s v="Closed"/>
    <m/>
    <n v="0"/>
    <m/>
    <m/>
    <m/>
    <s v="Nov-24"/>
    <n v="48"/>
    <s v="2024"/>
  </r>
  <r>
    <d v="2024-11-26T00:00:00"/>
    <s v="Delivery at Compass Group Bangalore"/>
    <s v="Call"/>
    <s v="Corporate"/>
    <x v="17"/>
    <s v="Pankaj"/>
    <s v="Delivery of Special CB &amp; MB Handi on 13-11- 2024"/>
    <n v="0"/>
    <n v="0"/>
    <x v="16"/>
    <x v="1"/>
    <x v="1"/>
    <s v="Closed"/>
    <m/>
    <n v="0"/>
    <m/>
    <m/>
    <m/>
    <s v="Nov-24"/>
    <n v="48"/>
    <s v="2024"/>
  </r>
  <r>
    <d v="2024-11-27T00:00:00"/>
    <s v="Kirby Building Technology"/>
    <s v="F2F"/>
    <s v="Corporate"/>
    <x v="0"/>
    <s v="Naveen"/>
    <s v="Shared proposal for bulk orders , given first order for 12 Nov 2023"/>
    <n v="20000"/>
    <n v="0"/>
    <x v="12"/>
    <x v="0"/>
    <x v="0"/>
    <s v="Cancelled"/>
    <m/>
    <n v="0"/>
    <m/>
    <m/>
    <m/>
    <s v="Nov-24"/>
    <n v="48"/>
    <s v="2024"/>
  </r>
  <r>
    <d v="2024-11-27T00:00:00"/>
    <s v="Littl Amigos School"/>
    <s v="F2F"/>
    <s v="School"/>
    <x v="4"/>
    <s v="Nikita (Principal)"/>
    <s v="Introduced about bakery items and ODC, Looking for bakery items "/>
    <n v="10000"/>
    <n v="0"/>
    <x v="12"/>
    <x v="0"/>
    <x v="0"/>
    <s v="Cancelled"/>
    <m/>
    <n v="0"/>
    <m/>
    <m/>
    <m/>
    <s v="Nov-24"/>
    <n v="48"/>
    <s v="2024"/>
  </r>
  <r>
    <d v="2024-11-27T00:00:00"/>
    <s v="Saga Events &amp; Holidays"/>
    <s v="F2F"/>
    <s v="Corporate"/>
    <x v="3"/>
    <s v="Bishal"/>
    <s v="Shared quote for dine in at secbad"/>
    <n v="40000"/>
    <n v="0"/>
    <x v="12"/>
    <x v="0"/>
    <x v="0"/>
    <s v="Cancelled"/>
    <m/>
    <n v="0"/>
    <m/>
    <m/>
    <m/>
    <s v="Nov-24"/>
    <n v="48"/>
    <s v="2024"/>
  </r>
  <r>
    <d v="2024-11-27T00:00:00"/>
    <s v="Platos"/>
    <s v="F2F"/>
    <s v="Corporate"/>
    <x v="17"/>
    <s v="Rohan"/>
    <s v="Delivery of CB and VB on December 2024"/>
    <n v="30000"/>
    <n v="0"/>
    <x v="12"/>
    <x v="0"/>
    <x v="0"/>
    <s v="Cancelled"/>
    <m/>
    <n v="0"/>
    <m/>
    <m/>
    <m/>
    <s v="Nov-24"/>
    <n v="48"/>
    <s v="2024"/>
  </r>
  <r>
    <d v="2024-11-27T00:00:00"/>
    <s v="Mount opera"/>
    <s v="F2F"/>
    <s v="Corporate"/>
    <x v="1"/>
    <s v="Bhavya"/>
    <s v="Supply of Biryani for students on 1-12-24"/>
    <n v="130000"/>
    <n v="130000"/>
    <x v="12"/>
    <x v="0"/>
    <x v="1"/>
    <s v="Closed"/>
    <m/>
    <n v="0"/>
    <m/>
    <m/>
    <m/>
    <s v="Nov-24"/>
    <n v="48"/>
    <s v="2024"/>
  </r>
  <r>
    <d v="2024-11-27T00:00:00"/>
    <s v="Isthara "/>
    <s v="F2F"/>
    <s v="Corporate"/>
    <x v="17"/>
    <s v="Sumit"/>
    <s v="Discussion in regards with corporate counter and Gifting"/>
    <n v="50000"/>
    <n v="0"/>
    <x v="12"/>
    <x v="0"/>
    <x v="0"/>
    <s v="Cancelled"/>
    <m/>
    <n v="0"/>
    <m/>
    <m/>
    <m/>
    <s v="Nov-24"/>
    <n v="48"/>
    <s v="2024"/>
  </r>
  <r>
    <d v="2024-11-28T00:00:00"/>
    <s v="Buffet Dinner at hitech"/>
    <s v="Call"/>
    <s v="Corporate"/>
    <x v="17"/>
    <s v="Nitin"/>
    <s v="Buffet dinner on 7-12-24"/>
    <n v="54000"/>
    <n v="0"/>
    <x v="12"/>
    <x v="0"/>
    <x v="0"/>
    <s v="Cancelled"/>
    <m/>
    <n v="0"/>
    <m/>
    <m/>
    <m/>
    <s v="Nov-24"/>
    <n v="48"/>
    <s v="2024"/>
  </r>
  <r>
    <d v="2024-11-28T00:00:00"/>
    <s v="Baba Pan Material Company"/>
    <s v="Call"/>
    <s v="Corporate"/>
    <x v="23"/>
    <s v="Ramesh"/>
    <s v="Buffet dinner and bulk orders"/>
    <n v="0"/>
    <n v="0"/>
    <x v="20"/>
    <x v="0"/>
    <x v="0"/>
    <s v="Cancelled"/>
    <m/>
    <n v="0"/>
    <s v="Corporate Order"/>
    <m/>
    <m/>
    <s v="Nov-24"/>
    <n v="48"/>
    <s v="2025"/>
  </r>
  <r>
    <d v="2024-11-28T00:00:00"/>
    <s v="Value Mart"/>
    <s v="Call"/>
    <s v="Corporate"/>
    <x v="19"/>
    <s v="Sravan"/>
    <s v="Food stall at value mart at nacharam"/>
    <n v="50000"/>
    <n v="0"/>
    <x v="12"/>
    <x v="0"/>
    <x v="0"/>
    <s v="Cancelled"/>
    <m/>
    <n v="0"/>
    <m/>
    <m/>
    <m/>
    <s v="Nov-24"/>
    <n v="48"/>
    <s v="2024"/>
  </r>
  <r>
    <d v="2024-11-30T00:00:00"/>
    <s v="MSN Labs"/>
    <s v="Call"/>
    <s v="Corporate"/>
    <x v="5"/>
    <s v="Satya"/>
    <s v="Delivery of Biryani Kits"/>
    <n v="3116706"/>
    <n v="3116706"/>
    <x v="16"/>
    <x v="0"/>
    <x v="1"/>
    <s v="Closed"/>
    <m/>
    <n v="0"/>
    <m/>
    <m/>
    <m/>
    <s v="Nov-24"/>
    <n v="48"/>
    <s v="2024"/>
  </r>
  <r>
    <d v="2024-12-01T00:00:00"/>
    <s v="Take Away From Suncity"/>
    <s v="Call"/>
    <s v="Events"/>
    <x v="10"/>
    <s v="Abbas"/>
    <s v="Take away from sun city on 01-12-24"/>
    <n v="10000"/>
    <n v="10000"/>
    <x v="12"/>
    <x v="0"/>
    <x v="1"/>
    <s v="Closed"/>
    <m/>
    <n v="0"/>
    <m/>
    <m/>
    <m/>
    <s v="Dec-24"/>
    <n v="48"/>
    <s v="2024"/>
  </r>
  <r>
    <d v="2024-12-02T00:00:00"/>
    <s v="Kaveri Seeds"/>
    <s v="F2F"/>
    <s v="Corporate"/>
    <x v="18"/>
    <s v="Sriram Reddy"/>
    <s v="Shared Proposal of snacks and lunch for 200 employees in december"/>
    <n v="50000"/>
    <n v="0"/>
    <x v="12"/>
    <x v="0"/>
    <x v="0"/>
    <s v="Cancelled"/>
    <m/>
    <n v="0"/>
    <m/>
    <m/>
    <m/>
    <s v="Dec-24"/>
    <n v="49"/>
    <s v="2024"/>
  </r>
  <r>
    <d v="2024-12-02T00:00:00"/>
    <s v="Santa Maria"/>
    <s v="F2F"/>
    <s v="School "/>
    <x v="4"/>
    <s v="Srinivas"/>
    <s v="300 pax lunch on 11-12-24"/>
    <n v="80000"/>
    <n v="0"/>
    <x v="12"/>
    <x v="0"/>
    <x v="0"/>
    <s v="Cancelled"/>
    <m/>
    <n v="0"/>
    <m/>
    <m/>
    <m/>
    <s v="Dec-24"/>
    <n v="49"/>
    <s v="2024"/>
  </r>
  <r>
    <d v="2024-12-02T00:00:00"/>
    <s v="Rainbow Hospitals"/>
    <s v="F2F"/>
    <s v="Corporate"/>
    <x v="13"/>
    <s v="Uday Rao"/>
    <s v="Introduction to food delivery for doctors"/>
    <n v="30000"/>
    <n v="0"/>
    <x v="13"/>
    <x v="0"/>
    <x v="0"/>
    <s v="Cancelled"/>
    <s v="event postponed"/>
    <n v="0"/>
    <m/>
    <m/>
    <m/>
    <s v="Dec-24"/>
    <n v="49"/>
    <s v="2025"/>
  </r>
  <r>
    <d v="2024-12-03T00:00:00"/>
    <s v="MSN Labs"/>
    <s v="F2F"/>
    <s v="Corporate"/>
    <x v="5"/>
    <s v="Sandeep"/>
    <s v="Follow Up for payment and further orders"/>
    <n v="0"/>
    <n v="0"/>
    <x v="12"/>
    <x v="0"/>
    <x v="1"/>
    <s v="Closed"/>
    <m/>
    <n v="0"/>
    <m/>
    <m/>
    <m/>
    <s v="Dec-24"/>
    <n v="49"/>
    <s v="2024"/>
  </r>
  <r>
    <d v="2024-12-03T00:00:00"/>
    <s v="Sarojni Devi Eye Hospital"/>
    <s v="F2F"/>
    <s v="Corporate"/>
    <x v="13"/>
    <s v="Ashok"/>
    <s v="Delivery of CB &amp; DKM on 5 Dec for 100 Doctors"/>
    <n v="40000"/>
    <n v="4000"/>
    <x v="12"/>
    <x v="0"/>
    <x v="1"/>
    <s v="Closed"/>
    <m/>
    <n v="0"/>
    <m/>
    <m/>
    <m/>
    <s v="Dec-24"/>
    <n v="49"/>
    <s v="2024"/>
  </r>
  <r>
    <d v="2024-12-03T00:00:00"/>
    <s v="Santa Maria"/>
    <s v="F2F"/>
    <s v="School"/>
    <x v="4"/>
    <s v="Srinivas"/>
    <s v="Delivery of food samples and introduced to gifting"/>
    <n v="0"/>
    <n v="0"/>
    <x v="12"/>
    <x v="0"/>
    <x v="1"/>
    <s v="Closed"/>
    <m/>
    <n v="0"/>
    <m/>
    <m/>
    <m/>
    <s v="Dec-24"/>
    <n v="49"/>
    <s v="2024"/>
  </r>
  <r>
    <d v="2024-12-04T00:00:00"/>
    <s v="Delivery at SEBLR Banglore (Compass)"/>
    <s v="Call"/>
    <s v="Corporate"/>
    <x v="17"/>
    <s v="Saad"/>
    <s v="New Delivery at Compass group on 5-12-24"/>
    <n v="33351"/>
    <n v="33351"/>
    <x v="12"/>
    <x v="1"/>
    <x v="1"/>
    <s v="Closed"/>
    <m/>
    <n v="0"/>
    <m/>
    <m/>
    <m/>
    <s v="Dec-24"/>
    <n v="49"/>
    <s v="2024"/>
  </r>
  <r>
    <d v="2024-12-04T00:00:00"/>
    <s v="Santa Maria"/>
    <s v="F2F"/>
    <s v="School "/>
    <x v="4"/>
    <s v="Srinivas"/>
    <s v="300 pax Dinner on 14 &amp; 15 December"/>
    <n v="120000"/>
    <n v="120000"/>
    <x v="12"/>
    <x v="0"/>
    <x v="1"/>
    <s v="Closed"/>
    <m/>
    <n v="0"/>
    <m/>
    <m/>
    <m/>
    <s v="Dec-24"/>
    <n v="49"/>
    <s v="2024"/>
  </r>
  <r>
    <d v="2024-12-04T00:00:00"/>
    <s v="Events at Necklace road"/>
    <s v="F2F"/>
    <s v="Events"/>
    <x v="17"/>
    <s v="Pasha"/>
    <s v="Food stall on 7-12-24"/>
    <n v="0"/>
    <n v="0"/>
    <x v="12"/>
    <x v="0"/>
    <x v="1"/>
    <s v="Closed"/>
    <m/>
    <n v="0"/>
    <m/>
    <m/>
    <m/>
    <s v="Dec-24"/>
    <n v="49"/>
    <s v="2024"/>
  </r>
  <r>
    <d v="2024-12-04T00:00:00"/>
    <s v="Cognizant Technology Solutions"/>
    <s v="F2F"/>
    <s v="Corporate"/>
    <x v="0"/>
    <s v="Anil"/>
    <s v="Dine in at Gachabowli on 13-12-24"/>
    <n v="43000"/>
    <n v="43000"/>
    <x v="12"/>
    <x v="0"/>
    <x v="1"/>
    <s v="Closed"/>
    <m/>
    <n v="0"/>
    <m/>
    <m/>
    <m/>
    <s v="Dec-24"/>
    <n v="49"/>
    <s v="2024"/>
  </r>
  <r>
    <d v="2024-12-05T00:00:00"/>
    <s v="Nampally Exhibition"/>
    <s v="F2F"/>
    <s v="Corporate"/>
    <x v="30"/>
    <s v="B Prabha Shankar"/>
    <s v="Stall need to be sublet for sale of Biryani"/>
    <n v="2000000"/>
    <n v="0"/>
    <x v="14"/>
    <x v="0"/>
    <x v="0"/>
    <s v="Cancelled"/>
    <s v="Not Profitable "/>
    <n v="0"/>
    <m/>
    <m/>
    <m/>
    <s v="Dec-24"/>
    <n v="49"/>
    <s v="2025"/>
  </r>
  <r>
    <d v="2024-12-05T00:00:00"/>
    <s v="Delivery at Secundrabad"/>
    <s v="F2F"/>
    <s v="Events"/>
    <x v="10"/>
    <s v="Anitha"/>
    <s v="Delivery of VB on 5-12-24"/>
    <n v="9000"/>
    <n v="9000"/>
    <x v="12"/>
    <x v="0"/>
    <x v="1"/>
    <s v="Closed"/>
    <m/>
    <n v="0"/>
    <m/>
    <m/>
    <m/>
    <s v="Dec-24"/>
    <n v="49"/>
    <s v="2024"/>
  </r>
  <r>
    <d v="2024-12-05T00:00:00"/>
    <s v="Popup Events on Necklace Road"/>
    <s v="F2F"/>
    <s v="Events"/>
    <x v="17"/>
    <s v="Pasha"/>
    <s v="Popup counter on 7-12-24"/>
    <n v="6000"/>
    <n v="6000"/>
    <x v="12"/>
    <x v="0"/>
    <x v="1"/>
    <s v="Closed"/>
    <m/>
    <n v="0"/>
    <m/>
    <m/>
    <m/>
    <s v="Dec-24"/>
    <n v="49"/>
    <s v="2024"/>
  </r>
  <r>
    <d v="2024-12-06T00:00:00"/>
    <s v="Popup Events at Necklace Road"/>
    <s v="F2F"/>
    <s v="Events"/>
    <x v="17"/>
    <s v="Pasha"/>
    <s v="Popup counter on 8-12-25"/>
    <n v="13000"/>
    <n v="13000"/>
    <x v="12"/>
    <x v="0"/>
    <x v="1"/>
    <s v="Closed"/>
    <m/>
    <n v="0"/>
    <m/>
    <m/>
    <m/>
    <s v="Dec-24"/>
    <n v="49"/>
    <s v="2024"/>
  </r>
  <r>
    <d v="2024-12-06T00:00:00"/>
    <s v="Delivery at Compass Group Gachibowli"/>
    <s v="Call"/>
    <s v="Corporate"/>
    <x v="17"/>
    <s v="Krishna "/>
    <s v="Delivery of Food on 5-12-24"/>
    <n v="21000"/>
    <n v="21000"/>
    <x v="12"/>
    <x v="0"/>
    <x v="1"/>
    <s v="Closed"/>
    <m/>
    <n v="0"/>
    <m/>
    <m/>
    <m/>
    <s v="Dec-24"/>
    <n v="49"/>
    <s v="2024"/>
  </r>
  <r>
    <d v="2024-12-06T00:00:00"/>
    <s v="Coforge"/>
    <s v="Call"/>
    <s v="Corporate"/>
    <x v="0"/>
    <s v="Mahesh"/>
    <s v="Take away from Gachabowli on 5-12-24"/>
    <n v="13500"/>
    <n v="13500"/>
    <x v="12"/>
    <x v="0"/>
    <x v="1"/>
    <s v="Closed"/>
    <m/>
    <n v="0"/>
    <m/>
    <m/>
    <m/>
    <s v="Dec-24"/>
    <n v="49"/>
    <s v="2024"/>
  </r>
  <r>
    <d v="2024-12-08T00:00:00"/>
    <s v="Delivery at Mount Opera Amusement Park"/>
    <s v="Call"/>
    <s v="Corporate"/>
    <x v="6"/>
    <s v="Bhavya"/>
    <s v="Delivery of CB &amp; MB on 08-12-24"/>
    <n v="38000"/>
    <n v="38000"/>
    <x v="12"/>
    <x v="0"/>
    <x v="1"/>
    <s v="Closed"/>
    <m/>
    <n v="0"/>
    <m/>
    <m/>
    <m/>
    <s v="Dec-24"/>
    <n v="49"/>
    <s v="2024"/>
  </r>
  <r>
    <d v="2024-12-09T00:00:00"/>
    <s v="Popup Events at Necklace Road"/>
    <s v="F2F"/>
    <s v="Events"/>
    <x v="17"/>
    <s v="Pasha"/>
    <s v="Popup counter on 9-12-25"/>
    <n v="5347"/>
    <n v="5347"/>
    <x v="12"/>
    <x v="0"/>
    <x v="1"/>
    <s v="Closed"/>
    <m/>
    <n v="0"/>
    <m/>
    <m/>
    <m/>
    <s v="Dec-24"/>
    <n v="50"/>
    <s v="2024"/>
  </r>
  <r>
    <d v="2024-12-09T00:00:00"/>
    <s v="HSBC"/>
    <s v="F2F"/>
    <s v="Corporate"/>
    <x v="21"/>
    <s v="Sai Satya"/>
    <s v="Delivery of Combo on 11-12-24"/>
    <n v="18000"/>
    <n v="18000"/>
    <x v="12"/>
    <x v="0"/>
    <x v="1"/>
    <s v="Closed"/>
    <m/>
    <n v="0"/>
    <m/>
    <m/>
    <m/>
    <s v="Dec-24"/>
    <n v="50"/>
    <s v="2024"/>
  </r>
  <r>
    <d v="2024-12-09T00:00:00"/>
    <s v="Amara Raja Battries"/>
    <s v="F2F"/>
    <s v="Corporate"/>
    <x v="7"/>
    <s v="Ravi Kumar"/>
    <s v="Delivery of CB on 10-12-24"/>
    <n v="9800"/>
    <n v="9800"/>
    <x v="12"/>
    <x v="0"/>
    <x v="1"/>
    <s v="Closed"/>
    <m/>
    <n v="0"/>
    <m/>
    <m/>
    <m/>
    <s v="Dec-24"/>
    <n v="50"/>
    <s v="2024"/>
  </r>
  <r>
    <d v="2024-12-10T00:00:00"/>
    <s v="Gachibowli Church"/>
    <s v="F2F"/>
    <s v="Corporate"/>
    <x v="8"/>
    <s v="Arthur"/>
    <s v="Sampling of plum cakes for christmas"/>
    <n v="300000"/>
    <n v="0"/>
    <x v="12"/>
    <x v="0"/>
    <x v="0"/>
    <s v="Cancelled"/>
    <m/>
    <n v="0"/>
    <m/>
    <m/>
    <m/>
    <s v="Dec-24"/>
    <n v="50"/>
    <s v="2024"/>
  </r>
  <r>
    <d v="2024-12-10T00:00:00"/>
    <s v="Cognizant DLF"/>
    <s v="F2F"/>
    <s v="Corporate"/>
    <x v="0"/>
    <s v="Animesh"/>
    <s v="Follow up for bulk orders"/>
    <n v="0"/>
    <n v="0"/>
    <x v="13"/>
    <x v="0"/>
    <x v="0"/>
    <s v="Cancelled"/>
    <m/>
    <n v="0"/>
    <m/>
    <m/>
    <m/>
    <s v="Dec-24"/>
    <n v="50"/>
    <s v="2025"/>
  </r>
  <r>
    <d v="2024-12-10T00:00:00"/>
    <s v="Cyient Limited"/>
    <s v="F2F"/>
    <s v="Corporate"/>
    <x v="0"/>
    <s v="Amit Goyal"/>
    <s v="Follow up for Bulk orders"/>
    <n v="0"/>
    <n v="0"/>
    <x v="13"/>
    <x v="0"/>
    <x v="0"/>
    <s v="Cancelled"/>
    <m/>
    <n v="0"/>
    <m/>
    <m/>
    <m/>
    <s v="Dec-24"/>
    <n v="50"/>
    <s v="2025"/>
  </r>
  <r>
    <d v="2024-12-11T00:00:00"/>
    <s v="Delivery at SEBLR Banglore (Compass)"/>
    <s v="Call"/>
    <s v="Corporate"/>
    <x v="17"/>
    <s v="Saad"/>
    <s v="New Delivery at Compass group on 11-12-24"/>
    <n v="38256"/>
    <n v="38256"/>
    <x v="12"/>
    <x v="1"/>
    <x v="1"/>
    <s v="Closed"/>
    <m/>
    <n v="0"/>
    <m/>
    <m/>
    <m/>
    <s v="Dec-24"/>
    <n v="50"/>
    <s v="2024"/>
  </r>
  <r>
    <d v="2024-12-11T00:00:00"/>
    <s v="Delivery at Compass Group Bangalore"/>
    <s v="Call"/>
    <s v="Corporate"/>
    <x v="17"/>
    <s v="Pankaj"/>
    <s v="Delivery of Special CB &amp; MB Handi on 13-11- 2024"/>
    <n v="68000"/>
    <n v="68000"/>
    <x v="12"/>
    <x v="1"/>
    <x v="1"/>
    <s v="Closed"/>
    <m/>
    <n v="0"/>
    <m/>
    <m/>
    <m/>
    <s v="Dec-24"/>
    <n v="50"/>
    <s v="2024"/>
  </r>
  <r>
    <d v="2024-12-11T00:00:00"/>
    <s v="Gachibowli Church"/>
    <s v="F2F"/>
    <s v="Corporate"/>
    <x v="8"/>
    <s v="Karunakar"/>
    <s v="Sampling of customised plum cake"/>
    <n v="0"/>
    <n v="0"/>
    <x v="12"/>
    <x v="0"/>
    <x v="0"/>
    <s v="Cancelled"/>
    <m/>
    <n v="0"/>
    <m/>
    <m/>
    <m/>
    <s v="Dec-24"/>
    <n v="50"/>
    <s v="2024"/>
  </r>
  <r>
    <d v="2024-12-12T00:00:00"/>
    <s v="Delivery at Kukatpally"/>
    <s v="F2F"/>
    <s v="Corporate"/>
    <x v="8"/>
    <s v="Prasad"/>
    <s v="Delivery of 5000 Biryani on 15-12-24"/>
    <n v="700000"/>
    <n v="0"/>
    <x v="12"/>
    <x v="0"/>
    <x v="0"/>
    <s v="Cancelled"/>
    <s v="Event Cancelled"/>
    <n v="0"/>
    <m/>
    <m/>
    <m/>
    <s v="Dec-24"/>
    <n v="50"/>
    <s v="2024"/>
  </r>
  <r>
    <d v="2024-12-12T00:00:00"/>
    <s v="BHEL Church"/>
    <s v="F2F"/>
    <s v="Corporate"/>
    <x v="8"/>
    <s v="Vinay"/>
    <s v="Follow up fpor closure"/>
    <n v="0"/>
    <n v="0"/>
    <x v="12"/>
    <x v="0"/>
    <x v="1"/>
    <s v="Closed"/>
    <m/>
    <n v="0"/>
    <m/>
    <m/>
    <m/>
    <s v="Dec-24"/>
    <n v="50"/>
    <s v="2024"/>
  </r>
  <r>
    <d v="2024-12-13T00:00:00"/>
    <s v="United Church"/>
    <s v="F2F"/>
    <s v="Corporate"/>
    <x v="8"/>
    <s v="Daniel"/>
    <s v="Follow up for Biryani order for 20-12-24"/>
    <n v="200000"/>
    <n v="0"/>
    <x v="12"/>
    <x v="0"/>
    <x v="0"/>
    <s v="Cancelled"/>
    <s v="Cooking Internally"/>
    <n v="0"/>
    <m/>
    <m/>
    <m/>
    <s v="Dec-24"/>
    <n v="50"/>
    <s v="2024"/>
  </r>
  <r>
    <d v="2024-12-14T00:00:00"/>
    <s v="Travel group from Amravati"/>
    <s v="F2F"/>
    <s v="Corporate"/>
    <x v="30"/>
    <s v="Sailesh"/>
    <s v="delivery of VB at Hitex on 17&amp;18 December"/>
    <n v="20000"/>
    <n v="20000"/>
    <x v="12"/>
    <x v="0"/>
    <x v="1"/>
    <s v="Closed"/>
    <m/>
    <n v="0"/>
    <m/>
    <m/>
    <m/>
    <s v="Dec-24"/>
    <n v="50"/>
    <s v="2024"/>
  </r>
  <r>
    <d v="2024-12-14T00:00:00"/>
    <s v="Delivery at RTC"/>
    <s v="Call"/>
    <s v="Events"/>
    <x v="10"/>
    <s v="Jessie"/>
    <s v="Delivery of CB at RTC on 15-12-2024"/>
    <n v="8000"/>
    <n v="8000"/>
    <x v="12"/>
    <x v="0"/>
    <x v="1"/>
    <s v="Closed"/>
    <m/>
    <n v="0"/>
    <m/>
    <m/>
    <m/>
    <s v="Dec-24"/>
    <n v="50"/>
    <s v="2024"/>
  </r>
  <r>
    <d v="2024-12-15T00:00:00"/>
    <s v="Delivery at Mount Opera Amusement Park"/>
    <s v="Call"/>
    <s v="Corporate"/>
    <x v="6"/>
    <s v="Bhavya"/>
    <s v="Delivery of CB &amp; MB on 15-12-24"/>
    <n v="89600"/>
    <n v="89600"/>
    <x v="12"/>
    <x v="0"/>
    <x v="1"/>
    <s v="Closed"/>
    <m/>
    <n v="0"/>
    <m/>
    <m/>
    <m/>
    <s v="Dec-24"/>
    <n v="50"/>
    <s v="2024"/>
  </r>
  <r>
    <d v="2024-12-16T00:00:00"/>
    <s v="JDA"/>
    <s v="F2F"/>
    <s v="Corporate"/>
    <x v="0"/>
    <s v="Archana"/>
    <s v="Delivery of MB on 21-12-2024"/>
    <n v="15000"/>
    <n v="0"/>
    <x v="12"/>
    <x v="0"/>
    <x v="0"/>
    <s v="Cancelled"/>
    <m/>
    <n v="0"/>
    <m/>
    <m/>
    <m/>
    <s v="Dec-24"/>
    <n v="51"/>
    <s v="2024"/>
  </r>
  <r>
    <d v="2024-12-16T00:00:00"/>
    <s v="Scanta Maria"/>
    <s v="F2F"/>
    <s v="School"/>
    <x v="4"/>
    <s v="Srinivas"/>
    <s v="Delivery of plum cakes in december"/>
    <n v="50000"/>
    <n v="0"/>
    <x v="12"/>
    <x v="0"/>
    <x v="0"/>
    <s v="Cancelled"/>
    <s v="We don’t have eggless plum cake"/>
    <n v="0"/>
    <m/>
    <m/>
    <m/>
    <s v="Dec-24"/>
    <n v="51"/>
    <s v="2024"/>
  </r>
  <r>
    <d v="2024-12-16T00:00:00"/>
    <s v="Dum Hyderabad"/>
    <s v="Call"/>
    <s v="Events"/>
    <x v="17"/>
    <s v="Hannah"/>
    <s v="Event on 20-12-24"/>
    <n v="15000"/>
    <n v="0"/>
    <x v="12"/>
    <x v="0"/>
    <x v="0"/>
    <s v="Cancelled"/>
    <m/>
    <n v="0"/>
    <m/>
    <m/>
    <m/>
    <s v="Dec-24"/>
    <n v="51"/>
    <s v="2024"/>
  </r>
  <r>
    <d v="2024-12-17T00:00:00"/>
    <s v="BHEL Church"/>
    <s v="F2F"/>
    <s v="Corporate"/>
    <x v="8"/>
    <s v="Vinay"/>
    <s v="Collected advance 80,000/-"/>
    <n v="151500"/>
    <n v="151500"/>
    <x v="12"/>
    <x v="0"/>
    <x v="1"/>
    <s v="Closed"/>
    <m/>
    <n v="0"/>
    <m/>
    <m/>
    <m/>
    <s v="Dec-24"/>
    <n v="51"/>
    <s v="2024"/>
  </r>
  <r>
    <d v="2024-12-17T00:00:00"/>
    <s v="Cube Highways (GMR)"/>
    <s v="Call"/>
    <s v="Corporate"/>
    <x v="15"/>
    <s v="Reena"/>
    <s v="Bakery items for snacks"/>
    <n v="12000"/>
    <n v="0"/>
    <x v="12"/>
    <x v="0"/>
    <x v="0"/>
    <s v="Cancelled"/>
    <s v="Less Budget"/>
    <n v="0"/>
    <m/>
    <m/>
    <m/>
    <s v="Dec-24"/>
    <n v="51"/>
    <s v="2024"/>
  </r>
  <r>
    <d v="2024-12-17T00:00:00"/>
    <s v="K Fintech"/>
    <s v="F2F"/>
    <s v="Corporate"/>
    <x v="15"/>
    <s v="Praneeth"/>
    <s v="Shared details of gifting and team lunch"/>
    <n v="0"/>
    <m/>
    <x v="19"/>
    <x v="0"/>
    <x v="0"/>
    <s v="Cold"/>
    <m/>
    <n v="0"/>
    <m/>
    <m/>
    <m/>
    <s v="Dec-24"/>
    <n v="51"/>
    <s v="2025"/>
  </r>
  <r>
    <d v="2024-12-18T00:00:00"/>
    <s v="Suven life Sciences"/>
    <s v="F2F"/>
    <s v="Corporate"/>
    <x v="5"/>
    <s v=" Suman"/>
    <s v="shared details of bulk delivery and team lunch"/>
    <n v="0"/>
    <n v="0"/>
    <x v="13"/>
    <x v="0"/>
    <x v="0"/>
    <s v="Cancelled"/>
    <m/>
    <n v="0"/>
    <m/>
    <m/>
    <m/>
    <s v="Dec-24"/>
    <n v="51"/>
    <s v="2025"/>
  </r>
  <r>
    <d v="2024-12-18T00:00:00"/>
    <s v="Sai Life Sciences"/>
    <s v="F2F"/>
    <s v="Corporate"/>
    <x v="5"/>
    <s v="Rajendra Prasad"/>
    <s v="Follow up for bulk orders"/>
    <n v="30000"/>
    <m/>
    <x v="19"/>
    <x v="0"/>
    <x v="0"/>
    <s v="Cold"/>
    <m/>
    <n v="0"/>
    <m/>
    <m/>
    <m/>
    <s v="Dec-24"/>
    <n v="51"/>
    <s v="2025"/>
  </r>
  <r>
    <d v="2024-12-18T00:00:00"/>
    <s v="Standard Life Sciences"/>
    <s v="F2F"/>
    <s v="Corporate"/>
    <x v="5"/>
    <s v="Venkat"/>
    <s v="Introduction to bulk delivery"/>
    <n v="0"/>
    <n v="0"/>
    <x v="13"/>
    <x v="0"/>
    <x v="0"/>
    <s v="Cancelled"/>
    <m/>
    <n v="0"/>
    <m/>
    <m/>
    <m/>
    <s v="Dec-24"/>
    <n v="51"/>
    <s v="2025"/>
  </r>
  <r>
    <d v="2024-12-19T00:00:00"/>
    <s v="D150"/>
    <s v="F2F"/>
    <s v="Corporate"/>
    <x v="17"/>
    <s v="Hannah"/>
    <s v="Site visit for event on 20-12-2024"/>
    <n v="0"/>
    <n v="0"/>
    <x v="12"/>
    <x v="0"/>
    <x v="1"/>
    <s v="Closed"/>
    <m/>
    <n v="0"/>
    <m/>
    <m/>
    <m/>
    <s v="Dec-24"/>
    <n v="51"/>
    <s v="2024"/>
  </r>
  <r>
    <d v="2024-12-19T00:00:00"/>
    <s v="Delivery at Malakpet"/>
    <s v="Call"/>
    <s v="Events"/>
    <x v="10"/>
    <s v="Anusha"/>
    <s v="delivery of MB on 21-12-24"/>
    <n v="12000"/>
    <n v="12000"/>
    <x v="12"/>
    <x v="0"/>
    <x v="1"/>
    <s v="Closed"/>
    <m/>
    <n v="0"/>
    <m/>
    <m/>
    <m/>
    <s v="Dec-24"/>
    <n v="51"/>
    <s v="2024"/>
  </r>
  <r>
    <d v="2024-12-19T00:00:00"/>
    <s v="Pure o Natural"/>
    <s v="Call"/>
    <s v="Corporate"/>
    <x v="17"/>
    <s v="Tushar"/>
    <s v="Delivery of Bakery items in January"/>
    <n v="50000"/>
    <n v="0"/>
    <x v="13"/>
    <x v="0"/>
    <x v="0"/>
    <s v="Cancelled"/>
    <s v="Less Budget"/>
    <n v="0"/>
    <m/>
    <m/>
    <m/>
    <s v="Dec-24"/>
    <n v="51"/>
    <s v="2025"/>
  </r>
  <r>
    <d v="2024-12-20T00:00:00"/>
    <s v="Take away from kukatpally"/>
    <s v="Call"/>
    <s v="Tourist Group"/>
    <x v="1"/>
    <s v="Santosh"/>
    <s v="Take away of MB on 31-12-24"/>
    <n v="30000"/>
    <n v="0"/>
    <x v="12"/>
    <x v="0"/>
    <x v="0"/>
    <s v="Cancelled"/>
    <s v="Cancelled due to long distance , Karnataka"/>
    <n v="0"/>
    <m/>
    <m/>
    <m/>
    <s v="Dec-24"/>
    <n v="51"/>
    <s v="2024"/>
  </r>
  <r>
    <d v="2024-12-20T00:00:00"/>
    <s v="D150"/>
    <s v="F2F"/>
    <s v="Corporate"/>
    <x v="17"/>
    <s v="Hannah"/>
    <s v="Brand awarness event of Dum December"/>
    <n v="800"/>
    <n v="800"/>
    <x v="12"/>
    <x v="0"/>
    <x v="1"/>
    <s v="Closed"/>
    <m/>
    <n v="0"/>
    <m/>
    <m/>
    <m/>
    <s v="Dec-24"/>
    <n v="51"/>
    <s v="2024"/>
  </r>
  <r>
    <d v="2024-12-20T00:00:00"/>
    <s v="Delivery at Secundrabad Station"/>
    <s v="Call"/>
    <s v="Corporate"/>
    <x v="1"/>
    <s v="Rahul"/>
    <s v="Wonderla Group from amravati on 20-12-2024"/>
    <n v="16000"/>
    <n v="16000"/>
    <x v="12"/>
    <x v="0"/>
    <x v="1"/>
    <s v="Closed"/>
    <m/>
    <n v="0"/>
    <m/>
    <m/>
    <m/>
    <s v="Dec-24"/>
    <n v="51"/>
    <s v="2024"/>
  </r>
  <r>
    <d v="2024-12-21T00:00:00"/>
    <s v="IPE Alumini Meet"/>
    <s v="F2F"/>
    <s v="College"/>
    <x v="4"/>
    <s v="Moorthi"/>
    <s v="Shared contacts and Catering options for college"/>
    <n v="0"/>
    <n v="0"/>
    <x v="14"/>
    <x v="0"/>
    <x v="1"/>
    <s v="Closed"/>
    <m/>
    <n v="0"/>
    <m/>
    <m/>
    <m/>
    <s v="Dec-24"/>
    <n v="51"/>
    <s v="2025"/>
  </r>
  <r>
    <d v="2024-12-21T00:00:00"/>
    <s v="Event at Prestige High Fields"/>
    <s v="Call"/>
    <s v="Corporate"/>
    <x v="30"/>
    <s v="Aswin"/>
    <s v="Event on 22-12-24"/>
    <n v="12000"/>
    <n v="12000"/>
    <x v="12"/>
    <x v="0"/>
    <x v="1"/>
    <s v="Closed"/>
    <m/>
    <n v="0"/>
    <m/>
    <m/>
    <m/>
    <s v="Dec-24"/>
    <n v="51"/>
    <s v="2024"/>
  </r>
  <r>
    <d v="2024-12-22T00:00:00"/>
    <s v="Delivery at Novotel"/>
    <s v="Call"/>
    <s v="Corporate"/>
    <x v="17"/>
    <s v="Rakesh"/>
    <s v="Delivery of CB on 22-12-24"/>
    <n v="60000"/>
    <n v="60000"/>
    <x v="12"/>
    <x v="0"/>
    <x v="1"/>
    <s v="Closed"/>
    <m/>
    <n v="0"/>
    <m/>
    <m/>
    <m/>
    <s v="Dec-24"/>
    <n v="51"/>
    <s v="2024"/>
  </r>
  <r>
    <d v="2024-12-22T00:00:00"/>
    <s v="Delivery at Westn hotels on 29-12-24"/>
    <s v="F2F"/>
    <s v="Corporate"/>
    <x v="17"/>
    <s v="Samba Siva Rao"/>
    <s v="Delivery of CB &amp; MB on 29-12-24"/>
    <n v="37000"/>
    <n v="37000"/>
    <x v="12"/>
    <x v="0"/>
    <x v="1"/>
    <s v="Closed"/>
    <m/>
    <n v="0"/>
    <m/>
    <m/>
    <m/>
    <s v="Dec-24"/>
    <n v="51"/>
    <s v="2024"/>
  </r>
  <r>
    <d v="2024-12-23T00:00:00"/>
    <s v="JCNM Church"/>
    <s v="F2F"/>
    <s v="Church"/>
    <x v="8"/>
    <s v="Daniel Pramod"/>
    <s v="Discussion regarding Agreement and delivery"/>
    <n v="0"/>
    <n v="0"/>
    <x v="12"/>
    <x v="0"/>
    <x v="1"/>
    <s v="Closed"/>
    <m/>
    <n v="0"/>
    <m/>
    <m/>
    <m/>
    <s v="Dec-24"/>
    <n v="52"/>
    <s v="2024"/>
  </r>
  <r>
    <d v="2024-12-23T00:00:00"/>
    <s v="Delivery at Begumpet"/>
    <s v="Call"/>
    <s v="Events"/>
    <x v="10"/>
    <s v="Arshad Ali"/>
    <s v="Declivey of CB &amp; VB on 24-12-24"/>
    <n v="12000"/>
    <n v="12000"/>
    <x v="12"/>
    <x v="0"/>
    <x v="1"/>
    <s v="Closed"/>
    <m/>
    <n v="0"/>
    <m/>
    <m/>
    <m/>
    <s v="Dec-24"/>
    <n v="52"/>
    <s v="2024"/>
  </r>
  <r>
    <d v="2024-12-23T00:00:00"/>
    <s v="Delivery of Plum Cakes to United Church"/>
    <s v="F2F"/>
    <s v="Church"/>
    <x v="8"/>
    <s v="Arthur Praveen"/>
    <s v="Delivery of Plum Cakes on 19-12-24"/>
    <n v="2000"/>
    <n v="2000"/>
    <x v="12"/>
    <x v="0"/>
    <x v="1"/>
    <s v="Closed"/>
    <m/>
    <n v="0"/>
    <m/>
    <m/>
    <m/>
    <s v="Dec-24"/>
    <n v="52"/>
    <s v="2024"/>
  </r>
  <r>
    <d v="2024-12-25T00:00:00"/>
    <s v="ODC at Rampally Church"/>
    <s v="F2F"/>
    <s v="Church"/>
    <x v="8"/>
    <s v="Vijay"/>
    <s v="ODC sale of plum cake on 25-12-24"/>
    <n v="12139"/>
    <n v="12139"/>
    <x v="12"/>
    <x v="0"/>
    <x v="1"/>
    <s v="Closed"/>
    <m/>
    <n v="0"/>
    <m/>
    <m/>
    <m/>
    <s v="Dec-24"/>
    <n v="52"/>
    <s v="2024"/>
  </r>
  <r>
    <d v="2024-12-25T00:00:00"/>
    <s v="JCNM Church"/>
    <s v="F2F"/>
    <s v="Church"/>
    <x v="8"/>
    <s v="Daniel Pramod"/>
    <s v="Delivery of special Boiryani on 25-12-24"/>
    <n v="3081646"/>
    <n v="3081646"/>
    <x v="12"/>
    <x v="0"/>
    <x v="1"/>
    <s v="Closed"/>
    <m/>
    <n v="0"/>
    <m/>
    <m/>
    <m/>
    <s v="Dec-24"/>
    <n v="52"/>
    <s v="2024"/>
  </r>
  <r>
    <d v="2024-12-25T00:00:00"/>
    <s v="MSN Labs"/>
    <s v="Call"/>
    <s v="Corporate"/>
    <x v="5"/>
    <s v="Satya"/>
    <s v="Delivery of Biryani Kits in Jan"/>
    <n v="2800000"/>
    <n v="2800000"/>
    <x v="14"/>
    <x v="0"/>
    <x v="1"/>
    <s v="Closed"/>
    <m/>
    <n v="0"/>
    <m/>
    <m/>
    <m/>
    <s v="Dec-24"/>
    <n v="52"/>
    <s v="2025"/>
  </r>
  <r>
    <d v="2024-12-26T00:00:00"/>
    <s v="JDA Software"/>
    <s v="F2F"/>
    <s v="Corporate"/>
    <x v="0"/>
    <s v="Archana"/>
    <s v="Delivery of biryani &amp; Kababs on 28-12-24"/>
    <n v="15840"/>
    <n v="15840"/>
    <x v="12"/>
    <x v="0"/>
    <x v="1"/>
    <s v="Closed"/>
    <m/>
    <n v="0"/>
    <m/>
    <m/>
    <m/>
    <s v="Dec-24"/>
    <n v="52"/>
    <s v="2024"/>
  </r>
  <r>
    <d v="2024-12-26T00:00:00"/>
    <s v="Vasavi Brundavanam Gated Community"/>
    <s v="F2F"/>
    <s v="Corporate"/>
    <x v="15"/>
    <s v="Pavan"/>
    <s v="ODC on 31-12-24"/>
    <n v="33000"/>
    <n v="33000"/>
    <x v="12"/>
    <x v="0"/>
    <x v="1"/>
    <s v="Closed"/>
    <m/>
    <n v="0"/>
    <m/>
    <m/>
    <m/>
    <s v="Dec-24"/>
    <n v="52"/>
    <s v="2024"/>
  </r>
  <r>
    <d v="2024-12-26T00:00:00"/>
    <s v="Brigade Citadel Gated Community"/>
    <s v="F2F"/>
    <s v="Corporate"/>
    <x v="15"/>
    <s v="Srinivas"/>
    <s v="ODC on 31-12-24"/>
    <n v="35000"/>
    <n v="0"/>
    <x v="12"/>
    <x v="0"/>
    <x v="0"/>
    <s v="Cancelled"/>
    <s v="Providing free buffet so not profitable"/>
    <n v="0"/>
    <m/>
    <m/>
    <m/>
    <s v="Dec-24"/>
    <n v="52"/>
    <s v="2024"/>
  </r>
  <r>
    <d v="2024-12-26T00:00:00"/>
    <s v="Oakwood School Nagole"/>
    <s v="F2F"/>
    <s v="School"/>
    <x v="4"/>
    <s v="sharda"/>
    <s v="ODC on 28-12-24"/>
    <n v="8000"/>
    <n v="8000"/>
    <x v="12"/>
    <x v="0"/>
    <x v="1"/>
    <s v="Closed"/>
    <m/>
    <n v="0"/>
    <m/>
    <m/>
    <m/>
    <s v="Dec-24"/>
    <n v="52"/>
    <s v="2024"/>
  </r>
  <r>
    <d v="2024-12-26T00:00:00"/>
    <s v="Delivery at MG Road"/>
    <s v="Call"/>
    <s v="Events"/>
    <x v="10"/>
    <s v="Padam"/>
    <s v="Delivery of CB on 25-12-24"/>
    <n v="7900"/>
    <n v="7900"/>
    <x v="12"/>
    <x v="0"/>
    <x v="1"/>
    <s v="Closed"/>
    <m/>
    <n v="0"/>
    <m/>
    <m/>
    <m/>
    <s v="Dec-24"/>
    <n v="52"/>
    <s v="2024"/>
  </r>
  <r>
    <d v="2024-12-26T00:00:00"/>
    <s v="Delivery from Sarat City Mall"/>
    <s v="Call"/>
    <s v="Events"/>
    <x v="10"/>
    <s v="Vijay"/>
    <s v="Delivery of CB Handi on 25-12-24"/>
    <n v="16798"/>
    <n v="16798"/>
    <x v="12"/>
    <x v="0"/>
    <x v="1"/>
    <s v="Closed"/>
    <m/>
    <n v="0"/>
    <m/>
    <m/>
    <m/>
    <s v="Dec-24"/>
    <n v="52"/>
    <s v="2024"/>
  </r>
  <r>
    <d v="2024-12-26T00:00:00"/>
    <s v="Delivery at RTC"/>
    <s v="Call"/>
    <s v="Events"/>
    <x v="10"/>
    <s v="Rajesh"/>
    <s v="Delivery of CB on 25-12-24"/>
    <n v="8214"/>
    <n v="8214"/>
    <x v="12"/>
    <x v="0"/>
    <x v="1"/>
    <s v="Closed"/>
    <m/>
    <n v="0"/>
    <m/>
    <m/>
    <m/>
    <s v="Dec-24"/>
    <n v="52"/>
    <s v="2024"/>
  </r>
  <r>
    <d v="2024-12-26T00:00:00"/>
    <s v="Dine in at Rampally"/>
    <s v="Call"/>
    <s v="Events"/>
    <x v="10"/>
    <s v="Ganesh"/>
    <s v="Family dine in on 25-12-24"/>
    <n v="7454"/>
    <n v="7454"/>
    <x v="12"/>
    <x v="0"/>
    <x v="1"/>
    <s v="Closed"/>
    <m/>
    <n v="0"/>
    <m/>
    <m/>
    <m/>
    <s v="Dec-24"/>
    <n v="52"/>
    <s v="2024"/>
  </r>
  <r>
    <d v="2024-12-26T00:00:00"/>
    <s v="Delivery at inorbit"/>
    <s v="Call"/>
    <s v="Events"/>
    <x v="10"/>
    <s v="Niladri"/>
    <s v="Take Away on 25-12-24"/>
    <n v="4225"/>
    <n v="4225"/>
    <x v="12"/>
    <x v="0"/>
    <x v="1"/>
    <s v="Closed"/>
    <m/>
    <n v="0"/>
    <m/>
    <m/>
    <m/>
    <s v="Dec-24"/>
    <n v="52"/>
    <s v="2024"/>
  </r>
  <r>
    <d v="2024-12-26T00:00:00"/>
    <s v="Delivery at uppal"/>
    <s v="Call"/>
    <s v="Events"/>
    <x v="10"/>
    <s v="Smruti"/>
    <s v="Delivery of CB on 27-12-24"/>
    <n v="17958"/>
    <n v="17958"/>
    <x v="12"/>
    <x v="0"/>
    <x v="1"/>
    <s v="Closed"/>
    <m/>
    <n v="0"/>
    <m/>
    <m/>
    <m/>
    <s v="Dec-24"/>
    <n v="52"/>
    <s v="2024"/>
  </r>
  <r>
    <d v="2024-12-28T00:00:00"/>
    <s v="Cube Highways (GMR)"/>
    <s v="Call"/>
    <s v="Corporate"/>
    <x v="15"/>
    <s v="Reena"/>
    <s v="Take away of Flight packaging CB on 28-12-24"/>
    <n v="5100"/>
    <n v="5100"/>
    <x v="12"/>
    <x v="0"/>
    <x v="1"/>
    <s v="Closed"/>
    <m/>
    <n v="0"/>
    <m/>
    <m/>
    <m/>
    <s v="Dec-24"/>
    <n v="52"/>
    <s v="2024"/>
  </r>
  <r>
    <d v="2024-12-30T00:00:00"/>
    <s v="Dine in at Begumpet"/>
    <s v="Call"/>
    <s v="Events"/>
    <x v="10"/>
    <s v="Nitya"/>
    <s v="Dine in on 30-12-024"/>
    <n v="38000"/>
    <n v="38000"/>
    <x v="12"/>
    <x v="0"/>
    <x v="1"/>
    <s v="Closed"/>
    <m/>
    <n v="0"/>
    <m/>
    <m/>
    <m/>
    <s v="Dec-24"/>
    <n v="1"/>
    <s v="2024"/>
  </r>
  <r>
    <d v="2024-12-31T00:00:00"/>
    <s v="Delivery at SR Nagar"/>
    <s v="Call"/>
    <s v="Events"/>
    <x v="10"/>
    <s v="Mahesh"/>
    <s v="Delivery of VB and Kabab"/>
    <n v="7162"/>
    <n v="7162"/>
    <x v="12"/>
    <x v="0"/>
    <x v="1"/>
    <s v="Closed"/>
    <m/>
    <n v="0"/>
    <m/>
    <m/>
    <m/>
    <s v="Dec-24"/>
    <n v="1"/>
    <s v="2024"/>
  </r>
  <r>
    <d v="2024-12-31T00:00:00"/>
    <s v="Delivery of PLum Cakes to JCNM Church"/>
    <s v="F2F"/>
    <s v="Church"/>
    <x v="8"/>
    <s v="Daniel"/>
    <s v="Delivery of Special Plum Cakes"/>
    <n v="563989"/>
    <n v="563989"/>
    <x v="12"/>
    <x v="0"/>
    <x v="1"/>
    <s v="Closed"/>
    <m/>
    <n v="0"/>
    <m/>
    <m/>
    <m/>
    <s v="Dec-24"/>
    <n v="1"/>
    <s v="2024"/>
  </r>
  <r>
    <d v="2002-12-31T00:00:00"/>
    <s v="ODC at Prestige High Fields"/>
    <s v="F2F"/>
    <s v="Events"/>
    <x v="30"/>
    <s v="Giridhar"/>
    <s v="ODC on 31-12-24"/>
    <n v="21000"/>
    <n v="21000"/>
    <x v="12"/>
    <x v="0"/>
    <x v="1"/>
    <s v="Closed"/>
    <m/>
    <n v="0"/>
    <m/>
    <m/>
    <m/>
    <s v="Dec-02"/>
    <n v="1"/>
    <s v="2024"/>
  </r>
  <r>
    <d v="2024-01-01T00:00:00"/>
    <s v="Aurobindo Prarma"/>
    <s v="F2F"/>
    <s v="Corporate"/>
    <x v="5"/>
    <s v="Bapiraju"/>
    <s v="Aurobindo premier league , CB Delivery 8-1-25"/>
    <n v="238000"/>
    <n v="238000"/>
    <x v="14"/>
    <x v="0"/>
    <x v="1"/>
    <s v="Closed"/>
    <m/>
    <n v="0"/>
    <m/>
    <m/>
    <m/>
    <s v="Jan-24"/>
    <n v="1"/>
    <s v="2025"/>
  </r>
  <r>
    <d v="2025-01-01T00:00:00"/>
    <s v="Kukudukoo"/>
    <s v="Call"/>
    <s v="Exhibition"/>
    <x v="17"/>
    <s v="Shubham"/>
    <s v="Fest in February"/>
    <n v="0"/>
    <n v="0"/>
    <x v="13"/>
    <x v="0"/>
    <x v="1"/>
    <s v="Closed"/>
    <m/>
    <n v="0"/>
    <m/>
    <m/>
    <m/>
    <s v="Jan-25"/>
    <n v="1"/>
    <s v="2025"/>
  </r>
  <r>
    <d v="2025-01-01T00:00:00"/>
    <s v="Delivery at Malkajgiri Church"/>
    <s v="Call"/>
    <s v="Church"/>
    <x v="8"/>
    <s v="Anand"/>
    <s v="Delivery of CB on 1-01-2025"/>
    <n v="7050"/>
    <n v="7050"/>
    <x v="14"/>
    <x v="0"/>
    <x v="1"/>
    <s v="Closed"/>
    <m/>
    <n v="0"/>
    <m/>
    <m/>
    <m/>
    <s v="Jan-25"/>
    <n v="1"/>
    <s v="2025"/>
  </r>
  <r>
    <d v="2025-01-02T00:00:00"/>
    <s v="Food Stall at Rashtrapati Nilayam"/>
    <s v="F2F"/>
    <s v="Exhibition"/>
    <x v="17"/>
    <s v="Mani"/>
    <s v="Food Stall from 3rd Jan till 13th January 2025"/>
    <n v="0"/>
    <n v="0"/>
    <x v="14"/>
    <x v="0"/>
    <x v="1"/>
    <s v="Closed"/>
    <m/>
    <n v="0"/>
    <m/>
    <m/>
    <m/>
    <s v="Jan-25"/>
    <n v="1"/>
    <s v="2025"/>
  </r>
  <r>
    <d v="2025-01-02T00:00:00"/>
    <s v="Medilead Pharma"/>
    <s v="F2F"/>
    <s v="Corporate"/>
    <x v="5"/>
    <s v="Jaisimha Reddy"/>
    <s v="Shared details of Bulk deliverables"/>
    <n v="0"/>
    <n v="0"/>
    <x v="13"/>
    <x v="0"/>
    <x v="0"/>
    <s v="Cancelled"/>
    <s v="No requirement"/>
    <n v="0"/>
    <m/>
    <m/>
    <m/>
    <s v="Jan-25"/>
    <n v="1"/>
    <s v="2025"/>
  </r>
  <r>
    <d v="2025-01-03T00:00:00"/>
    <s v="Food Stall at Rashtrapati Nilayam"/>
    <s v="F2F"/>
    <s v="Corporate"/>
    <x v="30"/>
    <s v="Rajesh"/>
    <s v="Food stall on 03-01-2025"/>
    <n v="12635"/>
    <n v="12635"/>
    <x v="14"/>
    <x v="0"/>
    <x v="1"/>
    <s v="Closed"/>
    <m/>
    <n v="0"/>
    <m/>
    <m/>
    <m/>
    <s v="Jan-25"/>
    <n v="1"/>
    <s v="2025"/>
  </r>
  <r>
    <d v="2025-01-03T00:00:00"/>
    <s v="Delivery at Balapur"/>
    <s v="Call"/>
    <s v="Events"/>
    <x v="10"/>
    <s v="Bangani"/>
    <s v="Delivery at balapur on 03-01-2025"/>
    <n v="31474"/>
    <n v="31474"/>
    <x v="14"/>
    <x v="0"/>
    <x v="1"/>
    <s v="Closed"/>
    <m/>
    <n v="0"/>
    <m/>
    <m/>
    <m/>
    <s v="Jan-25"/>
    <n v="1"/>
    <s v="2025"/>
  </r>
  <r>
    <d v="2025-01-03T00:00:00"/>
    <s v="Delivery at Begumpet"/>
    <s v="Call"/>
    <s v="Events"/>
    <x v="10"/>
    <s v="Mahesh"/>
    <s v="Delivery of supreme CB on 03-01-2025"/>
    <n v="11900"/>
    <n v="11900"/>
    <x v="14"/>
    <x v="0"/>
    <x v="1"/>
    <s v="Closed"/>
    <m/>
    <n v="0"/>
    <m/>
    <m/>
    <m/>
    <s v="Jan-25"/>
    <n v="1"/>
    <s v="2025"/>
  </r>
  <r>
    <d v="2025-01-03T00:00:00"/>
    <s v="Take away at Malkajgiri"/>
    <s v="Call"/>
    <s v="Events"/>
    <x v="10"/>
    <s v="Manila"/>
    <s v="Take away of CB on 03-01-2025"/>
    <n v="6150"/>
    <n v="6150"/>
    <x v="14"/>
    <x v="0"/>
    <x v="1"/>
    <s v="Closed"/>
    <m/>
    <n v="0"/>
    <m/>
    <m/>
    <m/>
    <s v="Jan-25"/>
    <n v="1"/>
    <s v="2025"/>
  </r>
  <r>
    <d v="2025-01-04T00:00:00"/>
    <s v="Food Stall at Rashtrapati Nilayam"/>
    <s v="F2F"/>
    <s v="Corporate"/>
    <x v="30"/>
    <s v="Rajesh"/>
    <s v="Food stall on 03-01-2025"/>
    <n v="31515"/>
    <n v="31515"/>
    <x v="14"/>
    <x v="0"/>
    <x v="1"/>
    <s v="Closed"/>
    <m/>
    <n v="0"/>
    <m/>
    <m/>
    <m/>
    <s v="Jan-25"/>
    <n v="1"/>
    <s v="2025"/>
  </r>
  <r>
    <d v="2025-01-04T00:00:00"/>
    <s v="Delivery at Shamshabad"/>
    <s v="Call"/>
    <s v="Events"/>
    <x v="10"/>
    <s v="Ajay"/>
    <s v="Delivery of CB at Shamshabad on 04-01-2025"/>
    <n v="20313"/>
    <n v="20313"/>
    <x v="14"/>
    <x v="0"/>
    <x v="1"/>
    <s v="Closed"/>
    <m/>
    <n v="0"/>
    <m/>
    <m/>
    <m/>
    <s v="Jan-25"/>
    <n v="1"/>
    <s v="2025"/>
  </r>
  <r>
    <d v="2025-01-05T00:00:00"/>
    <s v="Takeaway at lingampally"/>
    <s v="Call"/>
    <s v="Events"/>
    <x v="10"/>
    <s v="Rahul"/>
    <s v="Take away of CB on 5-1-2025"/>
    <n v="10540"/>
    <n v="10540"/>
    <x v="14"/>
    <x v="0"/>
    <x v="1"/>
    <s v="Closed"/>
    <m/>
    <n v="0"/>
    <m/>
    <m/>
    <m/>
    <s v="Jan-25"/>
    <n v="1"/>
    <s v="2025"/>
  </r>
  <r>
    <d v="2025-01-05T00:00:00"/>
    <s v="Food Stall at Rashtrapati Nilayam"/>
    <s v="F2F"/>
    <s v="Corporate"/>
    <x v="30"/>
    <s v="Rajesh"/>
    <s v="Food stall on 04-01-2025"/>
    <n v="48836"/>
    <n v="48836"/>
    <x v="14"/>
    <x v="0"/>
    <x v="1"/>
    <s v="Closed"/>
    <m/>
    <n v="0"/>
    <m/>
    <m/>
    <m/>
    <s v="Jan-25"/>
    <n v="1"/>
    <s v="2025"/>
  </r>
  <r>
    <d v="2025-01-06T00:00:00"/>
    <s v="Food Stall at Rashtrapati Nilayam"/>
    <s v="F2F"/>
    <s v="Corporate"/>
    <x v="30"/>
    <s v="Rajesh"/>
    <s v="Food stall on 05-01-2025"/>
    <n v="15506"/>
    <n v="15506"/>
    <x v="14"/>
    <x v="0"/>
    <x v="1"/>
    <s v="Closed"/>
    <m/>
    <n v="0"/>
    <m/>
    <m/>
    <m/>
    <s v="Jan-25"/>
    <n v="2"/>
    <s v="2025"/>
  </r>
  <r>
    <d v="2025-01-06T00:00:00"/>
    <s v="Tourist Group Dine in at Padmaraonagar"/>
    <s v="F2F"/>
    <s v="Corporate"/>
    <x v="1"/>
    <s v="Shobhindar"/>
    <s v="Dine in of students from Amravati on 6-1-2025"/>
    <n v="13819"/>
    <n v="13819"/>
    <x v="14"/>
    <x v="0"/>
    <x v="1"/>
    <s v="Closed"/>
    <m/>
    <n v="0"/>
    <m/>
    <m/>
    <m/>
    <s v="Jan-25"/>
    <n v="2"/>
    <s v="2025"/>
  </r>
  <r>
    <d v="2025-01-06T00:00:00"/>
    <s v="Takeaway from Shamshabad"/>
    <s v="Call"/>
    <s v="Corporate"/>
    <x v="1"/>
    <s v="Ayub"/>
    <s v="Take away of CB and Kabab on 06-1-2025"/>
    <n v="11065"/>
    <n v="11065"/>
    <x v="14"/>
    <x v="0"/>
    <x v="1"/>
    <s v="Closed"/>
    <m/>
    <n v="0"/>
    <m/>
    <m/>
    <m/>
    <s v="Jan-25"/>
    <n v="2"/>
    <s v="2025"/>
  </r>
  <r>
    <d v="2025-01-07T00:00:00"/>
    <s v="Take away at MG Road"/>
    <s v="Call"/>
    <s v="Corporate"/>
    <x v="31"/>
    <s v="Abhinav"/>
    <s v="Take away of VB on 8-1-25"/>
    <n v="7000"/>
    <n v="7000"/>
    <x v="14"/>
    <x v="0"/>
    <x v="1"/>
    <s v="Closed"/>
    <m/>
    <n v="0"/>
    <m/>
    <m/>
    <m/>
    <s v="Jan-25"/>
    <n v="2"/>
    <s v="2025"/>
  </r>
  <r>
    <d v="2025-01-07T00:00:00"/>
    <s v="Food Stall at Rashtrapati Nilayam"/>
    <s v="F2F"/>
    <s v="Corporate"/>
    <x v="30"/>
    <s v="Rajesh"/>
    <s v="Food stall on 07-01-2025"/>
    <n v="20106"/>
    <n v="20106"/>
    <x v="14"/>
    <x v="0"/>
    <x v="1"/>
    <s v="Closed"/>
    <m/>
    <n v="0"/>
    <m/>
    <m/>
    <m/>
    <s v="Jan-25"/>
    <n v="2"/>
    <s v="2025"/>
  </r>
  <r>
    <d v="2025-01-08T00:00:00"/>
    <s v="Food Stall at Rashtrapati Nilayam"/>
    <s v="F2F"/>
    <s v="Corporate"/>
    <x v="30"/>
    <s v="Rajesh"/>
    <s v="Food stall on 08-01-2025"/>
    <n v="10845"/>
    <n v="10845"/>
    <x v="14"/>
    <x v="0"/>
    <x v="1"/>
    <s v="Closed"/>
    <m/>
    <n v="0"/>
    <m/>
    <m/>
    <m/>
    <s v="Jan-25"/>
    <n v="2"/>
    <s v="2025"/>
  </r>
  <r>
    <d v="2025-01-08T00:00:00"/>
    <s v="Delivery at SEBLR Banglore (Compass)"/>
    <s v="Call"/>
    <s v="Corporate"/>
    <x v="17"/>
    <s v="Saad"/>
    <s v="New Delivery at Compass group on 8-1-25"/>
    <n v="39236"/>
    <n v="39236"/>
    <x v="14"/>
    <x v="1"/>
    <x v="1"/>
    <s v="Closed"/>
    <m/>
    <n v="0"/>
    <m/>
    <m/>
    <m/>
    <s v="Jan-25"/>
    <n v="2"/>
    <s v="2025"/>
  </r>
  <r>
    <d v="2025-01-08T00:00:00"/>
    <s v="Delivery at Compass Group Bangalore"/>
    <s v="Call"/>
    <s v="Corporate"/>
    <x v="17"/>
    <s v="Pankaj"/>
    <s v="Delivery of Special CB &amp; MB Handi on 8-1-25"/>
    <n v="45091"/>
    <n v="45091"/>
    <x v="14"/>
    <x v="1"/>
    <x v="1"/>
    <s v="Closed"/>
    <m/>
    <n v="0"/>
    <m/>
    <m/>
    <m/>
    <s v="Jan-25"/>
    <n v="2"/>
    <s v="2025"/>
  </r>
  <r>
    <d v="2025-01-09T00:00:00"/>
    <s v="Food Stall at Rashtrapati Nilayam"/>
    <s v="F2F"/>
    <s v="Corporate"/>
    <x v="30"/>
    <s v="Rajesh"/>
    <s v="Food stall on 09-01-2025"/>
    <n v="13245"/>
    <n v="13245"/>
    <x v="14"/>
    <x v="0"/>
    <x v="1"/>
    <s v="Closed"/>
    <m/>
    <n v="0"/>
    <m/>
    <m/>
    <m/>
    <s v="Jan-25"/>
    <n v="2"/>
    <s v="2025"/>
  </r>
  <r>
    <d v="2025-01-09T00:00:00"/>
    <s v="Ravindra Bharti ( Telangana Tourism)"/>
    <s v="F2F"/>
    <s v="Corporate"/>
    <x v="1"/>
    <s v="Prakash"/>
    <s v="food stall at Kite festival on 13-15 Jan free of cost"/>
    <n v="0"/>
    <n v="0"/>
    <x v="14"/>
    <x v="0"/>
    <x v="1"/>
    <s v="Closed"/>
    <m/>
    <n v="0"/>
    <m/>
    <m/>
    <m/>
    <s v="Jan-25"/>
    <n v="2"/>
    <s v="2025"/>
  </r>
  <r>
    <d v="2025-01-09T00:00:00"/>
    <s v="Capital Land Ataria/Gokhana"/>
    <s v="F2F"/>
    <s v="Corporate"/>
    <x v="17"/>
    <s v="Sandhya"/>
    <s v="Food stall Popup Site Visit with Debmalya"/>
    <n v="50000"/>
    <n v="50000"/>
    <x v="14"/>
    <x v="0"/>
    <x v="1"/>
    <s v="Closed"/>
    <m/>
    <n v="0"/>
    <m/>
    <m/>
    <m/>
    <s v="Jan-25"/>
    <n v="2"/>
    <s v="2025"/>
  </r>
  <r>
    <d v="2025-01-10T00:00:00"/>
    <s v="Foodies Group (GMR AIRPORT)"/>
    <s v="Call"/>
    <s v="Corporate"/>
    <x v="17"/>
    <s v="Venkat"/>
    <s v="Delivery of Haleem &amp; CB in Jan &amp; Feb"/>
    <n v="0"/>
    <n v="0"/>
    <x v="13"/>
    <x v="0"/>
    <x v="1"/>
    <s v="Closed"/>
    <m/>
    <n v="0"/>
    <m/>
    <m/>
    <m/>
    <s v="Jan-25"/>
    <n v="2"/>
    <s v="2025"/>
  </r>
  <r>
    <d v="2025-01-10T00:00:00"/>
    <s v="Food Stall at Rashtrapati Nilayam"/>
    <s v="F2F"/>
    <s v="Corporate"/>
    <x v="30"/>
    <s v="Rajesh"/>
    <s v="Food stall on 10-01-2025"/>
    <n v="22301"/>
    <n v="22301"/>
    <x v="14"/>
    <x v="0"/>
    <x v="1"/>
    <s v="Closed"/>
    <m/>
    <n v="0"/>
    <m/>
    <m/>
    <m/>
    <s v="Jan-25"/>
    <n v="2"/>
    <s v="2025"/>
  </r>
  <r>
    <d v="2025-01-10T00:00:00"/>
    <s v="Take away of VB at MG Road "/>
    <s v="Call"/>
    <s v="Corporate"/>
    <x v="19"/>
    <s v="Abhinav"/>
    <s v="Take away of VB on 8-1-25 for lohri function"/>
    <n v="8000"/>
    <n v="8000"/>
    <x v="14"/>
    <x v="0"/>
    <x v="1"/>
    <s v="Closed"/>
    <m/>
    <n v="0"/>
    <m/>
    <m/>
    <m/>
    <s v="Jan-25"/>
    <n v="2"/>
    <s v="2025"/>
  </r>
  <r>
    <d v="2025-01-10T00:00:00"/>
    <s v="Dine in at Gachibowli"/>
    <s v="Call"/>
    <s v="Events"/>
    <x v="10"/>
    <s v="Mohit"/>
    <s v="Dine in on 10-1-25"/>
    <n v="20010"/>
    <n v="20010"/>
    <x v="14"/>
    <x v="0"/>
    <x v="1"/>
    <s v="Closed"/>
    <m/>
    <n v="0"/>
    <m/>
    <m/>
    <m/>
    <s v="Jan-25"/>
    <n v="2"/>
    <s v="2025"/>
  </r>
  <r>
    <d v="2025-01-10T00:00:00"/>
    <s v="Delivery from lingampally"/>
    <s v="Call"/>
    <s v="Events"/>
    <x v="10"/>
    <s v="Rajesh"/>
    <s v="Delivery of MB,CB &amp; Kabab on 10-1-25"/>
    <n v="21707"/>
    <n v="21707"/>
    <x v="14"/>
    <x v="0"/>
    <x v="1"/>
    <s v="Closed"/>
    <m/>
    <n v="0"/>
    <m/>
    <m/>
    <m/>
    <s v="Jan-25"/>
    <n v="2"/>
    <s v="2025"/>
  </r>
  <r>
    <d v="2025-01-11T00:00:00"/>
    <s v="Food Stall at Rashtrapati Nilayam"/>
    <s v="F2F"/>
    <s v="Corporate"/>
    <x v="30"/>
    <s v="Rajesh"/>
    <s v="Food stall on 11-01-2025"/>
    <n v="51133"/>
    <n v="51133"/>
    <x v="14"/>
    <x v="0"/>
    <x v="1"/>
    <s v="Closed"/>
    <m/>
    <n v="0"/>
    <m/>
    <m/>
    <m/>
    <s v="Jan-25"/>
    <n v="2"/>
    <s v="2025"/>
  </r>
  <r>
    <d v="2025-01-11T00:00:00"/>
    <s v="Delivery for lohri function at MG Road"/>
    <s v="Call"/>
    <s v="Corporate"/>
    <x v="17"/>
    <s v="Amandeep"/>
    <s v="Delivery of CB,MB &amp; VB on 11-1-25"/>
    <n v="12946"/>
    <n v="12946"/>
    <x v="14"/>
    <x v="0"/>
    <x v="1"/>
    <s v="Closed"/>
    <m/>
    <n v="0"/>
    <m/>
    <m/>
    <m/>
    <s v="Jan-25"/>
    <n v="2"/>
    <s v="2025"/>
  </r>
  <r>
    <d v="2025-01-12T00:00:00"/>
    <s v="Delivery at airport"/>
    <s v="Call"/>
    <s v="Corporate"/>
    <x v="1"/>
    <s v="Nandini"/>
    <s v="Delivery of VB on 12-1-25"/>
    <n v="7000"/>
    <n v="7000"/>
    <x v="14"/>
    <x v="0"/>
    <x v="1"/>
    <s v="Closed"/>
    <m/>
    <n v="0"/>
    <m/>
    <m/>
    <m/>
    <s v="Jan-25"/>
    <n v="2"/>
    <s v="2025"/>
  </r>
  <r>
    <d v="2025-01-12T00:00:00"/>
    <s v="Food Stall at Rashtrapati Nilayam"/>
    <s v="F2F"/>
    <s v="Corporate"/>
    <x v="30"/>
    <s v="Rajesh"/>
    <s v="Food stall on 12-01-2025"/>
    <n v="69321"/>
    <n v="69321"/>
    <x v="14"/>
    <x v="0"/>
    <x v="1"/>
    <s v="Closed"/>
    <m/>
    <n v="0"/>
    <m/>
    <m/>
    <m/>
    <s v="Jan-25"/>
    <n v="2"/>
    <s v="2025"/>
  </r>
  <r>
    <d v="2025-01-13T00:00:00"/>
    <s v="Food Stall at Rashtrapati Nilayam"/>
    <s v="F2F"/>
    <s v="Corporate"/>
    <x v="30"/>
    <s v="Rajesh"/>
    <s v="Food stall on 13-01-2025"/>
    <n v="24151"/>
    <n v="24151"/>
    <x v="14"/>
    <x v="0"/>
    <x v="1"/>
    <s v="Closed"/>
    <m/>
    <n v="0"/>
    <m/>
    <m/>
    <m/>
    <s v="Jan-25"/>
    <n v="3"/>
    <s v="2025"/>
  </r>
  <r>
    <d v="2025-01-13T00:00:00"/>
    <s v="Food Stall at Parade Grounds Kite Festival"/>
    <s v="F2F"/>
    <s v="Corporate"/>
    <x v="30"/>
    <s v="Chennakeshav"/>
    <s v="Food Stall on 13-1-25"/>
    <n v="39760"/>
    <n v="39760"/>
    <x v="14"/>
    <x v="0"/>
    <x v="1"/>
    <s v="Closed"/>
    <m/>
    <n v="0"/>
    <m/>
    <m/>
    <m/>
    <s v="Jan-25"/>
    <n v="3"/>
    <s v="2025"/>
  </r>
  <r>
    <d v="2025-01-14T00:00:00"/>
    <s v="Food Stall at Parade Grounds Kite Festival"/>
    <s v="F2F"/>
    <s v="Corporate"/>
    <x v="30"/>
    <s v="Chennakeshav"/>
    <s v="Food Stall on 14-1-25"/>
    <n v="55035"/>
    <n v="55035"/>
    <x v="14"/>
    <x v="0"/>
    <x v="1"/>
    <s v="Closed"/>
    <m/>
    <n v="0"/>
    <m/>
    <m/>
    <m/>
    <s v="Jan-25"/>
    <n v="3"/>
    <s v="2025"/>
  </r>
  <r>
    <d v="2025-01-15T00:00:00"/>
    <s v="Delivery at SEBLR Banglore (Compass)"/>
    <s v="Call"/>
    <s v="Corporate"/>
    <x v="17"/>
    <s v="Saad"/>
    <s v="New Delivery at Compass group on 15-1-25"/>
    <n v="34832"/>
    <n v="34832"/>
    <x v="14"/>
    <x v="1"/>
    <x v="1"/>
    <s v="Closed"/>
    <m/>
    <n v="0"/>
    <m/>
    <m/>
    <m/>
    <s v="Jan-25"/>
    <n v="3"/>
    <s v="2025"/>
  </r>
  <r>
    <d v="2025-01-15T00:00:00"/>
    <s v="Delivery at Compass Group Bangalore"/>
    <s v="Call"/>
    <s v="Corporate"/>
    <x v="17"/>
    <s v="Pankaj"/>
    <s v="Delivery of Special CB &amp; MB Handi on 15-1-25"/>
    <n v="39435"/>
    <n v="39435"/>
    <x v="14"/>
    <x v="1"/>
    <x v="1"/>
    <s v="Closed"/>
    <m/>
    <n v="0"/>
    <m/>
    <m/>
    <m/>
    <s v="Jan-25"/>
    <n v="3"/>
    <s v="2025"/>
  </r>
  <r>
    <d v="2025-01-15T00:00:00"/>
    <s v="Food Stall at Parade Grounds Kite Festival"/>
    <s v="F2F"/>
    <s v="Corporate"/>
    <x v="30"/>
    <s v="Chennakeshav"/>
    <s v="Food Stall on 15-1-25"/>
    <n v="22250"/>
    <n v="22250"/>
    <x v="14"/>
    <x v="0"/>
    <x v="1"/>
    <s v="Closed"/>
    <m/>
    <n v="0"/>
    <m/>
    <m/>
    <m/>
    <s v="Jan-25"/>
    <n v="3"/>
    <s v="2025"/>
  </r>
  <r>
    <d v="2025-01-16T00:00:00"/>
    <s v="Delivery of CB at BHEL"/>
    <s v="Call"/>
    <s v="Events"/>
    <x v="10"/>
    <s v="Rakesh"/>
    <s v="Delivery of food on 16-1-2025"/>
    <n v="10493"/>
    <n v="10493"/>
    <x v="14"/>
    <x v="0"/>
    <x v="1"/>
    <s v="Closed"/>
    <m/>
    <n v="0"/>
    <m/>
    <m/>
    <m/>
    <s v="Jan-25"/>
    <n v="3"/>
    <s v="2025"/>
  </r>
  <r>
    <d v="2025-01-17T00:00:00"/>
    <s v="Take away from Muthangi"/>
    <s v="Call"/>
    <s v="Events"/>
    <x v="10"/>
    <s v="Prakash"/>
    <s v="Take away of CB on 15-1-2025"/>
    <n v="9700"/>
    <n v="9700"/>
    <x v="14"/>
    <x v="0"/>
    <x v="1"/>
    <s v="Closed"/>
    <m/>
    <n v="0"/>
    <m/>
    <m/>
    <m/>
    <s v="Jan-25"/>
    <n v="3"/>
    <s v="2025"/>
  </r>
  <r>
    <d v="2025-01-19T00:00:00"/>
    <s v="Delivery of MB at Hitec"/>
    <s v="Call"/>
    <s v="Corporate"/>
    <x v="0"/>
    <s v="Venkat"/>
    <s v="Delivery of MB on 19-1-2025"/>
    <n v="33900"/>
    <n v="33900"/>
    <x v="14"/>
    <x v="0"/>
    <x v="1"/>
    <s v="Closed"/>
    <m/>
    <n v="0"/>
    <m/>
    <m/>
    <m/>
    <s v="Jan-25"/>
    <n v="3"/>
    <s v="2025"/>
  </r>
  <r>
    <d v="2025-01-19T00:00:00"/>
    <s v="Take Away from Kompally"/>
    <s v="Call"/>
    <s v="Travel Group"/>
    <x v="8"/>
    <s v="Alnoor chandani"/>
    <s v="Take away of CB on 27-1-2025"/>
    <n v="6250"/>
    <n v="6250"/>
    <x v="14"/>
    <x v="0"/>
    <x v="1"/>
    <s v="Closed"/>
    <m/>
    <n v="0"/>
    <m/>
    <m/>
    <m/>
    <s v="Jan-25"/>
    <n v="3"/>
    <s v="2025"/>
  </r>
  <r>
    <d v="2025-01-19T00:00:00"/>
    <s v="Delivery at Secundrabad"/>
    <s v="Call"/>
    <s v="Events"/>
    <x v="10"/>
    <s v="Sobi"/>
    <s v="Declivery of MB on 22-1-2025"/>
    <n v="10000"/>
    <n v="0"/>
    <x v="14"/>
    <x v="0"/>
    <x v="0"/>
    <s v="Cancelled"/>
    <s v="No requirement"/>
    <n v="0"/>
    <m/>
    <m/>
    <m/>
    <s v="Jan-25"/>
    <n v="3"/>
    <s v="2025"/>
  </r>
  <r>
    <d v="2025-01-20T00:00:00"/>
    <s v="Popup Counter at Capital Land Atria"/>
    <s v="F2F"/>
    <s v="Corporate"/>
    <x v="17"/>
    <s v="Sandhya"/>
    <s v="popup counter on 20-1-2025"/>
    <n v="9755"/>
    <n v="9755"/>
    <x v="14"/>
    <x v="0"/>
    <x v="1"/>
    <s v="Closed"/>
    <m/>
    <n v="0"/>
    <m/>
    <m/>
    <m/>
    <s v="Jan-25"/>
    <n v="4"/>
    <s v="2025"/>
  </r>
  <r>
    <d v="2025-01-21T00:00:00"/>
    <s v="Popup Counter at Capital Land Atria"/>
    <s v="F2F"/>
    <s v="Corporate"/>
    <x v="17"/>
    <s v="Sandhya"/>
    <s v="popup counter on 21-1-2025"/>
    <n v="9900"/>
    <n v="9900"/>
    <x v="14"/>
    <x v="0"/>
    <x v="1"/>
    <s v="Closed"/>
    <m/>
    <n v="0"/>
    <m/>
    <m/>
    <m/>
    <s v="Jan-25"/>
    <n v="4"/>
    <s v="2025"/>
  </r>
  <r>
    <d v="2025-01-21T00:00:00"/>
    <s v="Buffet Lunch at Pashamylaram"/>
    <s v="F2F"/>
    <s v="Corporate"/>
    <x v="7"/>
    <s v="Arjun"/>
    <s v="Lunch and Dinner on 23-2-2025"/>
    <n v="350000"/>
    <n v="0"/>
    <x v="21"/>
    <x v="0"/>
    <x v="0"/>
    <s v="Cancelled"/>
    <m/>
    <n v="0"/>
    <m/>
    <m/>
    <m/>
    <s v="Jan-25"/>
    <n v="4"/>
    <s v="2025"/>
  </r>
  <r>
    <d v="2025-01-21T00:00:00"/>
    <s v="Vikas Degree College"/>
    <s v="F2F"/>
    <s v="College"/>
    <x v="4"/>
    <s v="Mateen"/>
    <s v="Introduction to Bulk orders"/>
    <n v="0"/>
    <n v="0"/>
    <x v="13"/>
    <x v="0"/>
    <x v="0"/>
    <s v="Cancelled"/>
    <m/>
    <n v="0"/>
    <m/>
    <m/>
    <m/>
    <s v="Jan-25"/>
    <n v="4"/>
    <s v="2025"/>
  </r>
  <r>
    <d v="2025-01-22T00:00:00"/>
    <s v="Popup Counter at Capital Land Atria"/>
    <s v="F2F"/>
    <s v="Corporate"/>
    <x v="17"/>
    <s v="Sandhya"/>
    <s v="popup counter on 22-1-2025"/>
    <n v="16060"/>
    <n v="16060"/>
    <x v="14"/>
    <x v="0"/>
    <x v="1"/>
    <s v="Closed"/>
    <m/>
    <n v="0"/>
    <m/>
    <m/>
    <m/>
    <s v="Jan-25"/>
    <n v="4"/>
    <s v="2025"/>
  </r>
  <r>
    <d v="2025-01-22T00:00:00"/>
    <s v="ITC Paperboard Division"/>
    <s v="F2F"/>
    <s v="Corporate"/>
    <x v="7"/>
    <s v="Sheshagiri"/>
    <s v="Introduction to Bulk orders"/>
    <n v="0"/>
    <n v="0"/>
    <x v="13"/>
    <x v="0"/>
    <x v="0"/>
    <s v="Cancelled"/>
    <s v="Less Budget"/>
    <n v="0"/>
    <m/>
    <m/>
    <m/>
    <s v="Jan-25"/>
    <n v="4"/>
    <s v="2025"/>
  </r>
  <r>
    <d v="2025-01-23T00:00:00"/>
    <s v="Popup Counter at Capital Land Atria"/>
    <s v="F2F"/>
    <s v="Corporate"/>
    <x v="17"/>
    <s v="Sandhya"/>
    <s v="popup counter on 23-1-2025"/>
    <n v="13470"/>
    <n v="13470"/>
    <x v="14"/>
    <x v="0"/>
    <x v="1"/>
    <s v="Closed"/>
    <m/>
    <n v="0"/>
    <m/>
    <m/>
    <m/>
    <s v="Jan-25"/>
    <n v="4"/>
    <s v="2025"/>
  </r>
  <r>
    <d v="2025-01-23T00:00:00"/>
    <s v="Masterminds School"/>
    <s v="F2F"/>
    <s v="School"/>
    <x v="4"/>
    <s v="Adarsh"/>
    <s v="Introduction to bulk deloivery"/>
    <n v="0"/>
    <n v="0"/>
    <x v="13"/>
    <x v="0"/>
    <x v="0"/>
    <s v="Cancelled"/>
    <m/>
    <n v="0"/>
    <m/>
    <m/>
    <m/>
    <s v="Jan-25"/>
    <n v="4"/>
    <s v="2025"/>
  </r>
  <r>
    <d v="2025-01-23T00:00:00"/>
    <s v="GEP"/>
    <s v="F2F"/>
    <s v="Corporate"/>
    <x v="0"/>
    <s v="Alifiya"/>
    <s v="Introduction to team lunch and delivery"/>
    <n v="0"/>
    <n v="0"/>
    <x v="13"/>
    <x v="0"/>
    <x v="0"/>
    <s v="Cancelled"/>
    <m/>
    <n v="0"/>
    <m/>
    <m/>
    <m/>
    <s v="Jan-25"/>
    <n v="4"/>
    <s v="2025"/>
  </r>
  <r>
    <d v="2025-01-24T00:00:00"/>
    <s v="Delivery at Secundrabad Station"/>
    <s v="F2F"/>
    <s v="Corporate"/>
    <x v="1"/>
    <s v="Mahesh"/>
    <s v="Delivery of CB on 24-1-2025"/>
    <n v="8100"/>
    <n v="8100"/>
    <x v="14"/>
    <x v="0"/>
    <x v="1"/>
    <s v="Closed"/>
    <m/>
    <n v="0"/>
    <m/>
    <m/>
    <m/>
    <s v="Jan-25"/>
    <n v="4"/>
    <s v="2025"/>
  </r>
  <r>
    <d v="2025-01-24T00:00:00"/>
    <s v="Popup Counter at Capital Land Atria"/>
    <s v="F2F"/>
    <s v="Corporate"/>
    <x v="17"/>
    <s v="Sandhya"/>
    <s v="popup counter on 24-1-2025"/>
    <n v="19280"/>
    <n v="19280"/>
    <x v="14"/>
    <x v="0"/>
    <x v="1"/>
    <s v="Closed"/>
    <m/>
    <n v="0"/>
    <m/>
    <m/>
    <m/>
    <s v="Jan-25"/>
    <n v="4"/>
    <s v="2025"/>
  </r>
  <r>
    <d v="2025-01-26T00:00:00"/>
    <s v="Delivery at Viatris"/>
    <s v="Call"/>
    <s v="Corporate"/>
    <x v="7"/>
    <s v="Rakesh"/>
    <s v="Delivery of CB on 26-1-2025"/>
    <n v="28179"/>
    <n v="28179"/>
    <x v="14"/>
    <x v="0"/>
    <x v="1"/>
    <s v="Closed"/>
    <m/>
    <n v="0"/>
    <m/>
    <m/>
    <m/>
    <s v="Jan-25"/>
    <n v="4"/>
    <s v="2025"/>
  </r>
  <r>
    <d v="2025-01-26T00:00:00"/>
    <s v="Delivery at Begumpet"/>
    <s v="Call"/>
    <s v="Events"/>
    <x v="10"/>
    <s v="Srinivas"/>
    <s v="Delivery of CB on 26-1-2025"/>
    <n v="13800"/>
    <n v="13800"/>
    <x v="14"/>
    <x v="0"/>
    <x v="1"/>
    <s v="Closed"/>
    <m/>
    <n v="0"/>
    <m/>
    <m/>
    <m/>
    <s v="Jan-25"/>
    <n v="4"/>
    <s v="2025"/>
  </r>
  <r>
    <d v="2025-01-27T00:00:00"/>
    <s v="Delivery at Kachiguda Railway Station"/>
    <s v="F2F"/>
    <s v="Corporate"/>
    <x v="1"/>
    <s v="Shobhindar"/>
    <s v="Delivery of CB &amp; VB on 27-01-2025"/>
    <n v="5100"/>
    <n v="5100"/>
    <x v="14"/>
    <x v="0"/>
    <x v="1"/>
    <s v="Closed"/>
    <m/>
    <n v="0"/>
    <m/>
    <m/>
    <m/>
    <s v="Jan-25"/>
    <n v="5"/>
    <s v="2025"/>
  </r>
  <r>
    <d v="2025-01-27T00:00:00"/>
    <s v="Popup Counter at Capital Land Atria"/>
    <s v="F2F"/>
    <s v="Corporate"/>
    <x v="17"/>
    <s v="Sandhya"/>
    <s v="popup counter on 27-1-2025"/>
    <n v="19870"/>
    <n v="19870"/>
    <x v="14"/>
    <x v="0"/>
    <x v="1"/>
    <s v="Closed"/>
    <m/>
    <n v="0"/>
    <m/>
    <m/>
    <m/>
    <s v="Jan-25"/>
    <n v="5"/>
    <s v="2025"/>
  </r>
  <r>
    <d v="2025-01-27T00:00:00"/>
    <s v="Popup Counter at Capital Land A Block"/>
    <s v="F2F"/>
    <s v="Corporate"/>
    <x v="17"/>
    <s v="Anil"/>
    <s v="popup counter on 27-1-2025"/>
    <n v="8280"/>
    <n v="8280"/>
    <x v="14"/>
    <x v="0"/>
    <x v="1"/>
    <s v="Closed"/>
    <m/>
    <n v="0"/>
    <m/>
    <m/>
    <m/>
    <s v="Jan-25"/>
    <n v="5"/>
    <s v="2025"/>
  </r>
  <r>
    <d v="2025-01-28T00:00:00"/>
    <s v="Popup Counter at Capital Land Atria"/>
    <s v="F2F"/>
    <s v="Corporate"/>
    <x v="17"/>
    <s v="Sandhya"/>
    <s v="popup counter on 28-1-2025"/>
    <n v="13270"/>
    <n v="13270"/>
    <x v="14"/>
    <x v="0"/>
    <x v="1"/>
    <s v="Closed"/>
    <m/>
    <n v="0"/>
    <m/>
    <m/>
    <m/>
    <s v="Jan-25"/>
    <n v="5"/>
    <s v="2025"/>
  </r>
  <r>
    <d v="2025-01-28T00:00:00"/>
    <s v="Popup Counter at Capital Land A Block"/>
    <s v="F2F"/>
    <s v="Corporate"/>
    <x v="17"/>
    <s v="Anil"/>
    <s v="popup counter on 28-1-2025"/>
    <n v="16229"/>
    <n v="16229"/>
    <x v="14"/>
    <x v="0"/>
    <x v="1"/>
    <s v="Closed"/>
    <m/>
    <n v="0"/>
    <m/>
    <m/>
    <m/>
    <s v="Jan-25"/>
    <n v="5"/>
    <s v="2025"/>
  </r>
  <r>
    <d v="2025-01-28T00:00:00"/>
    <s v="Loyola College"/>
    <s v="F2F"/>
    <s v="College"/>
    <x v="4"/>
    <s v="Abdul"/>
    <s v="Shared price for bakery items for 10 FEB"/>
    <n v="30000"/>
    <n v="0"/>
    <x v="13"/>
    <x v="0"/>
    <x v="0"/>
    <s v="Cancelled"/>
    <s v="Less Budget"/>
    <n v="0"/>
    <m/>
    <m/>
    <m/>
    <s v="Jan-25"/>
    <n v="5"/>
    <s v="2025"/>
  </r>
  <r>
    <d v="2025-01-29T00:00:00"/>
    <s v="Popup Counter at Capital Land Atria"/>
    <s v="F2F"/>
    <s v="Corporate"/>
    <x v="17"/>
    <s v="Sandhya"/>
    <s v="popup counter on 29-1-2025"/>
    <n v="14030"/>
    <n v="14030"/>
    <x v="14"/>
    <x v="0"/>
    <x v="1"/>
    <s v="Closed"/>
    <m/>
    <n v="0"/>
    <m/>
    <m/>
    <m/>
    <s v="Jan-25"/>
    <n v="5"/>
    <s v="2025"/>
  </r>
  <r>
    <d v="2025-01-29T00:00:00"/>
    <s v="Popup Counter at Capital Land A Block"/>
    <s v="F2F"/>
    <s v="Corporate"/>
    <x v="17"/>
    <s v="Anil"/>
    <s v="popup counter on 29-1-2025"/>
    <n v="22986"/>
    <n v="22986"/>
    <x v="14"/>
    <x v="0"/>
    <x v="1"/>
    <s v="Closed"/>
    <m/>
    <n v="0"/>
    <m/>
    <m/>
    <m/>
    <s v="Jan-25"/>
    <n v="5"/>
    <s v="2025"/>
  </r>
  <r>
    <d v="2025-01-29T00:00:00"/>
    <s v="St Francis College Begumpet"/>
    <s v="F2F"/>
    <s v="College"/>
    <x v="4"/>
    <s v="Akanksha"/>
    <s v="Site Visit for event on 7-2-2025"/>
    <n v="30000"/>
    <n v="0"/>
    <x v="13"/>
    <x v="0"/>
    <x v="0"/>
    <s v="Cancelled"/>
    <s v="No Electricty for stall from college side"/>
    <n v="0"/>
    <m/>
    <m/>
    <m/>
    <s v="Jan-25"/>
    <n v="5"/>
    <s v="2025"/>
  </r>
  <r>
    <d v="2025-01-29T00:00:00"/>
    <s v="Delivery of CB at Masab Tank"/>
    <s v="F2F"/>
    <s v="Corporate"/>
    <x v="14"/>
    <s v="Durga Prasad"/>
    <s v="Delivery of CB handi on 31-01-2025"/>
    <n v="14480"/>
    <n v="0"/>
    <x v="14"/>
    <x v="0"/>
    <x v="0"/>
    <s v="Cancelled"/>
    <m/>
    <n v="0"/>
    <m/>
    <m/>
    <m/>
    <s v="Jan-25"/>
    <n v="5"/>
    <s v="2025"/>
  </r>
  <r>
    <d v="2025-01-30T00:00:00"/>
    <s v="Popup Counter at Capital Land Atria"/>
    <s v="F2F"/>
    <s v="Corporate"/>
    <x v="17"/>
    <s v="Sandhya"/>
    <s v="popup counter on 30-1-2025"/>
    <n v="18720"/>
    <n v="18720"/>
    <x v="14"/>
    <x v="0"/>
    <x v="1"/>
    <s v="Closed"/>
    <m/>
    <n v="0"/>
    <m/>
    <m/>
    <m/>
    <s v="Jan-25"/>
    <n v="5"/>
    <s v="2025"/>
  </r>
  <r>
    <d v="2025-01-30T00:00:00"/>
    <s v="Popup Counter at Capital Land A Block"/>
    <s v="F2F"/>
    <s v="Corporate"/>
    <x v="17"/>
    <s v="Anil"/>
    <s v="popup counter on 30-1-2025"/>
    <n v="19285"/>
    <n v="19285"/>
    <x v="14"/>
    <x v="0"/>
    <x v="1"/>
    <s v="Closed"/>
    <m/>
    <n v="0"/>
    <m/>
    <m/>
    <m/>
    <s v="Jan-25"/>
    <n v="5"/>
    <s v="2025"/>
  </r>
  <r>
    <d v="2025-01-30T00:00:00"/>
    <s v="Delivery at Kokapet"/>
    <s v="F2F"/>
    <s v="Corporate"/>
    <x v="15"/>
    <s v="Nagarjuna"/>
    <s v="Delivery on 1-2-2025"/>
    <n v="268000"/>
    <n v="268000"/>
    <x v="13"/>
    <x v="0"/>
    <x v="1"/>
    <s v="Closed"/>
    <m/>
    <n v="0"/>
    <m/>
    <m/>
    <m/>
    <s v="Jan-25"/>
    <n v="5"/>
    <s v="2025"/>
  </r>
  <r>
    <d v="2025-01-31T00:00:00"/>
    <s v="Popup Counter at Capital Land Atria"/>
    <s v="F2F"/>
    <s v="Corporate"/>
    <x v="17"/>
    <s v="Sandhya"/>
    <s v="popup counter on 31-1-2025"/>
    <n v="25570"/>
    <n v="25570"/>
    <x v="14"/>
    <x v="0"/>
    <x v="1"/>
    <s v="Closed"/>
    <m/>
    <n v="0"/>
    <m/>
    <m/>
    <m/>
    <s v="Jan-25"/>
    <n v="5"/>
    <s v="2025"/>
  </r>
  <r>
    <d v="2025-01-31T00:00:00"/>
    <s v="Popup Counter at Capital Land A Block"/>
    <s v="F2F"/>
    <s v="Corporate"/>
    <x v="17"/>
    <s v="Anil"/>
    <s v="popup counter on 31-1-2025"/>
    <n v="18681"/>
    <n v="18681"/>
    <x v="14"/>
    <x v="0"/>
    <x v="1"/>
    <s v="Closed"/>
    <m/>
    <n v="0"/>
    <m/>
    <m/>
    <m/>
    <s v="Jan-25"/>
    <n v="5"/>
    <s v="2025"/>
  </r>
  <r>
    <d v="2025-01-31T00:00:00"/>
    <s v="Bits Pilani"/>
    <s v="F2F"/>
    <s v="College"/>
    <x v="4"/>
    <s v="Himanshu"/>
    <s v="site visit for popup counter"/>
    <n v="0"/>
    <n v="0"/>
    <x v="13"/>
    <x v="0"/>
    <x v="1"/>
    <s v="Closed"/>
    <m/>
    <n v="0"/>
    <m/>
    <m/>
    <m/>
    <s v="Jan-25"/>
    <n v="5"/>
    <s v="2025"/>
  </r>
  <r>
    <d v="2025-02-03T00:00:00"/>
    <s v="Popup Counter at Capital Land Atria"/>
    <s v="F2F"/>
    <s v="Corporate"/>
    <x v="17"/>
    <s v="Sandhya"/>
    <s v="popup counter on 03-2-2025"/>
    <n v="6700"/>
    <n v="6700"/>
    <x v="13"/>
    <x v="0"/>
    <x v="1"/>
    <s v="Closed"/>
    <m/>
    <n v="0"/>
    <m/>
    <m/>
    <m/>
    <s v="Feb-25"/>
    <n v="6"/>
    <s v="2025"/>
  </r>
  <r>
    <d v="2025-02-03T00:00:00"/>
    <s v="Popup Counter at Capital Land A Block"/>
    <s v="F2F"/>
    <s v="Corporate"/>
    <x v="17"/>
    <s v="Anil"/>
    <s v="popup counter on 03-2-2025"/>
    <n v="9306"/>
    <n v="9306"/>
    <x v="13"/>
    <x v="0"/>
    <x v="1"/>
    <s v="Closed"/>
    <m/>
    <n v="0"/>
    <m/>
    <m/>
    <m/>
    <s v="Feb-25"/>
    <n v="6"/>
    <s v="2025"/>
  </r>
  <r>
    <d v="2025-02-03T00:00:00"/>
    <s v="AstraZenica"/>
    <s v="all"/>
    <s v="Corporate"/>
    <x v="5"/>
    <s v="Srinivas Rao"/>
    <s v="Delivery of food at NIMS on 8-02-2025"/>
    <n v="14755"/>
    <n v="14755"/>
    <x v="13"/>
    <x v="0"/>
    <x v="1"/>
    <s v="Closed"/>
    <m/>
    <n v="0"/>
    <m/>
    <m/>
    <m/>
    <s v="Feb-25"/>
    <n v="6"/>
    <s v="2025"/>
  </r>
  <r>
    <d v="2025-02-04T00:00:00"/>
    <s v="Popup Counter at Capital Land Atria"/>
    <s v="F2F"/>
    <s v="Corporate"/>
    <x v="17"/>
    <s v="Sandhya"/>
    <s v="popup counter on 04-2-2025"/>
    <n v="9160"/>
    <n v="9160"/>
    <x v="13"/>
    <x v="0"/>
    <x v="1"/>
    <s v="Closed"/>
    <m/>
    <n v="0"/>
    <m/>
    <m/>
    <m/>
    <s v="Feb-25"/>
    <n v="6"/>
    <s v="2025"/>
  </r>
  <r>
    <d v="2025-02-04T00:00:00"/>
    <s v="Popup Counter at Capital Land A Block"/>
    <s v="F2F"/>
    <s v="Corporate"/>
    <x v="17"/>
    <s v="Anil"/>
    <s v="popup counter on 4-2-2025"/>
    <n v="13264"/>
    <n v="13264"/>
    <x v="13"/>
    <x v="0"/>
    <x v="1"/>
    <s v="Closed"/>
    <m/>
    <n v="0"/>
    <m/>
    <m/>
    <m/>
    <s v="Feb-25"/>
    <n v="6"/>
    <s v="2025"/>
  </r>
  <r>
    <d v="2025-02-04T00:00:00"/>
    <s v="Delivery at Hitec City"/>
    <s v="Call"/>
    <s v="Events"/>
    <x v="10"/>
    <s v="Lakhan"/>
    <s v="Delivery of CB &amp; Kabab on 04-02-2025"/>
    <n v="16155"/>
    <n v="16155"/>
    <x v="13"/>
    <x v="0"/>
    <x v="1"/>
    <s v="Closed"/>
    <m/>
    <n v="0"/>
    <m/>
    <m/>
    <m/>
    <s v="Feb-25"/>
    <n v="6"/>
    <s v="2025"/>
  </r>
  <r>
    <d v="2025-02-05T00:00:00"/>
    <s v="Popup Counter at Capital Land Atria"/>
    <s v="F2F"/>
    <s v="Corporate"/>
    <x v="17"/>
    <s v="Sandhya"/>
    <s v="popup counter on 05-2-2025"/>
    <n v="14140"/>
    <n v="14140"/>
    <x v="13"/>
    <x v="0"/>
    <x v="1"/>
    <s v="Closed"/>
    <m/>
    <n v="0"/>
    <m/>
    <m/>
    <m/>
    <s v="Feb-25"/>
    <n v="6"/>
    <s v="2025"/>
  </r>
  <r>
    <d v="2025-02-05T00:00:00"/>
    <s v="Popup Counter at Capital Land A Block"/>
    <s v="F2F"/>
    <s v="Corporate"/>
    <x v="17"/>
    <s v="Anil"/>
    <s v="popup counter on 05-2-2025"/>
    <n v="14749"/>
    <n v="14749"/>
    <x v="13"/>
    <x v="0"/>
    <x v="1"/>
    <s v="Closed"/>
    <m/>
    <n v="0"/>
    <m/>
    <m/>
    <m/>
    <s v="Feb-25"/>
    <n v="6"/>
    <s v="2025"/>
  </r>
  <r>
    <d v="2025-02-05T00:00:00"/>
    <s v="Delivery at SEBLR Banglore (Compass)"/>
    <s v="Call"/>
    <s v="Corporate"/>
    <x v="17"/>
    <s v="Saad"/>
    <s v="New Delivery at Compass group on 5-2-25"/>
    <n v="29919"/>
    <n v="29919"/>
    <x v="13"/>
    <x v="1"/>
    <x v="1"/>
    <s v="Closed"/>
    <m/>
    <n v="0"/>
    <m/>
    <m/>
    <m/>
    <s v="Feb-25"/>
    <n v="6"/>
    <s v="2025"/>
  </r>
  <r>
    <d v="2025-02-05T00:00:00"/>
    <s v="Delivery at Compass Group Bangalore"/>
    <s v="Call"/>
    <s v="Corporate"/>
    <x v="17"/>
    <s v="Pankaj"/>
    <s v="Delivery of Special CB &amp; MB Handi on 5-2-25"/>
    <n v="39619"/>
    <n v="39619"/>
    <x v="13"/>
    <x v="1"/>
    <x v="1"/>
    <s v="Closed"/>
    <m/>
    <n v="0"/>
    <m/>
    <m/>
    <m/>
    <s v="Feb-25"/>
    <n v="6"/>
    <s v="2025"/>
  </r>
  <r>
    <d v="2025-02-06T00:00:00"/>
    <s v="Popup Counter at Capital Land Atria"/>
    <s v="F2F"/>
    <s v="Corporate"/>
    <x v="17"/>
    <s v="Sandhya"/>
    <s v="popup counter on 06-2-2025"/>
    <n v="11510"/>
    <n v="11510"/>
    <x v="13"/>
    <x v="0"/>
    <x v="1"/>
    <s v="Closed"/>
    <m/>
    <n v="0"/>
    <m/>
    <m/>
    <m/>
    <s v="Feb-25"/>
    <n v="6"/>
    <s v="2025"/>
  </r>
  <r>
    <d v="2025-02-06T00:00:00"/>
    <s v="Popup Counter at Capital Land A Block"/>
    <s v="F2F"/>
    <s v="Corporate"/>
    <x v="17"/>
    <s v="Anil"/>
    <s v="popup counter on 06-2-2025"/>
    <n v="13850"/>
    <n v="13850"/>
    <x v="13"/>
    <x v="0"/>
    <x v="1"/>
    <s v="Closed"/>
    <m/>
    <n v="0"/>
    <m/>
    <m/>
    <m/>
    <s v="Feb-25"/>
    <n v="6"/>
    <s v="2025"/>
  </r>
  <r>
    <d v="2025-02-06T00:00:00"/>
    <s v="Popup Counter at Bits Pilani"/>
    <s v="F2F"/>
    <s v="College"/>
    <x v="4"/>
    <s v="Himanshu"/>
    <s v="Popup counter on 6,7&amp;8 Feb 2025"/>
    <n v="133000"/>
    <n v="133000"/>
    <x v="13"/>
    <x v="0"/>
    <x v="1"/>
    <s v="Closed"/>
    <m/>
    <n v="0"/>
    <m/>
    <m/>
    <m/>
    <s v="Feb-25"/>
    <n v="6"/>
    <s v="2025"/>
  </r>
  <r>
    <d v="2025-02-06T00:00:00"/>
    <s v="Delivery of Veg Biryani At Shamshabad"/>
    <s v="Call"/>
    <s v="Travel Group"/>
    <x v="1"/>
    <s v="Uday Rao"/>
    <s v="Delivery on 6-2-2025"/>
    <n v="27903"/>
    <n v="27903"/>
    <x v="13"/>
    <x v="0"/>
    <x v="1"/>
    <s v="Closed"/>
    <m/>
    <n v="0"/>
    <m/>
    <m/>
    <m/>
    <s v="Feb-25"/>
    <n v="6"/>
    <s v="2025"/>
  </r>
  <r>
    <d v="2025-02-06T00:00:00"/>
    <s v="Delivery at Rampally"/>
    <s v="Call"/>
    <s v="Events"/>
    <x v="10"/>
    <s v="Akbar"/>
    <s v="Delivery on 6-2-2025"/>
    <n v="5252"/>
    <n v="5252"/>
    <x v="13"/>
    <x v="0"/>
    <x v="1"/>
    <s v="Closed"/>
    <m/>
    <n v="0"/>
    <m/>
    <m/>
    <m/>
    <s v="Feb-25"/>
    <n v="6"/>
    <s v="2025"/>
  </r>
  <r>
    <d v="2025-02-06T00:00:00"/>
    <s v="Delivery at Shamshabad"/>
    <s v="Call"/>
    <s v="Events"/>
    <x v="10"/>
    <s v="Mahesh"/>
    <s v="Delivery on 6-2-2025"/>
    <n v="13301"/>
    <n v="13301"/>
    <x v="13"/>
    <x v="0"/>
    <x v="1"/>
    <s v="Closed"/>
    <m/>
    <n v="0"/>
    <m/>
    <m/>
    <m/>
    <s v="Feb-25"/>
    <n v="6"/>
    <s v="2025"/>
  </r>
  <r>
    <d v="2025-02-06T00:00:00"/>
    <s v="Dine in at Shamshabad"/>
    <s v="Call"/>
    <s v="Travel Group"/>
    <x v="1"/>
    <s v="Balan"/>
    <s v="Travel group from Kerela on 6-2-25"/>
    <n v="17886"/>
    <n v="17886"/>
    <x v="13"/>
    <x v="0"/>
    <x v="1"/>
    <s v="Closed"/>
    <m/>
    <n v="0"/>
    <m/>
    <m/>
    <m/>
    <s v="Feb-25"/>
    <n v="6"/>
    <s v="2025"/>
  </r>
  <r>
    <d v="2025-02-07T00:00:00"/>
    <s v="Popup Counter at Capital Land Atria"/>
    <s v="F2F"/>
    <s v="Corporate"/>
    <x v="17"/>
    <s v="Sandhya"/>
    <s v="popup counter on 07-2-2025"/>
    <n v="13740"/>
    <n v="13740"/>
    <x v="13"/>
    <x v="0"/>
    <x v="1"/>
    <s v="Closed"/>
    <m/>
    <n v="0"/>
    <m/>
    <m/>
    <m/>
    <s v="Feb-25"/>
    <n v="6"/>
    <s v="2025"/>
  </r>
  <r>
    <d v="2025-02-07T00:00:00"/>
    <s v="Popup Counter at Capital Land A Block"/>
    <s v="F2F"/>
    <s v="Corporate"/>
    <x v="17"/>
    <s v="Anil"/>
    <s v="popup counter on 07-2-2025"/>
    <n v="16462"/>
    <n v="16462"/>
    <x v="13"/>
    <x v="0"/>
    <x v="1"/>
    <s v="Closed"/>
    <m/>
    <n v="0"/>
    <m/>
    <m/>
    <m/>
    <s v="Feb-25"/>
    <n v="6"/>
    <s v="2025"/>
  </r>
  <r>
    <d v="2025-02-08T00:00:00"/>
    <s v="ODC at Rachi Jharkhand"/>
    <s v="Call"/>
    <s v="Events"/>
    <x v="10"/>
    <s v="Abdullah"/>
    <s v="Marriage "/>
    <n v="2000000"/>
    <n v="0"/>
    <x v="21"/>
    <x v="0"/>
    <x v="0"/>
    <s v="Cancelled"/>
    <s v="Budget issue"/>
    <n v="0"/>
    <m/>
    <m/>
    <m/>
    <s v="Feb-25"/>
    <n v="6"/>
    <s v="2025"/>
  </r>
  <r>
    <d v="2025-02-09T00:00:00"/>
    <s v="Popup Counter at Bits Pilani"/>
    <s v="F2F"/>
    <s v="College"/>
    <x v="4"/>
    <s v="Himanshu"/>
    <s v="Popup counter on 9-2-2025"/>
    <n v="34350"/>
    <n v="34350"/>
    <x v="13"/>
    <x v="0"/>
    <x v="1"/>
    <s v="Closed"/>
    <m/>
    <n v="0"/>
    <m/>
    <m/>
    <m/>
    <s v="Feb-25"/>
    <n v="6"/>
    <s v="2025"/>
  </r>
  <r>
    <d v="2025-02-09T00:00:00"/>
    <s v="Delivery at MIG Lingampally from BHEL"/>
    <s v="Call"/>
    <s v="Corporate"/>
    <x v="7"/>
    <s v="JK Dupati"/>
    <s v="Delivery of MB on 9-2-2025"/>
    <n v="9720"/>
    <n v="9720"/>
    <x v="13"/>
    <x v="0"/>
    <x v="1"/>
    <s v="Closed"/>
    <m/>
    <n v="0"/>
    <m/>
    <m/>
    <m/>
    <s v="Feb-25"/>
    <n v="6"/>
    <s v="2025"/>
  </r>
  <r>
    <d v="2025-02-10T00:00:00"/>
    <s v="Dine in at Uppal"/>
    <s v="Call"/>
    <s v="Events"/>
    <x v="10"/>
    <s v="Mahesh"/>
    <s v="Dine in on 10-2-2025"/>
    <n v="8015"/>
    <n v="8015"/>
    <x v="13"/>
    <x v="0"/>
    <x v="1"/>
    <s v="Closed"/>
    <m/>
    <n v="0"/>
    <m/>
    <m/>
    <m/>
    <s v="Feb-25"/>
    <n v="7"/>
    <s v="2025"/>
  </r>
  <r>
    <d v="2025-02-10T00:00:00"/>
    <s v="Popup Counter at Capital Land Atria"/>
    <s v="F2F"/>
    <s v="Corporate"/>
    <x v="17"/>
    <s v="Sandhya"/>
    <s v="popup counter on 10-2-2025"/>
    <n v="4710"/>
    <n v="4710"/>
    <x v="13"/>
    <x v="0"/>
    <x v="1"/>
    <s v="Closed"/>
    <m/>
    <n v="0"/>
    <m/>
    <m/>
    <m/>
    <s v="Feb-25"/>
    <n v="7"/>
    <s v="2025"/>
  </r>
  <r>
    <d v="2024-02-11T00:00:00"/>
    <s v="Take away at SR Nagar"/>
    <s v="Call"/>
    <s v="Events"/>
    <x v="10"/>
    <s v="Kishore"/>
    <s v="Take away of CB on 11-2-2025"/>
    <n v="4610"/>
    <n v="4610"/>
    <x v="13"/>
    <x v="0"/>
    <x v="1"/>
    <s v="Closed"/>
    <m/>
    <n v="0"/>
    <m/>
    <m/>
    <m/>
    <s v="Feb-24"/>
    <n v="6"/>
    <s v="2025"/>
  </r>
  <r>
    <d v="2025-02-11T00:00:00"/>
    <s v="Popup Counter at Capital Land Atria"/>
    <s v="F2F"/>
    <s v="Corporate"/>
    <x v="17"/>
    <s v="Sandhya"/>
    <s v="popup counter on 11-2-2025"/>
    <n v="8060"/>
    <n v="8060"/>
    <x v="13"/>
    <x v="0"/>
    <x v="1"/>
    <s v="Closed"/>
    <m/>
    <n v="0"/>
    <m/>
    <m/>
    <m/>
    <s v="Feb-25"/>
    <n v="7"/>
    <s v="2025"/>
  </r>
  <r>
    <d v="2025-02-11T00:00:00"/>
    <s v="Popup Counter at Capital Land A Block"/>
    <s v="F2F"/>
    <s v="Corporate"/>
    <x v="17"/>
    <s v="Anil"/>
    <s v="popup counter on 11-2-2025"/>
    <n v="6457"/>
    <n v="6457"/>
    <x v="13"/>
    <x v="0"/>
    <x v="1"/>
    <s v="Closed"/>
    <m/>
    <n v="0"/>
    <m/>
    <m/>
    <m/>
    <s v="Feb-25"/>
    <n v="7"/>
    <s v="2025"/>
  </r>
  <r>
    <d v="2025-02-11T00:00:00"/>
    <s v="Compass group hyderabad"/>
    <s v="Call"/>
    <s v="Corporate"/>
    <x v="17"/>
    <s v="Rahul"/>
    <s v="Delivery of CB &amp; VB on 13-2-2025"/>
    <n v="400000"/>
    <n v="0"/>
    <x v="13"/>
    <x v="0"/>
    <x v="0"/>
    <s v="Cancelled"/>
    <s v="Due to less budget"/>
    <n v="0"/>
    <m/>
    <m/>
    <m/>
    <s v="Feb-25"/>
    <n v="7"/>
    <s v="2025"/>
  </r>
  <r>
    <d v="2025-02-12T00:00:00"/>
    <s v="Popup Counter at Capital Land Atria"/>
    <s v="F2F"/>
    <s v="Corporate"/>
    <x v="17"/>
    <s v="Sandhya"/>
    <s v="popup counter on 12-2-2025"/>
    <n v="10797"/>
    <n v="10797"/>
    <x v="13"/>
    <x v="0"/>
    <x v="1"/>
    <s v="Closed"/>
    <m/>
    <n v="0"/>
    <m/>
    <m/>
    <m/>
    <s v="Feb-25"/>
    <n v="7"/>
    <s v="2025"/>
  </r>
  <r>
    <d v="2025-02-12T00:00:00"/>
    <s v="Popup Counter at Capital Land A Block"/>
    <s v="F2F"/>
    <s v="Corporate"/>
    <x v="17"/>
    <s v="Anil"/>
    <s v="popup counter on 12-2-2025"/>
    <n v="13612"/>
    <n v="13612"/>
    <x v="13"/>
    <x v="0"/>
    <x v="1"/>
    <s v="Closed"/>
    <m/>
    <n v="0"/>
    <m/>
    <m/>
    <m/>
    <s v="Feb-25"/>
    <n v="7"/>
    <s v="2025"/>
  </r>
  <r>
    <d v="2025-02-12T00:00:00"/>
    <s v="Delivery at SEBLR Banglore (Compass)"/>
    <s v="Call"/>
    <s v="Corporate"/>
    <x v="17"/>
    <s v="Saad"/>
    <s v="New Delivery at Compass group on 12-2-25"/>
    <n v="29919"/>
    <n v="29919"/>
    <x v="13"/>
    <x v="1"/>
    <x v="1"/>
    <s v="Closed"/>
    <m/>
    <n v="0"/>
    <m/>
    <m/>
    <m/>
    <s v="Feb-25"/>
    <n v="7"/>
    <s v="2025"/>
  </r>
  <r>
    <d v="2025-02-12T00:00:00"/>
    <s v="Delivery at Compass Group Bangalore"/>
    <s v="Call"/>
    <s v="Corporate"/>
    <x v="17"/>
    <s v="Pankaj"/>
    <s v="Delivery of Special CB &amp; MB Handi on 12-2-25"/>
    <n v="39619"/>
    <n v="39619"/>
    <x v="13"/>
    <x v="1"/>
    <x v="1"/>
    <s v="Closed"/>
    <m/>
    <n v="0"/>
    <m/>
    <m/>
    <m/>
    <s v="Feb-25"/>
    <n v="7"/>
    <s v="2025"/>
  </r>
  <r>
    <d v="2025-02-12T00:00:00"/>
    <s v="Food Stall at ICFAI College Shankarpally"/>
    <s v="F2F"/>
    <s v="College"/>
    <x v="4"/>
    <s v="Arya"/>
    <s v="Food stall on 11-12 Feb 2025"/>
    <n v="27500"/>
    <n v="27500"/>
    <x v="13"/>
    <x v="0"/>
    <x v="1"/>
    <s v="Closed"/>
    <m/>
    <n v="0"/>
    <m/>
    <m/>
    <m/>
    <s v="Feb-25"/>
    <n v="7"/>
    <s v="2025"/>
  </r>
  <r>
    <d v="2025-02-13T00:00:00"/>
    <s v="Popup Counter at Capital Land Atria"/>
    <s v="F2F"/>
    <s v="Corporate"/>
    <x v="17"/>
    <s v="Sandhya"/>
    <s v="popup counter on 13-2-2025"/>
    <n v="8760"/>
    <n v="8760"/>
    <x v="13"/>
    <x v="0"/>
    <x v="1"/>
    <s v="Closed"/>
    <m/>
    <n v="0"/>
    <m/>
    <m/>
    <m/>
    <s v="Feb-25"/>
    <n v="7"/>
    <s v="2025"/>
  </r>
  <r>
    <d v="2025-02-13T00:00:00"/>
    <s v="Popup Counter at Capital Land A Block"/>
    <s v="F2F"/>
    <s v="Corporate"/>
    <x v="17"/>
    <s v="Anil"/>
    <s v="popup counter on 13-2-2025"/>
    <n v="9782"/>
    <n v="9782"/>
    <x v="13"/>
    <x v="0"/>
    <x v="1"/>
    <s v="Closed"/>
    <m/>
    <n v="0"/>
    <m/>
    <m/>
    <m/>
    <s v="Feb-25"/>
    <n v="7"/>
    <s v="2025"/>
  </r>
  <r>
    <d v="2025-02-14T00:00:00"/>
    <s v="Popup Counter at Capital Land Atria"/>
    <s v="F2F"/>
    <s v="Corporate"/>
    <x v="17"/>
    <s v="Sandhya"/>
    <s v="popup counter on 14-2-2025"/>
    <n v="10880"/>
    <n v="10880"/>
    <x v="13"/>
    <x v="0"/>
    <x v="1"/>
    <s v="Closed"/>
    <m/>
    <n v="0"/>
    <m/>
    <m/>
    <m/>
    <s v="Feb-25"/>
    <n v="7"/>
    <s v="2025"/>
  </r>
  <r>
    <d v="2025-02-14T00:00:00"/>
    <s v="Popup Counter at Capital Land A Block"/>
    <s v="F2F"/>
    <s v="Corporate"/>
    <x v="17"/>
    <s v="Anil"/>
    <s v="popup counter on 14-2-2025"/>
    <n v="10019"/>
    <n v="10019"/>
    <x v="13"/>
    <x v="0"/>
    <x v="1"/>
    <s v="Closed"/>
    <m/>
    <n v="0"/>
    <m/>
    <m/>
    <m/>
    <s v="Feb-25"/>
    <n v="7"/>
    <s v="2025"/>
  </r>
  <r>
    <d v="2025-02-14T00:00:00"/>
    <s v="Delivery at uppal"/>
    <s v="Call"/>
    <s v="Events"/>
    <x v="10"/>
    <s v="Satish"/>
    <s v="Delivery of VB on 14-2-2025"/>
    <n v="5200"/>
    <n v="5200"/>
    <x v="13"/>
    <x v="0"/>
    <x v="1"/>
    <s v="Closed"/>
    <m/>
    <n v="0"/>
    <m/>
    <m/>
    <m/>
    <s v="Feb-25"/>
    <n v="7"/>
    <s v="2025"/>
  </r>
  <r>
    <d v="2025-02-16T00:00:00"/>
    <s v="Delivery at Necklaceroad Apex Technologies"/>
    <s v="F2F"/>
    <s v="Corporate"/>
    <x v="0"/>
    <s v="Uttej"/>
    <s v="Delivery of bakery items on 16-2-2025"/>
    <n v="4600"/>
    <n v="4600"/>
    <x v="13"/>
    <x v="0"/>
    <x v="1"/>
    <s v="Closed"/>
    <m/>
    <n v="0"/>
    <m/>
    <m/>
    <m/>
    <s v="Feb-25"/>
    <n v="7"/>
    <s v="2025"/>
  </r>
  <r>
    <d v="2025-02-16T00:00:00"/>
    <s v="Kukdukoo fest 2025 NITHM Gachabowli"/>
    <s v="F2F"/>
    <s v="Corporate"/>
    <x v="17"/>
    <s v="Shubham"/>
    <s v="Popup counter on 15&amp;16 Feb 2025 , 30% Rev Share"/>
    <n v="149900"/>
    <n v="149900"/>
    <x v="13"/>
    <x v="0"/>
    <x v="1"/>
    <s v="Closed"/>
    <m/>
    <n v="0"/>
    <m/>
    <m/>
    <m/>
    <s v="Feb-25"/>
    <n v="7"/>
    <s v="2025"/>
  </r>
  <r>
    <d v="2025-02-17T00:00:00"/>
    <s v="Popup Counter at Capital Land Atria"/>
    <s v="F2F"/>
    <s v="Corporate"/>
    <x v="17"/>
    <s v="Sandhya"/>
    <s v="popup counter on 17-2-2025"/>
    <n v="8760"/>
    <n v="8760"/>
    <x v="13"/>
    <x v="0"/>
    <x v="1"/>
    <s v="Closed"/>
    <m/>
    <n v="0"/>
    <m/>
    <m/>
    <m/>
    <s v="Feb-25"/>
    <n v="8"/>
    <s v="2025"/>
  </r>
  <r>
    <d v="2025-02-17T00:00:00"/>
    <s v="Popup Counter at Capital Land A Block"/>
    <s v="F2F"/>
    <s v="Corporate"/>
    <x v="17"/>
    <s v="Anil"/>
    <s v="popup counter on 17-2-2025"/>
    <n v="9021"/>
    <n v="9021"/>
    <x v="13"/>
    <x v="0"/>
    <x v="1"/>
    <s v="Closed"/>
    <m/>
    <n v="0"/>
    <m/>
    <m/>
    <m/>
    <s v="Feb-25"/>
    <n v="8"/>
    <s v="2025"/>
  </r>
  <r>
    <d v="2025-02-18T00:00:00"/>
    <s v="Popup Counter at Capital Land Atria"/>
    <s v="F2F"/>
    <s v="Corporate"/>
    <x v="17"/>
    <s v="Sandhya"/>
    <s v="popup counter on 18-2-2025"/>
    <n v="12157"/>
    <n v="12157"/>
    <x v="13"/>
    <x v="0"/>
    <x v="1"/>
    <s v="Closed"/>
    <m/>
    <n v="0"/>
    <m/>
    <m/>
    <m/>
    <s v="Feb-25"/>
    <n v="8"/>
    <s v="2025"/>
  </r>
  <r>
    <d v="2025-02-18T00:00:00"/>
    <s v="Delivery of MB at Tolichowki"/>
    <s v="F2F"/>
    <s v="Events"/>
    <x v="10"/>
    <s v="Shoukat"/>
    <s v="Delivery of MB Handi on 20-2-2025"/>
    <n v="27000"/>
    <n v="0"/>
    <x v="13"/>
    <x v="0"/>
    <x v="0"/>
    <s v="Cancelled"/>
    <s v="Very less budget"/>
    <n v="0"/>
    <m/>
    <m/>
    <m/>
    <s v="Feb-25"/>
    <n v="8"/>
    <s v="2025"/>
  </r>
  <r>
    <d v="2025-02-18T00:00:00"/>
    <s v="Popup counter at optum H1 Mindspace"/>
    <s v="F2F"/>
    <s v="Corporate"/>
    <x v="17"/>
    <s v="Venkat"/>
    <s v="Popup stall on 18-2-2025"/>
    <n v="6000"/>
    <n v="6000"/>
    <x v="13"/>
    <x v="0"/>
    <x v="1"/>
    <s v="Closed"/>
    <m/>
    <n v="0"/>
    <m/>
    <m/>
    <m/>
    <s v="Feb-25"/>
    <n v="8"/>
    <s v="2025"/>
  </r>
  <r>
    <d v="2025-02-19T00:00:00"/>
    <s v="Foodys Group Haleem and biryani delivery at Airport"/>
    <s v="F2F"/>
    <s v="Corporate"/>
    <x v="17"/>
    <s v="Venkat"/>
    <s v="Haleem delivery from 2nd Feb till 28 Feb 2025"/>
    <n v="288565"/>
    <n v="288565"/>
    <x v="13"/>
    <x v="0"/>
    <x v="1"/>
    <s v="Closed"/>
    <m/>
    <n v="200000"/>
    <m/>
    <m/>
    <m/>
    <s v="Feb-25"/>
    <n v="8"/>
    <s v="2025"/>
  </r>
  <r>
    <d v="2025-02-19T00:00:00"/>
    <s v="Popup Counter at Capital Land Atria"/>
    <s v="F2F"/>
    <s v="Corporate"/>
    <x v="17"/>
    <s v="Sandhya"/>
    <s v="popup counter on 19-2-2025"/>
    <n v="10170"/>
    <n v="10170"/>
    <x v="13"/>
    <x v="0"/>
    <x v="1"/>
    <s v="Closed"/>
    <m/>
    <n v="0"/>
    <m/>
    <m/>
    <m/>
    <s v="Feb-25"/>
    <n v="8"/>
    <s v="2025"/>
  </r>
  <r>
    <d v="2025-02-19T00:00:00"/>
    <s v="Clix Capital Services"/>
    <s v="Call"/>
    <s v="Corporate"/>
    <x v="15"/>
    <s v="Sathvik"/>
    <s v="Delivery of CB &amp; VB on 19-02-2025 from BGMPET"/>
    <n v="23000"/>
    <n v="23000"/>
    <x v="13"/>
    <x v="0"/>
    <x v="1"/>
    <s v="Closed"/>
    <m/>
    <n v="0"/>
    <m/>
    <m/>
    <m/>
    <s v="Feb-25"/>
    <n v="8"/>
    <s v="2025"/>
  </r>
  <r>
    <d v="2025-02-19T00:00:00"/>
    <s v="Popup counter at optum H1 Mindspace"/>
    <s v="F2F"/>
    <s v="Corporate"/>
    <x v="17"/>
    <s v="Venkat"/>
    <s v="Popup stall on 19-2-2025"/>
    <n v="10500"/>
    <n v="10500"/>
    <x v="13"/>
    <x v="0"/>
    <x v="1"/>
    <s v="Closed"/>
    <m/>
    <n v="0"/>
    <m/>
    <m/>
    <m/>
    <s v="Feb-25"/>
    <n v="8"/>
    <s v="2025"/>
  </r>
  <r>
    <d v="2025-02-19T00:00:00"/>
    <s v="Delivery at Compass Group Bangalore"/>
    <s v="Call"/>
    <s v="Corporate"/>
    <x v="17"/>
    <s v="Pankaj"/>
    <s v="Delivery of Special CB &amp; MB Handi on 19-2-25"/>
    <n v="53015"/>
    <n v="53015"/>
    <x v="13"/>
    <x v="1"/>
    <x v="1"/>
    <s v="Closed"/>
    <m/>
    <n v="0"/>
    <m/>
    <m/>
    <m/>
    <s v="Feb-25"/>
    <n v="8"/>
    <s v="2025"/>
  </r>
  <r>
    <d v="2025-02-20T00:00:00"/>
    <s v="Popup Counter at Capital Land Atria"/>
    <s v="F2F"/>
    <s v="Corporate"/>
    <x v="17"/>
    <s v="Sandhya"/>
    <s v="popup counter on 20-2-2025"/>
    <n v="12576"/>
    <n v="12576"/>
    <x v="13"/>
    <x v="0"/>
    <x v="1"/>
    <s v="Closed"/>
    <m/>
    <n v="0"/>
    <m/>
    <m/>
    <m/>
    <s v="Feb-25"/>
    <n v="8"/>
    <s v="2025"/>
  </r>
  <r>
    <d v="2025-02-21T00:00:00"/>
    <s v="Popup Counter at Capital Land Atria"/>
    <s v="F2F"/>
    <s v="Corporate"/>
    <x v="17"/>
    <s v="Sandhya"/>
    <s v="popup counter on 21-2-2025"/>
    <n v="10200"/>
    <n v="10200"/>
    <x v="13"/>
    <x v="0"/>
    <x v="1"/>
    <s v="Closed"/>
    <m/>
    <n v="0"/>
    <m/>
    <m/>
    <m/>
    <s v="Feb-25"/>
    <n v="8"/>
    <s v="2025"/>
  </r>
  <r>
    <d v="2025-02-21T00:00:00"/>
    <s v="Take Away at Hitec City"/>
    <s v="Call"/>
    <s v="Events"/>
    <x v="10"/>
    <s v="Mahesh"/>
    <s v="Takeaway of MB &amp; CB on 21-2-2025"/>
    <n v="10250"/>
    <n v="10250"/>
    <x v="13"/>
    <x v="0"/>
    <x v="1"/>
    <s v="Closed"/>
    <m/>
    <n v="0"/>
    <m/>
    <m/>
    <m/>
    <s v="Feb-25"/>
    <n v="8"/>
    <s v="2025"/>
  </r>
  <r>
    <d v="2025-02-22T00:00:00"/>
    <s v="Delivery at Hitec City"/>
    <s v="Call"/>
    <s v="Events"/>
    <x v="10"/>
    <s v="Jagati"/>
    <s v="Delivery of CB &amp; VB on "/>
    <n v="8630"/>
    <n v="8630"/>
    <x v="13"/>
    <x v="0"/>
    <x v="1"/>
    <s v="Closed"/>
    <m/>
    <n v="0"/>
    <m/>
    <m/>
    <m/>
    <s v="Feb-25"/>
    <n v="8"/>
    <s v="2025"/>
  </r>
  <r>
    <d v="2025-02-24T00:00:00"/>
    <s v="Popup Counter at Capital Land A Block"/>
    <s v="F2F"/>
    <s v="Corporate"/>
    <x v="17"/>
    <s v="Anil"/>
    <s v="popup counter on 24-2-2025"/>
    <n v="10295"/>
    <n v="10295"/>
    <x v="13"/>
    <x v="0"/>
    <x v="1"/>
    <s v="Closed"/>
    <m/>
    <n v="0"/>
    <m/>
    <m/>
    <m/>
    <s v="Feb-25"/>
    <n v="9"/>
    <s v="2025"/>
  </r>
  <r>
    <d v="2025-02-24T00:00:00"/>
    <s v="Popup Counter at Capital Land Atria"/>
    <s v="F2F"/>
    <s v="Corporate"/>
    <x v="17"/>
    <s v="Sandhya"/>
    <s v="popup counter on 24-2-2025"/>
    <n v="10060"/>
    <n v="10060"/>
    <x v="13"/>
    <x v="0"/>
    <x v="1"/>
    <s v="Closed"/>
    <m/>
    <n v="0"/>
    <m/>
    <m/>
    <m/>
    <s v="Feb-25"/>
    <n v="9"/>
    <s v="2025"/>
  </r>
  <r>
    <d v="2025-02-24T00:00:00"/>
    <s v="Delivery at NIMS Hospital"/>
    <s v="F2F"/>
    <s v="Corporate"/>
    <x v="13"/>
    <s v="Arif"/>
    <s v="Delivery of VB on 22-2-2025"/>
    <n v="9000"/>
    <n v="9000"/>
    <x v="13"/>
    <x v="0"/>
    <x v="1"/>
    <s v="Closed"/>
    <m/>
    <n v="0"/>
    <m/>
    <m/>
    <m/>
    <s v="Feb-25"/>
    <n v="9"/>
    <s v="2025"/>
  </r>
  <r>
    <d v="2025-02-25T00:00:00"/>
    <s v="Popup Counter at Capital Land A Block"/>
    <s v="F2F"/>
    <s v="Corporate"/>
    <x v="17"/>
    <s v="Anil"/>
    <s v="popup counter on 25-2-2025"/>
    <n v="8912"/>
    <n v="8912"/>
    <x v="13"/>
    <x v="0"/>
    <x v="1"/>
    <s v="Closed"/>
    <m/>
    <n v="0"/>
    <m/>
    <m/>
    <m/>
    <s v="Feb-25"/>
    <n v="9"/>
    <s v="2025"/>
  </r>
  <r>
    <d v="2025-02-25T00:00:00"/>
    <s v="Popup Counter at Capital Land Atria"/>
    <s v="F2F"/>
    <s v="Corporate"/>
    <x v="17"/>
    <s v="Sandhya"/>
    <s v="popup counter on 25-2-2025"/>
    <n v="8660"/>
    <n v="8660"/>
    <x v="13"/>
    <x v="0"/>
    <x v="1"/>
    <s v="Closed"/>
    <m/>
    <n v="0"/>
    <m/>
    <m/>
    <m/>
    <s v="Feb-25"/>
    <n v="9"/>
    <s v="2025"/>
  </r>
  <r>
    <d v="2025-02-26T00:00:00"/>
    <s v="Delivery at Masabtank"/>
    <s v="Call"/>
    <s v="Events"/>
    <x v="10"/>
    <s v="Laksh"/>
    <s v="Dine in at Masabtank on 26-2-2025"/>
    <n v="4250"/>
    <n v="4250"/>
    <x v="13"/>
    <x v="0"/>
    <x v="1"/>
    <s v="Closed"/>
    <m/>
    <n v="0"/>
    <m/>
    <m/>
    <m/>
    <s v="Feb-25"/>
    <n v="9"/>
    <s v="2025"/>
  </r>
  <r>
    <d v="2025-02-26T00:00:00"/>
    <s v="Travel Group from Orissa"/>
    <s v="Call"/>
    <s v="Travel Group"/>
    <x v="1"/>
    <s v="Sahoo"/>
    <s v="Dine in at Shamshabad on 26-2-2025"/>
    <n v="34991"/>
    <n v="34991"/>
    <x v="13"/>
    <x v="0"/>
    <x v="1"/>
    <s v="Closed"/>
    <m/>
    <n v="0"/>
    <m/>
    <m/>
    <m/>
    <s v="Feb-25"/>
    <n v="9"/>
    <s v="2025"/>
  </r>
  <r>
    <d v="2025-02-27T00:00:00"/>
    <s v="Popup Counter at Capital Land A Block"/>
    <s v="F2F"/>
    <s v="Corporate"/>
    <x v="17"/>
    <s v="Anil"/>
    <s v="popup counter on 27-2-2025"/>
    <n v="12670"/>
    <n v="12670"/>
    <x v="13"/>
    <x v="0"/>
    <x v="1"/>
    <s v="Closed"/>
    <m/>
    <n v="0"/>
    <m/>
    <m/>
    <m/>
    <s v="Feb-25"/>
    <n v="9"/>
    <s v="2025"/>
  </r>
  <r>
    <d v="2025-02-27T00:00:00"/>
    <s v="Popup Counter at Capital Land Atria"/>
    <s v="F2F"/>
    <s v="Corporate"/>
    <x v="17"/>
    <s v="Sandhya"/>
    <s v="popup counter on 27-2-2025"/>
    <n v="7660"/>
    <n v="7660"/>
    <x v="13"/>
    <x v="0"/>
    <x v="1"/>
    <s v="Closed"/>
    <m/>
    <n v="0"/>
    <m/>
    <m/>
    <m/>
    <s v="Feb-25"/>
    <n v="9"/>
    <s v="2025"/>
  </r>
  <r>
    <d v="2025-02-27T00:00:00"/>
    <s v="Delivery at Hitec City"/>
    <s v="Call"/>
    <s v="Events"/>
    <x v="10"/>
    <s v="Srinivas"/>
    <s v="Delivery of CB &amp; VB on 27-02-2025"/>
    <n v="11730"/>
    <n v="11730"/>
    <x v="13"/>
    <x v="0"/>
    <x v="1"/>
    <s v="Closed"/>
    <m/>
    <n v="0"/>
    <m/>
    <m/>
    <m/>
    <s v="Feb-25"/>
    <n v="9"/>
    <s v="2025"/>
  </r>
  <r>
    <d v="2025-02-28T00:00:00"/>
    <s v="Popup Counter at Capital Land A Block"/>
    <s v="F2F"/>
    <s v="Corporate"/>
    <x v="17"/>
    <s v="Anil"/>
    <s v="popup counter on 28-2-2025"/>
    <n v="11732"/>
    <n v="11732"/>
    <x v="13"/>
    <x v="0"/>
    <x v="1"/>
    <s v="Closed"/>
    <m/>
    <n v="0"/>
    <m/>
    <m/>
    <m/>
    <s v="Feb-25"/>
    <n v="9"/>
    <s v="2025"/>
  </r>
  <r>
    <d v="2025-02-28T00:00:00"/>
    <s v="Popup Counter at Capital Land Atria"/>
    <s v="F2F"/>
    <s v="Corporate"/>
    <x v="17"/>
    <s v="Sandhya"/>
    <s v="popup counter on 28-2-2025"/>
    <n v="9160"/>
    <n v="9160"/>
    <x v="13"/>
    <x v="0"/>
    <x v="1"/>
    <s v="Closed"/>
    <m/>
    <n v="0"/>
    <m/>
    <m/>
    <m/>
    <s v="Feb-25"/>
    <n v="9"/>
    <s v="2025"/>
  </r>
  <r>
    <d v="2025-02-28T00:00:00"/>
    <s v="Take away at Hitec City"/>
    <s v="Call"/>
    <s v="Events"/>
    <x v="10"/>
    <s v="Bharath"/>
    <s v="Delivery of CB &amp; VB on 28-2-2025"/>
    <n v="12580"/>
    <n v="12580"/>
    <x v="13"/>
    <x v="0"/>
    <x v="1"/>
    <s v="Closed"/>
    <m/>
    <n v="0"/>
    <m/>
    <m/>
    <m/>
    <s v="Feb-25"/>
    <n v="9"/>
    <s v="2025"/>
  </r>
  <r>
    <d v="2025-02-28T00:00:00"/>
    <s v="Popup counter at DRDO event"/>
    <s v="F2F"/>
    <s v="Exhibition"/>
    <x v="17"/>
    <s v="Varun"/>
    <s v="popup counter on 28-2-2025"/>
    <n v="8000"/>
    <n v="8000"/>
    <x v="13"/>
    <x v="0"/>
    <x v="1"/>
    <s v="Closed"/>
    <m/>
    <n v="0"/>
    <m/>
    <m/>
    <m/>
    <s v="Feb-25"/>
    <n v="9"/>
    <s v="2025"/>
  </r>
  <r>
    <d v="2025-03-01T00:00:00"/>
    <s v="Delivery at hitec city"/>
    <s v="Call"/>
    <s v="Events"/>
    <x v="10"/>
    <s v="Sumit"/>
    <s v="Delivery of MB &amp; VB on 01-03-2025"/>
    <n v="13536"/>
    <n v="13536"/>
    <x v="15"/>
    <x v="0"/>
    <x v="1"/>
    <s v="Closed"/>
    <m/>
    <n v="0"/>
    <m/>
    <m/>
    <m/>
    <s v="Mar-25"/>
    <n v="9"/>
    <s v="2025"/>
  </r>
  <r>
    <d v="2025-03-01T00:00:00"/>
    <s v="Take away at Hitec City"/>
    <s v="Call"/>
    <s v="Events"/>
    <x v="10"/>
    <s v="Mahesh"/>
    <s v="Delivery of CB,MB&amp;VB on 01-03-2025"/>
    <n v="6309"/>
    <n v="6309"/>
    <x v="15"/>
    <x v="0"/>
    <x v="1"/>
    <s v="Closed"/>
    <m/>
    <n v="0"/>
    <m/>
    <m/>
    <m/>
    <s v="Mar-25"/>
    <n v="9"/>
    <s v="2025"/>
  </r>
  <r>
    <d v="2025-03-02T00:00:00"/>
    <s v="Take Away at Hitec City"/>
    <s v="Call"/>
    <s v="Events"/>
    <x v="10"/>
    <s v="Satya"/>
    <s v="Take away of CB &amp; MB on 02-03-3035"/>
    <n v="14850"/>
    <n v="14850"/>
    <x v="15"/>
    <x v="0"/>
    <x v="1"/>
    <s v="Closed"/>
    <m/>
    <n v="0"/>
    <m/>
    <m/>
    <m/>
    <s v="Mar-25"/>
    <n v="9"/>
    <s v="2025"/>
  </r>
  <r>
    <d v="2025-03-03T00:00:00"/>
    <s v="Haleem Counter at Capital Land Atria"/>
    <s v="F2F"/>
    <s v="Corporate"/>
    <x v="0"/>
    <s v="Lalitha"/>
    <s v="Popup Counter"/>
    <n v="0"/>
    <n v="0"/>
    <x v="15"/>
    <x v="0"/>
    <x v="1"/>
    <s v="Closed"/>
    <m/>
    <n v="200000"/>
    <m/>
    <m/>
    <m/>
    <s v="Mar-25"/>
    <n v="10"/>
    <s v="2025"/>
  </r>
  <r>
    <d v="2025-03-03T00:00:00"/>
    <s v="Haleem Counter at Capital Land Block A"/>
    <s v="F2F"/>
    <s v="Corporate"/>
    <x v="0"/>
    <s v="Sandhya"/>
    <s v="Popup Counter"/>
    <n v="100000"/>
    <n v="0"/>
    <x v="15"/>
    <x v="0"/>
    <x v="0"/>
    <s v="Cancelled"/>
    <s v="Cancelled due to more vendors of Biryani"/>
    <n v="100000"/>
    <m/>
    <m/>
    <m/>
    <s v="Mar-25"/>
    <n v="10"/>
    <s v="2025"/>
  </r>
  <r>
    <d v="2025-03-03T00:00:00"/>
    <s v="Haleem Counter at Infosys Pocharam"/>
    <s v="F2F"/>
    <s v="Corporate"/>
    <x v="0"/>
    <s v="Prasad"/>
    <s v="Popup Counter"/>
    <n v="20000"/>
    <n v="20000"/>
    <x v="15"/>
    <x v="0"/>
    <x v="1"/>
    <s v="Closed"/>
    <m/>
    <n v="20000"/>
    <m/>
    <m/>
    <m/>
    <s v="Mar-25"/>
    <n v="10"/>
    <s v="2025"/>
  </r>
  <r>
    <d v="2025-03-03T00:00:00"/>
    <s v="Haleem Counter at  Wipro Gopanpally"/>
    <s v="F2F"/>
    <s v="Corporate"/>
    <x v="0"/>
    <s v="Mahendrakar"/>
    <s v="Popup Counter"/>
    <n v="100000"/>
    <n v="0"/>
    <x v="15"/>
    <x v="0"/>
    <x v="0"/>
    <s v="Cancelled"/>
    <s v="Cancelled"/>
    <n v="100000"/>
    <m/>
    <m/>
    <m/>
    <s v="Mar-25"/>
    <n v="10"/>
    <s v="2025"/>
  </r>
  <r>
    <d v="2025-03-03T00:00:00"/>
    <s v="Haleem Counter at Wipro SEZ Nanakramguda"/>
    <s v="F2F"/>
    <s v="Corporate"/>
    <x v="0"/>
    <s v="Mahendrakar"/>
    <s v="Popup Counter"/>
    <n v="9000"/>
    <n v="9000"/>
    <x v="15"/>
    <x v="0"/>
    <x v="1"/>
    <s v="Closed"/>
    <m/>
    <n v="9000"/>
    <m/>
    <m/>
    <m/>
    <s v="Mar-25"/>
    <n v="10"/>
    <s v="2025"/>
  </r>
  <r>
    <d v="2025-03-03T00:00:00"/>
    <s v="Haleem Counter at Wipro Mindspace"/>
    <s v="F2F"/>
    <s v="Corporate"/>
    <x v="0"/>
    <s v="Mahendrakar"/>
    <s v="Popup Counter"/>
    <n v="50000"/>
    <n v="0"/>
    <x v="15"/>
    <x v="0"/>
    <x v="0"/>
    <s v="Cancelled"/>
    <s v="Cancelled due to more vendors of Biryani"/>
    <n v="50000"/>
    <m/>
    <m/>
    <m/>
    <s v="Mar-25"/>
    <n v="10"/>
    <s v="2025"/>
  </r>
  <r>
    <d v="2025-03-03T00:00:00"/>
    <s v="Haleem Counter at Bits Pilani"/>
    <s v="F2F"/>
    <s v="College"/>
    <x v="4"/>
    <s v="Pasha"/>
    <s v="Popup Counter"/>
    <n v="150000"/>
    <n v="0"/>
    <x v="15"/>
    <x v="0"/>
    <x v="0"/>
    <s v="Cancelled"/>
    <m/>
    <n v="150000"/>
    <m/>
    <m/>
    <m/>
    <s v="Mar-25"/>
    <n v="10"/>
    <s v="2025"/>
  </r>
  <r>
    <d v="2025-03-03T00:00:00"/>
    <s v="Haleem Delivery at Foodys Group Airport"/>
    <s v="F2F"/>
    <s v="Corporate"/>
    <x v="17"/>
    <s v="Venkat"/>
    <s v="Delivery of Haleem "/>
    <n v="0"/>
    <n v="0"/>
    <x v="15"/>
    <x v="0"/>
    <x v="1"/>
    <s v="Closed"/>
    <m/>
    <n v="0"/>
    <m/>
    <m/>
    <m/>
    <s v="Mar-25"/>
    <n v="10"/>
    <s v="2025"/>
  </r>
  <r>
    <d v="2025-03-03T00:00:00"/>
    <s v="Take away at Begumpet"/>
    <s v="Call"/>
    <s v="Events"/>
    <x v="10"/>
    <s v="Narsimha"/>
    <s v="Take away of CV &amp; VB on 03-03-2025"/>
    <n v="6518"/>
    <n v="6518"/>
    <x v="15"/>
    <x v="0"/>
    <x v="1"/>
    <s v="Closed"/>
    <m/>
    <n v="0"/>
    <m/>
    <m/>
    <m/>
    <s v="Mar-25"/>
    <n v="10"/>
    <s v="2025"/>
  </r>
  <r>
    <d v="2025-03-03T00:00:00"/>
    <s v="Delivery at Begumpet"/>
    <s v="Call"/>
    <s v="Events"/>
    <x v="10"/>
    <s v="Veerababu"/>
    <s v="Delivery of VB on 3-03-2025"/>
    <n v="15300"/>
    <n v="15300"/>
    <x v="15"/>
    <x v="0"/>
    <x v="1"/>
    <s v="Closed"/>
    <m/>
    <n v="0"/>
    <m/>
    <m/>
    <m/>
    <s v="Mar-25"/>
    <n v="10"/>
    <s v="2025"/>
  </r>
  <r>
    <d v="2025-03-03T00:00:00"/>
    <s v="Delivery of haleem For Iftiar Party at BITS Pilani"/>
    <s v="F2F"/>
    <s v="College"/>
    <x v="4"/>
    <s v="Afkham Mir"/>
    <s v="Delivery of haleem for iftiar Party"/>
    <n v="67000"/>
    <n v="0"/>
    <x v="15"/>
    <x v="0"/>
    <x v="0"/>
    <s v="Cancelled"/>
    <s v="Event Cancelled"/>
    <n v="67000"/>
    <m/>
    <m/>
    <m/>
    <s v="Mar-25"/>
    <n v="10"/>
    <s v="2025"/>
  </r>
  <r>
    <d v="2025-03-03T00:00:00"/>
    <s v="Delivery of Haleem and Iftiar box at Infosys"/>
    <s v="F2F"/>
    <s v="Corporate"/>
    <x v="0"/>
    <s v="Sathya Praveen"/>
    <s v="Delivery of Haleem and iftiar box in March"/>
    <n v="150000"/>
    <n v="0"/>
    <x v="15"/>
    <x v="0"/>
    <x v="0"/>
    <s v="Cancelled"/>
    <s v="Event Cancelled"/>
    <n v="150000"/>
    <m/>
    <m/>
    <m/>
    <s v="Mar-25"/>
    <n v="10"/>
    <s v="2025"/>
  </r>
  <r>
    <d v="2025-03-03T00:00:00"/>
    <s v="Popup Counter at Capital Land Atria"/>
    <s v="F2F"/>
    <s v="Corporate"/>
    <x v="17"/>
    <s v="Sandhya"/>
    <s v="popup counter on 3-3-2025"/>
    <n v="9160"/>
    <n v="9160"/>
    <x v="15"/>
    <x v="0"/>
    <x v="1"/>
    <s v="Closed"/>
    <m/>
    <n v="3000"/>
    <m/>
    <m/>
    <m/>
    <s v="Mar-25"/>
    <n v="10"/>
    <s v="2025"/>
  </r>
  <r>
    <d v="2025-03-04T00:00:00"/>
    <s v="Popup Counter at Capital Land Atria"/>
    <s v="F2F"/>
    <s v="Corporate"/>
    <x v="17"/>
    <s v="Sandhya"/>
    <s v="popup counter on 4-3-2025"/>
    <n v="11732"/>
    <n v="11732"/>
    <x v="15"/>
    <x v="0"/>
    <x v="1"/>
    <s v="Closed"/>
    <m/>
    <n v="3500"/>
    <m/>
    <m/>
    <m/>
    <s v="Mar-25"/>
    <n v="10"/>
    <s v="2025"/>
  </r>
  <r>
    <d v="2025-03-04T00:00:00"/>
    <s v="Popup Haleem Counter at Sky View OPTUM"/>
    <s v="F2F"/>
    <s v="Corporate"/>
    <x v="0"/>
    <s v="Kiran"/>
    <s v="Popup counter on 4-3-2025"/>
    <n v="6500"/>
    <n v="6500"/>
    <x v="15"/>
    <x v="0"/>
    <x v="1"/>
    <s v="Closed"/>
    <m/>
    <n v="2000"/>
    <m/>
    <m/>
    <m/>
    <s v="Mar-25"/>
    <n v="10"/>
    <s v="2025"/>
  </r>
  <r>
    <d v="2025-03-04T00:00:00"/>
    <s v="Haleem Popup Counter at Infosys Pocharam"/>
    <s v="F2F"/>
    <s v="Corporate"/>
    <x v="0"/>
    <s v="Sathya Praveen"/>
    <s v="haleem popup counter on 04-03-2025"/>
    <n v="10459"/>
    <n v="10459"/>
    <x v="15"/>
    <x v="0"/>
    <x v="1"/>
    <s v="Closed"/>
    <m/>
    <n v="10550"/>
    <m/>
    <m/>
    <m/>
    <s v="Mar-25"/>
    <n v="10"/>
    <s v="2025"/>
  </r>
  <r>
    <d v="2025-03-04T00:00:00"/>
    <s v="Delivery at Masabtank"/>
    <s v="Call"/>
    <s v="Events"/>
    <x v="10"/>
    <s v="Praneeth"/>
    <s v="Delivery of MB on 4-3-2025"/>
    <n v="9890"/>
    <n v="9890"/>
    <x v="15"/>
    <x v="0"/>
    <x v="1"/>
    <s v="Closed"/>
    <m/>
    <n v="0"/>
    <m/>
    <m/>
    <m/>
    <s v="Mar-25"/>
    <n v="10"/>
    <s v="2025"/>
  </r>
  <r>
    <d v="2025-03-05T00:00:00"/>
    <s v="Haleem Popup Counter at Infosys Pocharam"/>
    <s v="F2F"/>
    <s v="Corporate"/>
    <x v="0"/>
    <s v="Sathya Praveen"/>
    <s v="haleem popup counter on 05-03-2025"/>
    <n v="15366"/>
    <n v="15366"/>
    <x v="15"/>
    <x v="0"/>
    <x v="1"/>
    <s v="Closed"/>
    <m/>
    <n v="15366"/>
    <m/>
    <m/>
    <m/>
    <s v="Mar-25"/>
    <n v="10"/>
    <s v="2025"/>
  </r>
  <r>
    <d v="2025-03-05T00:00:00"/>
    <s v="Dine in at Uppal"/>
    <s v="Call"/>
    <s v="Corporate"/>
    <x v="7"/>
    <s v="Chintu"/>
    <s v="Dine in on 5-3-2025"/>
    <n v="6142"/>
    <n v="6142"/>
    <x v="15"/>
    <x v="0"/>
    <x v="1"/>
    <s v="Closed"/>
    <m/>
    <n v="0"/>
    <m/>
    <m/>
    <m/>
    <s v="Mar-25"/>
    <n v="10"/>
    <s v="2025"/>
  </r>
  <r>
    <d v="2025-03-05T00:00:00"/>
    <s v="Popup Haleem Counter at Sky View OPTUM"/>
    <s v="F2F"/>
    <s v="Corporate"/>
    <x v="0"/>
    <s v="Kiran"/>
    <s v="Popup counter on 5-3-2025"/>
    <n v="9800"/>
    <n v="9800"/>
    <x v="15"/>
    <x v="0"/>
    <x v="1"/>
    <s v="Closed"/>
    <m/>
    <n v="2000"/>
    <m/>
    <m/>
    <m/>
    <s v="Mar-25"/>
    <n v="10"/>
    <s v="2025"/>
  </r>
  <r>
    <d v="2025-03-05T00:00:00"/>
    <s v="Popup Counter at Capital Land Atria"/>
    <s v="F2F"/>
    <s v="Corporate"/>
    <x v="17"/>
    <s v="Sandhya"/>
    <s v="popup counter on 5-3-2025"/>
    <n v="7760"/>
    <n v="7760"/>
    <x v="15"/>
    <x v="0"/>
    <x v="1"/>
    <s v="Closed"/>
    <m/>
    <n v="2500"/>
    <m/>
    <m/>
    <m/>
    <s v="Mar-25"/>
    <n v="10"/>
    <s v="2025"/>
  </r>
  <r>
    <d v="2025-03-05T00:00:00"/>
    <s v="Value Zone Nacharam"/>
    <s v="F2F"/>
    <s v="Corporate"/>
    <x v="17"/>
    <s v="Rajesh"/>
    <s v="Discussion about haleem popup counter"/>
    <n v="300000"/>
    <n v="0"/>
    <x v="15"/>
    <x v="0"/>
    <x v="0"/>
    <s v="Cancelled"/>
    <s v="Not profitable"/>
    <n v="300000"/>
    <m/>
    <m/>
    <m/>
    <s v="Mar-25"/>
    <n v="10"/>
    <s v="2025"/>
  </r>
  <r>
    <d v="2025-03-06T00:00:00"/>
    <s v="Haleem Popup Counter at Infosys Pocharam"/>
    <s v="F2F"/>
    <s v="Corporate"/>
    <x v="0"/>
    <s v="Sathya Praveen"/>
    <s v="haleem popup counter on 06-03-2025"/>
    <n v="15204"/>
    <n v="15204"/>
    <x v="15"/>
    <x v="0"/>
    <x v="1"/>
    <s v="Closed"/>
    <m/>
    <n v="15204"/>
    <m/>
    <m/>
    <m/>
    <s v="Mar-25"/>
    <n v="10"/>
    <s v="2025"/>
  </r>
  <r>
    <d v="2025-03-06T00:00:00"/>
    <s v="Popup Haleem Counter at Sky View OPTUM"/>
    <s v="F2F"/>
    <s v="Corporate"/>
    <x v="0"/>
    <s v="Kiran"/>
    <s v="Popup counter on 6-3-2025"/>
    <n v="4490"/>
    <n v="4490"/>
    <x v="15"/>
    <x v="0"/>
    <x v="1"/>
    <s v="Closed"/>
    <m/>
    <n v="2000"/>
    <m/>
    <m/>
    <m/>
    <s v="Mar-25"/>
    <n v="10"/>
    <s v="2025"/>
  </r>
  <r>
    <d v="2025-03-06T00:00:00"/>
    <s v="Popup Counter at Capital Land Atria"/>
    <s v="F2F"/>
    <s v="Corporate"/>
    <x v="17"/>
    <s v="Sandhya"/>
    <s v="popup counter on 6-3-2025"/>
    <n v="10950"/>
    <n v="10950"/>
    <x v="15"/>
    <x v="0"/>
    <x v="1"/>
    <s v="Closed"/>
    <m/>
    <n v="3500"/>
    <m/>
    <m/>
    <m/>
    <s v="Mar-25"/>
    <n v="10"/>
    <s v="2025"/>
  </r>
  <r>
    <d v="2025-03-06T00:00:00"/>
    <s v="Delivery at SEBLR Banglore (Compass)"/>
    <s v="Call"/>
    <s v="Corporate"/>
    <x v="17"/>
    <s v="Saad"/>
    <s v="New Delivery at Compass group on 5-3-2025"/>
    <n v="39256"/>
    <n v="39256"/>
    <x v="15"/>
    <x v="1"/>
    <x v="1"/>
    <s v="Closed"/>
    <m/>
    <n v="0"/>
    <m/>
    <m/>
    <m/>
    <s v="Mar-25"/>
    <n v="10"/>
    <s v="2025"/>
  </r>
  <r>
    <d v="2025-03-07T00:00:00"/>
    <s v="Haleem Popup Counter at Infosys Pocharam"/>
    <s v="F2F"/>
    <s v="Corporate"/>
    <x v="0"/>
    <s v="Sathya Praveen"/>
    <s v="haleem popup counter on 07-03-2025"/>
    <n v="11632"/>
    <n v="11632"/>
    <x v="15"/>
    <x v="0"/>
    <x v="1"/>
    <s v="Closed"/>
    <m/>
    <n v="11632"/>
    <m/>
    <m/>
    <m/>
    <s v="Mar-25"/>
    <n v="10"/>
    <s v="2025"/>
  </r>
  <r>
    <d v="2025-03-07T00:00:00"/>
    <s v="Popup Counter at Capital Land Atria"/>
    <s v="F2F"/>
    <s v="Corporate"/>
    <x v="17"/>
    <s v="Sandhya"/>
    <s v="popup counter on 7-3-2025"/>
    <n v="10950"/>
    <n v="10950"/>
    <x v="15"/>
    <x v="0"/>
    <x v="1"/>
    <s v="Closed"/>
    <m/>
    <n v="3500"/>
    <m/>
    <m/>
    <m/>
    <s v="Mar-25"/>
    <n v="10"/>
    <s v="2025"/>
  </r>
  <r>
    <d v="2025-03-08T00:00:00"/>
    <s v="Delivery of VB at IIT Hyderabad"/>
    <s v="F2F"/>
    <s v="College"/>
    <x v="4"/>
    <s v="Labdhi"/>
    <s v="Delivery of VB on 8th &amp; 9th March 2025"/>
    <n v="172896"/>
    <n v="172896"/>
    <x v="15"/>
    <x v="0"/>
    <x v="1"/>
    <s v="Closed"/>
    <m/>
    <n v="0"/>
    <m/>
    <m/>
    <m/>
    <s v="Mar-25"/>
    <n v="10"/>
    <s v="2025"/>
  </r>
  <r>
    <d v="2025-03-09T00:00:00"/>
    <s v="Delivery at Uppal"/>
    <s v="Call"/>
    <s v="Events"/>
    <x v="10"/>
    <s v="Sanjay"/>
    <s v="Delivery 0n 9-3-2025"/>
    <n v="9091"/>
    <n v="9091"/>
    <x v="15"/>
    <x v="0"/>
    <x v="1"/>
    <s v="Closed"/>
    <m/>
    <n v="0"/>
    <m/>
    <m/>
    <m/>
    <s v="Mar-25"/>
    <n v="10"/>
    <s v="2025"/>
  </r>
  <r>
    <d v="2025-03-10T00:00:00"/>
    <s v="Haleem Popup Counter at Infosys Pocharam"/>
    <s v="F2F"/>
    <s v="Corporate"/>
    <x v="0"/>
    <s v="Sathya Praveen"/>
    <s v="haleem popup counter on 10-03-2025"/>
    <n v="13820"/>
    <n v="13820"/>
    <x v="15"/>
    <x v="0"/>
    <x v="1"/>
    <s v="Closed"/>
    <m/>
    <n v="13820"/>
    <m/>
    <m/>
    <m/>
    <s v="Mar-25"/>
    <n v="11"/>
    <s v="2025"/>
  </r>
  <r>
    <d v="2025-03-10T00:00:00"/>
    <s v="Popup Counter at Capital Land Atria"/>
    <s v="F2F"/>
    <s v="Corporate"/>
    <x v="17"/>
    <s v="Sandhya"/>
    <s v="popup counter on 10-3-2025"/>
    <n v="12950"/>
    <n v="12950"/>
    <x v="15"/>
    <x v="0"/>
    <x v="1"/>
    <s v="Closed"/>
    <m/>
    <n v="3500"/>
    <m/>
    <m/>
    <m/>
    <s v="Mar-25"/>
    <n v="11"/>
    <s v="2025"/>
  </r>
  <r>
    <d v="2025-03-10T00:00:00"/>
    <s v="Delivery of Mutton Biryani at Infosys pocharam"/>
    <s v="F2F"/>
    <s v="Corporate"/>
    <x v="0"/>
    <s v="Uppana"/>
    <s v="Delivery of MB on 10-3-2025"/>
    <n v="9000"/>
    <n v="9000"/>
    <x v="15"/>
    <x v="0"/>
    <x v="1"/>
    <s v="Closed"/>
    <m/>
    <n v="0"/>
    <m/>
    <m/>
    <m/>
    <s v="Mar-25"/>
    <n v="11"/>
    <s v="2025"/>
  </r>
  <r>
    <d v="2025-03-11T00:00:00"/>
    <s v="Delivery at MG Road"/>
    <s v="Call"/>
    <s v="Corporate"/>
    <x v="17"/>
    <s v="Vikas"/>
    <s v="Chef Parcha Delivery of MB &amp; CB ON 7-03-2025"/>
    <n v="12600"/>
    <n v="12600"/>
    <x v="15"/>
    <x v="0"/>
    <x v="1"/>
    <s v="Closed"/>
    <m/>
    <n v="0"/>
    <m/>
    <m/>
    <m/>
    <s v="Mar-25"/>
    <n v="11"/>
    <s v="2025"/>
  </r>
  <r>
    <d v="2025-03-11T00:00:00"/>
    <s v="Delivery of CB &amp; MB at Infosys Pocharam"/>
    <s v="F2F"/>
    <s v="Corporate"/>
    <x v="0"/>
    <s v="Uppana"/>
    <s v="Delivery of CB &amp; MB on 11-03-2025"/>
    <n v="11525"/>
    <n v="11525"/>
    <x v="15"/>
    <x v="0"/>
    <x v="1"/>
    <s v="Closed"/>
    <m/>
    <n v="0"/>
    <m/>
    <m/>
    <m/>
    <s v="Mar-25"/>
    <n v="11"/>
    <s v="2025"/>
  </r>
  <r>
    <d v="2025-03-11T00:00:00"/>
    <s v="Haleem Counter at S&amp;P Skiview"/>
    <s v="F2F"/>
    <s v="Corporate"/>
    <x v="17"/>
    <s v="Sandhya"/>
    <s v="Haleem counter on 11-3-2025"/>
    <n v="5700"/>
    <n v="5700"/>
    <x v="15"/>
    <x v="0"/>
    <x v="1"/>
    <s v="Closed"/>
    <m/>
    <n v="5700"/>
    <m/>
    <m/>
    <m/>
    <s v="Mar-25"/>
    <n v="11"/>
    <s v="2025"/>
  </r>
  <r>
    <d v="2025-03-11T00:00:00"/>
    <s v="Popup Counter at Capital Land Atria"/>
    <s v="F2F"/>
    <s v="Corporate"/>
    <x v="17"/>
    <s v="Sandhya"/>
    <s v="popup counter on 11-3-2025"/>
    <n v="10270"/>
    <n v="10270"/>
    <x v="15"/>
    <x v="0"/>
    <x v="1"/>
    <s v="Closed"/>
    <m/>
    <n v="2900"/>
    <m/>
    <m/>
    <m/>
    <s v="Mar-25"/>
    <n v="11"/>
    <s v="2025"/>
  </r>
  <r>
    <d v="2025-03-11T00:00:00"/>
    <s v="Haleem Popup Counter at Infosys Pocharam"/>
    <s v="F2F"/>
    <s v="Corporate"/>
    <x v="0"/>
    <s v="Sathya Praveen"/>
    <s v="haleem popup counter on 11-03-2025"/>
    <n v="10050"/>
    <n v="10050"/>
    <x v="15"/>
    <x v="0"/>
    <x v="1"/>
    <s v="Closed"/>
    <m/>
    <n v="10050"/>
    <m/>
    <m/>
    <m/>
    <s v="Mar-25"/>
    <n v="11"/>
    <s v="2025"/>
  </r>
  <r>
    <d v="2025-03-12T00:00:00"/>
    <s v="Popup Counter at Capital Land Atria"/>
    <s v="F2F"/>
    <s v="Corporate"/>
    <x v="17"/>
    <s v="Sandhya"/>
    <s v="popup counter on 12-3-2025"/>
    <n v="8860"/>
    <n v="8860"/>
    <x v="15"/>
    <x v="0"/>
    <x v="1"/>
    <s v="Closed"/>
    <m/>
    <n v="2500"/>
    <m/>
    <m/>
    <m/>
    <s v="Mar-25"/>
    <n v="11"/>
    <s v="2025"/>
  </r>
  <r>
    <d v="2025-03-12T00:00:00"/>
    <s v="Haleem Counter at S&amp;P Skiview"/>
    <s v="F2F"/>
    <s v="Corporate"/>
    <x v="17"/>
    <s v="Sandhya"/>
    <s v="Haleem counter on 12-3-2025"/>
    <n v="9866"/>
    <n v="9866"/>
    <x v="15"/>
    <x v="0"/>
    <x v="1"/>
    <s v="Closed"/>
    <m/>
    <n v="7000"/>
    <m/>
    <m/>
    <m/>
    <s v="Mar-25"/>
    <n v="11"/>
    <s v="2025"/>
  </r>
  <r>
    <d v="2025-03-12T00:00:00"/>
    <s v="Haleem Popup Counter at Infosys Pocharam"/>
    <s v="F2F"/>
    <s v="Corporate"/>
    <x v="0"/>
    <s v="Sathya Praveen"/>
    <s v="haleem popup counter on 12-03-2025"/>
    <n v="9440"/>
    <n v="9440"/>
    <x v="15"/>
    <x v="0"/>
    <x v="1"/>
    <s v="Closed"/>
    <m/>
    <n v="9440"/>
    <m/>
    <m/>
    <m/>
    <s v="Mar-25"/>
    <n v="11"/>
    <s v="2025"/>
  </r>
  <r>
    <d v="2025-03-12T00:00:00"/>
    <s v="Delivery at MG Road"/>
    <s v="Call"/>
    <s v="Events"/>
    <x v="10"/>
    <s v="Virend"/>
    <s v="Delivery of CB on 12-3-2025"/>
    <n v="9777"/>
    <n v="9777"/>
    <x v="15"/>
    <x v="0"/>
    <x v="1"/>
    <s v="Closed"/>
    <m/>
    <n v="0"/>
    <m/>
    <m/>
    <m/>
    <s v="Mar-25"/>
    <n v="11"/>
    <s v="2025"/>
  </r>
  <r>
    <d v="2025-03-13T00:00:00"/>
    <s v="Haleem Popup Counter at Wipro Mindspace"/>
    <s v="F2F"/>
    <s v="Corporate"/>
    <x v="0"/>
    <s v="Maurya"/>
    <s v="Popup counter on 13-3-2025"/>
    <n v="5900"/>
    <n v="5900"/>
    <x v="15"/>
    <x v="0"/>
    <x v="1"/>
    <s v="Closed"/>
    <m/>
    <n v="5900"/>
    <m/>
    <m/>
    <m/>
    <s v="Mar-25"/>
    <n v="11"/>
    <s v="2025"/>
  </r>
  <r>
    <d v="2025-03-13T00:00:00"/>
    <s v="Haleem Counter at Infosys Pocharam"/>
    <s v="F2F"/>
    <s v="Corporate"/>
    <x v="0"/>
    <s v="Sathya Praveen"/>
    <s v="Popup counter on 13-3-2025"/>
    <n v="7530"/>
    <n v="7530"/>
    <x v="15"/>
    <x v="0"/>
    <x v="1"/>
    <s v="Closed"/>
    <m/>
    <n v="7530"/>
    <m/>
    <m/>
    <m/>
    <s v="Mar-25"/>
    <n v="11"/>
    <s v="2025"/>
  </r>
  <r>
    <d v="2025-03-13T00:00:00"/>
    <s v="Popup Counter at Capital Land Atria"/>
    <s v="F2F"/>
    <s v="Corporate"/>
    <x v="17"/>
    <s v="Sandhya"/>
    <s v="popup counter on 13-3-2025"/>
    <n v="11720"/>
    <n v="11720"/>
    <x v="15"/>
    <x v="0"/>
    <x v="1"/>
    <s v="Closed"/>
    <m/>
    <n v="3500"/>
    <m/>
    <m/>
    <m/>
    <s v="Mar-25"/>
    <n v="11"/>
    <s v="2025"/>
  </r>
  <r>
    <d v="2025-03-14T00:00:00"/>
    <s v="Take away at Masabtank"/>
    <s v="Call"/>
    <s v="Events"/>
    <x v="10"/>
    <s v="Ajay"/>
    <s v="Take away on 14 &amp; 15-3-2025"/>
    <n v="15483"/>
    <n v="15483"/>
    <x v="15"/>
    <x v="0"/>
    <x v="1"/>
    <s v="Closed"/>
    <m/>
    <n v="0"/>
    <m/>
    <m/>
    <m/>
    <s v="Mar-25"/>
    <n v="11"/>
    <s v="2025"/>
  </r>
  <r>
    <d v="2025-03-14T00:00:00"/>
    <s v="Haleem Popup Counter at Infosys Pocharam"/>
    <s v="F2F"/>
    <s v="Corporate"/>
    <x v="0"/>
    <s v="Sathya Praveen"/>
    <s v="haleem popup counter on 14-03-2025"/>
    <n v="6700"/>
    <n v="6700"/>
    <x v="15"/>
    <x v="0"/>
    <x v="1"/>
    <s v="Closed"/>
    <m/>
    <n v="6700"/>
    <m/>
    <m/>
    <m/>
    <s v="Mar-25"/>
    <n v="11"/>
    <s v="2025"/>
  </r>
  <r>
    <d v="2025-03-15T00:00:00"/>
    <s v="Take away from Himayath nagar"/>
    <s v="Call"/>
    <s v="Events"/>
    <x v="10"/>
    <s v="Faiz"/>
    <s v="Take away of MB on 15-3-2025"/>
    <n v="17820"/>
    <n v="17820"/>
    <x v="15"/>
    <x v="0"/>
    <x v="1"/>
    <s v="Closed"/>
    <m/>
    <n v="0"/>
    <m/>
    <m/>
    <m/>
    <s v="Mar-25"/>
    <n v="11"/>
    <s v="2025"/>
  </r>
  <r>
    <d v="2025-03-15T00:00:00"/>
    <s v="Nalsar Univercity Popup Stall in sports day"/>
    <s v="F2F"/>
    <s v="College"/>
    <x v="4"/>
    <s v="Ashna"/>
    <s v="Popup stall on 14.15 &amp; 16-3-2025"/>
    <n v="35000"/>
    <n v="35000"/>
    <x v="15"/>
    <x v="0"/>
    <x v="1"/>
    <s v="Closed"/>
    <m/>
    <n v="12000"/>
    <m/>
    <m/>
    <m/>
    <s v="Mar-25"/>
    <n v="11"/>
    <s v="2025"/>
  </r>
  <r>
    <d v="2025-03-17T00:00:00"/>
    <s v="Popup Counter at Capital Land Atria"/>
    <s v="F2F"/>
    <s v="Corporate"/>
    <x v="17"/>
    <s v="Sandhya"/>
    <s v="popup counter on 17-3-2025"/>
    <n v="12000"/>
    <n v="12000"/>
    <x v="15"/>
    <x v="0"/>
    <x v="1"/>
    <s v="Closed"/>
    <m/>
    <n v="3500"/>
    <m/>
    <m/>
    <m/>
    <s v="Mar-25"/>
    <n v="12"/>
    <s v="2025"/>
  </r>
  <r>
    <d v="2025-03-17T00:00:00"/>
    <s v="Haleem Counter at Infosys Pocharam"/>
    <s v="F2F"/>
    <s v="Corporate"/>
    <x v="0"/>
    <s v="Sathya Praveen"/>
    <s v="Popup counter on 17-3-2025"/>
    <n v="7530"/>
    <n v="7530"/>
    <x v="15"/>
    <x v="0"/>
    <x v="1"/>
    <s v="Closed"/>
    <m/>
    <n v="7530"/>
    <m/>
    <m/>
    <m/>
    <s v="Mar-25"/>
    <n v="12"/>
    <s v="2025"/>
  </r>
  <r>
    <d v="2025-03-17T00:00:00"/>
    <s v="Site Visit at Mindspace for 1 month popup counter"/>
    <s v="F2F"/>
    <s v="Corporate"/>
    <x v="15"/>
    <s v="Jerry"/>
    <s v="discussion in regards with popup counter"/>
    <n v="0"/>
    <n v="0"/>
    <x v="15"/>
    <x v="0"/>
    <x v="1"/>
    <s v="Closed"/>
    <m/>
    <n v="0"/>
    <m/>
    <m/>
    <m/>
    <s v="Mar-25"/>
    <n v="12"/>
    <s v="2025"/>
  </r>
  <r>
    <d v="2025-03-17T00:00:00"/>
    <s v="Delivery at Kothapet"/>
    <s v="Call"/>
    <s v="Events"/>
    <x v="10"/>
    <s v="Vijay"/>
    <s v="Delivery of MB on 22-3-2025"/>
    <n v="11500"/>
    <n v="11500"/>
    <x v="15"/>
    <x v="0"/>
    <x v="1"/>
    <s v="Closed"/>
    <m/>
    <n v="0"/>
    <m/>
    <m/>
    <m/>
    <s v="Mar-25"/>
    <n v="12"/>
    <s v="2025"/>
  </r>
  <r>
    <d v="2025-03-17T00:00:00"/>
    <s v="Delivery at Sreenidhi College of Engineering"/>
    <s v="F2F"/>
    <s v="College"/>
    <x v="4"/>
    <s v="Abhijeet"/>
    <s v="delivery of CB &amp; VB on 22-3-2025"/>
    <n v="150000"/>
    <n v="0"/>
    <x v="15"/>
    <x v="0"/>
    <x v="0"/>
    <s v="Cancelled"/>
    <s v="Less Budget"/>
    <n v="0"/>
    <m/>
    <m/>
    <m/>
    <s v="Mar-25"/>
    <n v="12"/>
    <s v="2025"/>
  </r>
  <r>
    <d v="2025-03-18T00:00:00"/>
    <s v="Popup Counter at Capital Land Atria"/>
    <s v="F2F"/>
    <s v="Corporate"/>
    <x v="17"/>
    <s v="Sandhya"/>
    <s v="popup counter on 18-3-2025"/>
    <n v="8450"/>
    <n v="8450"/>
    <x v="15"/>
    <x v="0"/>
    <x v="1"/>
    <s v="Closed"/>
    <m/>
    <n v="4000"/>
    <m/>
    <m/>
    <m/>
    <s v="Mar-25"/>
    <n v="12"/>
    <s v="2025"/>
  </r>
  <r>
    <d v="2025-03-18T00:00:00"/>
    <s v="Haleem Counter at Infosys Pocharam"/>
    <s v="F2F"/>
    <s v="Corporate"/>
    <x v="0"/>
    <s v="Sathya Praveen"/>
    <s v="Popup counter on 18-3-2025"/>
    <n v="9475"/>
    <n v="9475"/>
    <x v="15"/>
    <x v="0"/>
    <x v="1"/>
    <s v="Closed"/>
    <m/>
    <n v="9475"/>
    <m/>
    <m/>
    <m/>
    <s v="Mar-25"/>
    <n v="12"/>
    <s v="2025"/>
  </r>
  <r>
    <d v="2025-03-18T00:00:00"/>
    <s v="Haleem Popup at Wipro Gopanpally"/>
    <s v="F2F"/>
    <s v="Corporate"/>
    <x v="0"/>
    <s v="Mahendrakar"/>
    <s v="Haleem popup on 18-3-2025"/>
    <n v="16308"/>
    <n v="16308"/>
    <x v="15"/>
    <x v="0"/>
    <x v="1"/>
    <s v="Closed"/>
    <m/>
    <n v="16308"/>
    <m/>
    <m/>
    <m/>
    <s v="Mar-25"/>
    <n v="12"/>
    <s v="2025"/>
  </r>
  <r>
    <d v="2025-03-18T00:00:00"/>
    <s v="Delivery at Uppal"/>
    <s v="Call"/>
    <s v="Events"/>
    <x v="10"/>
    <s v="Mahesh"/>
    <s v="Delivery of VB &amp; CB on 18-3-2025"/>
    <n v="1096"/>
    <n v="1096"/>
    <x v="15"/>
    <x v="0"/>
    <x v="1"/>
    <s v="Closed"/>
    <m/>
    <n v="0"/>
    <m/>
    <m/>
    <m/>
    <s v="Mar-25"/>
    <n v="12"/>
    <s v="2025"/>
  </r>
  <r>
    <d v="2025-03-19T00:00:00"/>
    <s v="Popup Counter at Capital Land Atria"/>
    <s v="F2F"/>
    <s v="Corporate"/>
    <x v="17"/>
    <s v="Sandhya"/>
    <s v="popup counter on 19-3-2025"/>
    <n v="8450"/>
    <n v="8450"/>
    <x v="15"/>
    <x v="0"/>
    <x v="1"/>
    <s v="Closed"/>
    <m/>
    <n v="4000"/>
    <m/>
    <m/>
    <m/>
    <s v="Mar-25"/>
    <n v="12"/>
    <s v="2025"/>
  </r>
  <r>
    <d v="2025-03-19T00:00:00"/>
    <s v="Haleem Counter at Infosys Pocharam"/>
    <s v="F2F"/>
    <s v="Corporate"/>
    <x v="0"/>
    <s v="Sathya Praveen"/>
    <s v="Popup counter on 19-3-2025"/>
    <n v="12165"/>
    <n v="12165"/>
    <x v="15"/>
    <x v="0"/>
    <x v="1"/>
    <s v="Closed"/>
    <m/>
    <n v="12165"/>
    <m/>
    <m/>
    <m/>
    <s v="Mar-25"/>
    <n v="12"/>
    <s v="2025"/>
  </r>
  <r>
    <d v="2025-03-19T00:00:00"/>
    <s v="Haleem Popup at Wipro Gopanpally"/>
    <s v="F2F"/>
    <s v="Corporate"/>
    <x v="0"/>
    <s v="Mahendrakar"/>
    <s v="Haleem popup on 19-3-2025"/>
    <n v="39806"/>
    <n v="39806"/>
    <x v="15"/>
    <x v="0"/>
    <x v="1"/>
    <s v="Closed"/>
    <m/>
    <n v="39806"/>
    <m/>
    <m/>
    <m/>
    <s v="Mar-25"/>
    <n v="12"/>
    <s v="2025"/>
  </r>
  <r>
    <d v="2025-03-19T00:00:00"/>
    <s v="Haleem Popup at Capgemini Campus"/>
    <s v="F2F"/>
    <s v="Corporate"/>
    <x v="0"/>
    <s v="Ajesh"/>
    <s v="Haleem popup on 19-3-2025"/>
    <n v="14390"/>
    <n v="14390"/>
    <x v="15"/>
    <x v="0"/>
    <x v="1"/>
    <s v="Closed"/>
    <m/>
    <n v="14390"/>
    <m/>
    <m/>
    <m/>
    <s v="Mar-25"/>
    <n v="12"/>
    <s v="2025"/>
  </r>
  <r>
    <d v="2025-03-19T00:00:00"/>
    <s v="Haleem Popup at Capgemini GAR"/>
    <s v="F2F"/>
    <s v="Corporate"/>
    <x v="0"/>
    <s v="Ajesh"/>
    <s v="Haleem popup on 19-3-2025"/>
    <n v="8780"/>
    <n v="8780"/>
    <x v="15"/>
    <x v="0"/>
    <x v="1"/>
    <s v="Closed"/>
    <m/>
    <n v="8780"/>
    <m/>
    <m/>
    <m/>
    <s v="Mar-25"/>
    <n v="12"/>
    <s v="2025"/>
  </r>
  <r>
    <d v="2025-03-19T00:00:00"/>
    <s v="Delivery at SEBLR Banglore (Compass)"/>
    <s v="Call"/>
    <s v="Corporate"/>
    <x v="17"/>
    <s v="Saad"/>
    <s v="New Delivery at Compass group on 12-3-2025"/>
    <n v="34332"/>
    <n v="34332"/>
    <x v="15"/>
    <x v="1"/>
    <x v="1"/>
    <s v="Closed"/>
    <m/>
    <n v="0"/>
    <m/>
    <m/>
    <m/>
    <s v="Mar-25"/>
    <n v="12"/>
    <s v="2025"/>
  </r>
  <r>
    <d v="2025-03-19T00:00:00"/>
    <s v="Delivery at SEBLR Banglore (Compass)"/>
    <s v="Call"/>
    <s v="Corporate"/>
    <x v="17"/>
    <s v="Saad"/>
    <s v="New Delivery at Compass group on 19-3-2025"/>
    <n v="30899"/>
    <n v="30899"/>
    <x v="15"/>
    <x v="1"/>
    <x v="1"/>
    <s v="Closed"/>
    <m/>
    <n v="0"/>
    <m/>
    <m/>
    <m/>
    <s v="Mar-25"/>
    <n v="12"/>
    <s v="2025"/>
  </r>
  <r>
    <d v="2025-03-19T00:00:00"/>
    <s v="Haleem Counter at Wipro SEZ Nanakramguda"/>
    <s v="Call"/>
    <s v="Corporate"/>
    <x v="0"/>
    <s v="Mahendrakar"/>
    <s v="Haleem popup on 19-3-2025"/>
    <n v="10085"/>
    <n v="10085"/>
    <x v="15"/>
    <x v="0"/>
    <x v="1"/>
    <s v="Closed"/>
    <m/>
    <n v="10085"/>
    <m/>
    <m/>
    <m/>
    <s v="Mar-25"/>
    <n v="12"/>
    <s v="2025"/>
  </r>
  <r>
    <d v="2025-03-19T00:00:00"/>
    <s v="Bulk Food order at Kukatpally"/>
    <s v="Call"/>
    <s v="Events"/>
    <x v="10"/>
    <s v="Narendra "/>
    <s v="Bulk order on 19-3-2025"/>
    <n v="38589"/>
    <n v="38589"/>
    <x v="15"/>
    <x v="0"/>
    <x v="1"/>
    <s v="Closed"/>
    <m/>
    <n v="0"/>
    <m/>
    <m/>
    <m/>
    <s v="Mar-25"/>
    <n v="12"/>
    <s v="2025"/>
  </r>
  <r>
    <d v="2025-03-20T00:00:00"/>
    <s v="Haleem Counter at Infosys Pocharam"/>
    <s v="F2F"/>
    <s v="Corporate"/>
    <x v="0"/>
    <s v="Sathya Praveen"/>
    <s v="Popup counter on 20-3-2025"/>
    <n v="12342"/>
    <n v="12342"/>
    <x v="15"/>
    <x v="0"/>
    <x v="1"/>
    <s v="Closed"/>
    <m/>
    <n v="12342"/>
    <m/>
    <m/>
    <m/>
    <s v="Mar-25"/>
    <n v="12"/>
    <s v="2025"/>
  </r>
  <r>
    <d v="2025-03-20T00:00:00"/>
    <s v="Popup Counter at Capital Land Atria"/>
    <s v="F2F"/>
    <s v="Corporate"/>
    <x v="17"/>
    <s v="Sandhya"/>
    <s v="popup counter on 20-3-2025"/>
    <n v="8560"/>
    <n v="8560"/>
    <x v="15"/>
    <x v="0"/>
    <x v="1"/>
    <s v="Closed"/>
    <m/>
    <n v="8560"/>
    <m/>
    <m/>
    <m/>
    <s v="Mar-25"/>
    <n v="12"/>
    <s v="2025"/>
  </r>
  <r>
    <d v="2025-03-21T00:00:00"/>
    <s v="Haleem Counter at Infosys Pocharam"/>
    <s v="F2F"/>
    <s v="Corporate"/>
    <x v="0"/>
    <s v="Sathya Praveen"/>
    <s v="Popup counter on 21-3-2025"/>
    <n v="7810"/>
    <n v="7810"/>
    <x v="15"/>
    <x v="0"/>
    <x v="1"/>
    <s v="Closed"/>
    <m/>
    <n v="7810"/>
    <m/>
    <m/>
    <m/>
    <s v="Mar-25"/>
    <n v="12"/>
    <s v="2025"/>
  </r>
  <r>
    <d v="2025-03-21T00:00:00"/>
    <s v="Popup Counter at Capital Land Atria"/>
    <s v="F2F"/>
    <s v="Corporate"/>
    <x v="17"/>
    <s v="Sandhya"/>
    <s v="popup counter on 21-3-2025"/>
    <n v="8560"/>
    <n v="8650"/>
    <x v="15"/>
    <x v="0"/>
    <x v="1"/>
    <s v="Closed"/>
    <m/>
    <n v="8560"/>
    <m/>
    <m/>
    <m/>
    <s v="Mar-25"/>
    <n v="12"/>
    <s v="2025"/>
  </r>
  <r>
    <d v="2025-03-21T00:00:00"/>
    <s v="Haleem Counter at Raheja Mindspace 12 D "/>
    <s v="F2F"/>
    <s v="Corporate"/>
    <x v="15"/>
    <s v="Jerry"/>
    <s v="popup counter on 21-3-2025"/>
    <n v="4035"/>
    <n v="4035"/>
    <x v="15"/>
    <x v="0"/>
    <x v="1"/>
    <s v="Closed"/>
    <m/>
    <n v="4035"/>
    <m/>
    <m/>
    <m/>
    <s v="Mar-25"/>
    <n v="12"/>
    <s v="2025"/>
  </r>
  <r>
    <d v="2025-03-23T00:00:00"/>
    <s v="Delivery at Rampally"/>
    <s v="Call"/>
    <s v="Events"/>
    <x v="10"/>
    <s v="Naresh"/>
    <s v="Delivery of CB on 23-3-2025"/>
    <n v="7106"/>
    <n v="7106"/>
    <x v="15"/>
    <x v="0"/>
    <x v="1"/>
    <s v="Closed"/>
    <m/>
    <n v="0"/>
    <m/>
    <m/>
    <m/>
    <s v="Mar-25"/>
    <n v="12"/>
    <s v="2025"/>
  </r>
  <r>
    <d v="2025-03-23T00:00:00"/>
    <s v="Delivery at Shamshabad"/>
    <s v="Call"/>
    <s v="Events"/>
    <x v="10"/>
    <s v="Khadir"/>
    <s v="Delivery of haleem on 23-3-2025"/>
    <n v="17008"/>
    <n v="17008"/>
    <x v="15"/>
    <x v="0"/>
    <x v="1"/>
    <s v="Closed"/>
    <m/>
    <n v="17008"/>
    <m/>
    <m/>
    <m/>
    <s v="Mar-25"/>
    <n v="12"/>
    <s v="2025"/>
  </r>
  <r>
    <d v="2025-03-24T00:00:00"/>
    <s v="Haleem Counter at Infosys Pocharam"/>
    <s v="F2F"/>
    <s v="Corporate"/>
    <x v="0"/>
    <s v="Sathya Praveen"/>
    <s v="Popup counter on 24-3-2025"/>
    <n v="5050"/>
    <n v="5050"/>
    <x v="15"/>
    <x v="0"/>
    <x v="1"/>
    <s v="Closed"/>
    <m/>
    <n v="4050"/>
    <m/>
    <m/>
    <m/>
    <s v="Mar-25"/>
    <n v="13"/>
    <s v="2025"/>
  </r>
  <r>
    <d v="2025-03-24T00:00:00"/>
    <s v="Popup Counter at Capital Land Atria"/>
    <s v="F2F"/>
    <s v="Corporate"/>
    <x v="17"/>
    <s v="Sandhya"/>
    <s v="popup counter on 24-3-2025"/>
    <n v="9842"/>
    <n v="9842"/>
    <x v="15"/>
    <x v="0"/>
    <x v="1"/>
    <s v="Closed"/>
    <m/>
    <n v="9842"/>
    <m/>
    <m/>
    <m/>
    <s v="Mar-25"/>
    <n v="13"/>
    <s v="2025"/>
  </r>
  <r>
    <d v="2025-03-24T00:00:00"/>
    <s v="Haleem Counter at Raheja Mindspace 12 D "/>
    <s v="F2F"/>
    <s v="Corporate"/>
    <x v="15"/>
    <s v="Jerry"/>
    <s v="popup counter on 24-3-2025"/>
    <n v="5055"/>
    <n v="5005"/>
    <x v="15"/>
    <x v="0"/>
    <x v="1"/>
    <s v="Closed"/>
    <m/>
    <n v="5055"/>
    <m/>
    <m/>
    <m/>
    <s v="Mar-25"/>
    <n v="13"/>
    <s v="2025"/>
  </r>
  <r>
    <d v="2025-03-25T00:00:00"/>
    <s v="Haleem Counter at Infosys Pocharam"/>
    <s v="F2F"/>
    <s v="Corporate"/>
    <x v="0"/>
    <s v="Sathya Praveen"/>
    <s v="Popup counter on 25-3-2025"/>
    <n v="5495"/>
    <n v="5495"/>
    <x v="15"/>
    <x v="0"/>
    <x v="1"/>
    <s v="Closed"/>
    <m/>
    <n v="5495"/>
    <m/>
    <m/>
    <m/>
    <s v="Mar-25"/>
    <n v="13"/>
    <s v="2025"/>
  </r>
  <r>
    <d v="2025-03-25T00:00:00"/>
    <s v="Popup Counter at Capital Land Atria"/>
    <s v="F2F"/>
    <s v="Corporate"/>
    <x v="17"/>
    <s v="Sandhya"/>
    <s v="popup counter on 25-3-2025"/>
    <n v="1770"/>
    <n v="1770"/>
    <x v="15"/>
    <x v="0"/>
    <x v="1"/>
    <s v="Closed"/>
    <m/>
    <n v="1770"/>
    <m/>
    <m/>
    <m/>
    <s v="Mar-25"/>
    <n v="13"/>
    <s v="2025"/>
  </r>
  <r>
    <d v="2025-03-25T00:00:00"/>
    <s v="Haleem Counter at Raheja Mindspace 12 D "/>
    <s v="F2F"/>
    <s v="Corporate"/>
    <x v="15"/>
    <s v="Jerry"/>
    <s v="popup counter on 25-3-2025"/>
    <n v="4080"/>
    <n v="4080"/>
    <x v="15"/>
    <x v="0"/>
    <x v="1"/>
    <s v="Closed"/>
    <m/>
    <n v="4080"/>
    <m/>
    <m/>
    <m/>
    <s v="Mar-25"/>
    <n v="13"/>
    <s v="2025"/>
  </r>
  <r>
    <d v="2025-03-25T00:00:00"/>
    <s v="Delivery at hitec city"/>
    <s v="Call"/>
    <s v="Events"/>
    <x v="10"/>
    <s v="Dinesh"/>
    <s v="Delivery of Biryani &amp; Haleem on 25-3-2025"/>
    <n v="8541"/>
    <n v="8541"/>
    <x v="15"/>
    <x v="0"/>
    <x v="1"/>
    <s v="Closed"/>
    <m/>
    <n v="2500"/>
    <m/>
    <m/>
    <m/>
    <s v="Mar-25"/>
    <n v="13"/>
    <s v="2025"/>
  </r>
  <r>
    <d v="2025-03-25T00:00:00"/>
    <s v="Haleem Counter at Wipro SEZ Nanakramguda"/>
    <s v="Call"/>
    <s v="Corporate"/>
    <x v="0"/>
    <s v="Mahendrakar"/>
    <s v="Haleem popup on 25-3-2025"/>
    <n v="5774"/>
    <n v="5774"/>
    <x v="15"/>
    <x v="0"/>
    <x v="1"/>
    <s v="Closed"/>
    <m/>
    <n v="5774"/>
    <m/>
    <m/>
    <m/>
    <s v="Mar-25"/>
    <n v="13"/>
    <s v="2025"/>
  </r>
  <r>
    <d v="2025-03-26T00:00:00"/>
    <s v="Haleem ODC at S&amp;P Global"/>
    <s v="F2F"/>
    <s v="Corporate"/>
    <x v="0"/>
    <s v="Praveen"/>
    <s v="Haleem Iftiar party on 26-3-2025"/>
    <n v="104000"/>
    <n v="104000"/>
    <x v="15"/>
    <x v="0"/>
    <x v="1"/>
    <s v="Closed"/>
    <m/>
    <n v="104000"/>
    <m/>
    <m/>
    <m/>
    <s v="Mar-25"/>
    <n v="13"/>
    <s v="2025"/>
  </r>
  <r>
    <d v="2025-03-26T00:00:00"/>
    <s v="Delivery at SEBLR Banglore (Compass)"/>
    <s v="Call"/>
    <s v="Corporate"/>
    <x v="17"/>
    <s v="Saad"/>
    <s v="New Delivery at Compass group on 26-3-2025"/>
    <n v="32860"/>
    <n v="32860"/>
    <x v="15"/>
    <x v="1"/>
    <x v="1"/>
    <s v="Closed"/>
    <m/>
    <n v="0"/>
    <m/>
    <m/>
    <m/>
    <s v="Mar-25"/>
    <n v="13"/>
    <s v="2025"/>
  </r>
  <r>
    <d v="2025-03-26T00:00:00"/>
    <s v="Delivery at Masabtank"/>
    <s v="Call"/>
    <s v="Events"/>
    <x v="10"/>
    <s v="Rakesh"/>
    <s v="Delivery of Haleem on 26-3-2025"/>
    <n v="2400"/>
    <n v="2400"/>
    <x v="15"/>
    <x v="0"/>
    <x v="1"/>
    <s v="Closed"/>
    <m/>
    <n v="2400"/>
    <m/>
    <m/>
    <m/>
    <s v="Mar-25"/>
    <n v="13"/>
    <s v="2025"/>
  </r>
  <r>
    <d v="2025-03-26T00:00:00"/>
    <s v="Delivery at Uppal"/>
    <s v="Call"/>
    <s v="Events"/>
    <x v="10"/>
    <s v="Srinivas"/>
    <s v="Delivery of CB &amp; MB on 26-3-2025"/>
    <n v="8259"/>
    <n v="8259"/>
    <x v="15"/>
    <x v="0"/>
    <x v="1"/>
    <s v="Closed"/>
    <m/>
    <n v="0"/>
    <m/>
    <m/>
    <m/>
    <s v="Mar-25"/>
    <n v="13"/>
    <s v="2025"/>
  </r>
  <r>
    <d v="2025-03-26T00:00:00"/>
    <s v="Delivery at Bowenpally"/>
    <s v="Call"/>
    <s v="Events"/>
    <x v="10"/>
    <s v="Kiran"/>
    <s v="Delivery of Haleem on 26-3-2025"/>
    <n v="5391"/>
    <n v="5391"/>
    <x v="15"/>
    <x v="0"/>
    <x v="1"/>
    <s v="Closed"/>
    <m/>
    <n v="5391"/>
    <m/>
    <m/>
    <m/>
    <s v="Mar-25"/>
    <n v="13"/>
    <s v="2025"/>
  </r>
  <r>
    <d v="2025-03-26T00:00:00"/>
    <s v="Haleem Counter at Infosys Pocharam"/>
    <s v="F2F"/>
    <s v="Corporate"/>
    <x v="0"/>
    <s v="Sathya Praveen"/>
    <s v="Popup counter on 26-3-2025"/>
    <n v="7060"/>
    <n v="7060"/>
    <x v="15"/>
    <x v="0"/>
    <x v="1"/>
    <s v="Closed"/>
    <m/>
    <n v="7060"/>
    <m/>
    <m/>
    <m/>
    <s v="Mar-25"/>
    <n v="13"/>
    <s v="2025"/>
  </r>
  <r>
    <d v="2025-03-26T00:00:00"/>
    <s v="Popup Counter at Capital Land Atria"/>
    <s v="F2F"/>
    <s v="Corporate"/>
    <x v="17"/>
    <s v="Sandhya"/>
    <s v="popup counter on 26-3-2025"/>
    <n v="8940"/>
    <n v="8940"/>
    <x v="15"/>
    <x v="0"/>
    <x v="1"/>
    <s v="Closed"/>
    <m/>
    <n v="2650"/>
    <m/>
    <m/>
    <m/>
    <s v="Mar-25"/>
    <n v="13"/>
    <s v="2025"/>
  </r>
  <r>
    <d v="2025-03-26T00:00:00"/>
    <s v="Haleem Counter at Raheja Mindspace 12 D "/>
    <s v="F2F"/>
    <s v="Corporate"/>
    <x v="15"/>
    <s v="Jerry"/>
    <s v="popup counter on 26-3-2025"/>
    <n v="5220"/>
    <n v="5220"/>
    <x v="15"/>
    <x v="0"/>
    <x v="1"/>
    <s v="Closed"/>
    <m/>
    <n v="5220"/>
    <m/>
    <m/>
    <m/>
    <s v="Mar-25"/>
    <n v="13"/>
    <s v="2025"/>
  </r>
  <r>
    <d v="2025-03-27T00:00:00"/>
    <s v="Haleem Counter at Infosys Pocharam"/>
    <s v="F2F"/>
    <s v="Corporate"/>
    <x v="0"/>
    <s v="Sathya Praveen"/>
    <s v="Popup counter on 27-3-2025"/>
    <n v="4365"/>
    <n v="4365"/>
    <x v="15"/>
    <x v="0"/>
    <x v="1"/>
    <s v="Closed"/>
    <m/>
    <n v="4365"/>
    <m/>
    <m/>
    <m/>
    <s v="Mar-25"/>
    <n v="13"/>
    <s v="2025"/>
  </r>
  <r>
    <d v="2025-03-27T00:00:00"/>
    <s v="Popup Counter at Capital Land Atria"/>
    <s v="F2F"/>
    <s v="Corporate"/>
    <x v="17"/>
    <s v="Sandhya"/>
    <s v="popup counter on 27-3-2025"/>
    <n v="7621"/>
    <n v="7621"/>
    <x v="15"/>
    <x v="0"/>
    <x v="1"/>
    <s v="Closed"/>
    <m/>
    <n v="3025"/>
    <m/>
    <m/>
    <m/>
    <s v="Mar-25"/>
    <n v="13"/>
    <s v="2025"/>
  </r>
  <r>
    <d v="2025-03-27T00:00:00"/>
    <s v="Haleem Counter at Raheja Mindspace 12 D "/>
    <s v="F2F"/>
    <s v="Corporate"/>
    <x v="15"/>
    <s v="Jerry"/>
    <s v="popup counter on 27-3-2025"/>
    <n v="2850"/>
    <n v="2850"/>
    <x v="15"/>
    <x v="0"/>
    <x v="1"/>
    <s v="Closed"/>
    <m/>
    <n v="2850"/>
    <m/>
    <m/>
    <m/>
    <s v="Mar-25"/>
    <n v="13"/>
    <s v="2025"/>
  </r>
  <r>
    <d v="2025-03-27T00:00:00"/>
    <s v="Delivery at Yashoda Hospital Malakpet"/>
    <s v="F2F"/>
    <s v="Corporate"/>
    <x v="13"/>
    <s v="Swapnakanchi"/>
    <s v="Delivery of CB &amp; VB on 27-3-205"/>
    <n v="12050"/>
    <n v="12050"/>
    <x v="15"/>
    <x v="0"/>
    <x v="1"/>
    <s v="Closed"/>
    <m/>
    <n v="0"/>
    <m/>
    <m/>
    <m/>
    <s v="Mar-25"/>
    <n v="13"/>
    <s v="2025"/>
  </r>
  <r>
    <d v="2025-03-27T00:00:00"/>
    <s v="Delivery at Masabtank"/>
    <s v="Call"/>
    <s v="Events"/>
    <x v="10"/>
    <s v="Mahesh"/>
    <s v="Delivery of CB and Haleem on 27-3-025"/>
    <n v="3359"/>
    <n v="3359"/>
    <x v="15"/>
    <x v="0"/>
    <x v="1"/>
    <s v="Closed"/>
    <m/>
    <n v="900"/>
    <m/>
    <m/>
    <m/>
    <s v="Mar-25"/>
    <n v="13"/>
    <s v="2025"/>
  </r>
  <r>
    <d v="2025-03-27T00:00:00"/>
    <s v="Delivery at hitec city"/>
    <s v="Call"/>
    <s v="Events"/>
    <x v="10"/>
    <s v="Ajay"/>
    <s v="Delivery of CB &amp; MB"/>
    <n v="19990"/>
    <n v="19990"/>
    <x v="15"/>
    <x v="0"/>
    <x v="1"/>
    <s v="Closed"/>
    <m/>
    <n v="0"/>
    <m/>
    <m/>
    <m/>
    <s v="Mar-25"/>
    <n v="13"/>
    <s v="2025"/>
  </r>
  <r>
    <d v="2025-03-28T00:00:00"/>
    <s v="Haleem Counter at Infosys Pocharam"/>
    <s v="F2F"/>
    <s v="Corporate"/>
    <x v="0"/>
    <s v="Sathya Praveen"/>
    <s v="Popup counter on 28-3-2025"/>
    <n v="5530"/>
    <n v="5530"/>
    <x v="15"/>
    <x v="0"/>
    <x v="1"/>
    <s v="Closed"/>
    <m/>
    <n v="5530"/>
    <m/>
    <m/>
    <m/>
    <s v="Mar-25"/>
    <n v="13"/>
    <s v="2025"/>
  </r>
  <r>
    <d v="2025-03-28T00:00:00"/>
    <s v="Popup Counter at Capital Land Atria"/>
    <s v="F2F"/>
    <s v="Corporate"/>
    <x v="17"/>
    <s v="Sandhya"/>
    <s v="popup counter on 28-3-2025"/>
    <n v="7500"/>
    <n v="7500"/>
    <x v="15"/>
    <x v="0"/>
    <x v="1"/>
    <s v="Closed"/>
    <m/>
    <n v="3500"/>
    <m/>
    <m/>
    <m/>
    <s v="Mar-25"/>
    <n v="13"/>
    <s v="2025"/>
  </r>
  <r>
    <d v="2025-03-28T00:00:00"/>
    <s v="Haleem Counter at Raheja Mindspace 12 D "/>
    <s v="F2F"/>
    <s v="Corporate"/>
    <x v="15"/>
    <s v="Jerry"/>
    <s v="popup counter on 28-3-2025"/>
    <n v="5500"/>
    <n v="5500"/>
    <x v="15"/>
    <x v="0"/>
    <x v="1"/>
    <s v="Closed"/>
    <m/>
    <n v="4500"/>
    <m/>
    <m/>
    <m/>
    <s v="Mar-25"/>
    <n v="13"/>
    <s v="2025"/>
  </r>
  <r>
    <d v="2025-03-28T00:00:00"/>
    <s v="Bits Pilani Perl Fest"/>
    <s v="F2F"/>
    <s v="Corporate"/>
    <x v="17"/>
    <s v="Pasha"/>
    <s v="popup counter on 28-3-2025"/>
    <n v="0"/>
    <n v="0"/>
    <x v="15"/>
    <x v="0"/>
    <x v="1"/>
    <s v="Closed"/>
    <m/>
    <n v="0"/>
    <m/>
    <m/>
    <m/>
    <s v="Mar-25"/>
    <n v="13"/>
    <s v="2025"/>
  </r>
  <r>
    <d v="2025-03-28T00:00:00"/>
    <s v="Delivery at Qube Highways Shamshabad Airport GMR"/>
    <s v="F2F"/>
    <s v="Corporate"/>
    <x v="15"/>
    <s v="Reena"/>
    <s v="Delivery of CB &amp; VB on 28-3-2025"/>
    <n v="27788"/>
    <n v="2778"/>
    <x v="15"/>
    <x v="0"/>
    <x v="1"/>
    <s v="Closed"/>
    <m/>
    <n v="0"/>
    <m/>
    <m/>
    <m/>
    <s v="Mar-25"/>
    <n v="13"/>
    <s v="2025"/>
  </r>
  <r>
    <d v="2025-03-28T00:00:00"/>
    <s v="Delivery at Hitec"/>
    <s v="Call"/>
    <s v="Events"/>
    <x v="10"/>
    <s v="Vijay Kumar"/>
    <s v="Delivery of VB &amp; CB on 28-3-2025"/>
    <n v="63409"/>
    <n v="63409"/>
    <x v="15"/>
    <x v="0"/>
    <x v="1"/>
    <s v="Closed"/>
    <m/>
    <n v="0"/>
    <m/>
    <m/>
    <m/>
    <s v="Mar-25"/>
    <n v="13"/>
    <s v="2025"/>
  </r>
  <r>
    <d v="2025-03-28T00:00:00"/>
    <s v="Delivery at Hitec"/>
    <s v="Call"/>
    <s v="Events"/>
    <x v="10"/>
    <s v="Mahesh"/>
    <s v="Delivery of Haleem on 28-3-2025"/>
    <n v="8477"/>
    <n v="8477"/>
    <x v="15"/>
    <x v="0"/>
    <x v="1"/>
    <s v="Closed"/>
    <m/>
    <n v="8477"/>
    <m/>
    <m/>
    <m/>
    <s v="Mar-25"/>
    <n v="13"/>
    <s v="2025"/>
  </r>
  <r>
    <d v="2025-03-28T00:00:00"/>
    <s v="Dine in at Gachibowli"/>
    <s v="Call"/>
    <s v="Corporate"/>
    <x v="0"/>
    <s v="V Srinivas"/>
    <s v="Dine in on 28-3-2025"/>
    <n v="79644"/>
    <n v="79644"/>
    <x v="15"/>
    <x v="0"/>
    <x v="1"/>
    <s v="Closed"/>
    <m/>
    <n v="14053"/>
    <m/>
    <m/>
    <m/>
    <s v="Mar-25"/>
    <n v="13"/>
    <s v="2025"/>
  </r>
  <r>
    <d v="2025-03-29T00:00:00"/>
    <s v="Bits Pilani Perl Fest"/>
    <s v="F2F"/>
    <s v="Corporate"/>
    <x v="17"/>
    <s v="Pasha"/>
    <s v="popup counter on 28-3-2025 to 30-3-2025"/>
    <n v="41750"/>
    <n v="41750"/>
    <x v="15"/>
    <x v="0"/>
    <x v="1"/>
    <s v="Closed"/>
    <m/>
    <n v="41750"/>
    <m/>
    <m/>
    <m/>
    <s v="Mar-25"/>
    <n v="13"/>
    <s v="2025"/>
  </r>
  <r>
    <d v="2025-03-29T00:00:00"/>
    <s v="Delivery at MG Road"/>
    <s v="Call"/>
    <s v="Events"/>
    <x v="10"/>
    <s v="Bhusan"/>
    <s v="Delivery of CB &amp; VB on 29-3-2025"/>
    <n v="6338"/>
    <n v="6338"/>
    <x v="15"/>
    <x v="0"/>
    <x v="1"/>
    <s v="Closed"/>
    <m/>
    <n v="0"/>
    <m/>
    <m/>
    <m/>
    <s v="Mar-25"/>
    <n v="13"/>
    <s v="2025"/>
  </r>
  <r>
    <d v="2025-03-30T00:00:00"/>
    <s v="Foody's Group (GMR AIRPORT)"/>
    <s v="F2F"/>
    <s v="Corporate"/>
    <x v="17"/>
    <s v="Venkat"/>
    <s v="Delivery of Haleem and Biryani till 28-3-2025"/>
    <n v="472960"/>
    <n v="472960"/>
    <x v="15"/>
    <x v="0"/>
    <x v="1"/>
    <s v="Closed"/>
    <m/>
    <n v="368000"/>
    <m/>
    <m/>
    <m/>
    <s v="Mar-25"/>
    <n v="13"/>
    <s v="2025"/>
  </r>
  <r>
    <d v="2025-03-31T00:00:00"/>
    <s v="Foody's Group (GMR AIRPORT)"/>
    <s v="F2F"/>
    <s v="Corporate"/>
    <x v="17"/>
    <s v="Venkat"/>
    <s v=" Haleem sale 29-3-2025 to 31-3-2025"/>
    <n v="38000"/>
    <n v="38000"/>
    <x v="15"/>
    <x v="0"/>
    <x v="1"/>
    <s v="Closed"/>
    <m/>
    <n v="38000"/>
    <m/>
    <m/>
    <m/>
    <s v="Mar-25"/>
    <n v="14"/>
    <s v="2025"/>
  </r>
  <r>
    <d v="2025-04-01T00:00:00"/>
    <s v="Raheja Mind Space"/>
    <s v="F2F"/>
    <s v="Corporate"/>
    <x v="15"/>
    <s v="Anuroop"/>
    <s v="Discussion in regards with Permanent counter"/>
    <n v="0"/>
    <n v="0"/>
    <x v="21"/>
    <x v="0"/>
    <x v="1"/>
    <s v="Closed"/>
    <m/>
    <n v="0"/>
    <m/>
    <m/>
    <m/>
    <s v="Apr-25"/>
    <n v="14"/>
    <s v="2025"/>
  </r>
  <r>
    <d v="2025-04-01T00:00:00"/>
    <s v="Mahindra Univercity"/>
    <s v="F2F"/>
    <s v="College"/>
    <x v="4"/>
    <s v="Majeed"/>
    <s v="Popup counter 4 to 6th April"/>
    <n v="0"/>
    <n v="0"/>
    <x v="21"/>
    <x v="0"/>
    <x v="0"/>
    <s v="Cancelled"/>
    <m/>
    <n v="0"/>
    <m/>
    <m/>
    <m/>
    <s v="Apr-25"/>
    <n v="14"/>
    <s v="2025"/>
  </r>
  <r>
    <d v="2025-04-02T00:00:00"/>
    <s v="Delivery at SEBLR Banglore (Compass)"/>
    <s v="Call"/>
    <s v="Corporate"/>
    <x v="17"/>
    <s v="Saad"/>
    <s v="New Delivery at Compass group on 2-4-2025"/>
    <n v="34332"/>
    <n v="34332"/>
    <x v="21"/>
    <x v="1"/>
    <x v="1"/>
    <s v="Closed"/>
    <m/>
    <n v="0"/>
    <m/>
    <m/>
    <m/>
    <s v="Apr-25"/>
    <n v="14"/>
    <s v="2025"/>
  </r>
  <r>
    <d v="2025-04-02T00:00:00"/>
    <s v="IBM"/>
    <s v="F2F"/>
    <s v="Corporate"/>
    <x v="0"/>
    <s v="Krunal"/>
    <s v="Discussion in regards with bulk order"/>
    <n v="0"/>
    <n v="0"/>
    <x v="21"/>
    <x v="0"/>
    <x v="0"/>
    <s v="Cancelled"/>
    <m/>
    <n v="0"/>
    <m/>
    <m/>
    <m/>
    <s v="Apr-25"/>
    <n v="14"/>
    <s v="2025"/>
  </r>
  <r>
    <d v="2025-04-02T00:00:00"/>
    <s v="KLR Industries"/>
    <s v="Call"/>
    <s v="Corporate"/>
    <x v="7"/>
    <s v="Sujeeth"/>
    <s v="Deliverd cb from Rampally on 2-4-2025"/>
    <n v="8050"/>
    <n v="8050"/>
    <x v="21"/>
    <x v="0"/>
    <x v="1"/>
    <s v="Closed"/>
    <m/>
    <n v="0"/>
    <m/>
    <m/>
    <m/>
    <s v="Apr-25"/>
    <n v="14"/>
    <s v="2025"/>
  </r>
  <r>
    <d v="2025-04-03T00:00:00"/>
    <s v="Popup Counter at Capital Land Atria"/>
    <s v="F2F"/>
    <s v="Corporate"/>
    <x v="17"/>
    <s v="Sandhya"/>
    <s v="popup counter on 3-4-2025"/>
    <n v="7600"/>
    <n v="7600"/>
    <x v="21"/>
    <x v="0"/>
    <x v="1"/>
    <s v="Closed"/>
    <m/>
    <n v="3000"/>
    <m/>
    <m/>
    <m/>
    <s v="Apr-25"/>
    <n v="14"/>
    <s v="2025"/>
  </r>
  <r>
    <d v="2025-04-03T00:00:00"/>
    <s v="Value Momentum"/>
    <s v="F2F"/>
    <s v="Corporate"/>
    <x v="0"/>
    <s v="Francis"/>
    <s v="Introduction to bulk orders"/>
    <n v="0"/>
    <m/>
    <x v="19"/>
    <x v="0"/>
    <x v="0"/>
    <s v="Cold"/>
    <m/>
    <n v="0"/>
    <m/>
    <m/>
    <m/>
    <s v="Apr-25"/>
    <n v="14"/>
    <s v="2025"/>
  </r>
  <r>
    <d v="2025-04-03T00:00:00"/>
    <s v="AMD"/>
    <s v="F2F"/>
    <s v="Corporate"/>
    <x v="0"/>
    <s v="Pradeesh Kumar"/>
    <s v="Introduction to bulk orders"/>
    <n v="0"/>
    <m/>
    <x v="19"/>
    <x v="0"/>
    <x v="0"/>
    <s v="Cold"/>
    <m/>
    <n v="0"/>
    <m/>
    <m/>
    <m/>
    <s v="Apr-25"/>
    <n v="14"/>
    <s v="2025"/>
  </r>
  <r>
    <d v="2025-04-04T00:00:00"/>
    <s v="Popup Counter at Capital Land Atria"/>
    <s v="F2F"/>
    <s v="Corporate"/>
    <x v="17"/>
    <s v="Sandhya"/>
    <s v="popup counter on 4-4-2025"/>
    <n v="8100"/>
    <n v="8100"/>
    <x v="21"/>
    <x v="0"/>
    <x v="1"/>
    <s v="Closed"/>
    <m/>
    <n v="3000"/>
    <m/>
    <m/>
    <m/>
    <s v="Apr-25"/>
    <n v="14"/>
    <s v="2025"/>
  </r>
  <r>
    <d v="2025-04-04T00:00:00"/>
    <s v="Bits Pilani Eid Dinner site visit"/>
    <s v="F2F"/>
    <s v="College"/>
    <x v="4"/>
    <s v="Afkham Mir"/>
    <s v="Discussion and site visit for event on 6-4-2025"/>
    <n v="0"/>
    <n v="0"/>
    <x v="21"/>
    <x v="0"/>
    <x v="1"/>
    <s v="Closed"/>
    <m/>
    <n v="0"/>
    <m/>
    <m/>
    <m/>
    <s v="Apr-25"/>
    <n v="14"/>
    <s v="2025"/>
  </r>
  <r>
    <d v="2025-04-04T00:00:00"/>
    <s v="Dine in at Hitec"/>
    <s v="Call"/>
    <s v="Corporate"/>
    <x v="0"/>
    <s v="Mahesh"/>
    <s v="Dine in on 4-4-2025"/>
    <n v="16422"/>
    <n v="16422"/>
    <x v="21"/>
    <x v="0"/>
    <x v="1"/>
    <s v="Closed"/>
    <m/>
    <n v="0"/>
    <m/>
    <m/>
    <m/>
    <s v="Apr-25"/>
    <n v="14"/>
    <s v="2025"/>
  </r>
  <r>
    <d v="2025-04-05T00:00:00"/>
    <s v="Bits Pilani Eid Dinner"/>
    <s v="F2F"/>
    <s v="College"/>
    <x v="4"/>
    <s v="Afkham Mir"/>
    <s v="Done live Eid dinner for 135 PAX on 5-4-2025"/>
    <n v="58565"/>
    <n v="58565"/>
    <x v="21"/>
    <x v="0"/>
    <x v="1"/>
    <s v="Closed"/>
    <m/>
    <n v="19200"/>
    <m/>
    <m/>
    <m/>
    <s v="Apr-25"/>
    <n v="14"/>
    <s v="2025"/>
  </r>
  <r>
    <d v="2025-04-07T00:00:00"/>
    <s v="Popup Counter at Capital Land Atria"/>
    <s v="F2F"/>
    <s v="Corporate"/>
    <x v="17"/>
    <s v="Sandhya"/>
    <s v="popup counter on 7-4-2025"/>
    <n v="7900"/>
    <n v="7900"/>
    <x v="21"/>
    <x v="0"/>
    <x v="1"/>
    <s v="Closed"/>
    <m/>
    <n v="3000"/>
    <m/>
    <m/>
    <m/>
    <s v="Apr-25"/>
    <n v="15"/>
    <s v="2025"/>
  </r>
  <r>
    <d v="2025-04-07T00:00:00"/>
    <s v="Di Fu Co"/>
    <s v="F2F"/>
    <s v="Corporate"/>
    <x v="15"/>
    <s v="Arjun"/>
    <s v="Buffet event on 22-4-2025"/>
    <n v="500000"/>
    <n v="0"/>
    <x v="21"/>
    <x v="0"/>
    <x v="0"/>
    <s v="Cancelled"/>
    <s v="want japnese cusine with own vendor"/>
    <n v="0"/>
    <m/>
    <m/>
    <m/>
    <s v="Apr-25"/>
    <n v="15"/>
    <s v="2025"/>
  </r>
  <r>
    <d v="2025-04-07T00:00:00"/>
    <s v="Azad Engineering"/>
    <s v="F2F"/>
    <s v="Corporate"/>
    <x v="7"/>
    <s v="Bharat Singh"/>
    <s v="Received amount in April  for advance vouchers"/>
    <n v="623000"/>
    <n v="623000"/>
    <x v="21"/>
    <x v="0"/>
    <x v="1"/>
    <s v="Closed"/>
    <m/>
    <n v="0"/>
    <m/>
    <m/>
    <m/>
    <s v="Apr-25"/>
    <n v="15"/>
    <s v="2025"/>
  </r>
  <r>
    <d v="2025-04-08T00:00:00"/>
    <s v="GHMC Office"/>
    <s v="F2F"/>
    <s v="Corporate"/>
    <x v="20"/>
    <s v="Sammaiah"/>
    <s v="discussion in regards with buffet for 1000 pax"/>
    <n v="0"/>
    <n v="0"/>
    <x v="21"/>
    <x v="0"/>
    <x v="1"/>
    <s v="Closed"/>
    <m/>
    <n v="0"/>
    <m/>
    <m/>
    <m/>
    <s v="Apr-25"/>
    <n v="15"/>
    <s v="2025"/>
  </r>
  <r>
    <d v="2025-04-08T00:00:00"/>
    <s v="Delivery at rampally"/>
    <s v="Call"/>
    <s v="Events"/>
    <x v="10"/>
    <s v="Ramesh"/>
    <s v="Delivery of CB on 8-4-2025"/>
    <n v="7107"/>
    <n v="7107"/>
    <x v="21"/>
    <x v="0"/>
    <x v="1"/>
    <s v="Closed"/>
    <m/>
    <n v="0"/>
    <m/>
    <m/>
    <m/>
    <s v="Apr-25"/>
    <n v="15"/>
    <s v="2025"/>
  </r>
  <r>
    <d v="2025-04-08T00:00:00"/>
    <s v="Delivery at hitec city"/>
    <s v="Call"/>
    <s v="Events"/>
    <x v="10"/>
    <s v="Avinash"/>
    <s v="Delivery of MB &amp; CB on 8-4-2025"/>
    <n v="22165"/>
    <n v="22165"/>
    <x v="21"/>
    <x v="0"/>
    <x v="1"/>
    <s v="Closed"/>
    <m/>
    <n v="0"/>
    <m/>
    <m/>
    <m/>
    <s v="Apr-25"/>
    <n v="15"/>
    <s v="2025"/>
  </r>
  <r>
    <d v="2025-04-08T00:00:00"/>
    <s v="Popup Counter at Capital Land Atria"/>
    <s v="F2F"/>
    <s v="Corporate"/>
    <x v="17"/>
    <s v="Sandhya"/>
    <s v="popup counter on 8-4-2025"/>
    <n v="7900"/>
    <n v="7900"/>
    <x v="21"/>
    <x v="0"/>
    <x v="1"/>
    <s v="Closed"/>
    <m/>
    <n v="3000"/>
    <m/>
    <m/>
    <m/>
    <s v="Apr-25"/>
    <n v="15"/>
    <s v="2025"/>
  </r>
  <r>
    <d v="2025-04-09T00:00:00"/>
    <s v="Popup Counter at Capital Land Atria"/>
    <s v="F2F"/>
    <s v="Corporate"/>
    <x v="17"/>
    <s v="Sandhya"/>
    <s v="popup counter on 9-4-2025"/>
    <n v="7900"/>
    <n v="7900"/>
    <x v="21"/>
    <x v="0"/>
    <x v="1"/>
    <s v="Closed"/>
    <m/>
    <n v="3000"/>
    <m/>
    <m/>
    <m/>
    <s v="Apr-25"/>
    <n v="15"/>
    <s v="2025"/>
  </r>
  <r>
    <d v="2025-04-09T00:00:00"/>
    <s v="GHMC Office"/>
    <s v="F2F"/>
    <s v="Corporate"/>
    <x v="20"/>
    <s v="Sammaiah"/>
    <s v="buffet 1000 pax on 11-4-2025"/>
    <n v="750000"/>
    <n v="750000"/>
    <x v="21"/>
    <x v="0"/>
    <x v="1"/>
    <s v="Closed"/>
    <m/>
    <n v="0"/>
    <m/>
    <m/>
    <m/>
    <s v="Apr-25"/>
    <n v="15"/>
    <s v="2025"/>
  </r>
  <r>
    <d v="2025-04-09T00:00:00"/>
    <s v="Delivery at SEBLR Banglore (Compass)"/>
    <s v="Call"/>
    <s v="Corporate"/>
    <x v="17"/>
    <s v="Saad"/>
    <s v="New Delivery at Compass group on 9-4-2025"/>
    <n v="38929"/>
    <n v="38929"/>
    <x v="21"/>
    <x v="1"/>
    <x v="1"/>
    <s v="Closed"/>
    <m/>
    <n v="0"/>
    <m/>
    <m/>
    <m/>
    <s v="Apr-25"/>
    <n v="15"/>
    <s v="2025"/>
  </r>
  <r>
    <d v="2025-04-10T00:00:00"/>
    <s v="Popup Counter at Capital Land Atria"/>
    <s v="Call"/>
    <s v="Corporate"/>
    <x v="17"/>
    <s v="Sandhya"/>
    <s v="popup counter on 10-4-2025"/>
    <n v="6500"/>
    <n v="6500"/>
    <x v="21"/>
    <x v="0"/>
    <x v="1"/>
    <s v="Closed"/>
    <m/>
    <n v="1500"/>
    <m/>
    <m/>
    <m/>
    <s v="Apr-25"/>
    <n v="15"/>
    <s v="2025"/>
  </r>
  <r>
    <d v="2025-04-11T00:00:00"/>
    <s v="Popup Counter at Capital Land Atria"/>
    <s v="Call"/>
    <s v="Corporate"/>
    <x v="17"/>
    <s v="Sandhya"/>
    <s v="popup counter on 11-4-2025"/>
    <n v="6500"/>
    <n v="6500"/>
    <x v="21"/>
    <x v="0"/>
    <x v="1"/>
    <s v="Closed"/>
    <m/>
    <n v="1500"/>
    <m/>
    <m/>
    <m/>
    <s v="Apr-25"/>
    <n v="15"/>
    <s v="2025"/>
  </r>
  <r>
    <d v="2025-04-14T00:00:00"/>
    <s v="Delivery of VB &amp; CB at Secundrabad Station"/>
    <s v="Call"/>
    <s v="Corporate"/>
    <x v="1"/>
    <s v="Mahesh"/>
    <s v="Delivery on 14-4-2025 from Padmaraonagar"/>
    <n v="7944"/>
    <n v="7944"/>
    <x v="21"/>
    <x v="0"/>
    <x v="1"/>
    <s v="Closed"/>
    <m/>
    <n v="0"/>
    <m/>
    <m/>
    <m/>
    <s v="Apr-25"/>
    <n v="16"/>
    <s v="2025"/>
  </r>
  <r>
    <d v="2025-04-14T00:00:00"/>
    <s v="Popup Counter at Capital Land Atria"/>
    <s v="Call"/>
    <s v="Corporate"/>
    <x v="17"/>
    <s v="Sandhya"/>
    <s v="popup counter on 14-4-2025"/>
    <n v="6500"/>
    <n v="6500"/>
    <x v="21"/>
    <x v="0"/>
    <x v="1"/>
    <s v="Closed"/>
    <m/>
    <n v="1500"/>
    <m/>
    <m/>
    <m/>
    <s v="Apr-25"/>
    <n v="16"/>
    <s v="2025"/>
  </r>
  <r>
    <d v="2025-04-14T00:00:00"/>
    <s v="Tourist Group from Dalmia Cement / Yatri MICE"/>
    <s v="F2F"/>
    <s v="Corporate"/>
    <x v="1"/>
    <s v="Abhishek"/>
    <s v="Dine in at IMAX on 14-4-2025"/>
    <n v="84900"/>
    <n v="84900"/>
    <x v="21"/>
    <x v="0"/>
    <x v="1"/>
    <s v="Closed"/>
    <m/>
    <n v="0"/>
    <m/>
    <m/>
    <m/>
    <s v="Apr-25"/>
    <n v="16"/>
    <s v="2025"/>
  </r>
  <r>
    <d v="2025-04-15T00:00:00"/>
    <s v="Popup Counter at Capital Land Atria"/>
    <s v="Call"/>
    <s v="Corporate"/>
    <x v="17"/>
    <s v="Sandhya"/>
    <s v="popup counter on 15-4-2025"/>
    <n v="7200"/>
    <n v="7200"/>
    <x v="21"/>
    <x v="0"/>
    <x v="1"/>
    <s v="Closed"/>
    <m/>
    <n v="1600"/>
    <m/>
    <m/>
    <m/>
    <s v="Apr-25"/>
    <n v="16"/>
    <s v="2025"/>
  </r>
  <r>
    <d v="2025-04-15T00:00:00"/>
    <s v="Tourist Group from Dalmia Cement / Yatri MICE"/>
    <s v="F2F"/>
    <s v="Corporate"/>
    <x v="1"/>
    <s v="Abhishek"/>
    <s v="Dine in at shamshabad on 15-4-2025"/>
    <n v="31153"/>
    <n v="31153"/>
    <x v="21"/>
    <x v="0"/>
    <x v="1"/>
    <s v="Closed"/>
    <m/>
    <n v="0"/>
    <m/>
    <m/>
    <m/>
    <s v="Apr-25"/>
    <n v="16"/>
    <s v="2025"/>
  </r>
  <r>
    <d v="2025-04-16T00:00:00"/>
    <s v="Popup Counter at Capital Land Atria"/>
    <s v="Call"/>
    <s v="Corporate"/>
    <x v="17"/>
    <s v="Sandhya"/>
    <s v="popup counter on 16-4-2025"/>
    <n v="7600"/>
    <n v="7600"/>
    <x v="21"/>
    <x v="0"/>
    <x v="1"/>
    <s v="Closed"/>
    <m/>
    <n v="1200"/>
    <m/>
    <m/>
    <m/>
    <s v="Apr-25"/>
    <n v="16"/>
    <s v="2025"/>
  </r>
  <r>
    <d v="2025-04-16T00:00:00"/>
    <s v="Delivery of CB &amp; VB from Inorbit mall"/>
    <s v="Call"/>
    <s v="Events"/>
    <x v="10"/>
    <s v="Vikas"/>
    <s v="Delivery of CB on 18-4-2025"/>
    <n v="12744"/>
    <n v="12744"/>
    <x v="21"/>
    <x v="0"/>
    <x v="1"/>
    <s v="Closed"/>
    <m/>
    <n v="0"/>
    <m/>
    <m/>
    <m/>
    <s v="Apr-25"/>
    <n v="16"/>
    <s v="2025"/>
  </r>
  <r>
    <d v="2025-04-17T00:00:00"/>
    <s v="Popup Counter at Capital Land Atria"/>
    <s v="Call"/>
    <s v="Corporate"/>
    <x v="17"/>
    <s v="Sandhya"/>
    <s v="popup counter on 17-4-2025"/>
    <n v="7600"/>
    <n v="7600"/>
    <x v="21"/>
    <x v="0"/>
    <x v="1"/>
    <s v="Closed"/>
    <m/>
    <n v="1200"/>
    <m/>
    <m/>
    <m/>
    <s v="Apr-25"/>
    <n v="16"/>
    <s v="2025"/>
  </r>
  <r>
    <d v="2025-04-18T00:00:00"/>
    <s v="Popup Counter at Capital Land Atria"/>
    <s v="Call"/>
    <s v="Corporate"/>
    <x v="17"/>
    <s v="Sandhya"/>
    <s v="popup counter on 18-4-2025"/>
    <n v="8000"/>
    <n v="8000"/>
    <x v="21"/>
    <x v="0"/>
    <x v="1"/>
    <s v="Closed"/>
    <m/>
    <n v="1000"/>
    <m/>
    <m/>
    <m/>
    <s v="Apr-25"/>
    <n v="16"/>
    <s v="2025"/>
  </r>
  <r>
    <d v="2025-04-20T00:00:00"/>
    <s v="Delivery at Maradpally Orphanage"/>
    <s v="F2F"/>
    <s v="Community"/>
    <x v="14"/>
    <s v="Marvin"/>
    <s v="Delivery of CB on 20-4-2025"/>
    <n v="12800"/>
    <n v="12800"/>
    <x v="21"/>
    <x v="0"/>
    <x v="1"/>
    <s v="Closed"/>
    <m/>
    <n v="0"/>
    <m/>
    <m/>
    <m/>
    <s v="Apr-25"/>
    <n v="16"/>
    <s v="2025"/>
  </r>
  <r>
    <d v="2025-04-20T00:00:00"/>
    <s v="Delivery at Gudimalkapur"/>
    <s v="Call"/>
    <s v="Events"/>
    <x v="10"/>
    <s v="Shyam"/>
    <s v="Delivery of MB on 20-4-2025"/>
    <n v="11610"/>
    <n v="11610"/>
    <x v="21"/>
    <x v="0"/>
    <x v="1"/>
    <s v="Closed"/>
    <m/>
    <n v="0"/>
    <m/>
    <m/>
    <m/>
    <s v="Apr-25"/>
    <n v="16"/>
    <s v="2025"/>
  </r>
  <r>
    <d v="2025-04-21T00:00:00"/>
    <s v="Delivery at Inorbit Mall"/>
    <s v="Call"/>
    <s v="Events"/>
    <x v="10"/>
    <s v="Mahesh"/>
    <s v="Delivery of MB &amp; CB on 21-4-2025"/>
    <n v="7010"/>
    <n v="7010"/>
    <x v="21"/>
    <x v="0"/>
    <x v="1"/>
    <s v="Closed"/>
    <m/>
    <n v="0"/>
    <m/>
    <m/>
    <m/>
    <s v="Apr-25"/>
    <n v="17"/>
    <s v="2025"/>
  </r>
  <r>
    <d v="2025-04-21T00:00:00"/>
    <s v="Popup Counter at Capital Land Atria"/>
    <s v="Call"/>
    <s v="Corporate"/>
    <x v="17"/>
    <s v="Sandhya"/>
    <s v="popup counter on 21-4-2025"/>
    <n v="8000"/>
    <n v="8000"/>
    <x v="21"/>
    <x v="0"/>
    <x v="1"/>
    <s v="Closed"/>
    <m/>
    <n v="1000"/>
    <m/>
    <m/>
    <m/>
    <s v="Apr-25"/>
    <n v="17"/>
    <s v="2025"/>
  </r>
  <r>
    <d v="2025-04-22T00:00:00"/>
    <s v="Popup Counter at Capital Land Atria"/>
    <s v="Call"/>
    <s v="Corporate"/>
    <x v="17"/>
    <s v="Sandhya"/>
    <s v="popup counter on 22-4-2025"/>
    <n v="9000"/>
    <n v="9000"/>
    <x v="21"/>
    <x v="0"/>
    <x v="1"/>
    <s v="Closed"/>
    <m/>
    <n v="1500"/>
    <m/>
    <m/>
    <m/>
    <s v="Apr-25"/>
    <n v="17"/>
    <s v="2025"/>
  </r>
  <r>
    <d v="2025-04-22T00:00:00"/>
    <s v="Delivery at Masabtank"/>
    <s v="Call"/>
    <s v="Events"/>
    <x v="10"/>
    <s v="Vikram"/>
    <s v="Delivery of MB on 22-4-2025"/>
    <n v="11100"/>
    <n v="11100"/>
    <x v="21"/>
    <x v="0"/>
    <x v="1"/>
    <s v="Closed"/>
    <m/>
    <n v="0"/>
    <m/>
    <m/>
    <m/>
    <s v="Apr-25"/>
    <n v="17"/>
    <s v="2025"/>
  </r>
  <r>
    <d v="2025-04-23T00:00:00"/>
    <s v="Popup Counter at Capital Land Atria"/>
    <s v="Call"/>
    <s v="Corporate"/>
    <x v="17"/>
    <s v="Sandhya"/>
    <s v="popup counter on 23-4-2025"/>
    <n v="9000"/>
    <n v="9000"/>
    <x v="21"/>
    <x v="0"/>
    <x v="1"/>
    <s v="Closed"/>
    <m/>
    <n v="1500"/>
    <m/>
    <m/>
    <m/>
    <s v="Apr-25"/>
    <n v="17"/>
    <s v="2025"/>
  </r>
  <r>
    <d v="2025-04-16T00:00:00"/>
    <s v="Delivery at SEBLR Banglore (Compass)"/>
    <s v="Call"/>
    <s v="Corporate"/>
    <x v="17"/>
    <s v="Saad"/>
    <s v="New Delivery at Compass group on 16-4-2025"/>
    <n v="38929"/>
    <n v="38929"/>
    <x v="21"/>
    <x v="1"/>
    <x v="1"/>
    <s v="Closed"/>
    <m/>
    <n v="0"/>
    <m/>
    <m/>
    <m/>
    <s v="Apr-25"/>
    <n v="16"/>
    <s v="2025"/>
  </r>
  <r>
    <d v="2025-04-23T00:00:00"/>
    <s v="Delivery at SEBLR Banglore (Compass)"/>
    <s v="Call"/>
    <s v="Corporate"/>
    <x v="17"/>
    <s v="Saad"/>
    <s v="New Delivery at Compass group on 16-4-2025"/>
    <n v="38929"/>
    <n v="38929"/>
    <x v="21"/>
    <x v="1"/>
    <x v="1"/>
    <s v="Closed"/>
    <m/>
    <n v="0"/>
    <m/>
    <m/>
    <m/>
    <s v="Apr-25"/>
    <n v="17"/>
    <s v="2025"/>
  </r>
  <r>
    <d v="2025-04-22T00:00:00"/>
    <s v="Tourist Group from Kolkata"/>
    <s v="F2F"/>
    <s v="Corporate"/>
    <x v="1"/>
    <s v="Somnath Pal"/>
    <s v="Dine in at sghamshabad on 22-4-2025"/>
    <n v="12600"/>
    <n v="12600"/>
    <x v="21"/>
    <x v="0"/>
    <x v="1"/>
    <s v="Closed"/>
    <m/>
    <n v="0"/>
    <m/>
    <m/>
    <m/>
    <s v="Apr-25"/>
    <n v="17"/>
    <s v="2025"/>
  </r>
  <r>
    <d v="2025-04-23T00:00:00"/>
    <s v="Tourist Group from Yatra MICE"/>
    <s v="F2F"/>
    <s v="Corporate"/>
    <x v="1"/>
    <s v="Aashrit"/>
    <s v="Dine in at Shamshabad on 23-4-2025"/>
    <n v="62500"/>
    <n v="62500"/>
    <x v="21"/>
    <x v="0"/>
    <x v="1"/>
    <s v="Closed"/>
    <m/>
    <n v="0"/>
    <m/>
    <m/>
    <m/>
    <s v="Apr-25"/>
    <n v="17"/>
    <s v="2025"/>
  </r>
  <r>
    <d v="2025-04-24T00:00:00"/>
    <s v="Cyient Limited"/>
    <s v="F2F"/>
    <s v="Corporate"/>
    <x v="0"/>
    <s v="Praneeth"/>
    <s v="Followe up for further orders"/>
    <n v="0"/>
    <m/>
    <x v="19"/>
    <x v="0"/>
    <x v="0"/>
    <s v="Hot"/>
    <m/>
    <n v="0"/>
    <m/>
    <m/>
    <m/>
    <s v="Apr-25"/>
    <n v="17"/>
    <s v="2025"/>
  </r>
  <r>
    <d v="2025-04-25T00:00:00"/>
    <s v="Popup Counter at Capital Land Atria"/>
    <s v="Call"/>
    <s v="Corporate"/>
    <x v="17"/>
    <s v="Sandhya"/>
    <s v="popup counter on 25-4-2025"/>
    <n v="9000"/>
    <n v="9000"/>
    <x v="21"/>
    <x v="0"/>
    <x v="1"/>
    <s v="Closed"/>
    <m/>
    <n v="1500"/>
    <m/>
    <m/>
    <m/>
    <s v="Apr-25"/>
    <n v="17"/>
    <s v="2025"/>
  </r>
  <r>
    <d v="2025-04-24T00:00:00"/>
    <s v="Dine in at Kompally"/>
    <s v="Call"/>
    <s v="Events"/>
    <x v="10"/>
    <s v="Ahmad"/>
    <s v="Dine in on 24-4-2025"/>
    <n v="26185"/>
    <n v="26185"/>
    <x v="21"/>
    <x v="0"/>
    <x v="1"/>
    <s v="Closed"/>
    <m/>
    <n v="0"/>
    <m/>
    <m/>
    <m/>
    <s v="Apr-25"/>
    <n v="17"/>
    <s v="2025"/>
  </r>
  <r>
    <d v="2025-04-28T00:00:00"/>
    <s v="Kaveri Seeds"/>
    <s v="F2F"/>
    <s v="Corporate"/>
    <x v="18"/>
    <s v="Mallareddy"/>
    <s v="Discussion in regards with daily supply of food"/>
    <n v="150000"/>
    <m/>
    <x v="19"/>
    <x v="0"/>
    <x v="0"/>
    <s v="Hot"/>
    <m/>
    <n v="0"/>
    <m/>
    <m/>
    <m/>
    <s v="Apr-25"/>
    <n v="18"/>
    <s v="2025"/>
  </r>
  <r>
    <d v="2025-04-29T00:00:00"/>
    <s v="Travel Agency Maharashtra"/>
    <s v="F2F"/>
    <s v="Corporate"/>
    <x v="1"/>
    <s v="Ruchita"/>
    <s v="Shared quote for delivery on 4-5-2025"/>
    <n v="0"/>
    <n v="0"/>
    <x v="17"/>
    <x v="0"/>
    <x v="1"/>
    <s v="Closed"/>
    <m/>
    <n v="0"/>
    <m/>
    <m/>
    <m/>
    <s v="Apr-25"/>
    <n v="18"/>
    <s v="2025"/>
  </r>
  <r>
    <d v="2025-04-29T00:00:00"/>
    <s v="Kaveri Seeds"/>
    <s v="F2F"/>
    <s v="Corporate"/>
    <x v="18"/>
    <s v="Mallareddy"/>
    <s v="Sample of Snacks with pricing and packages"/>
    <n v="0"/>
    <m/>
    <x v="19"/>
    <x v="0"/>
    <x v="0"/>
    <s v="Hot"/>
    <m/>
    <n v="0"/>
    <m/>
    <m/>
    <m/>
    <s v="Apr-25"/>
    <n v="18"/>
    <s v="2025"/>
  </r>
  <r>
    <d v="2025-04-29T00:00:00"/>
    <s v="Vardhaman Engineering College"/>
    <s v="F2F"/>
    <s v="College"/>
    <x v="4"/>
    <s v="Aron"/>
    <s v="Follow up for Events and bulk orders"/>
    <n v="50000"/>
    <m/>
    <x v="19"/>
    <x v="0"/>
    <x v="0"/>
    <s v="Cold"/>
    <m/>
    <n v="0"/>
    <m/>
    <m/>
    <m/>
    <s v="Apr-25"/>
    <n v="18"/>
    <s v="2025"/>
  </r>
  <r>
    <d v="2025-04-30T00:00:00"/>
    <s v="Delivery at SEBLR Banglore (Compass)"/>
    <s v="Call"/>
    <s v="Corporate"/>
    <x v="17"/>
    <s v="Saad"/>
    <s v="New Delivery at Compass group on 30-4-2025"/>
    <n v="38929"/>
    <n v="38929"/>
    <x v="21"/>
    <x v="1"/>
    <x v="1"/>
    <s v="Closed"/>
    <m/>
    <n v="0"/>
    <m/>
    <m/>
    <m/>
    <s v="Apr-25"/>
    <n v="18"/>
    <s v="2025"/>
  </r>
  <r>
    <d v="2025-04-30T00:00:00"/>
    <s v="Buffet Lunch at Urban Rise"/>
    <s v="Call"/>
    <s v="Corporate"/>
    <x v="15"/>
    <s v="Nagarjuna"/>
    <s v="Buffet Lunch on 3-4-2025"/>
    <n v="259000"/>
    <n v="0"/>
    <x v="17"/>
    <x v="0"/>
    <x v="0"/>
    <s v="Cancelled"/>
    <s v="Low budget "/>
    <n v="0"/>
    <m/>
    <m/>
    <m/>
    <s v="Apr-25"/>
    <n v="18"/>
    <s v="2025"/>
  </r>
  <r>
    <d v="2025-04-30T00:00:00"/>
    <s v="Delivery at Uppal"/>
    <s v="Call"/>
    <s v="Events"/>
    <x v="10"/>
    <s v="Mahesh"/>
    <s v="Delivery of CB &amp; VB on 30-4-2025"/>
    <n v="10764"/>
    <n v="10764"/>
    <x v="21"/>
    <x v="0"/>
    <x v="1"/>
    <s v="Closed"/>
    <m/>
    <n v="0"/>
    <m/>
    <m/>
    <m/>
    <s v="Apr-25"/>
    <n v="18"/>
    <s v="2025"/>
  </r>
  <r>
    <d v="2025-05-01T00:00:00"/>
    <s v="Delivery at Bowenpally"/>
    <s v="Call"/>
    <s v="Events"/>
    <x v="10"/>
    <s v="Ravi"/>
    <s v="Delivery of Mutton Biryani on 1-5-2025"/>
    <n v="13524"/>
    <n v="13524"/>
    <x v="17"/>
    <x v="0"/>
    <x v="1"/>
    <s v="Closed"/>
    <m/>
    <n v="0"/>
    <m/>
    <m/>
    <m/>
    <s v="May-25"/>
    <n v="18"/>
    <s v="2025"/>
  </r>
  <r>
    <d v="2025-05-01T00:00:00"/>
    <s v="Travel Group from Yatra"/>
    <s v="Call"/>
    <s v="Corporate"/>
    <x v="1"/>
    <s v="Aashrit"/>
    <s v="Dine in at IMAX on 1-5-2025"/>
    <n v="96500"/>
    <n v="96500"/>
    <x v="17"/>
    <x v="0"/>
    <x v="1"/>
    <s v="Closed"/>
    <m/>
    <n v="0"/>
    <m/>
    <m/>
    <m/>
    <s v="May-25"/>
    <n v="18"/>
    <s v="2025"/>
  </r>
  <r>
    <d v="2025-05-03T00:00:00"/>
    <s v="Buffet Dinner at Rajbhavan"/>
    <s v="F2F"/>
    <s v="Corporate"/>
    <x v="20"/>
    <s v="Balakrishna"/>
    <s v="Buffet dinner on 03-5-2025"/>
    <n v="210000"/>
    <n v="210000"/>
    <x v="17"/>
    <x v="0"/>
    <x v="1"/>
    <s v="Closed"/>
    <m/>
    <n v="0"/>
    <m/>
    <m/>
    <m/>
    <s v="May-25"/>
    <n v="18"/>
    <s v="2025"/>
  </r>
  <r>
    <d v="2025-05-04T00:00:00"/>
    <s v="Delivery at Lingampally Railway Station"/>
    <s v="F2F"/>
    <s v="Corporate"/>
    <x v="1"/>
    <s v="Ruchita"/>
    <s v="Delivery of VB on 4-5-2025 from Himayathnagar"/>
    <n v="9600"/>
    <n v="9600"/>
    <x v="17"/>
    <x v="0"/>
    <x v="1"/>
    <s v="Closed"/>
    <m/>
    <n v="0"/>
    <m/>
    <m/>
    <m/>
    <s v="May-25"/>
    <n v="18"/>
    <s v="2025"/>
  </r>
  <r>
    <d v="2025-05-04T00:00:00"/>
    <s v="Delivery at charlapally Railway station "/>
    <s v="F2F"/>
    <s v="Corporate"/>
    <x v="1"/>
    <s v="Ruchita"/>
    <s v="Delivery of VB on 4-5-2025 from Himayathnagar"/>
    <n v="14880"/>
    <n v="14880"/>
    <x v="17"/>
    <x v="0"/>
    <x v="1"/>
    <s v="Closed"/>
    <m/>
    <n v="0"/>
    <m/>
    <m/>
    <m/>
    <s v="May-25"/>
    <n v="18"/>
    <s v="2025"/>
  </r>
  <r>
    <d v="2025-05-04T00:00:00"/>
    <s v="Delivery at Kachiguda Railway Station"/>
    <s v="F2F"/>
    <s v="Corporate"/>
    <x v="1"/>
    <s v="Ruchita"/>
    <s v="Delivery of VB on 4-5-2025 from Himayathnagar"/>
    <n v="18240"/>
    <n v="18240"/>
    <x v="17"/>
    <x v="0"/>
    <x v="1"/>
    <s v="Closed"/>
    <m/>
    <n v="0"/>
    <m/>
    <m/>
    <m/>
    <s v="May-25"/>
    <n v="18"/>
    <s v="2025"/>
  </r>
  <r>
    <d v="2025-05-04T00:00:00"/>
    <s v="Dine in at Lingampally"/>
    <s v="F2F"/>
    <s v="Corporate"/>
    <x v="1"/>
    <s v="Ruchita"/>
    <s v="Dine in at Lingampally on 4-5-2025"/>
    <n v="15543"/>
    <n v="15543"/>
    <x v="17"/>
    <x v="0"/>
    <x v="1"/>
    <s v="Closed"/>
    <m/>
    <n v="0"/>
    <m/>
    <m/>
    <m/>
    <s v="May-25"/>
    <n v="18"/>
    <s v="2025"/>
  </r>
  <r>
    <d v="2025-05-04T00:00:00"/>
    <s v="Dine in at Shamshabad"/>
    <s v="F2F"/>
    <s v="Corporate"/>
    <x v="1"/>
    <s v="Ruchita"/>
    <s v="Dinein at Shamshabad on 4-5-2025"/>
    <n v="12600"/>
    <n v="12600"/>
    <x v="17"/>
    <x v="0"/>
    <x v="1"/>
    <s v="Closed"/>
    <m/>
    <n v="0"/>
    <m/>
    <m/>
    <m/>
    <s v="May-25"/>
    <n v="18"/>
    <s v="2025"/>
  </r>
  <r>
    <d v="2025-05-05T00:00:00"/>
    <s v="Tomaterra Festival"/>
    <s v="F2F"/>
    <s v="Corporate"/>
    <x v="30"/>
    <s v="Varun"/>
    <s v="food stall at event on 11-5-2025"/>
    <n v="120000"/>
    <n v="0"/>
    <x v="17"/>
    <x v="0"/>
    <x v="0"/>
    <s v="Cancelled"/>
    <s v="Cancelled due feisability of event profitability"/>
    <n v="0"/>
    <m/>
    <m/>
    <m/>
    <s v="May-25"/>
    <n v="19"/>
    <s v="2025"/>
  </r>
  <r>
    <d v="2025-05-05T00:00:00"/>
    <s v="Archamedis Labs"/>
    <s v="F2F"/>
    <s v="Corporate"/>
    <x v="5"/>
    <s v="Venkateshwar"/>
    <s v="Introduction to bulk orders and delivery"/>
    <n v="50000"/>
    <m/>
    <x v="19"/>
    <x v="0"/>
    <x v="0"/>
    <s v="Hot"/>
    <m/>
    <n v="0"/>
    <m/>
    <m/>
    <m/>
    <s v="May-25"/>
    <n v="19"/>
    <s v="2025"/>
  </r>
  <r>
    <d v="2025-05-06T00:00:00"/>
    <s v="Tek Systems"/>
    <s v="F2F"/>
    <s v="Corporate"/>
    <x v="0"/>
    <s v="Anil"/>
    <s v="Introduction to bulk orders"/>
    <n v="0"/>
    <m/>
    <x v="19"/>
    <x v="0"/>
    <x v="0"/>
    <s v="Cold"/>
    <m/>
    <n v="0"/>
    <m/>
    <m/>
    <m/>
    <s v="May-25"/>
    <n v="19"/>
    <s v="2025"/>
  </r>
  <r>
    <d v="2025-05-06T00:00:00"/>
    <s v="Maaganti Electronics"/>
    <s v="F2F"/>
    <s v="Corporate"/>
    <x v="0"/>
    <s v="Bhargav"/>
    <s v="Follow up for Bulk orders"/>
    <n v="40000"/>
    <n v="0"/>
    <x v="22"/>
    <x v="0"/>
    <x v="0"/>
    <s v="Cancelled"/>
    <s v="No requirement"/>
    <n v="0"/>
    <m/>
    <m/>
    <m/>
    <s v="May-25"/>
    <n v="19"/>
    <s v="2025"/>
  </r>
  <r>
    <d v="2025-05-06T00:00:00"/>
    <s v="Karvi Fintech"/>
    <s v="F2F"/>
    <s v="Corporate"/>
    <x v="0"/>
    <s v="Praneeth"/>
    <s v="Follow up for further orders"/>
    <n v="55000"/>
    <n v="0"/>
    <x v="17"/>
    <x v="0"/>
    <x v="0"/>
    <s v="Cancelled"/>
    <m/>
    <n v="0"/>
    <m/>
    <m/>
    <m/>
    <s v="May-25"/>
    <n v="19"/>
    <s v="2025"/>
  </r>
  <r>
    <d v="2025-05-07T00:00:00"/>
    <s v="Yatra Groupo"/>
    <s v="F2F"/>
    <s v="Corporate"/>
    <x v="0"/>
    <s v="Aashrit"/>
    <s v="Dine in at Shamshabad on 8-5-2025"/>
    <n v="41086"/>
    <n v="41086"/>
    <x v="17"/>
    <x v="0"/>
    <x v="1"/>
    <s v="Closed"/>
    <m/>
    <n v="0"/>
    <m/>
    <m/>
    <m/>
    <s v="May-25"/>
    <n v="19"/>
    <s v="2025"/>
  </r>
  <r>
    <d v="2025-05-07T00:00:00"/>
    <s v="Globline Shipping"/>
    <s v="F2F"/>
    <s v="Corporate"/>
    <x v="0"/>
    <s v="Srinivas"/>
    <s v="Introduction to delivery of packed lunch"/>
    <n v="0"/>
    <m/>
    <x v="19"/>
    <x v="0"/>
    <x v="0"/>
    <s v="Cold"/>
    <m/>
    <n v="0"/>
    <m/>
    <m/>
    <m/>
    <s v="May-25"/>
    <n v="19"/>
    <s v="2025"/>
  </r>
  <r>
    <d v="2025-05-07T00:00:00"/>
    <s v="Delivery at SEBLR Banglore (Compass)"/>
    <s v="Call"/>
    <s v="Corporate"/>
    <x v="17"/>
    <s v="Saad"/>
    <s v="New Delivery at Compass group on 7-5-2025"/>
    <n v="37918"/>
    <n v="37918"/>
    <x v="17"/>
    <x v="1"/>
    <x v="1"/>
    <s v="Closed"/>
    <m/>
    <n v="0"/>
    <m/>
    <m/>
    <m/>
    <s v="May-25"/>
    <n v="19"/>
    <s v="2025"/>
  </r>
  <r>
    <d v="2025-05-08T00:00:00"/>
    <s v="MSN Labs"/>
    <s v="F2F"/>
    <s v="Corporate"/>
    <x v="5"/>
    <s v="Sandeep"/>
    <s v="Follow up for Payment"/>
    <n v="4207000"/>
    <n v="4207000"/>
    <x v="23"/>
    <x v="0"/>
    <x v="1"/>
    <s v="Closed"/>
    <m/>
    <n v="0"/>
    <m/>
    <m/>
    <m/>
    <s v="May-25"/>
    <n v="19"/>
    <s v="2025"/>
  </r>
  <r>
    <d v="2025-05-09T00:00:00"/>
    <s v="Foody's Group (GMR AIRPORT)"/>
    <s v="Call"/>
    <s v="Corporate"/>
    <x v="17"/>
    <s v="Venkat"/>
    <s v="Follow up for payment"/>
    <n v="0"/>
    <n v="0"/>
    <x v="17"/>
    <x v="0"/>
    <x v="1"/>
    <s v="Closed"/>
    <m/>
    <n v="0"/>
    <m/>
    <m/>
    <m/>
    <s v="May-25"/>
    <n v="19"/>
    <s v="2025"/>
  </r>
  <r>
    <d v="2025-05-09T00:00:00"/>
    <s v="Delivery at electronic City"/>
    <s v="Call"/>
    <s v="Corporate"/>
    <x v="0"/>
    <s v="Edwin"/>
    <s v="Delivery of CB and Starter on 14-5-2025"/>
    <n v="35000"/>
    <n v="35000"/>
    <x v="17"/>
    <x v="1"/>
    <x v="1"/>
    <s v="Closed"/>
    <m/>
    <n v="0"/>
    <m/>
    <m/>
    <m/>
    <s v="May-25"/>
    <n v="19"/>
    <s v="2025"/>
  </r>
  <r>
    <d v="2025-05-09T00:00:00"/>
    <s v="Delivery at CB from MG road"/>
    <s v="Call"/>
    <s v="Corporate"/>
    <x v="17"/>
    <s v="Navneet Singh"/>
    <s v="Delivery of CB on 14-5-2025"/>
    <n v="17000"/>
    <n v="17000"/>
    <x v="17"/>
    <x v="0"/>
    <x v="1"/>
    <s v="Closed"/>
    <m/>
    <n v="0"/>
    <m/>
    <m/>
    <m/>
    <s v="May-25"/>
    <n v="19"/>
    <s v="2025"/>
  </r>
  <r>
    <d v="2025-05-11T00:00:00"/>
    <s v="Delivery at Vanasthalipuram"/>
    <s v="Call"/>
    <s v="Events"/>
    <x v="10"/>
    <s v="Arvind"/>
    <s v="Delivery of CB &amp; MB on 11-5-2025"/>
    <n v="4546"/>
    <n v="4546"/>
    <x v="17"/>
    <x v="0"/>
    <x v="1"/>
    <s v="Closed"/>
    <m/>
    <n v="0"/>
    <m/>
    <m/>
    <m/>
    <s v="May-25"/>
    <n v="19"/>
    <s v="2025"/>
  </r>
  <r>
    <d v="2025-05-12T00:00:00"/>
    <s v="Delivery at uppal "/>
    <s v="Call"/>
    <s v="Events"/>
    <x v="10"/>
    <s v="Mahesh"/>
    <s v="Delivery of MB on 12-5-2025"/>
    <n v="6285"/>
    <n v="6285"/>
    <x v="17"/>
    <x v="0"/>
    <x v="1"/>
    <s v="Closed"/>
    <m/>
    <n v="0"/>
    <m/>
    <m/>
    <m/>
    <s v="May-25"/>
    <n v="20"/>
    <s v="2025"/>
  </r>
  <r>
    <d v="2025-05-13T00:00:00"/>
    <s v="Delivery at Charminar"/>
    <s v="Call"/>
    <s v="Events"/>
    <x v="10"/>
    <s v="Ambika"/>
    <s v="Delivery of VB on 15-5-2025"/>
    <n v="12000"/>
    <n v="12000"/>
    <x v="17"/>
    <x v="0"/>
    <x v="1"/>
    <s v="Closed"/>
    <m/>
    <n v="0"/>
    <m/>
    <m/>
    <m/>
    <s v="May-25"/>
    <n v="20"/>
    <s v="2025"/>
  </r>
  <r>
    <d v="2025-05-13T00:00:00"/>
    <s v="Delivery at Kims Hospital Gachibowli"/>
    <s v="Call"/>
    <s v="Corporate"/>
    <x v="13"/>
    <s v="Guru Prasad"/>
    <s v="Delivery of CB &amp; VB on 14-5-2025"/>
    <n v="14000"/>
    <n v="14000"/>
    <x v="17"/>
    <x v="0"/>
    <x v="1"/>
    <s v="Closed"/>
    <m/>
    <n v="0"/>
    <m/>
    <m/>
    <m/>
    <s v="May-25"/>
    <n v="20"/>
    <s v="2025"/>
  </r>
  <r>
    <d v="2025-05-14T00:00:00"/>
    <s v="Icfai College"/>
    <s v="F2F"/>
    <s v="College"/>
    <x v="4"/>
    <s v="Preetam"/>
    <s v="Dine in B Day party at Gachibowli 14-5-2025"/>
    <n v="7300"/>
    <n v="7300"/>
    <x v="17"/>
    <x v="0"/>
    <x v="1"/>
    <s v="Closed"/>
    <m/>
    <n v="0"/>
    <m/>
    <m/>
    <m/>
    <s v="May-25"/>
    <n v="20"/>
    <s v="2025"/>
  </r>
  <r>
    <d v="2025-05-14T00:00:00"/>
    <s v="IIT Hyderabad"/>
    <s v="F2F"/>
    <s v="College"/>
    <x v="4"/>
    <s v="Abnik"/>
    <s v="Bulk delivery on 25-5-2025"/>
    <n v="32000"/>
    <n v="0"/>
    <x v="17"/>
    <x v="0"/>
    <x v="0"/>
    <s v="Cancelled"/>
    <m/>
    <n v="0"/>
    <m/>
    <m/>
    <m/>
    <s v="May-25"/>
    <n v="20"/>
    <s v="2025"/>
  </r>
  <r>
    <d v="2025-05-14T00:00:00"/>
    <s v="Intel"/>
    <s v="F2F"/>
    <s v="Corporate"/>
    <x v="0"/>
    <s v="Abhay"/>
    <s v="Discussion in regards with bulk delivery"/>
    <n v="0"/>
    <n v="0"/>
    <x v="18"/>
    <x v="0"/>
    <x v="0"/>
    <s v="Cancelled"/>
    <m/>
    <n v="0"/>
    <s v="Corporate Order"/>
    <m/>
    <m/>
    <s v="May-25"/>
    <n v="20"/>
    <s v="2025"/>
  </r>
  <r>
    <d v="2025-05-14T00:00:00"/>
    <s v="Delivery at SEBLR Banglore (Compass)"/>
    <s v="Call"/>
    <s v="Corporate"/>
    <x v="17"/>
    <s v="Saad"/>
    <s v="New Delivery at Compass group on 14-5-2025"/>
    <n v="37918"/>
    <n v="37918"/>
    <x v="17"/>
    <x v="1"/>
    <x v="1"/>
    <s v="Closed"/>
    <m/>
    <n v="0"/>
    <m/>
    <m/>
    <m/>
    <s v="May-25"/>
    <n v="20"/>
    <s v="2025"/>
  </r>
  <r>
    <d v="2025-05-16T00:00:00"/>
    <s v="Dr Reddys Lab"/>
    <s v="F2F"/>
    <s v="Corporate"/>
    <x v="5"/>
    <s v="Gururaj"/>
    <s v="Follow up for bulk orders"/>
    <n v="56000"/>
    <m/>
    <x v="24"/>
    <x v="0"/>
    <x v="0"/>
    <s v="Cancelled"/>
    <s v="No requirement"/>
    <n v="0"/>
    <s v="Bulk Order"/>
    <m/>
    <m/>
    <s v="May-25"/>
    <n v="20"/>
    <s v="2025"/>
  </r>
  <r>
    <d v="2025-05-17T00:00:00"/>
    <s v="Dine in at Hitec"/>
    <s v="Call"/>
    <s v="Corporate"/>
    <x v="17"/>
    <s v="Mudit"/>
    <s v="Dine in on 17-5-25"/>
    <n v="4500"/>
    <n v="4500"/>
    <x v="17"/>
    <x v="0"/>
    <x v="1"/>
    <s v="Closed"/>
    <m/>
    <n v="0"/>
    <m/>
    <m/>
    <m/>
    <s v="May-25"/>
    <n v="20"/>
    <s v="2025"/>
  </r>
  <r>
    <d v="2025-05-18T00:00:00"/>
    <s v="Delivery at Vanasthalipuram"/>
    <s v="Call"/>
    <s v="Events"/>
    <x v="10"/>
    <s v="Srinivas"/>
    <s v="Delivery of CB on 18-5-2025"/>
    <n v="3395"/>
    <n v="3395"/>
    <x v="17"/>
    <x v="0"/>
    <x v="1"/>
    <s v="Closed"/>
    <m/>
    <n v="0"/>
    <m/>
    <m/>
    <m/>
    <s v="May-25"/>
    <n v="20"/>
    <s v="2025"/>
  </r>
  <r>
    <d v="2025-05-19T00:00:00"/>
    <s v="Astrazenica"/>
    <s v="F2F"/>
    <s v="Corporate"/>
    <x v="5"/>
    <s v="Dr Vignesh"/>
    <s v="Delivery of CB on 26-5-2025 from Himayathnagar"/>
    <n v="8500"/>
    <n v="8500"/>
    <x v="17"/>
    <x v="0"/>
    <x v="1"/>
    <s v="Closed"/>
    <m/>
    <n v="0"/>
    <m/>
    <m/>
    <m/>
    <s v="May-25"/>
    <n v="21"/>
    <s v="2025"/>
  </r>
  <r>
    <d v="2025-05-19T00:00:00"/>
    <s v="Delivery at Chandanagar"/>
    <s v="Call"/>
    <s v="Events"/>
    <x v="10"/>
    <s v="Jyoti"/>
    <s v="Delivery of CB &amp; MB on 20-5-2-25"/>
    <n v="8450"/>
    <n v="8450"/>
    <x v="17"/>
    <x v="0"/>
    <x v="1"/>
    <s v="Closed"/>
    <m/>
    <n v="0"/>
    <m/>
    <m/>
    <m/>
    <s v="May-25"/>
    <n v="21"/>
    <s v="2025"/>
  </r>
  <r>
    <d v="2025-05-19T00:00:00"/>
    <s v="Compass Group Freshwork Bangalore"/>
    <s v="Call"/>
    <s v="Corporate"/>
    <x v="17"/>
    <s v="Pankaj"/>
    <s v="Sampling &amp; Revival of delivery from 28-5-2025"/>
    <n v="0"/>
    <n v="0"/>
    <x v="17"/>
    <x v="1"/>
    <x v="1"/>
    <s v="Closed"/>
    <m/>
    <n v="0"/>
    <m/>
    <m/>
    <m/>
    <s v="May-25"/>
    <n v="21"/>
    <s v="2025"/>
  </r>
  <r>
    <d v="2025-05-19T00:00:00"/>
    <s v="Public Expo at Suncity"/>
    <s v="F2F"/>
    <s v="Corporate"/>
    <x v="17"/>
    <s v="Varun"/>
    <s v="Site visit for Expo"/>
    <n v="800000"/>
    <n v="0"/>
    <x v="17"/>
    <x v="0"/>
    <x v="0"/>
    <s v="Cancelled"/>
    <m/>
    <n v="0"/>
    <m/>
    <m/>
    <m/>
    <s v="May-25"/>
    <n v="21"/>
    <s v="2025"/>
  </r>
  <r>
    <d v="2025-05-20T00:00:00"/>
    <s v="Delivery at Vanasthalipuram"/>
    <s v="Call"/>
    <s v="Events"/>
    <x v="10"/>
    <s v="Mahesh"/>
    <s v="Delivery of VB &amp; MB on 20-5-2025"/>
    <n v="4305"/>
    <n v="4305"/>
    <x v="17"/>
    <x v="0"/>
    <x v="1"/>
    <s v="Closed"/>
    <m/>
    <n v="0"/>
    <m/>
    <m/>
    <m/>
    <s v="May-25"/>
    <n v="21"/>
    <s v="2025"/>
  </r>
  <r>
    <d v="2025-05-20T00:00:00"/>
    <s v="Aware Hospital LB Nagar"/>
    <s v="F2F"/>
    <s v="Corporate"/>
    <x v="13"/>
    <s v="Bindhu"/>
    <s v="Conversation in regards with bulk delivery"/>
    <n v="0"/>
    <m/>
    <x v="25"/>
    <x v="0"/>
    <x v="0"/>
    <s v="Hot"/>
    <m/>
    <n v="0"/>
    <s v="Corporate Order"/>
    <m/>
    <m/>
    <s v="May-25"/>
    <n v="21"/>
    <s v="2025"/>
  </r>
  <r>
    <d v="2025-05-20T00:00:00"/>
    <s v="Spectra India"/>
    <s v="F2F"/>
    <s v="Corporate"/>
    <x v="15"/>
    <s v="Jaganmohan"/>
    <s v="Follow up for Bulk orders"/>
    <n v="0"/>
    <m/>
    <x v="19"/>
    <x v="0"/>
    <x v="0"/>
    <s v="Cold"/>
    <m/>
    <n v="0"/>
    <m/>
    <m/>
    <m/>
    <s v="May-25"/>
    <n v="21"/>
    <s v="2025"/>
  </r>
  <r>
    <d v="2025-05-21T00:00:00"/>
    <s v="Delivery at SEBLR Banglore (Compass)"/>
    <s v="Call"/>
    <s v="Corporate"/>
    <x v="17"/>
    <s v="Saad"/>
    <s v="New Delivery at Compass group on 21-5-2025"/>
    <n v="37918"/>
    <n v="37918"/>
    <x v="17"/>
    <x v="1"/>
    <x v="1"/>
    <s v="Closed"/>
    <m/>
    <n v="0"/>
    <m/>
    <m/>
    <m/>
    <s v="May-25"/>
    <n v="21"/>
    <s v="2025"/>
  </r>
  <r>
    <d v="2025-05-21T00:00:00"/>
    <s v="MSN Labs"/>
    <s v="F2F"/>
    <s v="Corporate"/>
    <x v="5"/>
    <s v="Satya"/>
    <s v="Follow up for Advance Payment for 60100 Kits"/>
    <n v="4207000"/>
    <n v="4207000"/>
    <x v="23"/>
    <x v="0"/>
    <x v="1"/>
    <s v="Closed"/>
    <m/>
    <n v="0"/>
    <m/>
    <m/>
    <m/>
    <s v="May-25"/>
    <n v="21"/>
    <s v="2025"/>
  </r>
  <r>
    <d v="2025-05-21T00:00:00"/>
    <s v="Vertex Netcom Solution"/>
    <s v="F2F"/>
    <s v="Corporate"/>
    <x v="0"/>
    <s v="Ganesh"/>
    <s v="Introduction to bulk delivery"/>
    <n v="0"/>
    <m/>
    <x v="19"/>
    <x v="0"/>
    <x v="0"/>
    <s v="Cold"/>
    <m/>
    <n v="0"/>
    <m/>
    <m/>
    <m/>
    <s v="May-25"/>
    <n v="21"/>
    <s v="2025"/>
  </r>
  <r>
    <d v="2025-05-21T00:00:00"/>
    <s v="Kairams Event"/>
    <s v="F2F"/>
    <s v="Corporate"/>
    <x v="17"/>
    <s v="Varun"/>
    <s v="The Giggle fest on 7th &amp; 8 June 2025"/>
    <n v="80000"/>
    <n v="0"/>
    <x v="22"/>
    <x v="0"/>
    <x v="0"/>
    <s v="Cancelled"/>
    <s v="Not profitable"/>
    <n v="0"/>
    <m/>
    <m/>
    <m/>
    <s v="May-25"/>
    <n v="21"/>
    <s v="2025"/>
  </r>
  <r>
    <d v="2025-05-22T00:00:00"/>
    <s v="Giggles Event at Shilparamam"/>
    <s v="F2F"/>
    <s v="Corporate"/>
    <x v="17"/>
    <s v="Varun"/>
    <s v="Site visit for Expo"/>
    <n v="100000"/>
    <n v="0"/>
    <x v="22"/>
    <x v="0"/>
    <x v="0"/>
    <s v="Cancelled"/>
    <s v="Not profitable"/>
    <n v="0"/>
    <m/>
    <m/>
    <m/>
    <s v="May-25"/>
    <n v="21"/>
    <s v="2025"/>
  </r>
  <r>
    <d v="2025-05-22T00:00:00"/>
    <s v="Bridgestone"/>
    <s v="F2F"/>
    <s v="Corporate"/>
    <x v="19"/>
    <s v="Mahesh"/>
    <s v="Introduction to bulk delivery"/>
    <n v="30000"/>
    <m/>
    <x v="23"/>
    <x v="0"/>
    <x v="0"/>
    <s v="Cancelled"/>
    <m/>
    <n v="0"/>
    <m/>
    <m/>
    <m/>
    <s v="May-25"/>
    <n v="21"/>
    <s v="2025"/>
  </r>
  <r>
    <d v="2025-05-23T00:00:00"/>
    <s v="Take away from Secundrabad"/>
    <s v="Call"/>
    <s v="Events"/>
    <x v="10"/>
    <s v="Sharmila"/>
    <s v="Take away of CB on 24-5-2025"/>
    <n v="7000"/>
    <n v="7000"/>
    <x v="17"/>
    <x v="0"/>
    <x v="1"/>
    <s v="Closed"/>
    <m/>
    <n v="0"/>
    <m/>
    <m/>
    <m/>
    <s v="May-25"/>
    <n v="21"/>
    <s v="2025"/>
  </r>
  <r>
    <d v="2025-05-23T00:00:00"/>
    <s v="Delivery at hitec city"/>
    <s v="Call"/>
    <s v="Events"/>
    <x v="10"/>
    <s v="Vikas"/>
    <s v="Delivery of CB on 23-5-2025"/>
    <n v="23484"/>
    <n v="23484"/>
    <x v="17"/>
    <x v="0"/>
    <x v="1"/>
    <s v="Closed"/>
    <m/>
    <n v="0"/>
    <m/>
    <m/>
    <m/>
    <s v="May-25"/>
    <n v="21"/>
    <s v="2025"/>
  </r>
  <r>
    <d v="2025-05-23T00:00:00"/>
    <s v="Tapasya CA College Dilsukhnagar"/>
    <s v="F2F"/>
    <s v="College"/>
    <x v="4"/>
    <s v="Jagan "/>
    <s v="Introduction to Bulk Orders"/>
    <n v="22000"/>
    <m/>
    <x v="19"/>
    <x v="0"/>
    <x v="0"/>
    <s v="Hot"/>
    <m/>
    <n v="0"/>
    <m/>
    <m/>
    <m/>
    <s v="May-25"/>
    <n v="21"/>
    <s v="2025"/>
  </r>
  <r>
    <d v="2025-05-23T00:00:00"/>
    <s v="Global Junior College"/>
    <s v="F2F"/>
    <s v="College"/>
    <x v="4"/>
    <s v="Jagdeesh"/>
    <s v="Introduction to Bulk Orders"/>
    <n v="30000"/>
    <m/>
    <x v="19"/>
    <x v="0"/>
    <x v="0"/>
    <s v="Cold"/>
    <m/>
    <n v="0"/>
    <m/>
    <m/>
    <m/>
    <s v="May-25"/>
    <n v="21"/>
    <s v="2025"/>
  </r>
  <r>
    <d v="2025-05-23T00:00:00"/>
    <s v="Thinci Semiconductor"/>
    <s v="F2F"/>
    <s v="Corporate"/>
    <x v="7"/>
    <s v="Luna"/>
    <s v="Introduction to bulk delivery"/>
    <n v="0"/>
    <m/>
    <x v="19"/>
    <x v="0"/>
    <x v="0"/>
    <s v="Cold"/>
    <m/>
    <n v="0"/>
    <m/>
    <m/>
    <m/>
    <s v="May-25"/>
    <n v="21"/>
    <s v="2025"/>
  </r>
  <r>
    <d v="2025-05-26T00:00:00"/>
    <s v="ITC Paperboard Division"/>
    <s v="F2F"/>
    <s v="Corporate"/>
    <x v="7"/>
    <s v="Sheshagiri"/>
    <s v="Introduction to food delivery at their plant"/>
    <n v="0"/>
    <m/>
    <x v="19"/>
    <x v="0"/>
    <x v="0"/>
    <s v="Cold"/>
    <m/>
    <n v="0"/>
    <m/>
    <m/>
    <m/>
    <s v="May-25"/>
    <n v="22"/>
    <s v="2025"/>
  </r>
  <r>
    <d v="2025-05-26T00:00:00"/>
    <s v="Next tour Kolkata"/>
    <s v="Call"/>
    <s v="Corporate"/>
    <x v="1"/>
    <s v="Alok"/>
    <s v="Shared quote for dine in in June"/>
    <n v="0"/>
    <n v="0"/>
    <x v="25"/>
    <x v="0"/>
    <x v="0"/>
    <s v="Cancelled"/>
    <s v="Event Cancelled"/>
    <n v="0"/>
    <s v="Corporate Order"/>
    <m/>
    <m/>
    <s v="May-25"/>
    <n v="22"/>
    <s v="2025"/>
  </r>
  <r>
    <d v="2025-05-26T00:00:00"/>
    <s v="Natco Pharma"/>
    <s v="Call"/>
    <s v="Corporate"/>
    <x v="5"/>
    <s v="Tanmay"/>
    <s v="Discussion for Corporate Gifting and Bulk order"/>
    <n v="0"/>
    <m/>
    <x v="19"/>
    <x v="0"/>
    <x v="0"/>
    <s v="Hot"/>
    <m/>
    <n v="0"/>
    <m/>
    <m/>
    <m/>
    <s v="May-25"/>
    <n v="22"/>
    <s v="2025"/>
  </r>
  <r>
    <d v="2025-05-26T00:00:00"/>
    <s v="Astrazenica"/>
    <s v="F2F"/>
    <s v="Corporate"/>
    <x v="5"/>
    <s v="Vighnesh"/>
    <s v="Follow up for further orders"/>
    <n v="55000"/>
    <n v="0"/>
    <x v="17"/>
    <x v="0"/>
    <x v="0"/>
    <s v="Cancelled"/>
    <m/>
    <n v="0"/>
    <m/>
    <m/>
    <m/>
    <s v="May-25"/>
    <n v="22"/>
    <s v="2025"/>
  </r>
  <r>
    <d v="2025-05-27T00:00:00"/>
    <s v="Natco Pharma"/>
    <s v="F2F"/>
    <s v="Corporate"/>
    <x v="5"/>
    <s v="Tanmay"/>
    <s v="Biryani Kit Sampling "/>
    <n v="200000"/>
    <m/>
    <x v="25"/>
    <x v="0"/>
    <x v="0"/>
    <s v="Cancelled"/>
    <m/>
    <n v="0"/>
    <s v="Corporate Order"/>
    <m/>
    <m/>
    <s v="May-25"/>
    <n v="22"/>
    <s v="2025"/>
  </r>
  <r>
    <d v="2025-05-27T00:00:00"/>
    <s v="Administrative Amplify"/>
    <s v="F2F"/>
    <s v="Corporate"/>
    <x v="0"/>
    <s v="Akhil"/>
    <s v="CM &amp; VB on 28-5-2025 from Jublee hills"/>
    <n v="9500"/>
    <n v="9500"/>
    <x v="17"/>
    <x v="0"/>
    <x v="1"/>
    <s v="Closed"/>
    <m/>
    <n v="0"/>
    <m/>
    <m/>
    <m/>
    <s v="May-25"/>
    <n v="22"/>
    <s v="2025"/>
  </r>
  <r>
    <d v="2025-05-27T00:00:00"/>
    <s v="Aurobindo Pharma"/>
    <s v="F2F"/>
    <s v="Corporate"/>
    <x v="5"/>
    <s v="Bapiraju"/>
    <s v="Biryani kits and Meeting with marketing team"/>
    <n v="50000"/>
    <m/>
    <x v="19"/>
    <x v="0"/>
    <x v="0"/>
    <s v="Cold"/>
    <m/>
    <n v="0"/>
    <m/>
    <m/>
    <m/>
    <s v="May-25"/>
    <n v="22"/>
    <s v="2025"/>
  </r>
  <r>
    <d v="2025-05-28T00:00:00"/>
    <s v="Delivery at Compass Group Bangalore"/>
    <s v="Call"/>
    <s v="Corporate"/>
    <x v="17"/>
    <s v="Pankaj"/>
    <s v="Delivery of Special CB &amp; MB Handi on 26-5-25"/>
    <n v="59053"/>
    <n v="59053"/>
    <x v="17"/>
    <x v="1"/>
    <x v="1"/>
    <s v="Closed"/>
    <m/>
    <n v="0"/>
    <m/>
    <m/>
    <m/>
    <s v="May-25"/>
    <n v="22"/>
    <s v="2025"/>
  </r>
  <r>
    <d v="2025-05-28T00:00:00"/>
    <s v="Delivery at SEBLR Banglore (Compass)"/>
    <s v="Call"/>
    <s v="Corporate"/>
    <x v="17"/>
    <s v="Saad"/>
    <s v="New Delivery at Compass group on 28-5-2025"/>
    <n v="38939"/>
    <n v="38939"/>
    <x v="17"/>
    <x v="1"/>
    <x v="1"/>
    <s v="Closed"/>
    <m/>
    <n v="0"/>
    <m/>
    <m/>
    <m/>
    <s v="May-25"/>
    <n v="22"/>
    <s v="2025"/>
  </r>
  <r>
    <d v="2025-05-28T00:00:00"/>
    <s v="Delivery at Kompally"/>
    <s v="Call"/>
    <s v="Events"/>
    <x v="10"/>
    <s v="Satish"/>
    <s v="Delivery of MB on 28-5-2025"/>
    <n v="8493"/>
    <n v="8493"/>
    <x v="17"/>
    <x v="0"/>
    <x v="1"/>
    <s v="Closed"/>
    <m/>
    <n v="0"/>
    <m/>
    <m/>
    <m/>
    <s v="May-25"/>
    <n v="22"/>
    <s v="2025"/>
  </r>
  <r>
    <d v="2025-05-28T00:00:00"/>
    <s v="Delivery at Masabtank"/>
    <s v="Call"/>
    <s v="Events"/>
    <x v="10"/>
    <s v="Rahul"/>
    <s v="Delivery of CB &amp; Haleem"/>
    <n v="6892"/>
    <n v="6892"/>
    <x v="17"/>
    <x v="0"/>
    <x v="1"/>
    <s v="Closed"/>
    <m/>
    <n v="0"/>
    <m/>
    <m/>
    <m/>
    <s v="May-25"/>
    <n v="22"/>
    <s v="2025"/>
  </r>
  <r>
    <d v="2025-05-31T00:00:00"/>
    <s v="ROC Event Celebration of Operation Sindoor"/>
    <s v="F2F"/>
    <s v="Corporate"/>
    <x v="22"/>
    <s v="Santosh"/>
    <s v="Dinner,CB &amp; VB for 600 Indian Soldiers on 31-5-2025"/>
    <n v="90000"/>
    <n v="90000"/>
    <x v="17"/>
    <x v="0"/>
    <x v="1"/>
    <s v="Closed"/>
    <m/>
    <n v="0"/>
    <m/>
    <m/>
    <m/>
    <s v="May-25"/>
    <n v="22"/>
    <s v="2025"/>
  </r>
  <r>
    <d v="2025-05-31T00:00:00"/>
    <s v="Delivery of Haleem at Foodys group Airport"/>
    <s v="Call"/>
    <s v="Corporate"/>
    <x v="17"/>
    <s v="Venkat"/>
    <s v="Delivery of Haleem in May month "/>
    <n v="67830"/>
    <n v="67830"/>
    <x v="17"/>
    <x v="0"/>
    <x v="1"/>
    <s v="Closed"/>
    <m/>
    <n v="67830"/>
    <m/>
    <m/>
    <m/>
    <s v="May-25"/>
    <n v="22"/>
    <s v="2025"/>
  </r>
  <r>
    <d v="2025-06-01T00:00:00"/>
    <s v="Delivery at MG Road"/>
    <s v="Call"/>
    <s v="Events"/>
    <x v="10"/>
    <s v="Rakesh"/>
    <s v="Delivery of CB on 01-6-2025"/>
    <n v="3289"/>
    <n v="3289"/>
    <x v="22"/>
    <x v="0"/>
    <x v="1"/>
    <s v="Closed"/>
    <m/>
    <n v="0"/>
    <m/>
    <m/>
    <m/>
    <s v="Jun-25"/>
    <n v="22"/>
    <s v="2025"/>
  </r>
  <r>
    <d v="2025-06-01T00:00:00"/>
    <s v="Delivery at VIP Road"/>
    <s v="Call"/>
    <s v="Events"/>
    <x v="10"/>
    <s v="Srinivas"/>
    <s v="Delivery of CB &amp; MB on 01-6-2025"/>
    <n v="38009"/>
    <n v="38009"/>
    <x v="22"/>
    <x v="0"/>
    <x v="1"/>
    <s v="Closed"/>
    <m/>
    <n v="0"/>
    <m/>
    <m/>
    <m/>
    <s v="Jun-25"/>
    <n v="22"/>
    <s v="2025"/>
  </r>
  <r>
    <d v="2025-06-02T00:00:00"/>
    <s v="Delivery at Malkajgiri"/>
    <s v="Call"/>
    <s v="Events"/>
    <x v="10"/>
    <s v="Arvind"/>
    <s v="Delivery of CB on 02-6-2025"/>
    <n v="5604"/>
    <n v="5604"/>
    <x v="22"/>
    <x v="0"/>
    <x v="1"/>
    <s v="Closed"/>
    <m/>
    <n v="0"/>
    <m/>
    <m/>
    <m/>
    <s v="Jun-25"/>
    <n v="23"/>
    <s v="2025"/>
  </r>
  <r>
    <d v="2025-06-02T00:00:00"/>
    <s v="Delivery at MG Road"/>
    <s v="Call"/>
    <s v="Events"/>
    <x v="10"/>
    <s v="Vinod"/>
    <s v="Delivery of Mutton Biryani on 02-6-2025"/>
    <n v="7561"/>
    <n v="7561"/>
    <x v="22"/>
    <x v="0"/>
    <x v="1"/>
    <s v="Closed"/>
    <m/>
    <n v="0"/>
    <m/>
    <m/>
    <m/>
    <s v="Jun-25"/>
    <n v="23"/>
    <s v="2025"/>
  </r>
  <r>
    <d v="2025-06-02T00:00:00"/>
    <s v="Delivery at Gachibowli"/>
    <s v="Call"/>
    <s v="Corporate"/>
    <x v="17"/>
    <s v="Sravan"/>
    <s v="Delivery of CB on 02-6-2025"/>
    <n v="8795"/>
    <n v="8795"/>
    <x v="22"/>
    <x v="0"/>
    <x v="1"/>
    <s v="Closed"/>
    <m/>
    <n v="0"/>
    <m/>
    <m/>
    <m/>
    <s v="Jun-25"/>
    <n v="23"/>
    <s v="2025"/>
  </r>
  <r>
    <d v="2025-06-03T00:00:00"/>
    <s v="Convergies"/>
    <s v="F2F"/>
    <s v="Corporate"/>
    <x v="0"/>
    <s v="Arun"/>
    <s v="Introduction to team lunch and delivery"/>
    <n v="45000"/>
    <m/>
    <x v="19"/>
    <x v="0"/>
    <x v="0"/>
    <s v="Cold"/>
    <m/>
    <n v="0"/>
    <m/>
    <m/>
    <m/>
    <s v="Jun-25"/>
    <n v="23"/>
    <s v="2025"/>
  </r>
  <r>
    <d v="2025-06-03T00:00:00"/>
    <s v="DXC Technologies"/>
    <s v="Call"/>
    <s v="Corporate"/>
    <x v="0"/>
    <s v="Sreeleran"/>
    <s v="Shared quote for 35 pax on 04-06-2025"/>
    <n v="12000"/>
    <n v="12000"/>
    <x v="22"/>
    <x v="1"/>
    <x v="1"/>
    <s v="Closed"/>
    <m/>
    <n v="0"/>
    <m/>
    <m/>
    <m/>
    <s v="Jun-25"/>
    <n v="23"/>
    <s v="2025"/>
  </r>
  <r>
    <d v="2026-04-03T00:00:00"/>
    <s v="Maruti NEXA"/>
    <s v="F2F"/>
    <s v="Corporate"/>
    <x v="9"/>
    <s v="Balajirao"/>
    <s v="Shared details of Advance booking vouchers"/>
    <n v="30000"/>
    <m/>
    <x v="19"/>
    <x v="0"/>
    <x v="0"/>
    <s v="Cold"/>
    <m/>
    <n v="0"/>
    <m/>
    <m/>
    <m/>
    <s v="Apr-26"/>
    <n v="14"/>
    <s v="2025"/>
  </r>
  <r>
    <d v="2025-06-03T00:00:00"/>
    <s v="Take away at MG Road"/>
    <s v="Call"/>
    <s v="Events"/>
    <x v="10"/>
    <s v="Mukul"/>
    <s v="Delivery of CB"/>
    <n v="3500"/>
    <n v="3500"/>
    <x v="22"/>
    <x v="0"/>
    <x v="1"/>
    <s v="Closed"/>
    <m/>
    <n v="0"/>
    <m/>
    <m/>
    <m/>
    <s v="Jun-25"/>
    <n v="23"/>
    <s v="2025"/>
  </r>
  <r>
    <d v="2025-06-04T00:00:00"/>
    <s v="Delivery at SEBLR Banglore (Compass)"/>
    <s v="Call"/>
    <s v="Corporate"/>
    <x v="17"/>
    <s v="Saad"/>
    <s v="New Delivery at Compass group on 04-6-2025"/>
    <n v="42974"/>
    <n v="42974"/>
    <x v="22"/>
    <x v="1"/>
    <x v="1"/>
    <s v="Closed"/>
    <m/>
    <n v="0"/>
    <m/>
    <m/>
    <m/>
    <s v="Jun-25"/>
    <n v="23"/>
    <s v="2025"/>
  </r>
  <r>
    <d v="2025-06-04T00:00:00"/>
    <s v="BPCL"/>
    <s v="F2F"/>
    <s v="Corporate"/>
    <x v="7"/>
    <s v="Suresh Tripathy"/>
    <s v="Introduction to bulk delivery and gifting"/>
    <n v="0"/>
    <m/>
    <x v="19"/>
    <x v="0"/>
    <x v="0"/>
    <s v="Cold"/>
    <m/>
    <n v="0"/>
    <m/>
    <m/>
    <m/>
    <s v="Jun-25"/>
    <n v="23"/>
    <s v="2025"/>
  </r>
  <r>
    <d v="2025-06-04T00:00:00"/>
    <s v="Hitachi Consulting"/>
    <s v="F2F"/>
    <s v="Corporate"/>
    <x v="0"/>
    <s v="Yogesh Khandoi"/>
    <s v="Introduction to bulk delivery"/>
    <n v="35000"/>
    <m/>
    <x v="19"/>
    <x v="0"/>
    <x v="0"/>
    <s v="Cold"/>
    <m/>
    <n v="0"/>
    <m/>
    <m/>
    <m/>
    <s v="Jun-25"/>
    <n v="23"/>
    <s v="2025"/>
  </r>
  <r>
    <d v="2025-06-04T00:00:00"/>
    <s v="Tech Mahindra "/>
    <s v="F2F"/>
    <s v="Corporate"/>
    <x v="0"/>
    <s v="Zia Baig"/>
    <s v="Introduction to Bulk delivery"/>
    <n v="0"/>
    <m/>
    <x v="19"/>
    <x v="0"/>
    <x v="0"/>
    <s v="Cold"/>
    <m/>
    <n v="0"/>
    <m/>
    <m/>
    <m/>
    <s v="Jun-25"/>
    <n v="23"/>
    <s v="2025"/>
  </r>
  <r>
    <d v="2025-06-04T00:00:00"/>
    <s v="Yathapu Consulting"/>
    <s v="F2F"/>
    <s v="Corporate"/>
    <x v="0"/>
    <s v="Pradeep Reddy"/>
    <s v="Shared quote for 100 pax lunch"/>
    <n v="0"/>
    <m/>
    <x v="19"/>
    <x v="0"/>
    <x v="0"/>
    <s v="Cold"/>
    <m/>
    <n v="0"/>
    <m/>
    <m/>
    <m/>
    <s v="Jun-25"/>
    <n v="23"/>
    <s v="2025"/>
  </r>
  <r>
    <d v="2025-06-05T00:00:00"/>
    <s v="Kairams Event Suncity"/>
    <s v="F2F"/>
    <s v="Corporate"/>
    <x v="17"/>
    <s v="Varun"/>
    <s v="Site visit and Cancelled the event "/>
    <n v="300000"/>
    <n v="0"/>
    <x v="22"/>
    <x v="0"/>
    <x v="0"/>
    <s v="Cancelled"/>
    <s v="Not Profitable"/>
    <n v="0"/>
    <m/>
    <m/>
    <m/>
    <s v="Jun-25"/>
    <n v="23"/>
    <s v="2025"/>
  </r>
  <r>
    <d v="2025-06-05T00:00:00"/>
    <s v="Quislex Legal Service"/>
    <s v="F2F"/>
    <s v="Corporate"/>
    <x v="0"/>
    <s v="Nikita"/>
    <s v="Introduction to bulk delivery"/>
    <n v="35000"/>
    <m/>
    <x v="19"/>
    <x v="0"/>
    <x v="0"/>
    <s v="Cold"/>
    <m/>
    <n v="0"/>
    <m/>
    <m/>
    <m/>
    <s v="Jun-25"/>
    <n v="23"/>
    <s v="2025"/>
  </r>
  <r>
    <d v="2025-06-05T00:00:00"/>
    <s v="Yatra MICE"/>
    <s v="Call"/>
    <s v="Corporate"/>
    <x v="1"/>
    <s v="Aashrit"/>
    <s v="Follow up for Bulk Order in Dine in "/>
    <n v="0"/>
    <m/>
    <x v="25"/>
    <x v="0"/>
    <x v="0"/>
    <s v="Cancelled"/>
    <m/>
    <n v="0"/>
    <s v="Corporate Order"/>
    <m/>
    <m/>
    <s v="Jun-25"/>
    <n v="23"/>
    <s v="2025"/>
  </r>
  <r>
    <d v="2025-06-05T00:00:00"/>
    <s v="Lancesoft"/>
    <s v="F2F"/>
    <s v="Corporate"/>
    <x v="0"/>
    <s v="Abhishek"/>
    <s v="Introduction to bulk delivery"/>
    <n v="0"/>
    <m/>
    <x v="19"/>
    <x v="0"/>
    <x v="0"/>
    <s v="Cold"/>
    <m/>
    <n v="0"/>
    <m/>
    <m/>
    <m/>
    <s v="Jun-25"/>
    <n v="23"/>
    <s v="2025"/>
  </r>
  <r>
    <d v="2025-06-06T00:00:00"/>
    <s v="Delivery at MG Road "/>
    <s v="Call"/>
    <s v="Events"/>
    <x v="10"/>
    <s v="Arun"/>
    <s v="Delivery of CB on 6-06-2025"/>
    <n v="5100"/>
    <n v="5100"/>
    <x v="22"/>
    <x v="0"/>
    <x v="1"/>
    <s v="Closed"/>
    <m/>
    <n v="0"/>
    <m/>
    <m/>
    <m/>
    <s v="Jun-25"/>
    <n v="23"/>
    <s v="2025"/>
  </r>
  <r>
    <d v="2025-06-06T00:00:00"/>
    <s v="Delivery at Vanasthalipuram"/>
    <s v="Call"/>
    <s v="Events"/>
    <x v="10"/>
    <s v="Rafiq"/>
    <s v="Delivery of CB &amp; MB"/>
    <n v="23000"/>
    <n v="23000"/>
    <x v="22"/>
    <x v="0"/>
    <x v="1"/>
    <s v="Closed"/>
    <m/>
    <n v="0"/>
    <m/>
    <m/>
    <m/>
    <s v="Jun-25"/>
    <n v="23"/>
    <s v="2025"/>
  </r>
  <r>
    <d v="2025-06-06T00:00:00"/>
    <s v="Platos"/>
    <s v="F2F"/>
    <s v="Corporate"/>
    <x v="17"/>
    <s v="Rohan"/>
    <s v="Delivery of Mini rice Bowls at Salarpuria Sattva"/>
    <n v="400000"/>
    <m/>
    <x v="24"/>
    <x v="0"/>
    <x v="0"/>
    <s v="Cancelled"/>
    <s v="Postponed to december"/>
    <n v="0"/>
    <s v="Corporate Order"/>
    <m/>
    <m/>
    <s v="Jun-25"/>
    <n v="23"/>
    <s v="2025"/>
  </r>
  <r>
    <d v="2025-06-06T00:00:00"/>
    <s v="Sumac Pharma"/>
    <s v="F2F"/>
    <s v="Corporate"/>
    <x v="5"/>
    <s v="Bhavani"/>
    <s v="Delivery of 115 Biryani Kits on 7-6-2025, Kukatpally"/>
    <n v="20585"/>
    <n v="20585"/>
    <x v="22"/>
    <x v="0"/>
    <x v="1"/>
    <s v="Closed"/>
    <m/>
    <n v="0"/>
    <m/>
    <m/>
    <m/>
    <s v="Jun-25"/>
    <n v="23"/>
    <s v="2025"/>
  </r>
  <r>
    <d v="2025-06-07T00:00:00"/>
    <s v="Delivery at Vanasthalipuram"/>
    <s v="Call"/>
    <s v="Events"/>
    <x v="10"/>
    <s v="Fiyaz"/>
    <s v="Delivery of CB &amp; MB on 7-6-2025"/>
    <n v="12100"/>
    <n v="12100"/>
    <x v="22"/>
    <x v="0"/>
    <x v="1"/>
    <s v="Closed"/>
    <m/>
    <n v="0"/>
    <m/>
    <m/>
    <m/>
    <s v="Jun-25"/>
    <n v="23"/>
    <s v="2025"/>
  </r>
  <r>
    <d v="2025-06-07T00:00:00"/>
    <s v="Delivery at Secundrabad"/>
    <s v="Call"/>
    <s v="Events"/>
    <x v="10"/>
    <s v="Nayeem"/>
    <s v="Delivery of CB on 7-06-2025"/>
    <n v="7500"/>
    <n v="7500"/>
    <x v="22"/>
    <x v="0"/>
    <x v="1"/>
    <s v="Closed"/>
    <m/>
    <n v="0"/>
    <m/>
    <m/>
    <m/>
    <s v="Jun-25"/>
    <n v="23"/>
    <s v="2025"/>
  </r>
  <r>
    <d v="2025-06-09T00:00:00"/>
    <s v="Delivery of Biryani Kits at Padmaraonagar"/>
    <s v="F2F"/>
    <s v="Events"/>
    <x v="10"/>
    <s v="Dilip Tilwani"/>
    <s v="Delivery of biryani Kits in Bulk"/>
    <n v="0"/>
    <n v="0"/>
    <x v="22"/>
    <x v="0"/>
    <x v="0"/>
    <s v="Cancelled"/>
    <m/>
    <n v="0"/>
    <m/>
    <m/>
    <m/>
    <s v="Jun-25"/>
    <n v="24"/>
    <s v="2025"/>
  </r>
  <r>
    <d v="2025-06-09T00:00:00"/>
    <s v="Gurunanak Univercity Ibrahimpatnam"/>
    <s v="F2F"/>
    <s v="College"/>
    <x v="4"/>
    <s v="Harish Kundra"/>
    <s v="Introduction to bulk delivery of food and snacks"/>
    <n v="0"/>
    <m/>
    <x v="19"/>
    <x v="0"/>
    <x v="0"/>
    <s v="Hot"/>
    <m/>
    <n v="0"/>
    <m/>
    <m/>
    <m/>
    <s v="Jun-25"/>
    <n v="24"/>
    <s v="2025"/>
  </r>
  <r>
    <d v="2025-06-09T00:00:00"/>
    <s v="IIT Hyderabad"/>
    <s v="Call"/>
    <s v="College"/>
    <x v="4"/>
    <s v="Abanik"/>
    <s v="Follow up for bulk orders"/>
    <n v="0"/>
    <m/>
    <x v="25"/>
    <x v="0"/>
    <x v="1"/>
    <s v="Closed"/>
    <m/>
    <n v="0"/>
    <s v="Corporate Order"/>
    <m/>
    <m/>
    <s v="Jun-25"/>
    <n v="24"/>
    <s v="2025"/>
  </r>
  <r>
    <d v="2025-06-09T00:00:00"/>
    <s v="Sreeram Bioseeds"/>
    <s v="F2F"/>
    <s v="Corporate"/>
    <x v="18"/>
    <s v="Pankaj"/>
    <s v="Introduction to corporate gifting and Delivery"/>
    <n v="0"/>
    <m/>
    <x v="19"/>
    <x v="0"/>
    <x v="0"/>
    <s v="Cold"/>
    <m/>
    <n v="0"/>
    <m/>
    <m/>
    <m/>
    <s v="Jun-25"/>
    <n v="24"/>
    <s v="2025"/>
  </r>
  <r>
    <d v="2025-06-10T00:00:00"/>
    <s v="Cognizant "/>
    <s v="Call"/>
    <s v="Corporate"/>
    <x v="0"/>
    <s v="Akash"/>
    <s v="Shared details of Buffet lunch on 28-7-2025"/>
    <n v="0"/>
    <m/>
    <x v="25"/>
    <x v="0"/>
    <x v="0"/>
    <s v="Cancelled"/>
    <m/>
    <n v="0"/>
    <s v="Corporate Order"/>
    <m/>
    <m/>
    <s v="Jun-25"/>
    <n v="24"/>
    <s v="2025"/>
  </r>
  <r>
    <d v="2025-06-10T00:00:00"/>
    <s v="Delivery at Inorbit Mall"/>
    <s v="Call"/>
    <s v="Events"/>
    <x v="10"/>
    <s v="Mukesh"/>
    <s v="Delivery of CB &amp; Kabab"/>
    <n v="6561"/>
    <n v="6561"/>
    <x v="22"/>
    <x v="0"/>
    <x v="1"/>
    <s v="Closed"/>
    <m/>
    <n v="0"/>
    <m/>
    <m/>
    <m/>
    <s v="Jun-25"/>
    <n v="24"/>
    <s v="2025"/>
  </r>
  <r>
    <d v="2025-06-10T00:00:00"/>
    <s v="YOJO"/>
    <s v="Call"/>
    <s v="Corporate"/>
    <x v="17"/>
    <s v="Anurag"/>
    <s v="Shared packages for ODC Parties"/>
    <n v="50000"/>
    <m/>
    <x v="23"/>
    <x v="0"/>
    <x v="0"/>
    <s v="Cancelled"/>
    <s v="Requirement cancelled"/>
    <n v="0"/>
    <m/>
    <m/>
    <m/>
    <s v="Jun-25"/>
    <n v="24"/>
    <s v="2025"/>
  </r>
  <r>
    <d v="2025-06-10T00:00:00"/>
    <s v="Natco Pharma"/>
    <s v="F2F"/>
    <s v="Corporate"/>
    <x v="5"/>
    <s v="Sravya"/>
    <s v="Follow up for confirmation of Orders"/>
    <n v="200000"/>
    <m/>
    <x v="25"/>
    <x v="0"/>
    <x v="0"/>
    <s v="Cancelled"/>
    <m/>
    <n v="0"/>
    <s v="Corporate Order"/>
    <m/>
    <m/>
    <s v="Jun-25"/>
    <n v="24"/>
    <s v="2025"/>
  </r>
  <r>
    <d v="2025-06-10T00:00:00"/>
    <s v="Jeevan Jor"/>
    <s v="F2F"/>
    <s v="Corporate"/>
    <x v="32"/>
    <s v="Hanumaprasad"/>
    <s v="Introduction to gifting &amp; Bulk delivery"/>
    <n v="30000"/>
    <m/>
    <x v="19"/>
    <x v="0"/>
    <x v="0"/>
    <s v="Cold"/>
    <m/>
    <n v="0"/>
    <m/>
    <m/>
    <m/>
    <s v="Jun-25"/>
    <n v="24"/>
    <s v="2025"/>
  </r>
  <r>
    <d v="2025-06-11T00:00:00"/>
    <s v="Amazon "/>
    <s v="Call"/>
    <s v="Corporate"/>
    <x v="0"/>
    <s v="Victor"/>
    <s v="Introduction to all the services and Gifting"/>
    <n v="0"/>
    <m/>
    <x v="19"/>
    <x v="0"/>
    <x v="0"/>
    <s v="Cold"/>
    <m/>
    <n v="0"/>
    <m/>
    <m/>
    <m/>
    <s v="Jun-25"/>
    <n v="24"/>
    <s v="2025"/>
  </r>
  <r>
    <d v="2025-06-11T00:00:00"/>
    <s v="Delivery at Compass Group Bangalore"/>
    <s v="Call"/>
    <s v="Corporate"/>
    <x v="17"/>
    <s v="Pankaj"/>
    <s v="Delivery of Special CB &amp; MB Handi on 11-6-25"/>
    <n v="62072"/>
    <n v="62072"/>
    <x v="22"/>
    <x v="1"/>
    <x v="1"/>
    <s v="Closed"/>
    <m/>
    <n v="0"/>
    <m/>
    <m/>
    <m/>
    <s v="Jun-25"/>
    <n v="24"/>
    <s v="2025"/>
  </r>
  <r>
    <d v="2025-06-11T00:00:00"/>
    <s v="Delivery at SEBLR Banglore (Compass)"/>
    <s v="Call"/>
    <s v="Corporate"/>
    <x v="17"/>
    <s v="Saad"/>
    <s v="New Delivery at Compass group on 11-6-2025"/>
    <n v="28818"/>
    <n v="28818"/>
    <x v="22"/>
    <x v="1"/>
    <x v="1"/>
    <s v="Closed"/>
    <m/>
    <n v="0"/>
    <m/>
    <m/>
    <m/>
    <s v="Jun-25"/>
    <n v="24"/>
    <s v="2025"/>
  </r>
  <r>
    <d v="2025-06-11T00:00:00"/>
    <s v="Yashoda Krishna Toyota"/>
    <s v="F2F"/>
    <s v="Corporate"/>
    <x v="9"/>
    <s v="Srinivas"/>
    <s v="Introduction to gifting and Bulk orders"/>
    <n v="0"/>
    <m/>
    <x v="19"/>
    <x v="0"/>
    <x v="0"/>
    <s v="Cold"/>
    <m/>
    <n v="0"/>
    <m/>
    <m/>
    <m/>
    <s v="Jun-25"/>
    <n v="24"/>
    <s v="2025"/>
  </r>
  <r>
    <d v="2025-06-12T00:00:00"/>
    <s v="Dyna"/>
    <s v="Call"/>
    <s v="Corporate"/>
    <x v="5"/>
    <s v="Shiva"/>
    <s v="Dine in at Kukatpally on 12-6-2025"/>
    <n v="12835"/>
    <n v="12835"/>
    <x v="22"/>
    <x v="0"/>
    <x v="1"/>
    <s v="Closed"/>
    <m/>
    <n v="0"/>
    <m/>
    <m/>
    <m/>
    <s v="Jun-25"/>
    <n v="24"/>
    <s v="2025"/>
  </r>
  <r>
    <d v="2025-06-12T00:00:00"/>
    <s v="Flea Event at Nagole"/>
    <s v="F2F"/>
    <s v="Corporate"/>
    <x v="17"/>
    <s v="Varun"/>
    <s v="Event on 17-6-2025"/>
    <n v="50000"/>
    <n v="0"/>
    <x v="22"/>
    <x v="0"/>
    <x v="0"/>
    <s v="Cancelled"/>
    <s v="Less Walkin crowd of 500 with multiple vendors"/>
    <n v="0"/>
    <m/>
    <m/>
    <m/>
    <s v="Jun-25"/>
    <n v="24"/>
    <s v="2025"/>
  </r>
  <r>
    <d v="2025-06-12T00:00:00"/>
    <s v="Aurobindo Pharma"/>
    <s v="Call"/>
    <s v="Corporate"/>
    <x v="5"/>
    <s v="Bapiraju"/>
    <s v="Follow up for further orders"/>
    <n v="0"/>
    <m/>
    <x v="25"/>
    <x v="0"/>
    <x v="0"/>
    <s v="Cancelled"/>
    <m/>
    <n v="0"/>
    <s v="Corporate Order"/>
    <m/>
    <m/>
    <s v="Jun-25"/>
    <n v="24"/>
    <s v="2025"/>
  </r>
  <r>
    <d v="2025-06-12T00:00:00"/>
    <s v="Tech Aspects"/>
    <s v="F2F"/>
    <s v="Corporate"/>
    <x v="0"/>
    <s v="Akshay"/>
    <s v="Introduction to bulk orders"/>
    <n v="0"/>
    <m/>
    <x v="19"/>
    <x v="0"/>
    <x v="0"/>
    <s v="Hot"/>
    <m/>
    <n v="0"/>
    <m/>
    <m/>
    <m/>
    <s v="Jun-25"/>
    <n v="24"/>
    <s v="2025"/>
  </r>
  <r>
    <d v="2025-06-13T00:00:00"/>
    <s v="Kaveri Seeds"/>
    <s v="F2F"/>
    <s v="Corporate"/>
    <x v="18"/>
    <s v="Malla Reddy"/>
    <s v="Follow up for Lunch and Snacks orders "/>
    <n v="0"/>
    <m/>
    <x v="25"/>
    <x v="0"/>
    <x v="0"/>
    <s v="Cancelled"/>
    <m/>
    <n v="0"/>
    <s v="Corporate Order"/>
    <m/>
    <m/>
    <s v="Jun-25"/>
    <n v="24"/>
    <s v="2025"/>
  </r>
  <r>
    <d v="2025-06-13T00:00:00"/>
    <s v="Delivery at Vanasthalipuram"/>
    <s v="Call"/>
    <s v="Events"/>
    <x v="10"/>
    <s v="Anil"/>
    <s v="Delivery of Biryani and Biscuits"/>
    <n v="5636"/>
    <n v="5636"/>
    <x v="22"/>
    <x v="0"/>
    <x v="1"/>
    <s v="Closed"/>
    <m/>
    <n v="0"/>
    <m/>
    <m/>
    <m/>
    <s v="Jun-25"/>
    <n v="24"/>
    <s v="2025"/>
  </r>
  <r>
    <d v="2025-06-14T00:00:00"/>
    <s v="Delivery at Shamshabad"/>
    <s v="F2F"/>
    <s v="Corporate"/>
    <x v="1"/>
    <s v="Rakesh"/>
    <s v="Delivery of Biryani and Biscuits"/>
    <n v="5900"/>
    <n v="5900"/>
    <x v="22"/>
    <x v="0"/>
    <x v="1"/>
    <s v="Closed"/>
    <m/>
    <n v="0"/>
    <m/>
    <m/>
    <m/>
    <s v="Jun-25"/>
    <n v="24"/>
    <s v="2025"/>
  </r>
  <r>
    <d v="2025-06-16T00:00:00"/>
    <s v="Duri Holidays"/>
    <s v="Call"/>
    <s v="Corporate"/>
    <x v="1"/>
    <s v="Harish Patil"/>
    <s v="Dine in for tourist group"/>
    <n v="18000"/>
    <m/>
    <x v="24"/>
    <x v="0"/>
    <x v="0"/>
    <s v="Cancelled"/>
    <m/>
    <n v="0"/>
    <s v="Corporate Order"/>
    <m/>
    <m/>
    <s v="Jun-25"/>
    <n v="25"/>
    <s v="2025"/>
  </r>
  <r>
    <d v="2025-06-16T00:00:00"/>
    <s v="Saga Events and Holidays"/>
    <s v="F2F"/>
    <s v="Corporate"/>
    <x v="1"/>
    <s v="Vikram"/>
    <s v="Dine in at Secundrabad for tourism group from Raipur"/>
    <n v="8000"/>
    <n v="8000"/>
    <x v="23"/>
    <x v="0"/>
    <x v="1"/>
    <s v="Closed"/>
    <m/>
    <n v="0"/>
    <m/>
    <m/>
    <m/>
    <s v="Jun-25"/>
    <n v="25"/>
    <s v="2025"/>
  </r>
  <r>
    <d v="2025-06-16T00:00:00"/>
    <s v="Hive Space"/>
    <s v="F2F"/>
    <s v="Corporate"/>
    <x v="0"/>
    <s v="Mallikarjuna"/>
    <s v="follow up for delivery of food at their office"/>
    <n v="0"/>
    <n v="0"/>
    <x v="25"/>
    <x v="0"/>
    <x v="1"/>
    <s v="Closed"/>
    <m/>
    <n v="0"/>
    <s v="Corporate Order"/>
    <m/>
    <m/>
    <s v="Jun-25"/>
    <n v="25"/>
    <s v="2025"/>
  </r>
  <r>
    <d v="2025-06-16T00:00:00"/>
    <s v="Natco Pharma"/>
    <s v="F2F"/>
    <s v="Corporate"/>
    <x v="5"/>
    <s v="Tanmay"/>
    <s v="confirmation of biryani kits by Jan  2026"/>
    <n v="100000"/>
    <m/>
    <x v="26"/>
    <x v="0"/>
    <x v="0"/>
    <s v="Cancelled"/>
    <m/>
    <n v="0"/>
    <s v="Gifting"/>
    <m/>
    <m/>
    <s v="Jun-25"/>
    <n v="25"/>
    <s v="2026"/>
  </r>
  <r>
    <d v="2025-06-16T00:00:00"/>
    <s v="IBM "/>
    <s v="Call"/>
    <s v="Corporate"/>
    <x v="0"/>
    <s v="Srinivas"/>
    <s v="Follow up for further orders"/>
    <n v="18000"/>
    <m/>
    <x v="19"/>
    <x v="0"/>
    <x v="0"/>
    <s v="Cold"/>
    <m/>
    <n v="0"/>
    <m/>
    <m/>
    <m/>
    <s v="Jun-25"/>
    <n v="25"/>
    <s v="2025"/>
  </r>
  <r>
    <d v="2025-06-16T00:00:00"/>
    <s v="DRS School"/>
    <s v="Call"/>
    <s v="School"/>
    <x v="4"/>
    <s v="Dinesh"/>
    <s v="Discussion in regards with event in August"/>
    <n v="400000"/>
    <m/>
    <x v="19"/>
    <x v="0"/>
    <x v="0"/>
    <s v="Cancelled"/>
    <m/>
    <n v="0"/>
    <m/>
    <m/>
    <m/>
    <s v="Jun-25"/>
    <n v="25"/>
    <s v="2025"/>
  </r>
  <r>
    <d v="2025-06-17T00:00:00"/>
    <s v="Dine in at Begumpet"/>
    <s v="Call"/>
    <s v="Events"/>
    <x v="10"/>
    <s v="Johnson"/>
    <s v="Dine in of 25 PAX at Begumpet on 18-6-2025"/>
    <n v="15200"/>
    <n v="15200"/>
    <x v="22"/>
    <x v="0"/>
    <x v="1"/>
    <s v="Closed"/>
    <m/>
    <n v="0"/>
    <m/>
    <m/>
    <m/>
    <s v="Jun-25"/>
    <n v="25"/>
    <s v="2025"/>
  </r>
  <r>
    <d v="2025-06-17T00:00:00"/>
    <s v="Platos"/>
    <s v="F2F"/>
    <s v="Corporate"/>
    <x v="17"/>
    <s v="Hyder"/>
    <s v="Delivery of Biryani at Sattva Building in July"/>
    <n v="0"/>
    <n v="0"/>
    <x v="25"/>
    <x v="0"/>
    <x v="0"/>
    <s v="Cancelled"/>
    <s v="Moved to October"/>
    <n v="0"/>
    <s v="Corporate Order"/>
    <m/>
    <m/>
    <s v="Jun-25"/>
    <n v="25"/>
    <s v="2025"/>
  </r>
  <r>
    <d v="2025-06-17T00:00:00"/>
    <s v="Capgemini"/>
    <s v="F2F"/>
    <s v="Corporate"/>
    <x v="0"/>
    <s v="Lakshmidhar"/>
    <s v="Introduction to bulk food delivery and gifting"/>
    <n v="200000"/>
    <m/>
    <x v="19"/>
    <x v="0"/>
    <x v="0"/>
    <s v="Cold"/>
    <m/>
    <n v="0"/>
    <m/>
    <m/>
    <m/>
    <s v="Jun-25"/>
    <n v="25"/>
    <s v="2025"/>
  </r>
  <r>
    <d v="2025-06-17T00:00:00"/>
    <s v="Delivery at SEBLR Banglore (Compass)"/>
    <s v="Call"/>
    <s v="Corporate"/>
    <x v="17"/>
    <s v="Saad"/>
    <s v="New Delivery at Compass group on 18-6-2025"/>
    <n v="42975"/>
    <n v="42975"/>
    <x v="22"/>
    <x v="1"/>
    <x v="1"/>
    <s v="Closed"/>
    <m/>
    <n v="0"/>
    <m/>
    <m/>
    <m/>
    <s v="Jun-25"/>
    <n v="25"/>
    <s v="2025"/>
  </r>
  <r>
    <d v="2025-06-17T00:00:00"/>
    <s v="Franklin Templeton Investments"/>
    <s v="F2F"/>
    <s v="Corporate"/>
    <x v="21"/>
    <s v="Anil"/>
    <s v="Introduction to team lunch and delivery"/>
    <n v="90000"/>
    <m/>
    <x v="19"/>
    <x v="0"/>
    <x v="0"/>
    <s v="Cold"/>
    <m/>
    <n v="0"/>
    <m/>
    <m/>
    <m/>
    <s v="Jun-25"/>
    <n v="25"/>
    <s v="2025"/>
  </r>
  <r>
    <d v="2025-06-18T00:00:00"/>
    <s v="Microsoft"/>
    <s v="F2F"/>
    <s v="Corporate"/>
    <x v="0"/>
    <s v="Bhavya"/>
    <s v="Served team lunch at their office"/>
    <n v="10075"/>
    <n v="10075"/>
    <x v="22"/>
    <x v="0"/>
    <x v="1"/>
    <s v="Closed"/>
    <m/>
    <n v="0"/>
    <m/>
    <m/>
    <m/>
    <s v="Jun-25"/>
    <n v="25"/>
    <s v="2025"/>
  </r>
  <r>
    <d v="2025-06-18T00:00:00"/>
    <s v="Meditronics"/>
    <s v="Call"/>
    <s v="Corporate"/>
    <x v="5"/>
    <s v="Arif"/>
    <s v="Follow up for further groups 28-29 November"/>
    <n v="20000"/>
    <m/>
    <x v="24"/>
    <x v="0"/>
    <x v="0"/>
    <s v="Cancelled"/>
    <s v="they have to purchase from Govt Canteen"/>
    <n v="0"/>
    <s v="Corporate Order"/>
    <m/>
    <m/>
    <s v="Jun-25"/>
    <n v="25"/>
    <s v="2025"/>
  </r>
  <r>
    <d v="2025-06-18T00:00:00"/>
    <s v="Ankura Hospital LB Nagar"/>
    <s v="Call"/>
    <s v="Corporate"/>
    <x v="13"/>
    <s v="Manoj"/>
    <s v="Delivery of Chicken combo on 3-7-2025"/>
    <n v="17000"/>
    <n v="17000"/>
    <x v="23"/>
    <x v="0"/>
    <x v="1"/>
    <s v="Closed"/>
    <m/>
    <n v="0"/>
    <m/>
    <m/>
    <m/>
    <s v="Jun-25"/>
    <n v="25"/>
    <s v="2025"/>
  </r>
  <r>
    <d v="2025-06-18T00:00:00"/>
    <s v="Ankura Hospital Gachibowli"/>
    <s v="F2F"/>
    <s v="Corporate"/>
    <x v="13"/>
    <s v="Shiva"/>
    <s v="Delivery of Chicken combo on 18-7-2025"/>
    <n v="17800"/>
    <n v="17800"/>
    <x v="23"/>
    <x v="0"/>
    <x v="1"/>
    <s v="Closed"/>
    <m/>
    <n v="0"/>
    <m/>
    <m/>
    <m/>
    <s v="Jun-25"/>
    <n v="25"/>
    <s v="2025"/>
  </r>
  <r>
    <d v="2025-06-18T00:00:00"/>
    <s v="NIMS Panjagutta"/>
    <s v="F2F"/>
    <s v="Corporate"/>
    <x v="13"/>
    <s v="Rakesh"/>
    <s v="Delivery of chicken combo on 19-7-2025"/>
    <n v="30090"/>
    <n v="30090"/>
    <x v="23"/>
    <x v="0"/>
    <x v="1"/>
    <s v="Closed"/>
    <m/>
    <n v="0"/>
    <m/>
    <m/>
    <m/>
    <s v="Jun-25"/>
    <n v="25"/>
    <s v="2025"/>
  </r>
  <r>
    <d v="2025-06-19T00:00:00"/>
    <s v="Shambhavi Enterprise"/>
    <s v="F2F"/>
    <s v="Corporate"/>
    <x v="19"/>
    <s v="Ratnakar"/>
    <s v="Delivery of cb on 22-6-2025 from Kompally at Suchitra"/>
    <n v="12500"/>
    <n v="12500"/>
    <x v="22"/>
    <x v="0"/>
    <x v="1"/>
    <s v="Closed"/>
    <m/>
    <n v="0"/>
    <m/>
    <m/>
    <m/>
    <s v="Jun-25"/>
    <n v="25"/>
    <s v="2025"/>
  </r>
  <r>
    <d v="2025-06-19T00:00:00"/>
    <s v="DRS School"/>
    <s v="F2F"/>
    <s v="School"/>
    <x v="4"/>
    <s v="Sujata"/>
    <s v="Discussion in regards with food delivery for hostel"/>
    <n v="0"/>
    <m/>
    <x v="25"/>
    <x v="0"/>
    <x v="0"/>
    <s v="Cancelled"/>
    <s v="Not profitable"/>
    <n v="0"/>
    <s v="Corporate Order"/>
    <m/>
    <m/>
    <s v="Jun-25"/>
    <n v="25"/>
    <s v="2025"/>
  </r>
  <r>
    <d v="2025-06-19T00:00:00"/>
    <s v="Deloitte Consulting USI Gurgaon"/>
    <s v="Call"/>
    <s v="Corporate"/>
    <x v="0"/>
    <s v="Aditya"/>
    <s v="Delivery of CB and VB and Kabab at Gurgaon"/>
    <n v="22052"/>
    <n v="22052"/>
    <x v="22"/>
    <x v="0"/>
    <x v="1"/>
    <s v="Closed"/>
    <m/>
    <n v="0"/>
    <m/>
    <m/>
    <m/>
    <s v="Jun-25"/>
    <n v="25"/>
    <s v="2025"/>
  </r>
  <r>
    <d v="2025-06-19T00:00:00"/>
    <s v="Kirams Event"/>
    <s v="F2F"/>
    <s v="Corporate"/>
    <x v="17"/>
    <s v="Varun"/>
    <s v="Tie up for Flea and Popup stalls in gated community"/>
    <n v="0"/>
    <n v="0"/>
    <x v="23"/>
    <x v="0"/>
    <x v="1"/>
    <s v="Closed"/>
    <m/>
    <n v="0"/>
    <m/>
    <m/>
    <m/>
    <s v="Jun-25"/>
    <n v="25"/>
    <s v="2025"/>
  </r>
  <r>
    <d v="2025-06-19T00:00:00"/>
    <s v="Amazon "/>
    <s v="Call"/>
    <s v="Corporate"/>
    <x v="0"/>
    <s v="Victor"/>
    <s v="Discussion in regards ith corporate collabration"/>
    <n v="0"/>
    <m/>
    <x v="25"/>
    <x v="0"/>
    <x v="0"/>
    <s v="Cancelled"/>
    <m/>
    <n v="0"/>
    <s v="Corporate Order"/>
    <m/>
    <m/>
    <s v="Jun-25"/>
    <n v="25"/>
    <s v="2025"/>
  </r>
  <r>
    <d v="2025-06-22T00:00:00"/>
    <s v="Family Group from Kukatpally"/>
    <s v="F2F"/>
    <s v="Events"/>
    <x v="10"/>
    <s v="Sandeep"/>
    <s v="Dine in at kukatpally on 22-6-25"/>
    <n v="27540"/>
    <n v="27540"/>
    <x v="22"/>
    <x v="0"/>
    <x v="1"/>
    <s v="Closed"/>
    <m/>
    <n v="0"/>
    <m/>
    <m/>
    <m/>
    <s v="Jun-25"/>
    <n v="25"/>
    <s v="2025"/>
  </r>
  <r>
    <d v="2025-06-23T00:00:00"/>
    <s v="Cognizant Mindspace"/>
    <s v="F2F"/>
    <s v="Corporate"/>
    <x v="0"/>
    <s v="Anil"/>
    <s v="Delivery at Mindspace on 25-6-2025"/>
    <n v="12000"/>
    <n v="12000"/>
    <x v="22"/>
    <x v="0"/>
    <x v="1"/>
    <s v="Closed"/>
    <m/>
    <n v="0"/>
    <m/>
    <m/>
    <m/>
    <s v="Jun-25"/>
    <n v="26"/>
    <s v="2025"/>
  </r>
  <r>
    <d v="2025-06-23T00:00:00"/>
    <s v="Platos "/>
    <s v="F2F"/>
    <s v="Corporate"/>
    <x v="17"/>
    <s v="Hyder"/>
    <s v="Follow up for coming order"/>
    <n v="200000"/>
    <m/>
    <x v="24"/>
    <x v="0"/>
    <x v="0"/>
    <s v="Cancelled"/>
    <s v="No requirement in november"/>
    <n v="0"/>
    <s v="Corporate Order"/>
    <m/>
    <m/>
    <s v="Jun-25"/>
    <n v="26"/>
    <s v="2025"/>
  </r>
  <r>
    <d v="2025-06-23T00:00:00"/>
    <s v="Synergy"/>
    <s v="F2F"/>
    <s v="Corporate"/>
    <x v="0"/>
    <s v="Abhishek"/>
    <s v="Introduction to Bulk delivery"/>
    <n v="20000"/>
    <m/>
    <x v="19"/>
    <x v="0"/>
    <x v="0"/>
    <s v="Cold"/>
    <m/>
    <n v="0"/>
    <m/>
    <m/>
    <m/>
    <s v="Jun-25"/>
    <n v="26"/>
    <s v="2025"/>
  </r>
  <r>
    <d v="2025-06-23T00:00:00"/>
    <s v="Tericsoft"/>
    <s v="Call"/>
    <s v="Corporate"/>
    <x v="0"/>
    <s v="Ameesha"/>
    <s v="Introduction to bulk delivery"/>
    <n v="0"/>
    <m/>
    <x v="19"/>
    <x v="0"/>
    <x v="0"/>
    <s v="Cold"/>
    <m/>
    <n v="0"/>
    <m/>
    <m/>
    <m/>
    <s v="Jun-25"/>
    <n v="26"/>
    <s v="2025"/>
  </r>
  <r>
    <d v="2025-06-24T00:00:00"/>
    <s v="HDFC Bank"/>
    <s v="F2F"/>
    <s v="Corporate"/>
    <x v="21"/>
    <s v="Naveen"/>
    <s v="Shared quote for 689 PAX of Biryani on 27-6-2025"/>
    <n v="0"/>
    <n v="0"/>
    <x v="22"/>
    <x v="0"/>
    <x v="1"/>
    <s v="Closed"/>
    <m/>
    <n v="0"/>
    <m/>
    <m/>
    <m/>
    <s v="Jun-25"/>
    <n v="26"/>
    <s v="2025"/>
  </r>
  <r>
    <d v="2025-06-24T00:00:00"/>
    <s v="ICICI Bank"/>
    <s v="F2F"/>
    <s v="Corporate"/>
    <x v="21"/>
    <s v="Devyani"/>
    <s v="Follow up for bulk delivery"/>
    <n v="90000"/>
    <m/>
    <x v="19"/>
    <x v="0"/>
    <x v="0"/>
    <s v="Cold"/>
    <m/>
    <n v="0"/>
    <m/>
    <m/>
    <m/>
    <s v="Jun-25"/>
    <n v="26"/>
    <s v="2025"/>
  </r>
  <r>
    <d v="2025-06-24T00:00:00"/>
    <s v="L&amp;T Finance"/>
    <s v="F2F"/>
    <s v="Corporate"/>
    <x v="21"/>
    <s v="Murali"/>
    <s v="Follow up for Further orders"/>
    <n v="0"/>
    <m/>
    <x v="19"/>
    <x v="0"/>
    <x v="0"/>
    <s v="Cold"/>
    <m/>
    <n v="0"/>
    <m/>
    <m/>
    <m/>
    <s v="Jun-25"/>
    <n v="26"/>
    <s v="2025"/>
  </r>
  <r>
    <d v="2025-06-24T00:00:00"/>
    <s v="Kaveri Seeds"/>
    <s v="F2F"/>
    <s v="Corporate"/>
    <x v="18"/>
    <s v="Indra Reddy"/>
    <s v="Follow up for Lunch &amp; Snacks Delivery"/>
    <n v="0"/>
    <m/>
    <x v="19"/>
    <x v="0"/>
    <x v="0"/>
    <s v="Cold"/>
    <m/>
    <n v="0"/>
    <m/>
    <m/>
    <m/>
    <s v="Jun-25"/>
    <n v="26"/>
    <s v="2025"/>
  </r>
  <r>
    <d v="2025-06-24T00:00:00"/>
    <s v="Ambipam Health Care"/>
    <s v="F2F"/>
    <s v="Corporate"/>
    <x v="13"/>
    <s v="Pooja"/>
    <s v="Introduction to bulk delivery"/>
    <n v="0"/>
    <m/>
    <x v="25"/>
    <x v="0"/>
    <x v="0"/>
    <s v="Cancelled"/>
    <m/>
    <n v="0"/>
    <s v="Corporate Order"/>
    <m/>
    <m/>
    <s v="Jun-25"/>
    <n v="26"/>
    <s v="2025"/>
  </r>
  <r>
    <d v="2025-06-25T00:00:00"/>
    <s v="HDFC Bank"/>
    <s v="F2F"/>
    <s v="Corporate"/>
    <x v="21"/>
    <s v="Venkat"/>
    <s v="Confirmed delivery of Biryani on 27-6-2025"/>
    <n v="100000"/>
    <n v="100000"/>
    <x v="22"/>
    <x v="0"/>
    <x v="1"/>
    <s v="Closed"/>
    <m/>
    <n v="0"/>
    <m/>
    <m/>
    <m/>
    <s v="Jun-25"/>
    <n v="26"/>
    <s v="2025"/>
  </r>
  <r>
    <d v="2025-06-25T00:00:00"/>
    <s v="Cognizant DLF"/>
    <s v="F2F"/>
    <s v="Corporate"/>
    <x v="0"/>
    <s v="Ashwin"/>
    <s v="Follow up for Further orders"/>
    <n v="16000"/>
    <n v="16000"/>
    <x v="22"/>
    <x v="0"/>
    <x v="1"/>
    <s v="Closed"/>
    <m/>
    <n v="0"/>
    <m/>
    <m/>
    <m/>
    <s v="Jun-25"/>
    <n v="26"/>
    <s v="2025"/>
  </r>
  <r>
    <d v="2025-06-25T00:00:00"/>
    <s v="Infosys"/>
    <s v="Call"/>
    <s v="Corporate"/>
    <x v="0"/>
    <s v="Sathya"/>
    <s v="Follow up for confirmation of Orders"/>
    <n v="40000"/>
    <m/>
    <x v="25"/>
    <x v="0"/>
    <x v="0"/>
    <s v="Cancelled"/>
    <m/>
    <n v="0"/>
    <s v="Corporate Order"/>
    <m/>
    <m/>
    <s v="Jun-25"/>
    <n v="26"/>
    <s v="2025"/>
  </r>
  <r>
    <d v="2025-06-26T00:00:00"/>
    <s v="Shambhavi Enterprise"/>
    <s v="F2F"/>
    <s v="Corporate"/>
    <x v="17"/>
    <s v="Mahesh"/>
    <s v="Shared quote for 40 PAX "/>
    <n v="18000"/>
    <m/>
    <x v="18"/>
    <x v="0"/>
    <x v="0"/>
    <s v="Cancelled"/>
    <m/>
    <n v="0"/>
    <s v="Corporate Order"/>
    <m/>
    <m/>
    <s v="Jun-25"/>
    <n v="26"/>
    <s v="2025"/>
  </r>
  <r>
    <d v="2025-06-26T00:00:00"/>
    <s v="Saga Events and Holidays"/>
    <s v="F2F"/>
    <s v="Corporate"/>
    <x v="17"/>
    <s v="Vikram"/>
    <s v="Shared details of food delivery at event in July"/>
    <n v="500000"/>
    <m/>
    <x v="25"/>
    <x v="0"/>
    <x v="0"/>
    <s v="Cancelled"/>
    <m/>
    <n v="0"/>
    <s v="Corporate Order"/>
    <m/>
    <m/>
    <s v="Jun-25"/>
    <n v="26"/>
    <s v="2025"/>
  </r>
  <r>
    <d v="2025-06-26T00:00:00"/>
    <s v="Compass Group Freshwork Bangalore"/>
    <s v="Call"/>
    <s v="Corporate"/>
    <x v="17"/>
    <s v="Pankaj"/>
    <s v="Discussion in regards with agreement"/>
    <n v="0"/>
    <m/>
    <x v="25"/>
    <x v="0"/>
    <x v="0"/>
    <s v="Cancelled"/>
    <m/>
    <n v="0"/>
    <s v="Bulk Order"/>
    <m/>
    <m/>
    <s v="Jun-25"/>
    <n v="26"/>
    <s v="2025"/>
  </r>
  <r>
    <d v="2025-06-26T00:00:00"/>
    <s v="Amazon "/>
    <s v="Call"/>
    <s v="Corporate"/>
    <x v="0"/>
    <s v="Victor"/>
    <s v="Discussion in regards with corporate collabration"/>
    <n v="0"/>
    <m/>
    <x v="25"/>
    <x v="0"/>
    <x v="0"/>
    <s v="Cancelled"/>
    <m/>
    <n v="0"/>
    <s v="Corporate Order"/>
    <m/>
    <m/>
    <s v="Jun-25"/>
    <n v="26"/>
    <s v="2025"/>
  </r>
  <r>
    <d v="2025-06-26T00:00:00"/>
    <s v="Qualcomm"/>
    <s v="F2F"/>
    <s v="Corporate"/>
    <x v="0"/>
    <s v="Abhay"/>
    <s v="Shared details of bulk delivery"/>
    <n v="0"/>
    <m/>
    <x v="25"/>
    <x v="0"/>
    <x v="0"/>
    <s v="Cancelled"/>
    <m/>
    <n v="0"/>
    <s v="Corporate Order"/>
    <m/>
    <m/>
    <s v="Jun-25"/>
    <n v="26"/>
    <s v="2025"/>
  </r>
  <r>
    <d v="2025-06-28T00:00:00"/>
    <s v="Delivery at Bowenpaly"/>
    <s v="Call"/>
    <s v="Events"/>
    <x v="10"/>
    <s v="Nikesh"/>
    <s v="Delivery of CB on 28-06-2025"/>
    <n v="7937"/>
    <n v="7937"/>
    <x v="22"/>
    <x v="0"/>
    <x v="1"/>
    <s v="Closed"/>
    <m/>
    <n v="0"/>
    <m/>
    <m/>
    <m/>
    <s v="Jun-25"/>
    <n v="26"/>
    <s v="2025"/>
  </r>
  <r>
    <d v="2025-06-29T00:00:00"/>
    <s v="Delivery at Vanasthalipuram"/>
    <s v="Call"/>
    <s v="Events"/>
    <x v="10"/>
    <s v="Ajay"/>
    <s v="Delivery of CB on 29-6-2025"/>
    <n v="6279"/>
    <n v="6279"/>
    <x v="22"/>
    <x v="0"/>
    <x v="1"/>
    <s v="Closed"/>
    <m/>
    <n v="0"/>
    <m/>
    <m/>
    <m/>
    <s v="Jun-25"/>
    <n v="26"/>
    <s v="2025"/>
  </r>
  <r>
    <d v="2025-06-30T00:00:00"/>
    <s v="Saga Events and Holidays"/>
    <s v="F2F"/>
    <s v="Corporate"/>
    <x v="17"/>
    <s v="Vikram"/>
    <s v="Shared Pricing and Negot"/>
    <n v="5000000"/>
    <m/>
    <x v="25"/>
    <x v="0"/>
    <x v="0"/>
    <s v="Cancelled"/>
    <m/>
    <n v="0"/>
    <s v="Bulk Order"/>
    <m/>
    <m/>
    <s v="Jun-25"/>
    <n v="27"/>
    <s v="2025"/>
  </r>
  <r>
    <d v="2025-06-30T00:00:00"/>
    <s v="Compass Group "/>
    <s v="Call"/>
    <s v="Corporate"/>
    <x v="17"/>
    <s v="Chandrika"/>
    <s v="Service Now event on "/>
    <n v="1200000"/>
    <m/>
    <x v="19"/>
    <x v="0"/>
    <x v="0"/>
    <s v="Cancelled"/>
    <m/>
    <n v="0"/>
    <m/>
    <m/>
    <m/>
    <s v="Jun-25"/>
    <n v="27"/>
    <s v="2025"/>
  </r>
  <r>
    <d v="2025-06-30T00:00:00"/>
    <s v="Delivery at Vanasthalipuram"/>
    <s v="Call"/>
    <s v="Events"/>
    <x v="10"/>
    <s v="Mukesh"/>
    <s v="Delivery of MB Handi on 30-6-2025"/>
    <n v="9500"/>
    <n v="9500"/>
    <x v="22"/>
    <x v="0"/>
    <x v="1"/>
    <s v="Closed"/>
    <m/>
    <n v="0"/>
    <m/>
    <m/>
    <m/>
    <s v="Jun-25"/>
    <n v="27"/>
    <s v="2025"/>
  </r>
  <r>
    <d v="2025-06-30T00:00:00"/>
    <s v="Delivery at Malkajgiri"/>
    <s v="Call"/>
    <s v="Events"/>
    <x v="10"/>
    <s v="Varun"/>
    <s v="Delivery of Biryani and Kabab on 30-6-2025"/>
    <n v="15160"/>
    <n v="15160"/>
    <x v="22"/>
    <x v="0"/>
    <x v="1"/>
    <s v="Closed"/>
    <m/>
    <n v="0"/>
    <m/>
    <m/>
    <m/>
    <s v="Jun-25"/>
    <n v="27"/>
    <s v="2025"/>
  </r>
  <r>
    <d v="2025-07-01T00:00:00"/>
    <s v="Buffet Lunch at Secundrabad"/>
    <s v="F2F"/>
    <s v="Events"/>
    <x v="10"/>
    <s v="Siva"/>
    <s v="Buffet lunch on 24-5-2025"/>
    <n v="0"/>
    <m/>
    <x v="25"/>
    <x v="0"/>
    <x v="0"/>
    <s v="Cancelled"/>
    <s v="Event Cancelled"/>
    <n v="0"/>
    <s v="Corporate Order"/>
    <m/>
    <m/>
    <s v="Jul-25"/>
    <n v="27"/>
    <s v="2025"/>
  </r>
  <r>
    <d v="2025-07-01T00:00:00"/>
    <s v="GHMC Commissionerate"/>
    <s v="F2F"/>
    <s v="Corporate"/>
    <x v="20"/>
    <s v="Samaiah"/>
    <s v="Follow up for payment and Next orders"/>
    <n v="0"/>
    <m/>
    <x v="25"/>
    <x v="0"/>
    <x v="0"/>
    <s v="Cancelled"/>
    <m/>
    <n v="0"/>
    <s v="Bulk Order"/>
    <m/>
    <m/>
    <s v="Jul-25"/>
    <n v="27"/>
    <s v="2025"/>
  </r>
  <r>
    <d v="2025-07-01T00:00:00"/>
    <s v="Saga Events and Holidays"/>
    <s v="F2F"/>
    <s v="Corporate"/>
    <x v="17"/>
    <s v="Pradeep"/>
    <s v="Follow up for confirmation of Orders"/>
    <n v="0"/>
    <m/>
    <x v="25"/>
    <x v="0"/>
    <x v="0"/>
    <s v="Cancelled"/>
    <m/>
    <n v="0"/>
    <s v="Corporate Order"/>
    <m/>
    <m/>
    <s v="Jul-25"/>
    <n v="27"/>
    <s v="2025"/>
  </r>
  <r>
    <d v="2025-07-01T00:00:00"/>
    <s v="Dell Technologies"/>
    <s v="F2F"/>
    <s v="Corporate"/>
    <x v="0"/>
    <s v="Shiva"/>
    <s v="Delivery of Veg and Nonveg combo on 2-7-2025"/>
    <n v="11799"/>
    <n v="11799"/>
    <x v="23"/>
    <x v="0"/>
    <x v="1"/>
    <s v="Closed"/>
    <m/>
    <n v="0"/>
    <m/>
    <m/>
    <m/>
    <s v="Jul-25"/>
    <n v="27"/>
    <s v="2025"/>
  </r>
  <r>
    <d v="2025-07-02T00:00:00"/>
    <s v="Delivery at VIP Road"/>
    <s v="Call"/>
    <s v="Events"/>
    <x v="10"/>
    <s v="Viswa"/>
    <s v="Delivery of Cb &amp; Kababs"/>
    <n v="24275"/>
    <n v="24275"/>
    <x v="23"/>
    <x v="0"/>
    <x v="1"/>
    <s v="Closed"/>
    <m/>
    <n v="0"/>
    <m/>
    <m/>
    <m/>
    <s v="Jul-25"/>
    <n v="27"/>
    <s v="2025"/>
  </r>
  <r>
    <d v="2025-07-02T00:00:00"/>
    <s v="Ameerpet Church"/>
    <s v="F2F"/>
    <s v="Church"/>
    <x v="8"/>
    <s v="Rajasekhar"/>
    <s v="Serving of CB Dinner for 200 PAX on 3-7-2025"/>
    <n v="38000"/>
    <n v="38000"/>
    <x v="23"/>
    <x v="0"/>
    <x v="1"/>
    <s v="Closed"/>
    <m/>
    <n v="0"/>
    <m/>
    <m/>
    <m/>
    <s v="Jul-25"/>
    <n v="27"/>
    <s v="2025"/>
  </r>
  <r>
    <d v="2025-07-02T00:00:00"/>
    <s v="Delivery at MG Road"/>
    <s v="Call"/>
    <s v="Events"/>
    <x v="10"/>
    <s v="Ganesh"/>
    <s v="Delivery of CB on 2-7-2025"/>
    <n v="8126"/>
    <n v="8126"/>
    <x v="23"/>
    <x v="0"/>
    <x v="1"/>
    <s v="Closed"/>
    <m/>
    <n v="0"/>
    <m/>
    <m/>
    <m/>
    <s v="Jul-25"/>
    <n v="27"/>
    <s v="2025"/>
  </r>
  <r>
    <d v="2025-07-02T00:00:00"/>
    <s v="Ankura Hospital"/>
    <s v="F2F"/>
    <s v="Corporate"/>
    <x v="13"/>
    <s v="Rekha"/>
    <s v="Followup for further orders"/>
    <n v="20000"/>
    <m/>
    <x v="18"/>
    <x v="0"/>
    <x v="0"/>
    <s v="Cancelled"/>
    <m/>
    <n v="0"/>
    <s v="Corporate Order"/>
    <m/>
    <m/>
    <s v="Jul-25"/>
    <n v="27"/>
    <s v="2025"/>
  </r>
  <r>
    <d v="2025-07-03T00:00:00"/>
    <s v="Amaron Battries"/>
    <s v="F2F"/>
    <s v="Corporate"/>
    <x v="7"/>
    <s v="Pavan"/>
    <s v="Gifting"/>
    <n v="98000"/>
    <m/>
    <x v="18"/>
    <x v="0"/>
    <x v="0"/>
    <s v="Cancelled"/>
    <m/>
    <n v="0"/>
    <s v="Gifting"/>
    <m/>
    <m/>
    <s v="Jul-25"/>
    <n v="27"/>
    <s v="2025"/>
  </r>
  <r>
    <d v="2025-07-03T00:00:00"/>
    <s v="Issquard"/>
    <s v="F2F"/>
    <s v="Corporate"/>
    <x v="0"/>
    <s v="Aditya"/>
    <s v="Introduction to bulk delivery and dine in "/>
    <n v="0"/>
    <m/>
    <x v="25"/>
    <x v="0"/>
    <x v="0"/>
    <s v="Cancelled"/>
    <m/>
    <n v="0"/>
    <s v="Corporate Order"/>
    <m/>
    <m/>
    <s v="Jul-25"/>
    <n v="27"/>
    <s v="2025"/>
  </r>
  <r>
    <d v="2025-07-03T00:00:00"/>
    <s v="Servo Oils"/>
    <s v="F2F"/>
    <s v="Corporate"/>
    <x v="19"/>
    <s v="Ganesh"/>
    <s v="Introduction to gifting"/>
    <n v="0"/>
    <m/>
    <x v="25"/>
    <x v="0"/>
    <x v="0"/>
    <s v="Cancelled"/>
    <m/>
    <n v="0"/>
    <s v="Corporate Order"/>
    <m/>
    <m/>
    <s v="Jul-25"/>
    <n v="27"/>
    <s v="2025"/>
  </r>
  <r>
    <d v="2025-07-04T00:00:00"/>
    <s v="DBS Waverock"/>
    <s v="F2F"/>
    <s v="Corporate"/>
    <x v="0"/>
    <s v="Suresh"/>
    <s v="Shared quote for 100 pax lunch in July"/>
    <n v="85000"/>
    <m/>
    <x v="25"/>
    <x v="0"/>
    <x v="0"/>
    <s v="Cancelled"/>
    <m/>
    <n v="0"/>
    <s v="Corporate Order"/>
    <m/>
    <m/>
    <s v="Jul-25"/>
    <n v="27"/>
    <s v="2025"/>
  </r>
  <r>
    <d v="2025-07-05T00:00:00"/>
    <s v="Delivery at Hitec"/>
    <s v="Call"/>
    <s v="Events"/>
    <x v="10"/>
    <s v="Jitendra"/>
    <s v="Delivery of CB on 5-7-2025"/>
    <n v="8126"/>
    <n v="8126"/>
    <x v="23"/>
    <x v="0"/>
    <x v="1"/>
    <s v="Closed"/>
    <m/>
    <n v="0"/>
    <m/>
    <m/>
    <m/>
    <s v="Jul-25"/>
    <n v="27"/>
    <s v="2025"/>
  </r>
  <r>
    <d v="2025-07-05T00:00:00"/>
    <s v="Delivery at Hitec"/>
    <s v="Call"/>
    <s v="Events"/>
    <x v="10"/>
    <s v="Vikas"/>
    <s v="Delivery of CB on 5-7-2025"/>
    <n v="24257"/>
    <n v="24257"/>
    <x v="23"/>
    <x v="0"/>
    <x v="1"/>
    <s v="Closed"/>
    <m/>
    <n v="0"/>
    <m/>
    <m/>
    <m/>
    <s v="Jul-25"/>
    <n v="27"/>
    <s v="2025"/>
  </r>
  <r>
    <d v="2025-07-07T00:00:00"/>
    <s v="MSN Labs"/>
    <s v="F2F"/>
    <s v="Corporate"/>
    <x v="5"/>
    <s v="Sandeep"/>
    <s v="Follow up for payments"/>
    <n v="0"/>
    <n v="0"/>
    <x v="19"/>
    <x v="0"/>
    <x v="1"/>
    <s v="Closed"/>
    <m/>
    <n v="0"/>
    <m/>
    <m/>
    <m/>
    <s v="Jul-25"/>
    <n v="28"/>
    <s v="2025"/>
  </r>
  <r>
    <d v="2025-07-07T00:00:00"/>
    <s v="Delivery at secundrabad"/>
    <s v="Call"/>
    <s v="Events"/>
    <x v="10"/>
    <s v="Ganesh"/>
    <s v="Delivery of Cb at secundrabad"/>
    <n v="9000"/>
    <n v="9000"/>
    <x v="23"/>
    <x v="0"/>
    <x v="1"/>
    <s v="Closed"/>
    <m/>
    <n v="0"/>
    <m/>
    <m/>
    <m/>
    <s v="Jul-25"/>
    <n v="28"/>
    <s v="2025"/>
  </r>
  <r>
    <d v="2025-07-07T00:00:00"/>
    <s v="Kaushik Enterprise "/>
    <s v="F2F"/>
    <s v="Corporate"/>
    <x v="17"/>
    <s v="Suresh"/>
    <s v="shared quote for buffet lunch"/>
    <n v="100000"/>
    <m/>
    <x v="18"/>
    <x v="0"/>
    <x v="0"/>
    <s v="Cancelled"/>
    <m/>
    <n v="0"/>
    <s v="Bulk Order"/>
    <m/>
    <m/>
    <s v="Jul-25"/>
    <n v="28"/>
    <s v="2025"/>
  </r>
  <r>
    <d v="2025-07-08T00:00:00"/>
    <s v="Amaron Battery (Amara Raja Battries Ltd)"/>
    <s v="F2F"/>
    <s v="Corporate"/>
    <x v="7"/>
    <s v="Pavan"/>
    <s v="dine in of 240 pax on 18-7-2025 at charminar"/>
    <n v="84784"/>
    <n v="84784"/>
    <x v="23"/>
    <x v="0"/>
    <x v="1"/>
    <s v="Closed"/>
    <m/>
    <n v="0"/>
    <m/>
    <m/>
    <m/>
    <s v="Jul-25"/>
    <n v="28"/>
    <s v="2025"/>
  </r>
  <r>
    <d v="2025-07-08T00:00:00"/>
    <s v="Saga Events and Holidays"/>
    <s v="F2F"/>
    <s v="Corporate"/>
    <x v="17"/>
    <s v="Pradeep"/>
    <s v="Follow up for closure of delivery of bulk order"/>
    <n v="0"/>
    <m/>
    <x v="25"/>
    <x v="0"/>
    <x v="0"/>
    <s v="Cancelled"/>
    <m/>
    <n v="0"/>
    <s v="Corporate Order"/>
    <m/>
    <m/>
    <s v="Jul-25"/>
    <n v="28"/>
    <s v="2025"/>
  </r>
  <r>
    <d v="2025-07-08T00:00:00"/>
    <s v="Cognizant DLF"/>
    <s v="F2F"/>
    <s v="Corporate"/>
    <x v="0"/>
    <s v="Anil"/>
    <s v="Follow up for further orders"/>
    <n v="0"/>
    <m/>
    <x v="25"/>
    <x v="0"/>
    <x v="0"/>
    <s v="Cancelled"/>
    <m/>
    <n v="0"/>
    <s v="Corporate Order"/>
    <m/>
    <m/>
    <s v="Jul-25"/>
    <n v="28"/>
    <s v="2025"/>
  </r>
  <r>
    <d v="2025-07-09T00:00:00"/>
    <s v="Delivery at Meerpet"/>
    <s v="F2F"/>
    <s v="Events"/>
    <x v="10"/>
    <s v="Pradeep kumar"/>
    <s v="Delivery of CB on 10-7-2025"/>
    <n v="8000"/>
    <n v="8000"/>
    <x v="23"/>
    <x v="0"/>
    <x v="1"/>
    <s v="Closed"/>
    <m/>
    <n v="0"/>
    <m/>
    <m/>
    <m/>
    <s v="Jul-25"/>
    <n v="28"/>
    <s v="2025"/>
  </r>
  <r>
    <d v="2025-07-09T00:00:00"/>
    <s v="Delivery at Secundrabad"/>
    <s v="F2F"/>
    <s v="Events"/>
    <x v="10"/>
    <s v="Giri"/>
    <s v="Delivery of CB on 10-7-2025"/>
    <n v="10000"/>
    <n v="10000"/>
    <x v="23"/>
    <x v="0"/>
    <x v="1"/>
    <s v="Closed"/>
    <m/>
    <n v="0"/>
    <m/>
    <m/>
    <m/>
    <s v="Jul-25"/>
    <n v="28"/>
    <s v="2025"/>
  </r>
  <r>
    <d v="2025-07-09T00:00:00"/>
    <s v="Natco Pharma"/>
    <s v="F2F"/>
    <s v="Corporate"/>
    <x v="5"/>
    <s v="Tanmoy"/>
    <s v="Follow up for Biryani Kits Order"/>
    <n v="0"/>
    <m/>
    <x v="25"/>
    <x v="0"/>
    <x v="0"/>
    <s v="Cancelled"/>
    <m/>
    <n v="0"/>
    <s v="Corporate Order"/>
    <m/>
    <m/>
    <s v="Jul-25"/>
    <n v="28"/>
    <s v="2025"/>
  </r>
  <r>
    <d v="2025-07-09T00:00:00"/>
    <s v="Delivery at SEBLR Banglore (Compass)"/>
    <s v="Call"/>
    <s v="Corporate"/>
    <x v="17"/>
    <s v="Saad"/>
    <s v="New Delivery at Compass group on 9-7-2025"/>
    <n v="73167"/>
    <n v="73167"/>
    <x v="23"/>
    <x v="1"/>
    <x v="1"/>
    <s v="Closed"/>
    <m/>
    <n v="0"/>
    <m/>
    <m/>
    <m/>
    <s v="Jul-25"/>
    <n v="28"/>
    <s v="2025"/>
  </r>
  <r>
    <d v="2025-07-10T00:00:00"/>
    <s v="Sagarsoft"/>
    <s v="F2F"/>
    <s v="Corporate"/>
    <x v="0"/>
    <s v="Srinivas"/>
    <s v="Follow up for bulk orders"/>
    <n v="0"/>
    <n v="0"/>
    <x v="25"/>
    <x v="0"/>
    <x v="0"/>
    <s v="Cancelled"/>
    <m/>
    <n v="0"/>
    <s v="Corporate Order"/>
    <m/>
    <m/>
    <s v="Jul-25"/>
    <n v="28"/>
    <s v="2025"/>
  </r>
  <r>
    <d v="2025-07-10T00:00:00"/>
    <s v="SK tours and Travels"/>
    <s v="F2F"/>
    <s v="Corporate"/>
    <x v="1"/>
    <s v="Ashok"/>
    <s v="Introductiopn to bulk delivery and dine in fir tourist"/>
    <n v="0"/>
    <n v="0"/>
    <x v="25"/>
    <x v="0"/>
    <x v="0"/>
    <s v="Cancelled"/>
    <m/>
    <n v="0"/>
    <s v="Corporate Order"/>
    <m/>
    <m/>
    <s v="Jul-25"/>
    <n v="28"/>
    <s v="2025"/>
  </r>
  <r>
    <d v="2025-07-11T00:00:00"/>
    <s v="Delivery of Biryani Kits at Vanasthalipuram"/>
    <s v="Call"/>
    <s v="Corporate"/>
    <x v="7"/>
    <s v="Shivakrishna"/>
    <s v="Deliverd Biryani kits on 11-07-2025"/>
    <n v="9666"/>
    <n v="9666"/>
    <x v="23"/>
    <x v="0"/>
    <x v="1"/>
    <s v="Closed"/>
    <m/>
    <n v="0"/>
    <m/>
    <m/>
    <m/>
    <s v="Jul-25"/>
    <n v="28"/>
    <s v="2025"/>
  </r>
  <r>
    <d v="2025-07-11T00:00:00"/>
    <s v="Delivery of CB at Mettuguda"/>
    <s v="F2F"/>
    <s v="Events"/>
    <x v="10"/>
    <s v="Harini"/>
    <s v="Delivery of CB on 12-7-2025"/>
    <n v="12100"/>
    <n v="12100"/>
    <x v="23"/>
    <x v="0"/>
    <x v="1"/>
    <s v="Closed"/>
    <m/>
    <n v="0"/>
    <m/>
    <m/>
    <m/>
    <s v="Jul-25"/>
    <n v="28"/>
    <s v="2025"/>
  </r>
  <r>
    <d v="2025-07-11T00:00:00"/>
    <s v="Delivery at SEBLR Banglore (Compass)"/>
    <s v="Call"/>
    <s v="Corporate"/>
    <x v="17"/>
    <s v="Saad"/>
    <s v="Delivery of Special CB Handi on 11-7-25"/>
    <n v="53085"/>
    <n v="53085"/>
    <x v="23"/>
    <x v="1"/>
    <x v="1"/>
    <s v="Closed"/>
    <m/>
    <n v="0"/>
    <m/>
    <m/>
    <m/>
    <s v="Jul-25"/>
    <n v="28"/>
    <s v="2025"/>
  </r>
  <r>
    <d v="2025-07-14T00:00:00"/>
    <s v="Aduri Infra Ltd"/>
    <s v="F2F"/>
    <s v="Corporate"/>
    <x v="15"/>
    <s v="MS Reddy"/>
    <s v="Introduction to bulk orders and delivery in events"/>
    <n v="0"/>
    <n v="0"/>
    <x v="25"/>
    <x v="0"/>
    <x v="0"/>
    <s v="Cancelled"/>
    <m/>
    <n v="0"/>
    <s v="Corporate Order"/>
    <m/>
    <m/>
    <s v="Jul-25"/>
    <n v="29"/>
    <s v="2025"/>
  </r>
  <r>
    <d v="2025-07-14T00:00:00"/>
    <s v="Osmania Univercity"/>
    <s v="F2F"/>
    <s v="College"/>
    <x v="4"/>
    <s v="Soni"/>
    <s v="Delivery of CB &amp; VB on 19-7-2925"/>
    <n v="15000"/>
    <n v="15000"/>
    <x v="23"/>
    <x v="0"/>
    <x v="1"/>
    <s v="Closed"/>
    <m/>
    <n v="0"/>
    <m/>
    <m/>
    <m/>
    <s v="Jul-25"/>
    <n v="29"/>
    <s v="2025"/>
  </r>
  <r>
    <d v="2025-07-14T00:00:00"/>
    <s v="Travel Agency "/>
    <s v="F2F"/>
    <s v="Corporate"/>
    <x v="1"/>
    <s v="Muni Kumar"/>
    <s v="Dine in for travel group in July"/>
    <n v="30000"/>
    <n v="0"/>
    <x v="25"/>
    <x v="0"/>
    <x v="0"/>
    <s v="Cancelled"/>
    <m/>
    <n v="0"/>
    <s v="Corporate Order"/>
    <m/>
    <m/>
    <s v="Jul-25"/>
    <n v="29"/>
    <s v="2025"/>
  </r>
  <r>
    <d v="2025-07-15T00:00:00"/>
    <s v="Wipro Lightings"/>
    <s v="F2F"/>
    <s v="Corporate"/>
    <x v="7"/>
    <s v="Vamsikrishna"/>
    <s v="Introduction to corporate gifting and Bulk delivery"/>
    <n v="0"/>
    <n v="0"/>
    <x v="25"/>
    <x v="0"/>
    <x v="0"/>
    <s v="Cancelled"/>
    <m/>
    <n v="0"/>
    <s v="Corporate Order"/>
    <m/>
    <m/>
    <s v="Jul-25"/>
    <n v="29"/>
    <s v="2025"/>
  </r>
  <r>
    <d v="2025-07-15T00:00:00"/>
    <s v="Universal Tours &amp; Travels"/>
    <s v="F2F"/>
    <s v="Corporate"/>
    <x v="1"/>
    <s v="Satya"/>
    <s v="Introduction to bulk dine in and delivery for tourist"/>
    <n v="0"/>
    <n v="0"/>
    <x v="25"/>
    <x v="0"/>
    <x v="0"/>
    <s v="Cancelled"/>
    <m/>
    <n v="0"/>
    <s v="Corporate Order"/>
    <m/>
    <m/>
    <s v="Jul-25"/>
    <n v="29"/>
    <s v="2025"/>
  </r>
  <r>
    <d v="2025-07-15T00:00:00"/>
    <s v="Majestic Travel &amp; Tourism"/>
    <s v="F2F"/>
    <s v="Corporate"/>
    <x v="1"/>
    <s v="Ravi"/>
    <s v="Introductio to bulk orders for tourist"/>
    <n v="0"/>
    <n v="0"/>
    <x v="25"/>
    <x v="0"/>
    <x v="0"/>
    <s v="Cancelled"/>
    <m/>
    <n v="0"/>
    <s v="Corporate Order"/>
    <m/>
    <m/>
    <s v="Jul-25"/>
    <n v="29"/>
    <s v="2025"/>
  </r>
  <r>
    <d v="2025-07-16T00:00:00"/>
    <s v="Delivery at Compass Group Bangalore"/>
    <s v="Call"/>
    <s v="Corporate"/>
    <x v="17"/>
    <s v="Pankaj"/>
    <s v="Delivery of Special CB &amp; MB Handi on 16-7-25"/>
    <n v="70568"/>
    <n v="70568"/>
    <x v="23"/>
    <x v="1"/>
    <x v="1"/>
    <s v="Closed"/>
    <m/>
    <n v="0"/>
    <m/>
    <m/>
    <m/>
    <s v="Jul-25"/>
    <n v="29"/>
    <s v="2025"/>
  </r>
  <r>
    <d v="2025-07-16T00:00:00"/>
    <s v="Delivery at SEBLR Banglore (Compass)"/>
    <s v="Call"/>
    <s v="Corporate"/>
    <x v="17"/>
    <s v="Saad"/>
    <s v="New Delivery at Compass group on 16-7-2025"/>
    <n v="46007"/>
    <n v="46007"/>
    <x v="23"/>
    <x v="1"/>
    <x v="1"/>
    <s v="Closed"/>
    <m/>
    <n v="0"/>
    <m/>
    <m/>
    <m/>
    <s v="Jul-25"/>
    <n v="29"/>
    <s v="2025"/>
  </r>
  <r>
    <d v="2025-07-16T00:00:00"/>
    <s v="Millaniums Event "/>
    <s v="F2F"/>
    <s v="Corporate"/>
    <x v="17"/>
    <s v="Aswin"/>
    <s v="Event at manikonda on 20-7-2025"/>
    <n v="40000"/>
    <m/>
    <x v="25"/>
    <x v="0"/>
    <x v="0"/>
    <s v="Cancelled"/>
    <m/>
    <n v="0"/>
    <s v="Corporate Order"/>
    <m/>
    <m/>
    <s v="Jul-25"/>
    <n v="29"/>
    <s v="2025"/>
  </r>
  <r>
    <d v="2025-07-16T00:00:00"/>
    <s v="JB Ventures Pvt td"/>
    <s v="F2F"/>
    <s v="Corporate"/>
    <x v="15"/>
    <s v="Sravya"/>
    <s v="Introduction to bulk supply at reralestate"/>
    <n v="0"/>
    <n v="0"/>
    <x v="25"/>
    <x v="0"/>
    <x v="0"/>
    <s v="Cancelled"/>
    <m/>
    <n v="0"/>
    <s v="Corporate Order"/>
    <m/>
    <m/>
    <s v="Jul-25"/>
    <n v="29"/>
    <s v="2025"/>
  </r>
  <r>
    <d v="2025-07-16T00:00:00"/>
    <s v="DRS International School"/>
    <s v="F2F"/>
    <s v="School"/>
    <x v="4"/>
    <s v="Dinesh"/>
    <s v="Follow up for event in August"/>
    <n v="0"/>
    <n v="0"/>
    <x v="25"/>
    <x v="0"/>
    <x v="0"/>
    <s v="Cancelled"/>
    <m/>
    <n v="0"/>
    <s v="Corporate Order"/>
    <m/>
    <m/>
    <s v="Jul-25"/>
    <n v="29"/>
    <s v="2025"/>
  </r>
  <r>
    <d v="2025-07-17T00:00:00"/>
    <s v="Service Now"/>
    <s v="F2F"/>
    <s v="Corporate"/>
    <x v="0"/>
    <s v="Chandrika"/>
    <s v="Shared quote for delivery of food on 24-7-2025"/>
    <n v="700000"/>
    <n v="0"/>
    <x v="18"/>
    <x v="0"/>
    <x v="0"/>
    <s v="Cancelled"/>
    <m/>
    <n v="0"/>
    <s v="Corporate Order"/>
    <m/>
    <m/>
    <s v="Jul-25"/>
    <n v="29"/>
    <m/>
  </r>
  <r>
    <d v="2025-07-17T00:00:00"/>
    <s v="GHMC Commissionerate"/>
    <s v="F2F"/>
    <s v="Corporate"/>
    <x v="20"/>
    <s v="Lavanya"/>
    <s v="follow up for past payment"/>
    <n v="0"/>
    <n v="0"/>
    <x v="25"/>
    <x v="0"/>
    <x v="0"/>
    <s v="Cancelled"/>
    <m/>
    <n v="0"/>
    <s v="Corporate Order"/>
    <m/>
    <m/>
    <s v="Jul-25"/>
    <n v="29"/>
    <m/>
  </r>
  <r>
    <d v="2025-07-17T00:00:00"/>
    <s v="Amaron"/>
    <s v="F2F"/>
    <s v="Corporate"/>
    <x v="7"/>
    <s v="Pavan"/>
    <s v="Confirmed the order for 18-7-2025"/>
    <n v="0"/>
    <n v="0"/>
    <x v="23"/>
    <x v="0"/>
    <x v="1"/>
    <s v="Closed"/>
    <m/>
    <n v="0"/>
    <m/>
    <m/>
    <m/>
    <s v="Jul-25"/>
    <n v="29"/>
    <m/>
  </r>
  <r>
    <d v="2025-07-18T00:00:00"/>
    <s v="Delivery at Mehdiptanam from kukatpally"/>
    <s v="F2F"/>
    <s v="Corporate"/>
    <x v="7"/>
    <s v="Bajid Ansari"/>
    <s v="Delivery of MB and Kabab on 20-7-2025"/>
    <n v="34000"/>
    <n v="34000"/>
    <x v="23"/>
    <x v="0"/>
    <x v="1"/>
    <s v="Closed"/>
    <m/>
    <n v="0"/>
    <m/>
    <m/>
    <m/>
    <s v="Jul-25"/>
    <n v="29"/>
    <m/>
  </r>
  <r>
    <d v="2025-07-21T00:00:00"/>
    <s v="Wipro Consumer &amp; Lightings"/>
    <s v="F2F"/>
    <s v="Corporate"/>
    <x v="7"/>
    <s v="Nagaraju"/>
    <s v="Shared details of Wallet gifting to employees"/>
    <n v="200000"/>
    <m/>
    <x v="18"/>
    <x v="0"/>
    <x v="0"/>
    <s v="Cancelled"/>
    <m/>
    <n v="0"/>
    <s v="Corporate Order"/>
    <m/>
    <m/>
    <s v="Jul-25"/>
    <n v="30"/>
    <m/>
  </r>
  <r>
    <d v="2025-07-21T00:00:00"/>
    <s v="Swamy Fooods &amp; Travels"/>
    <s v="F2F"/>
    <s v="Corporate"/>
    <x v="1"/>
    <s v="Swamy"/>
    <s v="Ready to work as a TA, Collected Documents"/>
    <n v="0"/>
    <n v="0"/>
    <x v="23"/>
    <x v="0"/>
    <x v="1"/>
    <s v="Closed"/>
    <m/>
    <n v="0"/>
    <m/>
    <m/>
    <m/>
    <s v="Jul-25"/>
    <n v="30"/>
    <m/>
  </r>
  <r>
    <d v="2025-07-22T00:00:00"/>
    <s v="MY Travel Buddy"/>
    <s v="F2F"/>
    <s v="Corporate"/>
    <x v="1"/>
    <s v="Ravil"/>
    <s v="Interested for inbound tourist"/>
    <n v="0"/>
    <n v="0"/>
    <x v="25"/>
    <x v="0"/>
    <x v="0"/>
    <s v="Cancelled"/>
    <m/>
    <n v="0"/>
    <s v="Corporate Order"/>
    <m/>
    <m/>
    <s v="Jul-25"/>
    <n v="30"/>
    <m/>
  </r>
  <r>
    <d v="2025-07-22T00:00:00"/>
    <s v="Sridevi Travels"/>
    <s v="F2F"/>
    <s v="Corporate"/>
    <x v="1"/>
    <s v="Satish"/>
    <s v="Interested for inbound tourist"/>
    <n v="0"/>
    <n v="0"/>
    <x v="25"/>
    <x v="0"/>
    <x v="0"/>
    <s v="Cancelled"/>
    <m/>
    <n v="0"/>
    <s v="Corporate Order"/>
    <m/>
    <m/>
    <s v="Jul-25"/>
    <n v="30"/>
    <m/>
  </r>
  <r>
    <d v="2025-07-22T00:00:00"/>
    <s v="Aero Space Tours &amp; Travels"/>
    <s v="F2F"/>
    <s v="Corporate"/>
    <x v="1"/>
    <s v="Ramesh"/>
    <s v="Only international trips may send some small groups"/>
    <n v="0"/>
    <n v="0"/>
    <x v="25"/>
    <x v="0"/>
    <x v="0"/>
    <s v="Cancelled"/>
    <m/>
    <n v="0"/>
    <s v="Corporate Order"/>
    <m/>
    <m/>
    <s v="Jul-25"/>
    <n v="30"/>
    <m/>
  </r>
  <r>
    <d v="2025-07-23T00:00:00"/>
    <s v="Green Vecations"/>
    <s v="F2F"/>
    <s v="Corporate"/>
    <x v="1"/>
    <s v="Sampath Gupta"/>
    <s v="Intro regards Tie up,more into uinternational trips"/>
    <n v="0"/>
    <n v="0"/>
    <x v="25"/>
    <x v="0"/>
    <x v="0"/>
    <s v="Cancelled"/>
    <m/>
    <n v="0"/>
    <s v="Corporate Order"/>
    <m/>
    <m/>
    <s v="Jul-25"/>
    <n v="30"/>
    <m/>
  </r>
  <r>
    <d v="2025-07-23T00:00:00"/>
    <s v="Great Holidays"/>
    <s v="F2F"/>
    <s v="Corporate"/>
    <x v="1"/>
    <s v="S Chandra Sekhar"/>
    <s v="Intro to comission based dine in and delivery for tourist"/>
    <n v="0"/>
    <n v="0"/>
    <x v="25"/>
    <x v="0"/>
    <x v="0"/>
    <s v="Cancelled"/>
    <m/>
    <n v="0"/>
    <s v="Corporate Order"/>
    <m/>
    <m/>
    <s v="Jul-25"/>
    <n v="30"/>
    <m/>
  </r>
  <r>
    <d v="2025-07-23T00:00:00"/>
    <s v="68MHolidays"/>
    <s v="F2F"/>
    <s v="Corporate"/>
    <x v="1"/>
    <s v="Syed Murtza Ali"/>
    <s v="will send guest directly, Outbound"/>
    <n v="0"/>
    <n v="0"/>
    <x v="25"/>
    <x v="0"/>
    <x v="0"/>
    <s v="Cancelled"/>
    <m/>
    <n v="0"/>
    <s v="Corporate Order"/>
    <m/>
    <m/>
    <s v="Jul-25"/>
    <n v="30"/>
    <m/>
  </r>
  <r>
    <d v="2025-07-23T00:00:00"/>
    <s v="Akbar Travels of India PVT LTD"/>
    <s v="F2F"/>
    <s v="Corporate"/>
    <x v="1"/>
    <s v="Dr Anita Singh"/>
    <s v="Will send groups directly , more into outbound"/>
    <n v="0"/>
    <n v="0"/>
    <x v="27"/>
    <x v="0"/>
    <x v="2"/>
    <s v="Warm"/>
    <m/>
    <n v="0"/>
    <s v="Corporate Order"/>
    <m/>
    <m/>
    <s v="Jul-25"/>
    <n v="30"/>
    <m/>
  </r>
  <r>
    <d v="2025-07-23T00:00:00"/>
    <s v="Delivery at Compass Group Bangalore"/>
    <s v="Call"/>
    <s v="Corporate"/>
    <x v="17"/>
    <s v="Pankaj"/>
    <s v="Delivery of Special CB &amp; MB Handi on 23-7-25"/>
    <n v="68111"/>
    <n v="68111"/>
    <x v="23"/>
    <x v="1"/>
    <x v="1"/>
    <s v="Closed"/>
    <m/>
    <n v="0"/>
    <m/>
    <m/>
    <m/>
    <s v="Jul-25"/>
    <n v="30"/>
    <m/>
  </r>
  <r>
    <d v="2025-07-23T00:00:00"/>
    <s v="Take away fron Suncity"/>
    <s v="F2F"/>
    <s v="Corporate"/>
    <x v="17"/>
    <s v="Sandhya"/>
    <s v="Take away of CB &amp; VB on 23-7-25"/>
    <n v="8000"/>
    <n v="8000"/>
    <x v="23"/>
    <x v="0"/>
    <x v="1"/>
    <s v="Closed"/>
    <m/>
    <n v="0"/>
    <m/>
    <m/>
    <m/>
    <s v="Jul-25"/>
    <n v="30"/>
    <m/>
  </r>
  <r>
    <d v="2025-07-24T00:00:00"/>
    <s v="DBS Waverock"/>
    <s v="F2F"/>
    <s v="Corporate"/>
    <x v="0"/>
    <s v="Sadhiqua"/>
    <s v="Delivery of Executive Meal Plate for employeee"/>
    <n v="7000"/>
    <n v="7000"/>
    <x v="23"/>
    <x v="0"/>
    <x v="1"/>
    <s v="Closed"/>
    <m/>
    <n v="0"/>
    <m/>
    <m/>
    <m/>
    <s v="Jul-25"/>
    <n v="30"/>
    <m/>
  </r>
  <r>
    <d v="2025-07-25T00:00:00"/>
    <s v="Platos"/>
    <s v="F2F"/>
    <s v="Corporate"/>
    <x v="17"/>
    <s v="Hyder"/>
    <s v="Follow up for order"/>
    <n v="0"/>
    <n v="0"/>
    <x v="27"/>
    <x v="0"/>
    <x v="3"/>
    <s v="Hot"/>
    <m/>
    <n v="0"/>
    <s v="Corporate Order"/>
    <m/>
    <m/>
    <s v="Jul-25"/>
    <n v="30"/>
    <m/>
  </r>
  <r>
    <d v="2025-07-25T00:00:00"/>
    <s v="Wipro Lightings"/>
    <s v="F2F"/>
    <s v="Corporate"/>
    <x v="7"/>
    <s v="Vamshikrishna"/>
    <s v="follow up for wallet recharge"/>
    <n v="0"/>
    <n v="0"/>
    <x v="27"/>
    <x v="0"/>
    <x v="3"/>
    <s v="Hot"/>
    <m/>
    <n v="0"/>
    <s v="Corporate Order"/>
    <m/>
    <m/>
    <s v="Jul-25"/>
    <n v="30"/>
    <m/>
  </r>
  <r>
    <d v="2025-07-27T00:00:00"/>
    <s v="Delivery at Uppal"/>
    <s v="Call"/>
    <s v="Corporate"/>
    <x v="10"/>
    <s v="Mahesh"/>
    <s v="Delivery of CB and kabab at uppal on 27-7-25"/>
    <n v="5445"/>
    <n v="5445"/>
    <x v="23"/>
    <x v="0"/>
    <x v="1"/>
    <s v="Closed"/>
    <m/>
    <n v="0"/>
    <m/>
    <m/>
    <m/>
    <s v="Jul-25"/>
    <n v="30"/>
    <m/>
  </r>
  <r>
    <d v="2025-07-28T00:00:00"/>
    <s v="Sana Travels"/>
    <s v="F2F"/>
    <s v="Corporate"/>
    <x v="1"/>
    <s v="Rashid Amer"/>
    <s v="Introduction to tourist dine in and delivery"/>
    <n v="0"/>
    <n v="0"/>
    <x v="27"/>
    <x v="0"/>
    <x v="2"/>
    <s v="Cold"/>
    <m/>
    <n v="0"/>
    <s v="Corporate Order"/>
    <m/>
    <m/>
    <s v="Jul-25"/>
    <n v="31"/>
    <m/>
  </r>
  <r>
    <d v="2025-07-28T00:00:00"/>
    <s v="Enjoy Travels"/>
    <s v="F2F"/>
    <s v="Corporate"/>
    <x v="1"/>
    <s v="Issa"/>
    <s v="Introduction to tourist dine in and delivery"/>
    <n v="0"/>
    <n v="0"/>
    <x v="27"/>
    <x v="0"/>
    <x v="2"/>
    <s v="Cold"/>
    <m/>
    <n v="0"/>
    <s v="Corporate Order"/>
    <m/>
    <m/>
    <s v="Jul-25"/>
    <n v="31"/>
    <m/>
  </r>
  <r>
    <d v="2025-07-28T00:00:00"/>
    <s v="MSN Lbs"/>
    <s v="F2F"/>
    <s v="Corporate"/>
    <x v="5"/>
    <s v="Satya"/>
    <s v="Follow up for payment,"/>
    <n v="0"/>
    <n v="0"/>
    <x v="23"/>
    <x v="0"/>
    <x v="1"/>
    <s v="Closed"/>
    <m/>
    <n v="0"/>
    <m/>
    <m/>
    <m/>
    <s v="Jul-25"/>
    <n v="31"/>
    <m/>
  </r>
  <r>
    <d v="2025-07-28T00:00:00"/>
    <s v="GHMC Commissionerate"/>
    <s v="F2F"/>
    <s v="Corporate"/>
    <x v="20"/>
    <s v="Government"/>
    <s v="Follow up for payment"/>
    <n v="0"/>
    <n v="0"/>
    <x v="27"/>
    <x v="0"/>
    <x v="3"/>
    <s v="Cold"/>
    <m/>
    <n v="0"/>
    <s v="Corporate Order"/>
    <m/>
    <m/>
    <s v="Jul-25"/>
    <n v="31"/>
    <m/>
  </r>
  <r>
    <d v="2025-07-29T00:00:00"/>
    <s v="Birthday Party at Kukatpally"/>
    <s v="F2F"/>
    <s v="Events"/>
    <x v="10"/>
    <s v="Kavita"/>
    <s v="Shared buffet and location detail party on 15-8-2025"/>
    <n v="28000"/>
    <n v="28000"/>
    <x v="19"/>
    <x v="0"/>
    <x v="1"/>
    <s v="Closed"/>
    <m/>
    <n v="0"/>
    <m/>
    <m/>
    <m/>
    <s v="Jul-25"/>
    <n v="31"/>
    <m/>
  </r>
  <r>
    <d v="2025-07-29T00:00:00"/>
    <s v="Delivery at Salarpuria Sattva"/>
    <s v="F2F"/>
    <s v="Corporate"/>
    <x v="17"/>
    <s v="Sandhya"/>
    <s v="Shared details of lunch for 1300 people in august"/>
    <n v="350000"/>
    <m/>
    <x v="18"/>
    <x v="0"/>
    <x v="0"/>
    <s v="Cancelled"/>
    <s v="As we coudnt signagreement with compass"/>
    <n v="0"/>
    <s v="Corporate Order"/>
    <m/>
    <m/>
    <s v="Jul-25"/>
    <n v="31"/>
    <m/>
  </r>
  <r>
    <d v="2025-07-29T00:00:00"/>
    <s v="The Gratitude lane"/>
    <s v="Call"/>
    <s v="Corporate"/>
    <x v="33"/>
    <s v="Abhinav"/>
    <s v="Shared details of Biryani kit for gifting"/>
    <m/>
    <m/>
    <x v="25"/>
    <x v="0"/>
    <x v="4"/>
    <s v="Hot"/>
    <m/>
    <n v="0"/>
    <s v="Corporate Order"/>
    <m/>
    <m/>
    <s v="Jul-25"/>
    <n v="31"/>
    <m/>
  </r>
  <r>
    <d v="2025-07-29T00:00:00"/>
    <s v="Foodys"/>
    <s v="Call"/>
    <s v="Corporate"/>
    <x v="17"/>
    <s v="Sekhar"/>
    <s v="Follow up for payment"/>
    <m/>
    <m/>
    <x v="27"/>
    <x v="0"/>
    <x v="3"/>
    <s v="Hot"/>
    <m/>
    <n v="0"/>
    <s v="Corporate Order"/>
    <m/>
    <m/>
    <s v="Jul-25"/>
    <n v="31"/>
    <m/>
  </r>
  <r>
    <d v="2025-07-30T00:00:00"/>
    <s v="Delivery at Compass Group Bangalore"/>
    <s v="Call"/>
    <s v="Corporate"/>
    <x v="17"/>
    <s v="Pankaj"/>
    <s v="Delivery of Special CB &amp; MB Handi on 30-7-25"/>
    <n v="70568"/>
    <n v="70568"/>
    <x v="23"/>
    <x v="1"/>
    <x v="1"/>
    <s v="Closed"/>
    <m/>
    <n v="0"/>
    <m/>
    <m/>
    <m/>
    <s v="Jul-25"/>
    <n v="31"/>
    <m/>
  </r>
  <r>
    <d v="2025-07-30T00:00:00"/>
    <s v="Delivery of Veg Biryani at Secundrabad"/>
    <s v="Call"/>
    <s v="Events"/>
    <x v="10"/>
    <s v="Vijay"/>
    <s v="Delivery of VB on 1-8-2025"/>
    <n v="9000"/>
    <m/>
    <x v="19"/>
    <x v="0"/>
    <x v="1"/>
    <s v="Hot"/>
    <m/>
    <n v="0"/>
    <m/>
    <m/>
    <m/>
    <s v="Jul-25"/>
    <n v="31"/>
    <m/>
  </r>
  <r>
    <d v="2025-08-01T00:00:00"/>
    <s v="Delivery at Malkajgiri"/>
    <s v="Call"/>
    <s v="Events"/>
    <x v="10"/>
    <s v="Mukesh"/>
    <s v="Deli"/>
    <n v="8119"/>
    <n v="8119"/>
    <x v="19"/>
    <x v="0"/>
    <x v="1"/>
    <s v="Closed"/>
    <m/>
    <n v="0"/>
    <m/>
    <m/>
    <m/>
    <s v="Aug-25"/>
    <n v="31"/>
    <m/>
  </r>
  <r>
    <d v="2025-08-04T00:00:00"/>
    <s v="Natco Pharma"/>
    <s v="F2F"/>
    <s v="Corporate"/>
    <x v="5"/>
    <s v="Tanmoy"/>
    <s v="Delivered CB,VB &amp; DKM on 4-8-2025"/>
    <n v="9782"/>
    <n v="9782"/>
    <x v="19"/>
    <x v="0"/>
    <x v="1"/>
    <s v="Closed"/>
    <m/>
    <n v="0"/>
    <m/>
    <m/>
    <m/>
    <s v="Aug-25"/>
    <n v="32"/>
    <m/>
  </r>
  <r>
    <d v="2025-08-04T00:00:00"/>
    <s v="Popup Counter at Capital Land Block A"/>
    <s v="F2F"/>
    <s v="Corporate"/>
    <x v="17"/>
    <s v="Uday"/>
    <s v="Sale of CB,VB,MB,DKM on 4-8-2025"/>
    <n v="13000"/>
    <n v="13000"/>
    <x v="19"/>
    <x v="0"/>
    <x v="1"/>
    <s v="Closed"/>
    <m/>
    <n v="0"/>
    <m/>
    <m/>
    <m/>
    <s v="Aug-25"/>
    <n v="32"/>
    <m/>
  </r>
  <r>
    <d v="2025-08-04T00:00:00"/>
    <s v="Wipro Vizag"/>
    <s v="Call"/>
    <s v="Corporate"/>
    <x v="0"/>
    <s v="Anil"/>
    <s v="Site Visit and equipment movement for Popup Cpunter"/>
    <n v="0"/>
    <n v="0"/>
    <x v="19"/>
    <x v="0"/>
    <x v="1"/>
    <s v="Closed"/>
    <m/>
    <n v="0"/>
    <m/>
    <m/>
    <m/>
    <s v="Aug-25"/>
    <n v="32"/>
    <m/>
  </r>
  <r>
    <d v="2025-08-04T00:00:00"/>
    <s v="Neuland Pharma"/>
    <s v="F2F"/>
    <s v="Corporate"/>
    <x v="5"/>
    <s v="Vijay"/>
    <s v="Introduction to Gifting &amp; Bulk orders"/>
    <n v="0"/>
    <n v="0"/>
    <x v="27"/>
    <x v="0"/>
    <x v="2"/>
    <s v="Cold"/>
    <m/>
    <n v="0"/>
    <s v="Corporate Order"/>
    <m/>
    <m/>
    <s v="Aug-25"/>
    <n v="32"/>
    <m/>
  </r>
  <r>
    <d v="2025-08-05T00:00:00"/>
    <s v="Popup Counter at Capital Land Block A"/>
    <s v="F2F"/>
    <s v="Corporate"/>
    <x v="17"/>
    <s v="Uday"/>
    <s v="Sale of CB,VB,MB,DKM on 5-8-2025"/>
    <n v="17800"/>
    <n v="17800"/>
    <x v="19"/>
    <x v="0"/>
    <x v="1"/>
    <s v="Closed"/>
    <m/>
    <n v="0"/>
    <m/>
    <m/>
    <m/>
    <s v="Aug-25"/>
    <n v="32"/>
    <m/>
  </r>
  <r>
    <d v="2025-08-05T00:00:00"/>
    <s v="Popup Counter At Wipro Vizag"/>
    <s v="Call"/>
    <s v="Corporate"/>
    <x v="0"/>
    <s v="Ugandhar"/>
    <s v="Popup counter on 5-8-2025"/>
    <n v="11551"/>
    <n v="11551"/>
    <x v="19"/>
    <x v="0"/>
    <x v="1"/>
    <s v="Closed"/>
    <m/>
    <n v="0"/>
    <m/>
    <m/>
    <m/>
    <s v="Aug-25"/>
    <n v="32"/>
    <m/>
  </r>
  <r>
    <d v="2025-08-05T00:00:00"/>
    <s v="Celkon Ltd"/>
    <s v="F2F"/>
    <s v="Corporate"/>
    <x v="0"/>
    <s v="Srinivas"/>
    <s v="Shared Details of Lunch for 200 Pax"/>
    <n v="0"/>
    <n v="0"/>
    <x v="25"/>
    <x v="0"/>
    <x v="0"/>
    <s v="Cancelled"/>
    <m/>
    <n v="0"/>
    <s v="Corporate Order"/>
    <m/>
    <m/>
    <s v="Aug-25"/>
    <n v="32"/>
    <m/>
  </r>
  <r>
    <d v="2025-08-06T00:00:00"/>
    <s v="Popup Counter at Capital Land Block A"/>
    <s v="F2F"/>
    <s v="Corporate"/>
    <x v="17"/>
    <s v="Uday"/>
    <s v="Sale of CB,VB,MB,DKM on 6-8-2025"/>
    <n v="29751"/>
    <n v="29751"/>
    <x v="19"/>
    <x v="0"/>
    <x v="1"/>
    <s v="Closed"/>
    <m/>
    <n v="0"/>
    <m/>
    <m/>
    <m/>
    <s v="Aug-25"/>
    <n v="32"/>
    <m/>
  </r>
  <r>
    <d v="2025-08-06T00:00:00"/>
    <s v="Popup Counter At Wipro Vizag"/>
    <s v="Call"/>
    <s v="Corporate"/>
    <x v="0"/>
    <s v="Ugandhar"/>
    <s v="Popup counter on 6-8-2025"/>
    <n v="13500"/>
    <n v="13500"/>
    <x v="19"/>
    <x v="0"/>
    <x v="1"/>
    <s v="Closed"/>
    <m/>
    <n v="0"/>
    <m/>
    <m/>
    <m/>
    <s v="Aug-25"/>
    <n v="32"/>
    <m/>
  </r>
  <r>
    <d v="2025-08-06T00:00:00"/>
    <s v="Wipro Lightings"/>
    <s v="F2F"/>
    <s v="Corporate"/>
    <x v="7"/>
    <s v="Vamshikrishna"/>
    <s v="Followup for further orders"/>
    <n v="0"/>
    <n v="0"/>
    <x v="27"/>
    <x v="0"/>
    <x v="3"/>
    <s v="Cold"/>
    <m/>
    <n v="0"/>
    <s v="Corporate Order"/>
    <m/>
    <m/>
    <s v="Aug-25"/>
    <n v="32"/>
    <m/>
  </r>
  <r>
    <d v="2025-08-06T00:00:00"/>
    <s v="Delivery at Compass Group Bangalore"/>
    <s v="Call"/>
    <s v="Corporate"/>
    <x v="17"/>
    <s v="Pankaj"/>
    <s v="Delivery of Special CB &amp; MB Handi on 6-8-2025"/>
    <n v="70568"/>
    <n v="70568"/>
    <x v="19"/>
    <x v="1"/>
    <x v="1"/>
    <s v="Closed"/>
    <m/>
    <n v="0"/>
    <m/>
    <m/>
    <m/>
    <s v="Aug-25"/>
    <n v="32"/>
    <m/>
  </r>
  <r>
    <d v="2025-08-06T00:00:00"/>
    <s v="Delivery at SEBLR Banglore (Compass)"/>
    <s v="Call"/>
    <s v="Corporate"/>
    <x v="17"/>
    <s v="Saad"/>
    <s v="New Delivery at Compass group on 6-8-2025"/>
    <n v="49546"/>
    <n v="49546"/>
    <x v="19"/>
    <x v="1"/>
    <x v="1"/>
    <s v="Closed"/>
    <m/>
    <n v="0"/>
    <m/>
    <m/>
    <m/>
    <s v="Aug-25"/>
    <n v="32"/>
    <m/>
  </r>
  <r>
    <d v="2025-08-07T00:00:00"/>
    <s v="Popup Counter at Capital Land Block A"/>
    <s v="Call"/>
    <s v="Corporate"/>
    <x v="17"/>
    <s v="Uday"/>
    <s v="Sale of CB,VB,MB,DKM on 7-8-2025"/>
    <n v="26050"/>
    <n v="26050"/>
    <x v="19"/>
    <x v="0"/>
    <x v="1"/>
    <s v="Closed"/>
    <m/>
    <n v="0"/>
    <m/>
    <m/>
    <m/>
    <s v="Aug-25"/>
    <n v="32"/>
    <m/>
  </r>
  <r>
    <d v="2025-08-07T00:00:00"/>
    <s v="Delivery at Vijayada"/>
    <s v="Call"/>
    <s v="Corporate"/>
    <x v="34"/>
    <s v="Sandhya"/>
    <s v="food delivery at Vijaywada on 12-8-2025"/>
    <n v="58809"/>
    <n v="58809"/>
    <x v="19"/>
    <x v="0"/>
    <x v="1"/>
    <s v="Closed"/>
    <m/>
    <n v="0"/>
    <m/>
    <m/>
    <m/>
    <s v="Aug-25"/>
    <n v="32"/>
    <m/>
  </r>
  <r>
    <d v="2025-08-07T00:00:00"/>
    <s v="Rajbhavan"/>
    <s v="F2F"/>
    <s v="Corporate"/>
    <x v="20"/>
    <s v="Balakrishna"/>
    <s v="Followup for payment"/>
    <n v="0"/>
    <m/>
    <x v="27"/>
    <x v="0"/>
    <x v="3"/>
    <s v="Hot"/>
    <m/>
    <n v="0"/>
    <s v="Corporate Order"/>
    <m/>
    <m/>
    <s v="Aug-25"/>
    <n v="32"/>
    <m/>
  </r>
  <r>
    <d v="2025-08-08T00:00:00"/>
    <s v="Popup Counter at Capital Land Block A"/>
    <s v="Call"/>
    <s v="Corporate"/>
    <x v="17"/>
    <s v="Uday"/>
    <s v="Sale of CB,VB,MB,DKM on 8-8-2025"/>
    <n v="11495"/>
    <n v="11495"/>
    <x v="19"/>
    <x v="0"/>
    <x v="1"/>
    <s v="Closed"/>
    <m/>
    <n v="0"/>
    <m/>
    <m/>
    <m/>
    <s v="Aug-25"/>
    <n v="32"/>
    <m/>
  </r>
  <r>
    <d v="2025-08-08T00:00:00"/>
    <s v="Delivery at Uppal"/>
    <s v="F2F"/>
    <s v="Events"/>
    <x v="10"/>
    <s v="Vamshi"/>
    <s v="Delivery of CB &amp; VB on 9-8-2025"/>
    <n v="12500"/>
    <n v="12500"/>
    <x v="19"/>
    <x v="0"/>
    <x v="1"/>
    <s v="Closed"/>
    <m/>
    <n v="0"/>
    <m/>
    <m/>
    <m/>
    <s v="Aug-25"/>
    <n v="32"/>
    <m/>
  </r>
  <r>
    <d v="2025-08-11T00:00:00"/>
    <s v="Popup Counter at Capital Land Block A"/>
    <s v="Call"/>
    <s v="Corporate"/>
    <x v="17"/>
    <s v="Uday"/>
    <s v="Sale of CB,VB,MB,DKM on 11-8-2025"/>
    <n v="13405"/>
    <n v="13405"/>
    <x v="19"/>
    <x v="0"/>
    <x v="1"/>
    <s v="Closed"/>
    <m/>
    <n v="0"/>
    <m/>
    <m/>
    <m/>
    <s v="Aug-25"/>
    <n v="33"/>
    <m/>
  </r>
  <r>
    <d v="2025-08-12T00:00:00"/>
    <s v="Popup Counter at Capital Land Block A"/>
    <s v="Call"/>
    <s v="Corporate"/>
    <x v="17"/>
    <s v="Uday"/>
    <s v="Sale of CB,VB,MB,DKM on 12-8-2025"/>
    <n v="20800"/>
    <n v="20800"/>
    <x v="19"/>
    <x v="0"/>
    <x v="1"/>
    <s v="Closed"/>
    <m/>
    <n v="0"/>
    <m/>
    <m/>
    <m/>
    <s v="Aug-25"/>
    <n v="33"/>
    <m/>
  </r>
  <r>
    <d v="2025-08-13T00:00:00"/>
    <s v="T HUB"/>
    <s v="Call"/>
    <s v="Corporate"/>
    <x v="0"/>
    <s v="Sheshendra"/>
    <s v="Follow up for appointment"/>
    <n v="0"/>
    <m/>
    <x v="27"/>
    <x v="0"/>
    <x v="3"/>
    <s v="Cold"/>
    <m/>
    <n v="0"/>
    <s v="Corporate Order"/>
    <m/>
    <m/>
    <s v="Aug-25"/>
    <n v="33"/>
    <m/>
  </r>
  <r>
    <d v="2025-08-13T00:00:00"/>
    <s v="Delivery at Compass Group Bangalore"/>
    <s v="Call"/>
    <s v="Corporate"/>
    <x v="17"/>
    <s v="Pankaj"/>
    <s v="Delivery of Special CB &amp; MB Handi on 13-8-2025"/>
    <n v="67549"/>
    <n v="67549"/>
    <x v="19"/>
    <x v="1"/>
    <x v="1"/>
    <s v="Closed"/>
    <m/>
    <n v="0"/>
    <m/>
    <m/>
    <m/>
    <s v="Aug-25"/>
    <n v="33"/>
    <m/>
  </r>
  <r>
    <d v="2025-08-13T00:00:00"/>
    <s v="Delivery at SEBLR Banglore (Compass)"/>
    <s v="Call"/>
    <s v="Corporate"/>
    <x v="17"/>
    <s v="Saad"/>
    <s v="New Delivery at Compass group on 13-8-2025"/>
    <n v="65725"/>
    <n v="65725"/>
    <x v="19"/>
    <x v="1"/>
    <x v="1"/>
    <s v="Closed"/>
    <m/>
    <n v="0"/>
    <m/>
    <m/>
    <m/>
    <s v="Aug-25"/>
    <n v="33"/>
    <m/>
  </r>
  <r>
    <d v="2025-08-13T00:00:00"/>
    <s v="Popup Counter at Capital Land Block A"/>
    <s v="Call"/>
    <s v="Corporate"/>
    <x v="17"/>
    <s v="Uday"/>
    <s v="Sale of CB,VB,MB,DKM on 13-8-2025"/>
    <n v="19058"/>
    <n v="19058"/>
    <x v="19"/>
    <x v="0"/>
    <x v="1"/>
    <s v="Closed"/>
    <m/>
    <n v="0"/>
    <m/>
    <m/>
    <m/>
    <s v="Aug-25"/>
    <n v="33"/>
    <m/>
  </r>
  <r>
    <d v="2025-08-13T00:00:00"/>
    <s v="Birthday Party at Kukatpally"/>
    <s v="F2F"/>
    <s v="Events"/>
    <x v="10"/>
    <s v="Kavita"/>
    <s v="Collected advance  for Party on 15-8-25"/>
    <n v="0"/>
    <n v="0"/>
    <x v="19"/>
    <x v="0"/>
    <x v="1"/>
    <s v="Closed"/>
    <m/>
    <n v="0"/>
    <m/>
    <m/>
    <m/>
    <s v="Aug-25"/>
    <n v="33"/>
    <m/>
  </r>
  <r>
    <d v="2025-08-13T00:00:00"/>
    <s v="Delivery at Inorbit Mall"/>
    <s v="Call"/>
    <s v="Corporate"/>
    <x v="0"/>
    <s v="Rakesh"/>
    <s v="Delivery of Puff"/>
    <n v="4800"/>
    <n v="4800"/>
    <x v="19"/>
    <x v="0"/>
    <x v="1"/>
    <s v="Closed"/>
    <m/>
    <n v="0"/>
    <m/>
    <m/>
    <m/>
    <s v="Aug-25"/>
    <n v="33"/>
    <m/>
  </r>
  <r>
    <d v="2025-08-13T00:00:00"/>
    <s v="Delivery of CB at secundrabad Church"/>
    <s v="F2F"/>
    <s v="Events"/>
    <x v="10"/>
    <s v="Aaron"/>
    <s v="Shared quote for CB on 15-8-2025"/>
    <n v="12000"/>
    <n v="12000"/>
    <x v="19"/>
    <x v="0"/>
    <x v="1"/>
    <s v="Closed"/>
    <m/>
    <n v="0"/>
    <m/>
    <m/>
    <m/>
    <s v="Aug-25"/>
    <n v="33"/>
    <m/>
  </r>
  <r>
    <d v="2025-08-14T00:00:00"/>
    <s v="Popup Counter at Capital Land Block A"/>
    <s v="Call"/>
    <s v="Corporate"/>
    <x v="17"/>
    <s v="Vamsi"/>
    <s v="Sale of CB,VB,MB,DKM on 14-8-2025"/>
    <n v="22000"/>
    <n v="22000"/>
    <x v="19"/>
    <x v="0"/>
    <x v="1"/>
    <s v="Closed"/>
    <m/>
    <n v="0"/>
    <m/>
    <m/>
    <m/>
    <s v="Aug-25"/>
    <n v="33"/>
    <m/>
  </r>
  <r>
    <d v="2025-08-14T00:00:00"/>
    <s v="ITS Global (Tourism)"/>
    <s v="F2F"/>
    <s v="Corporate"/>
    <x v="1"/>
    <s v="Dhoni"/>
    <s v="Dine in at Charminar on 18-8-2025"/>
    <n v="12000"/>
    <n v="12000"/>
    <x v="19"/>
    <x v="0"/>
    <x v="1"/>
    <s v="Closed"/>
    <m/>
    <n v="0"/>
    <m/>
    <m/>
    <m/>
    <s v="Aug-25"/>
    <n v="33"/>
    <m/>
  </r>
  <r>
    <d v="2025-08-15T00:00:00"/>
    <s v="Delivery at Malkajgiri"/>
    <s v="Call"/>
    <s v="Corporate"/>
    <x v="7"/>
    <s v="Ajay"/>
    <s v="Delivery of CB at Malkajgiri on 15-8-2025"/>
    <n v="21795"/>
    <n v="21795"/>
    <x v="19"/>
    <x v="0"/>
    <x v="1"/>
    <s v="Closed"/>
    <m/>
    <n v="0"/>
    <m/>
    <m/>
    <m/>
    <s v="Aug-25"/>
    <n v="33"/>
    <m/>
  </r>
  <r>
    <d v="2025-08-17T00:00:00"/>
    <s v="Dine in at Vanasthalipuram"/>
    <s v="Call"/>
    <s v="Events"/>
    <x v="10"/>
    <s v="Arun"/>
    <s v="Dine in at Vanasthalipuram on 17-8-2025"/>
    <n v="4344"/>
    <n v="4344"/>
    <x v="19"/>
    <x v="0"/>
    <x v="1"/>
    <s v="Closed"/>
    <m/>
    <n v="0"/>
    <m/>
    <m/>
    <m/>
    <s v="Aug-25"/>
    <n v="33"/>
    <m/>
  </r>
  <r>
    <d v="2025-08-17T00:00:00"/>
    <s v="Delivery at Secundrabad"/>
    <s v="Call"/>
    <s v="Events"/>
    <x v="10"/>
    <s v="Apoorva"/>
    <s v="Delivery of CB &amp; VB at Secundrabad"/>
    <n v="9500"/>
    <n v="9500"/>
    <x v="19"/>
    <x v="0"/>
    <x v="1"/>
    <s v="Closed"/>
    <m/>
    <n v="0"/>
    <m/>
    <m/>
    <m/>
    <s v="Aug-25"/>
    <n v="33"/>
    <m/>
  </r>
  <r>
    <d v="2025-08-18T00:00:00"/>
    <s v="Nvedia Grabhics"/>
    <s v="F2F"/>
    <s v="Corporate"/>
    <x v="0"/>
    <s v="Rajendra"/>
    <s v="Followup for further orders"/>
    <n v="0"/>
    <m/>
    <x v="27"/>
    <x v="0"/>
    <x v="3"/>
    <s v="Cold"/>
    <m/>
    <n v="0"/>
    <s v="Corporate Order"/>
    <m/>
    <m/>
    <s v="Aug-25"/>
    <n v="34"/>
    <m/>
  </r>
  <r>
    <d v="2025-08-18T00:00:00"/>
    <s v="Intel"/>
    <s v="F2F"/>
    <s v="Corporate"/>
    <x v="0"/>
    <s v="Abhay "/>
    <s v="Followup for further orders"/>
    <n v="0"/>
    <m/>
    <x v="27"/>
    <x v="0"/>
    <x v="3"/>
    <s v="Cold"/>
    <m/>
    <n v="0"/>
    <s v="Corporate Order"/>
    <m/>
    <m/>
    <s v="Aug-25"/>
    <n v="34"/>
    <m/>
  </r>
  <r>
    <d v="2025-08-18T00:00:00"/>
    <s v="Realpage"/>
    <s v="F2F"/>
    <s v="Corporate"/>
    <x v="0"/>
    <s v="Sarika"/>
    <s v="Introduction to bulk orders"/>
    <n v="0"/>
    <m/>
    <x v="27"/>
    <x v="0"/>
    <x v="2"/>
    <s v="Cold"/>
    <m/>
    <n v="0"/>
    <s v="Corporate Order"/>
    <m/>
    <m/>
    <s v="Aug-25"/>
    <n v="34"/>
    <m/>
  </r>
  <r>
    <d v="2025-08-19T00:00:00"/>
    <s v="Woxen univercity Fest"/>
    <s v="F2F"/>
    <s v="College"/>
    <x v="4"/>
    <s v="Varun"/>
    <s v="8-10 September 3 day event"/>
    <n v="0"/>
    <m/>
    <x v="25"/>
    <x v="0"/>
    <x v="0"/>
    <s v="Hot"/>
    <s v="Not profitable"/>
    <n v="0"/>
    <s v="Corporate Order"/>
    <m/>
    <m/>
    <s v="Aug-25"/>
    <n v="34"/>
    <m/>
  </r>
  <r>
    <d v="2025-08-19T00:00:00"/>
    <s v="ICFAI Business School"/>
    <s v="F2F"/>
    <s v="College"/>
    <x v="4"/>
    <s v="Naman"/>
    <s v="Event on 19 September"/>
    <n v="80000"/>
    <m/>
    <x v="25"/>
    <x v="0"/>
    <x v="0"/>
    <s v="Hot"/>
    <s v="Not profitable"/>
    <n v="0"/>
    <s v="Corporate Order"/>
    <m/>
    <m/>
    <s v="Aug-25"/>
    <n v="34"/>
    <m/>
  </r>
  <r>
    <d v="2025-08-19T00:00:00"/>
    <s v="United Church Tarnaka"/>
    <s v="F2F"/>
    <s v="Church"/>
    <x v="8"/>
    <s v="Melvin"/>
    <s v="Follow up for further Business"/>
    <n v="40000"/>
    <m/>
    <x v="18"/>
    <x v="0"/>
    <x v="0"/>
    <s v="Cancelled"/>
    <m/>
    <n v="0"/>
    <s v="Corporate Order"/>
    <m/>
    <m/>
    <s v="Aug-25"/>
    <n v="34"/>
    <m/>
  </r>
  <r>
    <d v="2025-08-20T00:00:00"/>
    <s v="Gokhana"/>
    <s v="F2F"/>
    <s v="Corporate"/>
    <x v="34"/>
    <s v="Sandhya"/>
    <s v="Restart of Popup countar at Capital Land"/>
    <n v="0"/>
    <n v="0"/>
    <x v="19"/>
    <x v="0"/>
    <x v="1"/>
    <s v="Closed"/>
    <m/>
    <n v="0"/>
    <m/>
    <m/>
    <m/>
    <s v="Aug-25"/>
    <n v="34"/>
    <m/>
  </r>
  <r>
    <d v="2025-08-20T00:00:00"/>
    <s v="Delivery at Compass Group Bangalore"/>
    <s v="Call"/>
    <s v="Corporate"/>
    <x v="17"/>
    <s v="Pankaj"/>
    <s v="Delivery of Special CB &amp; MB Handi on 13-8-2020"/>
    <n v="59544"/>
    <n v="59544"/>
    <x v="19"/>
    <x v="1"/>
    <x v="1"/>
    <s v="Closed"/>
    <m/>
    <n v="0"/>
    <m/>
    <m/>
    <m/>
    <s v="Aug-25"/>
    <n v="34"/>
    <m/>
  </r>
  <r>
    <d v="2025-08-20T00:00:00"/>
    <s v="Delivery at SEBLR Banglore (Compass)"/>
    <s v="Call"/>
    <s v="Corporate"/>
    <x v="17"/>
    <s v="Saad"/>
    <s v="New Delivery at Compass group on 20-8-2025"/>
    <n v="65725"/>
    <n v="65725"/>
    <x v="19"/>
    <x v="1"/>
    <x v="1"/>
    <s v="Closed"/>
    <m/>
    <n v="0"/>
    <m/>
    <m/>
    <m/>
    <s v="Aug-25"/>
    <n v="34"/>
    <m/>
  </r>
  <r>
    <d v="2025-08-20T00:00:00"/>
    <s v="Nice Tours &amp; Travels"/>
    <s v="F2F"/>
    <s v="Corporate"/>
    <x v="1"/>
    <s v="Sajjad"/>
    <s v="Introduction to delivery and dine in for tourist"/>
    <n v="0"/>
    <m/>
    <x v="27"/>
    <x v="0"/>
    <x v="2"/>
    <s v="Cold"/>
    <m/>
    <n v="0"/>
    <s v="Corporate Order"/>
    <m/>
    <m/>
    <s v="Aug-25"/>
    <n v="34"/>
    <m/>
  </r>
  <r>
    <d v="2025-08-20T00:00:00"/>
    <s v="Swamy foods &amp;Travels"/>
    <s v="F2F"/>
    <s v="Corporate"/>
    <x v="1"/>
    <s v="Swamy"/>
    <s v="Follow up for groups and delivery"/>
    <n v="30000"/>
    <m/>
    <x v="18"/>
    <x v="0"/>
    <x v="0"/>
    <s v="Cancelled"/>
    <m/>
    <n v="0"/>
    <s v="Corporate Order"/>
    <m/>
    <m/>
    <s v="Aug-25"/>
    <n v="34"/>
    <m/>
  </r>
  <r>
    <d v="2025-08-20T00:00:00"/>
    <s v="GHMC Group"/>
    <s v="Call"/>
    <s v="Corporate "/>
    <x v="20"/>
    <s v="Venkat Nagendra"/>
    <s v="Dine in at secbad on 20-8-2025"/>
    <n v="22352"/>
    <n v="22352"/>
    <x v="19"/>
    <x v="0"/>
    <x v="1"/>
    <s v="Closed"/>
    <m/>
    <n v="0"/>
    <m/>
    <m/>
    <m/>
    <s v="Aug-25"/>
    <n v="34"/>
    <m/>
  </r>
  <r>
    <d v="2025-08-21T00:00:00"/>
    <s v="Popup Counter at Capital Land Block A"/>
    <s v="Call"/>
    <s v="Corporate"/>
    <x v="17"/>
    <s v="Vamsi"/>
    <s v="Sale of CB,VB,MB,DKM on 21-8-2025"/>
    <n v="20650"/>
    <n v="20650"/>
    <x v="19"/>
    <x v="0"/>
    <x v="1"/>
    <s v="Closed"/>
    <m/>
    <n v="0"/>
    <m/>
    <m/>
    <m/>
    <s v="Aug-25"/>
    <n v="34"/>
    <m/>
  </r>
  <r>
    <d v="2025-08-22T00:00:00"/>
    <s v="Popup Counter at Capital Land Block A"/>
    <s v="Call"/>
    <s v="Corporate"/>
    <x v="17"/>
    <s v="Vamsi"/>
    <s v="Sale of CB,VB,MB,DKM on 22-8-2025"/>
    <n v="13546"/>
    <n v="13546"/>
    <x v="19"/>
    <x v="0"/>
    <x v="1"/>
    <s v="Closed"/>
    <m/>
    <n v="0"/>
    <m/>
    <m/>
    <m/>
    <s v="Aug-25"/>
    <n v="34"/>
    <m/>
  </r>
  <r>
    <d v="2025-08-22T00:00:00"/>
    <s v="Destination World Holidays"/>
    <s v="F2F"/>
    <s v="Corporate"/>
    <x v="1"/>
    <s v="Saltanat"/>
    <s v="Lunch at Charminar on 25/8/2025"/>
    <n v="35000"/>
    <n v="35000"/>
    <x v="19"/>
    <x v="0"/>
    <x v="1"/>
    <s v="Closed"/>
    <m/>
    <n v="0"/>
    <m/>
    <m/>
    <m/>
    <s v="Aug-25"/>
    <n v="34"/>
    <m/>
  </r>
  <r>
    <d v="2025-08-25T00:00:00"/>
    <s v="Popup Counter at Capital Land Block A"/>
    <s v="Call"/>
    <s v="Corporate"/>
    <x v="17"/>
    <s v="Vamsi"/>
    <s v="Sale of CB,VB,MB,DKM on 25-8-2025"/>
    <n v="17487"/>
    <n v="17487"/>
    <x v="19"/>
    <x v="0"/>
    <x v="1"/>
    <s v="Closed"/>
    <m/>
    <n v="0"/>
    <m/>
    <m/>
    <m/>
    <s v="Aug-25"/>
    <n v="35"/>
    <m/>
  </r>
  <r>
    <d v="2025-08-25T00:00:00"/>
    <s v="Anthea Pharma"/>
    <s v="F2F"/>
    <s v="Corporate"/>
    <x v="5"/>
    <s v="Jaipal"/>
    <s v="monthly food requirement with B to C"/>
    <n v="0"/>
    <n v="0"/>
    <x v="25"/>
    <x v="0"/>
    <x v="4"/>
    <s v="Hot"/>
    <m/>
    <n v="0"/>
    <s v="Corporate Order"/>
    <m/>
    <m/>
    <s v="Aug-25"/>
    <n v="35"/>
    <m/>
  </r>
  <r>
    <d v="2025-08-25T00:00:00"/>
    <s v="Delivery at SEBLR Banglore (Compass)"/>
    <s v="Call"/>
    <s v="Corporate"/>
    <x v="17"/>
    <s v="Saad"/>
    <s v="New Delivery at Compass group on 25-8-2025"/>
    <n v="51569"/>
    <n v="51569"/>
    <x v="19"/>
    <x v="1"/>
    <x v="1"/>
    <s v="Closed"/>
    <m/>
    <n v="0"/>
    <m/>
    <m/>
    <m/>
    <s v="Aug-25"/>
    <n v="35"/>
    <m/>
  </r>
  <r>
    <d v="2025-08-25T00:00:00"/>
    <s v="Medtronics"/>
    <s v="F2F"/>
    <s v="Corporate"/>
    <x v="5"/>
    <s v="Asad"/>
    <s v="combo delivery on 29-8-2025 at Vizag and Panjagutta"/>
    <n v="30000"/>
    <m/>
    <x v="19"/>
    <x v="0"/>
    <x v="1"/>
    <s v="Closed"/>
    <m/>
    <n v="0"/>
    <m/>
    <m/>
    <m/>
    <s v="Aug-25"/>
    <n v="35"/>
    <m/>
  </r>
  <r>
    <d v="2025-08-26T00:00:00"/>
    <s v="Delivery at Medchal Farm house"/>
    <s v="Call"/>
    <s v="Corporate"/>
    <x v="7"/>
    <s v="Anudeep"/>
    <s v="Delivery of food in Sepetmber"/>
    <n v="0"/>
    <n v="0"/>
    <x v="25"/>
    <x v="0"/>
    <x v="1"/>
    <s v="Closed"/>
    <m/>
    <n v="0"/>
    <s v="Corporate Order"/>
    <m/>
    <m/>
    <s v="Aug-25"/>
    <n v="35"/>
    <m/>
  </r>
  <r>
    <d v="2025-08-26T00:00:00"/>
    <s v="Popup Counter at Capital Land Block A"/>
    <s v="Call"/>
    <s v="Corporate"/>
    <x v="17"/>
    <s v="Vamsi"/>
    <s v="Sale of CB,VB,MB,DKM on 26-8-2025"/>
    <n v="19461"/>
    <n v="19461"/>
    <x v="19"/>
    <x v="0"/>
    <x v="1"/>
    <s v="Closed"/>
    <m/>
    <n v="0"/>
    <m/>
    <m/>
    <m/>
    <s v="Aug-25"/>
    <n v="35"/>
    <m/>
  </r>
  <r>
    <d v="2025-08-28T00:00:00"/>
    <s v="Popup Counter at Capital Land Block A"/>
    <s v="Call"/>
    <s v="Corporate"/>
    <x v="17"/>
    <s v="Vamsi"/>
    <s v="Sale of CB,VB,MB,DKM on 28-8-2025"/>
    <n v="18552"/>
    <n v="18552"/>
    <x v="19"/>
    <x v="0"/>
    <x v="1"/>
    <s v="Closed"/>
    <m/>
    <n v="0"/>
    <m/>
    <m/>
    <m/>
    <s v="Aug-25"/>
    <n v="35"/>
    <m/>
  </r>
  <r>
    <d v="2025-08-28T00:00:00"/>
    <s v="Delivery at Bowenpally"/>
    <s v="F2F"/>
    <s v="Event"/>
    <x v="10"/>
    <s v="Sreeramlu"/>
    <s v="Delivery of CB on 31-8-2025"/>
    <n v="12000"/>
    <m/>
    <x v="19"/>
    <x v="0"/>
    <x v="1"/>
    <s v="Closed"/>
    <m/>
    <n v="0"/>
    <m/>
    <m/>
    <m/>
    <s v="Aug-25"/>
    <n v="35"/>
    <m/>
  </r>
  <r>
    <d v="2025-08-28T00:00:00"/>
    <s v="Sanofi"/>
    <s v="F2F"/>
    <s v="Corporate"/>
    <x v="5"/>
    <s v="Harish"/>
    <s v="Introduction to Bulk order"/>
    <n v="0"/>
    <m/>
    <x v="27"/>
    <x v="0"/>
    <x v="2"/>
    <s v="Cold"/>
    <m/>
    <n v="0"/>
    <s v="Corporate Order"/>
    <m/>
    <m/>
    <s v="Aug-25"/>
    <n v="35"/>
    <m/>
  </r>
  <r>
    <d v="2025-08-29T00:00:00"/>
    <s v="Popup Counter at Capital Land Block A"/>
    <s v="Call"/>
    <s v="Corporate"/>
    <x v="17"/>
    <s v="Vamsi"/>
    <s v="Sale of CB,VB,MB,DKM on 29-8-2025"/>
    <n v="19200"/>
    <n v="19200"/>
    <x v="19"/>
    <x v="0"/>
    <x v="1"/>
    <s v="Closed"/>
    <m/>
    <n v="0"/>
    <m/>
    <m/>
    <m/>
    <s v="Aug-25"/>
    <n v="35"/>
    <m/>
  </r>
  <r>
    <d v="2025-09-01T00:00:00"/>
    <s v="Popup Counter at Capital Land Block A"/>
    <s v="Call"/>
    <s v="Corporate"/>
    <x v="17"/>
    <s v="Vamsi"/>
    <s v="Sale of CB,VB,MB,DKM on 1-9-2025"/>
    <n v="16200"/>
    <n v="16200"/>
    <x v="25"/>
    <x v="0"/>
    <x v="1"/>
    <s v="Closed"/>
    <m/>
    <n v="0"/>
    <s v="Corporate Order"/>
    <m/>
    <m/>
    <s v="Sep-25"/>
    <n v="36"/>
    <m/>
  </r>
  <r>
    <d v="2025-09-01T00:00:00"/>
    <s v="Reliance Trends"/>
    <s v="F2F"/>
    <s v="Corporate"/>
    <x v="19"/>
    <s v="Sampat Mykela"/>
    <s v="Introduction to bulk order "/>
    <n v="0"/>
    <m/>
    <x v="27"/>
    <x v="0"/>
    <x v="2"/>
    <s v="Cold"/>
    <m/>
    <n v="0"/>
    <s v="Corporate Order"/>
    <m/>
    <m/>
    <s v="Sep-25"/>
    <n v="36"/>
    <m/>
  </r>
  <r>
    <d v="2025-09-01T00:00:00"/>
    <s v="InnovaSolutions"/>
    <s v="F2F"/>
    <s v="Corporate"/>
    <x v="0"/>
    <s v="Partha"/>
    <s v="Delivery of Starters and CB on 1-9-2025"/>
    <n v="14500"/>
    <n v="14500"/>
    <x v="25"/>
    <x v="0"/>
    <x v="1"/>
    <s v="Closed"/>
    <m/>
    <n v="0"/>
    <s v="Corporate Order"/>
    <m/>
    <m/>
    <s v="Sep-25"/>
    <n v="36"/>
    <m/>
  </r>
  <r>
    <d v="2025-09-02T00:00:00"/>
    <s v="Popup Counter at Capital Land Block A"/>
    <s v="Call"/>
    <s v="Corporate"/>
    <x v="17"/>
    <s v="Vamsi"/>
    <s v="Sale of CB,VB,MB,DKM on 2-9-2025"/>
    <n v="18211"/>
    <n v="18211"/>
    <x v="25"/>
    <x v="0"/>
    <x v="1"/>
    <s v="Closed"/>
    <m/>
    <n v="0"/>
    <s v="Corporate Order"/>
    <m/>
    <m/>
    <s v="Sep-25"/>
    <n v="36"/>
    <m/>
  </r>
  <r>
    <d v="2025-09-02T00:00:00"/>
    <s v="Nalsar Univercity"/>
    <s v="F2F"/>
    <s v="College"/>
    <x v="4"/>
    <s v="Hafsha"/>
    <s v="Event on 5,6,7 September"/>
    <n v="0"/>
    <n v="0"/>
    <x v="25"/>
    <x v="0"/>
    <x v="0"/>
    <s v="Cancelled"/>
    <m/>
    <n v="0"/>
    <s v="Corporate Order"/>
    <m/>
    <m/>
    <s v="Sep-25"/>
    <n v="36"/>
    <m/>
  </r>
  <r>
    <d v="2025-09-02T00:00:00"/>
    <s v="Hungersate"/>
    <s v="F2F"/>
    <s v="Corporate"/>
    <x v="34"/>
    <s v="Srinivas"/>
    <s v="Discussion about delivering food interstste"/>
    <n v="500000"/>
    <m/>
    <x v="24"/>
    <x v="0"/>
    <x v="0"/>
    <s v="Cancelled"/>
    <s v="Not feisable"/>
    <n v="0"/>
    <s v="Corporate Order"/>
    <m/>
    <m/>
    <s v="Sep-25"/>
    <n v="36"/>
    <m/>
  </r>
  <r>
    <d v="2025-09-02T00:00:00"/>
    <s v="Kirams Events"/>
    <s v="F2F"/>
    <s v="Corporate"/>
    <x v="34"/>
    <s v="Varun"/>
    <s v="Discussion about beverage stall at Taj Deccan"/>
    <n v="0"/>
    <n v="0"/>
    <x v="25"/>
    <x v="0"/>
    <x v="0"/>
    <s v="Cancelled"/>
    <s v="Not profitable"/>
    <n v="0"/>
    <s v="Corporate Order"/>
    <m/>
    <m/>
    <s v="Sep-25"/>
    <n v="36"/>
    <m/>
  </r>
  <r>
    <d v="2025-09-03T00:00:00"/>
    <s v="Popup Counter at Capital Land Block A"/>
    <s v="Call"/>
    <s v="Corporate"/>
    <x v="17"/>
    <s v="Vamsi"/>
    <s v="Sale of CB,VB,MB,DKM on 3-9-2025"/>
    <n v="24398"/>
    <n v="24398"/>
    <x v="25"/>
    <x v="0"/>
    <x v="1"/>
    <s v="Closed"/>
    <m/>
    <n v="0"/>
    <s v="Corporate Order"/>
    <m/>
    <m/>
    <s v="Sep-25"/>
    <n v="36"/>
    <m/>
  </r>
  <r>
    <d v="2025-09-04T00:00:00"/>
    <s v="Popup Counter at Capital Land Block A"/>
    <s v="Call"/>
    <s v="Corporate"/>
    <x v="17"/>
    <s v="Vamsi"/>
    <s v="Sale of CB,VB,MB,DKM on 4-9-2025"/>
    <n v="15200"/>
    <n v="15200"/>
    <x v="25"/>
    <x v="0"/>
    <x v="1"/>
    <s v="Closed"/>
    <m/>
    <n v="0"/>
    <s v="Corporate Order"/>
    <m/>
    <m/>
    <s v="Sep-25"/>
    <n v="36"/>
    <m/>
  </r>
  <r>
    <d v="2025-09-05T00:00:00"/>
    <s v="Popup Counter at Capital Land Block A"/>
    <s v="Call"/>
    <s v="Corporate"/>
    <x v="17"/>
    <s v="Vamsi"/>
    <s v="Sale of CB,VB,MB,DKM on 5-9-2025"/>
    <n v="10500"/>
    <n v="10500"/>
    <x v="25"/>
    <x v="0"/>
    <x v="1"/>
    <s v="Closed"/>
    <m/>
    <n v="0"/>
    <s v="Corporate Order"/>
    <m/>
    <m/>
    <s v="Sep-25"/>
    <n v="36"/>
    <m/>
  </r>
  <r>
    <d v="2025-09-06T00:00:00"/>
    <s v="Take away from Malkajgiri"/>
    <s v="Call"/>
    <s v="Events"/>
    <x v="10"/>
    <s v="Jyoti"/>
    <s v="Take away of CB from Malkajgiri on 6-9-2025"/>
    <n v="9500"/>
    <n v="9500"/>
    <x v="25"/>
    <x v="0"/>
    <x v="1"/>
    <s v="Closed"/>
    <m/>
    <n v="0"/>
    <s v="Corporate Order"/>
    <m/>
    <m/>
    <s v="Sep-25"/>
    <n v="36"/>
    <m/>
  </r>
  <r>
    <d v="2025-09-06T00:00:00"/>
    <s v="District Food Officer "/>
    <s v="Call"/>
    <s v="Corporate"/>
    <x v="20"/>
    <s v="Narayan"/>
    <s v="Take away on VB from Heritage on 6-9-2025"/>
    <n v="29500"/>
    <n v="29500"/>
    <x v="25"/>
    <x v="0"/>
    <x v="1"/>
    <s v="Closed"/>
    <m/>
    <n v="0"/>
    <s v="Corporate Order"/>
    <m/>
    <m/>
    <s v="Sep-25"/>
    <n v="36"/>
    <m/>
  </r>
  <r>
    <d v="2025-09-07T00:00:00"/>
    <s v="Popup counter at Skyview"/>
    <s v="Call"/>
    <s v="Corporate"/>
    <x v="17"/>
    <s v="Sandhya"/>
    <s v="Sale at popup counter on 7-9-2025"/>
    <n v="32500"/>
    <n v="32500"/>
    <x v="25"/>
    <x v="0"/>
    <x v="1"/>
    <s v="Closed"/>
    <m/>
    <n v="0"/>
    <s v="Corporate Order"/>
    <m/>
    <m/>
    <s v="Sep-25"/>
    <n v="36"/>
    <m/>
  </r>
  <r>
    <d v="2025-09-08T00:00:00"/>
    <s v="Popup Counter at Capital Land Block A"/>
    <s v="Call"/>
    <s v="Corporate"/>
    <x v="17"/>
    <s v="Vamsi"/>
    <s v="Sale of CB,VB,MB,DKM on 8-9-2025"/>
    <n v="18500"/>
    <n v="18500"/>
    <x v="25"/>
    <x v="0"/>
    <x v="1"/>
    <s v="Closed"/>
    <m/>
    <n v="0"/>
    <s v="Corporate Order"/>
    <m/>
    <m/>
    <s v="Sep-25"/>
    <n v="37"/>
    <m/>
  </r>
  <r>
    <d v="2025-09-08T00:00:00"/>
    <s v="Hungersate"/>
    <s v="F2F"/>
    <s v="Corporate"/>
    <x v="17"/>
    <s v="Srinivas"/>
    <s v="Discussion in regards with takeaway from Bangalore"/>
    <m/>
    <m/>
    <x v="27"/>
    <x v="0"/>
    <x v="3"/>
    <s v="Cold"/>
    <m/>
    <n v="0"/>
    <s v="Corporate Order"/>
    <m/>
    <m/>
    <s v="Sep-25"/>
    <n v="37"/>
    <m/>
  </r>
  <r>
    <d v="2025-09-08T00:00:00"/>
    <s v="Capgemini"/>
    <s v="F2F"/>
    <s v="Corporate"/>
    <x v="0"/>
    <s v="Ajesh"/>
    <s v="Gokhana Popup counter on 9 sept 2025 at Capgemini Campus &amp; GAR"/>
    <n v="34500"/>
    <n v="34500"/>
    <x v="25"/>
    <x v="0"/>
    <x v="1"/>
    <s v="Closed"/>
    <m/>
    <n v="0"/>
    <s v="Corporate Order"/>
    <m/>
    <m/>
    <s v="Sep-25"/>
    <n v="37"/>
    <m/>
  </r>
  <r>
    <d v="2025-09-09T00:00:00"/>
    <s v="IIT Hyderabad"/>
    <s v="F2F"/>
    <s v="College"/>
    <x v="4"/>
    <s v="Gopinath"/>
    <s v="Sitevisit and discussion in regards with Permenant counter"/>
    <n v="0"/>
    <n v="0"/>
    <x v="25"/>
    <x v="0"/>
    <x v="1"/>
    <s v="Closed"/>
    <m/>
    <n v="0"/>
    <s v="Corporate Order"/>
    <m/>
    <m/>
    <s v="Sep-25"/>
    <n v="37"/>
    <m/>
  </r>
  <r>
    <d v="2025-09-09T00:00:00"/>
    <s v="Accenture"/>
    <s v="F2F"/>
    <s v="Corporate"/>
    <x v="0"/>
    <s v="Shiva"/>
    <s v="Site visit for Biryani popup on 12 &amp; 15 Sept 2025"/>
    <n v="0"/>
    <n v="0"/>
    <x v="25"/>
    <x v="0"/>
    <x v="1"/>
    <s v="Closed"/>
    <m/>
    <n v="0"/>
    <s v="Corporate Order"/>
    <m/>
    <m/>
    <s v="Sep-25"/>
    <n v="37"/>
    <m/>
  </r>
  <r>
    <d v="2025-09-09T00:00:00"/>
    <s v="Katria Hotel"/>
    <s v="F2F"/>
    <s v="Corporate"/>
    <x v="1"/>
    <s v="Bhavik Shah"/>
    <s v="Delivery of packed lunch on 16-9-2025"/>
    <n v="0"/>
    <n v="0"/>
    <x v="25"/>
    <x v="0"/>
    <x v="1"/>
    <s v="Closed"/>
    <m/>
    <n v="0"/>
    <s v="Corporate Order"/>
    <m/>
    <m/>
    <s v="Sep-25"/>
    <n v="37"/>
    <m/>
  </r>
  <r>
    <d v="2025-09-09T00:00:00"/>
    <s v="Vardhaman Engineering college"/>
    <s v="F2F"/>
    <s v="College"/>
    <x v="4"/>
    <s v="Aron"/>
    <s v="Delivery of Biryani on 20-9-2025"/>
    <n v="0"/>
    <n v="0"/>
    <x v="25"/>
    <x v="0"/>
    <x v="1"/>
    <s v="Closed"/>
    <m/>
    <n v="0"/>
    <s v="Corporate Order"/>
    <m/>
    <m/>
    <s v="Sep-25"/>
    <n v="37"/>
    <m/>
  </r>
  <r>
    <d v="2025-09-09T00:00:00"/>
    <s v="Popup Counter at Capital Land Block A"/>
    <s v="Call"/>
    <s v="Corporate"/>
    <x v="17"/>
    <s v="Vamsi"/>
    <s v="Sale of CB,VB,MB,DKM on 9-9-2025"/>
    <n v="15200"/>
    <n v="15200"/>
    <x v="25"/>
    <x v="0"/>
    <x v="1"/>
    <s v="Closed"/>
    <m/>
    <n v="0"/>
    <s v="Corporate Order"/>
    <m/>
    <m/>
    <s v="Sep-25"/>
    <n v="37"/>
    <m/>
  </r>
  <r>
    <d v="2025-09-10T00:00:00"/>
    <s v="Apex Technology "/>
    <s v="F2F"/>
    <s v="Corporate"/>
    <x v="0"/>
    <s v="Uttej"/>
    <s v="Snacks for employees on 11-9-25"/>
    <n v="5600"/>
    <n v="5600"/>
    <x v="25"/>
    <x v="0"/>
    <x v="1"/>
    <s v="Closed"/>
    <m/>
    <n v="0"/>
    <s v="Corporate Order"/>
    <m/>
    <m/>
    <s v="Sep-25"/>
    <n v="37"/>
    <m/>
  </r>
  <r>
    <d v="2025-09-10T00:00:00"/>
    <s v="Delivery at SEBLR Banglore (Compass)"/>
    <s v="Call"/>
    <s v="Corporate"/>
    <x v="17"/>
    <s v="Saad"/>
    <s v="New Delivery at Compass group on 10-9-2025"/>
    <n v="53085"/>
    <n v="53085"/>
    <x v="25"/>
    <x v="1"/>
    <x v="1"/>
    <s v="Closed"/>
    <m/>
    <n v="0"/>
    <s v="Corporate Order"/>
    <m/>
    <m/>
    <s v="Sep-25"/>
    <n v="37"/>
    <m/>
  </r>
  <r>
    <d v="2025-09-10T00:00:00"/>
    <s v="Delivery at Medchal Farm House"/>
    <s v="Call"/>
    <s v="Corporate"/>
    <x v="1"/>
    <s v="Anudeep"/>
    <s v="Delivery of CB,VB,MB on 11-9-2025"/>
    <n v="12500"/>
    <n v="12500"/>
    <x v="25"/>
    <x v="0"/>
    <x v="1"/>
    <s v="Closed"/>
    <m/>
    <n v="0"/>
    <s v="Corporate Order"/>
    <m/>
    <m/>
    <s v="Sep-25"/>
    <n v="37"/>
    <m/>
  </r>
  <r>
    <d v="2025-09-10T00:00:00"/>
    <s v="Popup Counter at Capital Land Block A"/>
    <s v="Call"/>
    <s v="Corporate"/>
    <x v="17"/>
    <s v="Vamsi"/>
    <s v="Sale of CB,VB,MB,DKM on 10-9-2025"/>
    <n v="15500"/>
    <n v="15500"/>
    <x v="25"/>
    <x v="0"/>
    <x v="1"/>
    <s v="Closed"/>
    <m/>
    <n v="0"/>
    <s v="Corporate Order"/>
    <m/>
    <m/>
    <s v="Sep-25"/>
    <n v="37"/>
    <m/>
  </r>
  <r>
    <d v="2025-09-10T00:00:00"/>
    <s v="Capgemini"/>
    <s v="F2F"/>
    <s v="Corporate"/>
    <x v="0"/>
    <s v="Ajesh"/>
    <s v="Popup counter on 10 sept 2025 at Capgemini Campus &amp; GAR"/>
    <n v="52210"/>
    <n v="52210"/>
    <x v="25"/>
    <x v="0"/>
    <x v="1"/>
    <s v="Closed"/>
    <m/>
    <n v="0"/>
    <s v="Corporate Order"/>
    <m/>
    <m/>
    <s v="Sep-25"/>
    <n v="37"/>
    <m/>
  </r>
  <r>
    <d v="2025-09-11T00:00:00"/>
    <s v="Capgemini"/>
    <s v="Call"/>
    <s v="Corporate"/>
    <x v="0"/>
    <s v="Ajesh"/>
    <s v=" Gokhana Popup counter on 11 sept 2025 at Capgemini Campus &amp; GAR"/>
    <n v="44050"/>
    <n v="44050"/>
    <x v="25"/>
    <x v="0"/>
    <x v="1"/>
    <s v="Closed"/>
    <m/>
    <n v="0"/>
    <s v="Corporate Order"/>
    <m/>
    <m/>
    <s v="Sep-25"/>
    <n v="37"/>
    <m/>
  </r>
  <r>
    <d v="2025-09-11T00:00:00"/>
    <s v="Kairams Event"/>
    <s v="F2F"/>
    <s v="Corporate"/>
    <x v="34"/>
    <s v="Varun"/>
    <s v="Popup counter at Taj Deccan for 11 days Bevarage Stall."/>
    <n v="0"/>
    <n v="0"/>
    <x v="25"/>
    <x v="0"/>
    <x v="0"/>
    <s v="Cancelled"/>
    <s v="Not Profitable"/>
    <n v="0"/>
    <s v="Corporate Order"/>
    <m/>
    <m/>
    <s v="Sep-25"/>
    <n v="37"/>
    <m/>
  </r>
  <r>
    <d v="2025-09-11T00:00:00"/>
    <s v="Saga Events &amp; Holidays"/>
    <s v="F2F"/>
    <s v="Corporate"/>
    <x v="1"/>
    <s v="Vikranth"/>
    <s v="Followup for Further business"/>
    <m/>
    <m/>
    <x v="27"/>
    <x v="0"/>
    <x v="3"/>
    <s v="Cold"/>
    <m/>
    <n v="0"/>
    <s v="Corporate Order"/>
    <m/>
    <m/>
    <s v="Sep-25"/>
    <n v="37"/>
    <m/>
  </r>
  <r>
    <d v="2025-09-12T00:00:00"/>
    <s v="ODC at Accunture"/>
    <s v="F2F"/>
    <s v="Corporate"/>
    <x v="0"/>
    <s v="Shiva"/>
    <s v="Biryani Counter sale on 12-9-2025"/>
    <n v="74531"/>
    <n v="74531"/>
    <x v="25"/>
    <x v="0"/>
    <x v="1"/>
    <s v="Closed"/>
    <m/>
    <n v="0"/>
    <s v="Corporate Order"/>
    <m/>
    <m/>
    <s v="Sep-25"/>
    <n v="37"/>
    <m/>
  </r>
  <r>
    <d v="2025-09-12T00:00:00"/>
    <s v="Azad Engineering"/>
    <s v="F2F"/>
    <s v="Corporate"/>
    <x v="7"/>
    <s v="Bharat/Badulla"/>
    <s v="Delivery of Gift Vouchers for employees"/>
    <n v="2150000"/>
    <n v="2150000"/>
    <x v="28"/>
    <x v="0"/>
    <x v="1"/>
    <s v="Closed"/>
    <m/>
    <n v="0"/>
    <s v="Bulk Order"/>
    <m/>
    <m/>
    <s v="Sep-25"/>
    <n v="37"/>
    <m/>
  </r>
  <r>
    <d v="2025-09-12T00:00:00"/>
    <s v="Delivery at Masabtank"/>
    <s v="Call"/>
    <s v="Events"/>
    <x v="10"/>
    <s v="Kind "/>
    <s v="Deliveryof Biryani on 12-9-2025"/>
    <n v="10360"/>
    <n v="10360"/>
    <x v="25"/>
    <x v="0"/>
    <x v="1"/>
    <s v="Closed"/>
    <m/>
    <n v="0"/>
    <s v="Corporate Order"/>
    <m/>
    <m/>
    <s v="Sep-25"/>
    <n v="37"/>
    <m/>
  </r>
  <r>
    <d v="2025-09-13T00:00:00"/>
    <s v="IIT Hyderabad"/>
    <s v="F2F"/>
    <s v="College"/>
    <x v="4"/>
    <s v="Mohan"/>
    <s v="Biryani popup counter on 13-9-2024"/>
    <n v="40456"/>
    <n v="40456"/>
    <x v="25"/>
    <x v="0"/>
    <x v="1"/>
    <s v="Closed"/>
    <m/>
    <n v="0"/>
    <s v="Corporate Order"/>
    <m/>
    <m/>
    <s v="Sep-25"/>
    <n v="37"/>
    <m/>
  </r>
  <r>
    <d v="2025-09-13T00:00:00"/>
    <s v="Delivery at Himayathnagar"/>
    <s v="Call"/>
    <s v="Event"/>
    <x v="10"/>
    <s v="Dilawar"/>
    <s v="Delivery of Mini CB on  13-9-2025"/>
    <n v="65025"/>
    <n v="65025"/>
    <x v="25"/>
    <x v="0"/>
    <x v="1"/>
    <s v="Closed"/>
    <m/>
    <n v="0"/>
    <s v="Corporate Order"/>
    <m/>
    <m/>
    <s v="Sep-25"/>
    <n v="37"/>
    <m/>
  </r>
  <r>
    <d v="2025-09-14T00:00:00"/>
    <s v="IIT Hyderabad"/>
    <s v="F2F"/>
    <s v="College"/>
    <x v="4"/>
    <s v="Mohan"/>
    <s v="Biryani popup counter on 14-9-2024"/>
    <n v="19700"/>
    <n v="19700"/>
    <x v="25"/>
    <x v="0"/>
    <x v="1"/>
    <s v="Closed"/>
    <m/>
    <n v="0"/>
    <s v="Corporate Order"/>
    <m/>
    <m/>
    <s v="Sep-25"/>
    <n v="37"/>
    <m/>
  </r>
  <r>
    <d v="2025-09-14T00:00:00"/>
    <s v="Delivery at Yapral Golf Event"/>
    <s v="Call"/>
    <s v="Corporate"/>
    <x v="35"/>
    <s v="Ajay"/>
    <s v="Delivery of VB &amp; CB on 14-9-2025"/>
    <n v="50467"/>
    <n v="50467"/>
    <x v="25"/>
    <x v="0"/>
    <x v="1"/>
    <s v="Closed"/>
    <m/>
    <n v="0"/>
    <s v="Corporate Order"/>
    <m/>
    <m/>
    <s v="Sep-25"/>
    <n v="37"/>
    <m/>
  </r>
  <r>
    <d v="2025-09-15T00:00:00"/>
    <s v="IIT Hyderabad"/>
    <s v="F2F"/>
    <s v="College"/>
    <x v="4"/>
    <s v="Mohan"/>
    <s v="Biryani popup counter on 15-9-2024"/>
    <n v="22500"/>
    <n v="22500"/>
    <x v="25"/>
    <x v="0"/>
    <x v="1"/>
    <s v="Closed"/>
    <m/>
    <n v="0"/>
    <s v="Corporate Order"/>
    <m/>
    <m/>
    <s v="Sep-25"/>
    <n v="38"/>
    <m/>
  </r>
  <r>
    <d v="2025-09-15T00:00:00"/>
    <s v="ODC at Accunture"/>
    <s v="F2F"/>
    <s v="Corporate"/>
    <x v="0"/>
    <s v="Shiva"/>
    <s v="Biryani Counter sale on 15-9-2025"/>
    <n v="34500"/>
    <n v="34500"/>
    <x v="25"/>
    <x v="0"/>
    <x v="1"/>
    <s v="Closed"/>
    <m/>
    <n v="0"/>
    <s v="Corporate Order"/>
    <m/>
    <m/>
    <s v="Sep-25"/>
    <n v="38"/>
    <m/>
  </r>
  <r>
    <d v="2025-09-15T00:00:00"/>
    <s v="Delivery at Malkajgiri "/>
    <s v="Call"/>
    <s v="Event"/>
    <x v="10"/>
    <s v="Mahesh"/>
    <s v="Delivery of CB at Malkajgiri on 15-9-2025"/>
    <n v="10099"/>
    <n v="10099"/>
    <x v="25"/>
    <x v="0"/>
    <x v="1"/>
    <s v="Closed"/>
    <m/>
    <n v="0"/>
    <s v="Corporate Order"/>
    <m/>
    <m/>
    <s v="Sep-25"/>
    <n v="38"/>
    <m/>
  </r>
  <r>
    <d v="2025-09-16T00:00:00"/>
    <s v="IIT Hyderabad"/>
    <s v="F2F"/>
    <s v="College"/>
    <x v="4"/>
    <s v="Mohan"/>
    <s v="Biryani popup counter on 16-9-2024"/>
    <n v="18859"/>
    <n v="18859"/>
    <x v="25"/>
    <x v="0"/>
    <x v="1"/>
    <s v="Closed"/>
    <m/>
    <n v="0"/>
    <s v="Corporate Order"/>
    <m/>
    <m/>
    <s v="Sep-25"/>
    <n v="38"/>
    <m/>
  </r>
  <r>
    <d v="2025-09-16T00:00:00"/>
    <s v="Katria Hotel"/>
    <s v="F2F"/>
    <s v="Corporate"/>
    <x v="1"/>
    <s v="Bhavik Shah"/>
    <s v="Delivery of packed lunch on 16-9-2025"/>
    <n v="83500"/>
    <n v="83500"/>
    <x v="25"/>
    <x v="0"/>
    <x v="1"/>
    <s v="Closed"/>
    <m/>
    <n v="0"/>
    <s v="Bulk Order"/>
    <m/>
    <m/>
    <s v="Sep-25"/>
    <n v="38"/>
    <m/>
  </r>
  <r>
    <d v="2025-09-16T00:00:00"/>
    <s v="NVIDIA Graphics (Smart Q)"/>
    <s v="Call"/>
    <s v="Corporate"/>
    <x v="0"/>
    <s v="Naveen"/>
    <s v="Delivery of MB on 19-9-2025"/>
    <n v="43500"/>
    <n v="43500"/>
    <x v="25"/>
    <x v="0"/>
    <x v="1"/>
    <s v="Closed"/>
    <m/>
    <n v="0"/>
    <s v="Corporate Order"/>
    <m/>
    <m/>
    <s v="Sep-25"/>
    <n v="38"/>
    <m/>
  </r>
  <r>
    <d v="2025-09-17T00:00:00"/>
    <s v="Delivery at SEBLR Banglore (Compass)"/>
    <s v="Call"/>
    <s v="Corporate"/>
    <x v="17"/>
    <s v="Saad"/>
    <s v="New Delivery at Compass group on 17-9-2025"/>
    <n v="39940"/>
    <n v="39940"/>
    <x v="25"/>
    <x v="1"/>
    <x v="1"/>
    <s v="Closed"/>
    <m/>
    <n v="0"/>
    <s v="Corporate Order"/>
    <m/>
    <m/>
    <s v="Sep-25"/>
    <n v="38"/>
    <m/>
  </r>
  <r>
    <d v="2025-09-17T00:00:00"/>
    <s v="IIT Hyderabad"/>
    <s v="F2F"/>
    <s v="College"/>
    <x v="4"/>
    <s v="Mohan"/>
    <s v="Biryani popup counter on 17-9-2024"/>
    <n v="19859"/>
    <n v="19859"/>
    <x v="25"/>
    <x v="0"/>
    <x v="1"/>
    <s v="Closed"/>
    <m/>
    <n v="0"/>
    <s v="Corporate Order"/>
    <m/>
    <m/>
    <s v="Sep-25"/>
    <n v="38"/>
    <m/>
  </r>
  <r>
    <d v="2025-09-17T00:00:00"/>
    <s v="NVIDIA Graphics"/>
    <s v="Call"/>
    <s v="Corporate"/>
    <x v="0"/>
    <s v="Naveen"/>
    <s v="Delivery of MB on 18-9-2025, Sight Visit"/>
    <n v="0"/>
    <n v="0"/>
    <x v="25"/>
    <x v="0"/>
    <x v="1"/>
    <s v="Closed"/>
    <m/>
    <n v="0"/>
    <s v="Corporate Order"/>
    <m/>
    <m/>
    <s v="Sep-25"/>
    <n v="38"/>
    <m/>
  </r>
  <r>
    <d v="2025-09-17T00:00:00"/>
    <s v="Popup Counter at Capital Land Block A"/>
    <s v="Call"/>
    <s v="Corporate"/>
    <x v="17"/>
    <s v="Vamsi"/>
    <s v="Sale of CB,VB,MB,DKM on 17-9-2025"/>
    <n v="22000"/>
    <n v="22000"/>
    <x v="25"/>
    <x v="0"/>
    <x v="1"/>
    <s v="Closed"/>
    <m/>
    <n v="0"/>
    <s v="Corporate Order"/>
    <m/>
    <m/>
    <s v="Sep-25"/>
    <n v="38"/>
    <m/>
  </r>
  <r>
    <d v="2025-09-18T00:00:00"/>
    <s v="IIT Hyderabad"/>
    <s v="F2F"/>
    <s v="College"/>
    <x v="4"/>
    <s v="Mohan"/>
    <s v="Biryani popup counter on 18-9-2024"/>
    <n v="19859"/>
    <n v="19859"/>
    <x v="25"/>
    <x v="0"/>
    <x v="1"/>
    <s v="Closed"/>
    <m/>
    <n v="0"/>
    <s v="Corporate Order"/>
    <m/>
    <m/>
    <s v="Sep-25"/>
    <n v="38"/>
    <m/>
  </r>
  <r>
    <d v="2025-09-18T00:00:00"/>
    <s v="Popup Counter at Capital Land Block A"/>
    <s v="Call"/>
    <s v="Corporate"/>
    <x v="17"/>
    <s v="Vamsi"/>
    <s v="Sale of CB,VB,MB,DKM on 18-9-2025"/>
    <n v="14850"/>
    <n v="14850"/>
    <x v="25"/>
    <x v="0"/>
    <x v="1"/>
    <s v="Closed"/>
    <m/>
    <n v="0"/>
    <s v="Corporate Order"/>
    <m/>
    <m/>
    <s v="Sep-25"/>
    <n v="38"/>
    <m/>
  </r>
  <r>
    <d v="2025-09-18T00:00:00"/>
    <s v="Delivery at Shamshabad"/>
    <s v="Call"/>
    <s v="Corporate"/>
    <x v="1"/>
    <s v="Mahesh"/>
    <s v="Delivery of CB &amp; MB on 18-9-2025"/>
    <n v="19248"/>
    <n v="19248"/>
    <x v="25"/>
    <x v="0"/>
    <x v="1"/>
    <s v="Closed"/>
    <m/>
    <n v="0"/>
    <s v="Corporate Order"/>
    <m/>
    <m/>
    <s v="Sep-25"/>
    <n v="38"/>
    <m/>
  </r>
  <r>
    <d v="2025-09-19T00:00:00"/>
    <s v="IIT Hyderabad"/>
    <s v="F2F"/>
    <s v="College"/>
    <x v="4"/>
    <s v="Mohan"/>
    <s v="Biryani popup counter on 19-9-2024"/>
    <n v="20500"/>
    <n v="20500"/>
    <x v="25"/>
    <x v="0"/>
    <x v="1"/>
    <s v="Closed"/>
    <m/>
    <n v="0"/>
    <s v="Corporate Order"/>
    <m/>
    <m/>
    <s v="Sep-25"/>
    <n v="38"/>
    <m/>
  </r>
  <r>
    <d v="2025-09-19T00:00:00"/>
    <s v="Popup Counter at Capital Land Block A"/>
    <s v="Call"/>
    <s v="Corporate"/>
    <x v="17"/>
    <s v="Vamsi"/>
    <s v="Sale of CB,VB,MB,DKM on 18-9-2025"/>
    <n v="22000"/>
    <n v="22000"/>
    <x v="25"/>
    <x v="0"/>
    <x v="1"/>
    <s v="Closed"/>
    <m/>
    <n v="0"/>
    <s v="Corporate Order"/>
    <m/>
    <m/>
    <s v="Sep-25"/>
    <n v="38"/>
    <m/>
  </r>
  <r>
    <d v="2025-09-19T00:00:00"/>
    <s v="Delivery at Hitex"/>
    <s v="Call"/>
    <s v="Corporate"/>
    <x v="20"/>
    <s v="Srinu"/>
    <s v="Delivery of CB &amp; Chicken 65 on 18,19&amp;20 Sept 2025"/>
    <n v="217000"/>
    <n v="217000"/>
    <x v="25"/>
    <x v="0"/>
    <x v="1"/>
    <s v="Closed"/>
    <m/>
    <n v="0"/>
    <s v="Corporate Order"/>
    <m/>
    <m/>
    <s v="Sep-25"/>
    <n v="38"/>
    <m/>
  </r>
  <r>
    <d v="2025-09-20T00:00:00"/>
    <s v="vardhaman Engineering College"/>
    <s v="F2F"/>
    <s v="College"/>
    <x v="4"/>
    <s v="Aron"/>
    <s v="Delivery of Biryani on 20-9-2025"/>
    <n v="180700"/>
    <n v="180700"/>
    <x v="25"/>
    <x v="0"/>
    <x v="1"/>
    <s v="Closed"/>
    <m/>
    <n v="0"/>
    <s v="Corporate Order"/>
    <m/>
    <m/>
    <s v="Sep-25"/>
    <n v="38"/>
    <m/>
  </r>
  <r>
    <d v="2025-09-20T00:00:00"/>
    <s v="IIT Hyderabad"/>
    <s v="Call"/>
    <s v="College"/>
    <x v="4"/>
    <s v="Mohan"/>
    <s v="Biryani popup counter on 20-9-2024"/>
    <n v="22500"/>
    <n v="22500"/>
    <x v="25"/>
    <x v="0"/>
    <x v="1"/>
    <s v="Closed"/>
    <m/>
    <n v="0"/>
    <s v="Corporate Order"/>
    <m/>
    <m/>
    <s v="Sep-25"/>
    <n v="38"/>
    <m/>
  </r>
  <r>
    <d v="2025-09-21T00:00:00"/>
    <s v="IIT Hyderabad"/>
    <s v="Call"/>
    <s v="College"/>
    <x v="4"/>
    <s v="Mohan"/>
    <s v="Biryani popup counter on 21-9-2024"/>
    <n v="23200"/>
    <n v="23200"/>
    <x v="25"/>
    <x v="0"/>
    <x v="1"/>
    <s v="Closed"/>
    <m/>
    <n v="0"/>
    <s v="Corporate Order"/>
    <m/>
    <m/>
    <s v="Sep-25"/>
    <n v="38"/>
    <m/>
  </r>
  <r>
    <d v="2025-09-21T00:00:00"/>
    <s v="Take away from Uppal"/>
    <s v="Call"/>
    <s v="Events"/>
    <x v="10"/>
    <s v="Ramya"/>
    <s v="Take away of Cb on 21-9-2025"/>
    <n v="9500"/>
    <n v="9500"/>
    <x v="25"/>
    <x v="0"/>
    <x v="1"/>
    <s v="Closed"/>
    <m/>
    <n v="0"/>
    <s v="Corporate Order"/>
    <m/>
    <m/>
    <s v="Sep-25"/>
    <n v="38"/>
    <m/>
  </r>
  <r>
    <d v="2025-09-22T00:00:00"/>
    <s v="IIT Hyderabad"/>
    <s v="F2F"/>
    <s v="College"/>
    <x v="4"/>
    <s v="Mohan"/>
    <s v="Biryani popup counter on 22-9-2024"/>
    <n v="18500"/>
    <n v="18500"/>
    <x v="25"/>
    <x v="0"/>
    <x v="1"/>
    <s v="Closed"/>
    <m/>
    <n v="0"/>
    <s v="Corporate Order"/>
    <m/>
    <m/>
    <s v="Sep-25"/>
    <n v="39"/>
    <m/>
  </r>
  <r>
    <d v="2025-09-22T00:00:00"/>
    <s v="Popup Counter at Capital Land Block A"/>
    <s v="Call"/>
    <s v="Corporate"/>
    <x v="17"/>
    <s v="Vamsi"/>
    <s v="Sale of CB,VB,MB,DKM on 22-9-2025"/>
    <n v="19200"/>
    <n v="19200"/>
    <x v="25"/>
    <x v="0"/>
    <x v="1"/>
    <s v="Closed"/>
    <m/>
    <n v="0"/>
    <s v="Corporate Order"/>
    <m/>
    <m/>
    <s v="Sep-25"/>
    <n v="39"/>
    <m/>
  </r>
  <r>
    <d v="2025-09-22T00:00:00"/>
    <s v="Astrazenica"/>
    <s v="Call"/>
    <s v="Corporate"/>
    <x v="5"/>
    <s v="Sandeep"/>
    <s v="Delivery of CB on 26-9-2025"/>
    <n v="12275"/>
    <n v="12275"/>
    <x v="25"/>
    <x v="0"/>
    <x v="1"/>
    <s v="Closed"/>
    <m/>
    <n v="0"/>
    <s v="Corporate Order"/>
    <m/>
    <m/>
    <s v="Sep-25"/>
    <n v="39"/>
    <m/>
  </r>
  <r>
    <d v="2025-09-23T00:00:00"/>
    <s v="IIT Hyderabad"/>
    <s v="Call"/>
    <s v="College"/>
    <x v="4"/>
    <s v="Mohan"/>
    <s v="Biryani popup counter on 23-9-2024"/>
    <n v="22500"/>
    <n v="22500"/>
    <x v="25"/>
    <x v="0"/>
    <x v="1"/>
    <s v="Closed"/>
    <m/>
    <n v="0"/>
    <s v="Corporate Order"/>
    <m/>
    <m/>
    <s v="Sep-25"/>
    <n v="39"/>
    <m/>
  </r>
  <r>
    <d v="2025-09-23T00:00:00"/>
    <s v="Popup Counter at Capital Land Block A"/>
    <s v="F2F"/>
    <s v="Corporate"/>
    <x v="17"/>
    <s v="Vamsi"/>
    <s v="Sale of CB,VB,MB,DKM on 23-9-2025"/>
    <n v="16500"/>
    <n v="16500"/>
    <x v="25"/>
    <x v="0"/>
    <x v="1"/>
    <s v="Closed"/>
    <m/>
    <n v="0"/>
    <s v="Corporate Order"/>
    <m/>
    <m/>
    <s v="Sep-25"/>
    <n v="39"/>
    <m/>
  </r>
  <r>
    <d v="2025-09-23T00:00:00"/>
    <s v="Intercity Transport Logistics"/>
    <s v="F2F"/>
    <s v="Corporate"/>
    <x v="0"/>
    <s v="Mallikarjuna"/>
    <s v="Dusshera Lunch for 700 "/>
    <n v="0"/>
    <n v="0"/>
    <x v="25"/>
    <x v="0"/>
    <x v="1"/>
    <s v="Closed"/>
    <m/>
    <n v="0"/>
    <s v="Bulk Order"/>
    <m/>
    <m/>
    <s v="Sep-25"/>
    <n v="39"/>
    <m/>
  </r>
  <r>
    <d v="2025-09-23T00:00:00"/>
    <s v="Vardhaman Engineering College"/>
    <s v="F2F"/>
    <s v="College"/>
    <x v="4"/>
    <s v="Jabbar"/>
    <s v="Delivery of CB on 26-9-2025"/>
    <n v="60000"/>
    <m/>
    <x v="25"/>
    <x v="0"/>
    <x v="0"/>
    <s v="Cancelled"/>
    <s v="Less Budget"/>
    <n v="0"/>
    <s v="Bulk Order"/>
    <m/>
    <m/>
    <s v="Sep-25"/>
    <n v="39"/>
    <m/>
  </r>
  <r>
    <d v="2025-09-24T00:00:00"/>
    <s v="IIT Hyderabad"/>
    <s v="Call"/>
    <s v="College"/>
    <x v="4"/>
    <s v="Mohan"/>
    <s v="Biryani popup counter on 24-9-2024"/>
    <n v="19500"/>
    <n v="19500"/>
    <x v="25"/>
    <x v="0"/>
    <x v="1"/>
    <s v="Closed"/>
    <m/>
    <n v="0"/>
    <s v="Corporate Order"/>
    <m/>
    <m/>
    <s v="Sep-25"/>
    <n v="39"/>
    <m/>
  </r>
  <r>
    <d v="2025-09-24T00:00:00"/>
    <s v="Popup Counter at Capital Land Block A"/>
    <s v="F2F"/>
    <s v="Corporate"/>
    <x v="17"/>
    <s v="Vamsi"/>
    <s v="Sale of CB,VB,MB,DKM on 24-9-2025"/>
    <n v="16330"/>
    <n v="16330"/>
    <x v="25"/>
    <x v="0"/>
    <x v="1"/>
    <s v="Closed"/>
    <m/>
    <n v="0"/>
    <s v="Corporate Order"/>
    <m/>
    <m/>
    <s v="Sep-25"/>
    <n v="39"/>
    <m/>
  </r>
  <r>
    <d v="2025-09-24T00:00:00"/>
    <s v="Delivery at SEBLR Banglore (Compass)"/>
    <s v="Call"/>
    <s v="Corporate"/>
    <x v="17"/>
    <s v="Saad"/>
    <s v="New Delivery at Compass group on 24-9-2025"/>
    <n v="39940"/>
    <n v="39940"/>
    <x v="25"/>
    <x v="1"/>
    <x v="1"/>
    <s v="Closed"/>
    <m/>
    <n v="0"/>
    <s v="Bulk Order"/>
    <m/>
    <m/>
    <s v="Sep-25"/>
    <n v="39"/>
    <m/>
  </r>
  <r>
    <d v="2025-09-24T00:00:00"/>
    <s v="Platos"/>
    <s v="F2F"/>
    <s v="Corporate"/>
    <x v="34"/>
    <s v="Teja"/>
    <s v="Delivery of CB in Bangalore"/>
    <n v="700000"/>
    <m/>
    <x v="18"/>
    <x v="0"/>
    <x v="0"/>
    <s v="Cancelled"/>
    <m/>
    <n v="0"/>
    <s v="Corporate Order"/>
    <m/>
    <m/>
    <s v="Sep-25"/>
    <n v="39"/>
    <m/>
  </r>
  <r>
    <d v="2025-09-24T00:00:00"/>
    <s v="Intercity Transport Logistics"/>
    <s v="F2F"/>
    <s v="Corporate"/>
    <x v="0"/>
    <s v="Mallikarjuna"/>
    <s v="Dusshera Lunch for 700 on 28-09-2025"/>
    <n v="0"/>
    <n v="0"/>
    <x v="25"/>
    <x v="0"/>
    <x v="1"/>
    <s v="Closed"/>
    <m/>
    <n v="0"/>
    <s v="Bulk Order"/>
    <m/>
    <m/>
    <s v="Sep-25"/>
    <n v="39"/>
    <m/>
  </r>
  <r>
    <d v="2025-09-25T00:00:00"/>
    <s v="IIT Hyderabad"/>
    <s v="Call"/>
    <s v="College"/>
    <x v="4"/>
    <s v="Mohan"/>
    <s v="Biryani popup counter on 24-9-2024"/>
    <n v="19500"/>
    <n v="19500"/>
    <x v="25"/>
    <x v="0"/>
    <x v="1"/>
    <s v="Closed"/>
    <m/>
    <n v="0"/>
    <s v="Corporate Order"/>
    <m/>
    <m/>
    <s v="Sep-25"/>
    <n v="39"/>
    <m/>
  </r>
  <r>
    <d v="2025-09-25T00:00:00"/>
    <s v="Popup Counter at Capital Land Block A"/>
    <s v="F2F"/>
    <s v="Corporate"/>
    <x v="17"/>
    <s v="Vamsi"/>
    <s v="Sale of CB,VB,MB,DKM on 25-9-2025"/>
    <n v="18330"/>
    <n v="18330"/>
    <x v="25"/>
    <x v="0"/>
    <x v="1"/>
    <s v="Closed"/>
    <m/>
    <n v="0"/>
    <s v="Corporate Order"/>
    <m/>
    <m/>
    <s v="Sep-25"/>
    <n v="39"/>
    <m/>
  </r>
  <r>
    <d v="2025-09-25T00:00:00"/>
    <s v="Accenture"/>
    <s v="F2F"/>
    <s v="Corporate"/>
    <x v="0"/>
    <s v="Afroz"/>
    <s v="ODC in October"/>
    <n v="0"/>
    <m/>
    <x v="28"/>
    <x v="0"/>
    <x v="1"/>
    <s v="Closed"/>
    <m/>
    <n v="0"/>
    <s v="Corporate Order"/>
    <m/>
    <m/>
    <s v="Sep-25"/>
    <n v="39"/>
    <m/>
  </r>
  <r>
    <d v="2025-09-25T00:00:00"/>
    <s v="IIT Hyderabad"/>
    <s v="Call"/>
    <s v="College"/>
    <x v="4"/>
    <s v="Gopinath"/>
    <s v="Popup counter "/>
    <n v="0"/>
    <n v="0"/>
    <x v="24"/>
    <x v="0"/>
    <x v="1"/>
    <s v="Closed"/>
    <s v=" "/>
    <n v="0"/>
    <s v="Corporate Order"/>
    <m/>
    <m/>
    <s v="Sep-25"/>
    <n v="39"/>
    <m/>
  </r>
  <r>
    <d v="2025-09-25T00:00:00"/>
    <s v="Anthea Prarma "/>
    <s v="F2F"/>
    <s v="Corporate"/>
    <x v="5"/>
    <s v="Jaipal"/>
    <s v="Take away for October month"/>
    <n v="0"/>
    <n v="0"/>
    <x v="24"/>
    <x v="0"/>
    <x v="1"/>
    <s v="Closed"/>
    <m/>
    <n v="0"/>
    <s v="Corporate Order"/>
    <m/>
    <m/>
    <s v="Sep-25"/>
    <n v="39"/>
    <m/>
  </r>
  <r>
    <d v="2025-09-26T00:00:00"/>
    <s v="IIT Hyderabad"/>
    <s v="Call"/>
    <s v="College"/>
    <x v="4"/>
    <s v="Mohan"/>
    <s v="Biryani popup counter on 26-9-2024"/>
    <n v="15000"/>
    <n v="15000"/>
    <x v="25"/>
    <x v="0"/>
    <x v="1"/>
    <s v="Closed"/>
    <m/>
    <n v="0"/>
    <s v="Corporate Order"/>
    <m/>
    <m/>
    <s v="Sep-25"/>
    <n v="39"/>
    <m/>
  </r>
  <r>
    <d v="2025-09-26T00:00:00"/>
    <s v="Popup Counter at Capital Land Block A"/>
    <s v="F2F"/>
    <s v="Corporate"/>
    <x v="17"/>
    <s v="Vamsi"/>
    <s v="Sale of CB,VB,MB,DKM on 26-9-2025"/>
    <n v="18330"/>
    <n v="18330"/>
    <x v="25"/>
    <x v="0"/>
    <x v="1"/>
    <s v="Closed"/>
    <m/>
    <n v="0"/>
    <s v="Corporate Order"/>
    <m/>
    <m/>
    <s v="Sep-25"/>
    <n v="39"/>
    <m/>
  </r>
  <r>
    <d v="2025-09-26T00:00:00"/>
    <s v="Axix Securities"/>
    <s v="F2F"/>
    <s v="Corporate"/>
    <x v="21"/>
    <s v="Nilesh"/>
    <s v="Delivery of VB &amp; Kabab on 29-9-2025"/>
    <n v="11200"/>
    <n v="11200"/>
    <x v="25"/>
    <x v="0"/>
    <x v="1"/>
    <s v="Closed"/>
    <m/>
    <n v="0"/>
    <s v="Corporate Order"/>
    <m/>
    <m/>
    <s v="Sep-25"/>
    <n v="39"/>
    <m/>
  </r>
  <r>
    <d v="2025-09-27T00:00:00"/>
    <s v="IIT Hyderabad"/>
    <s v="Call"/>
    <s v="College"/>
    <x v="4"/>
    <s v="Mohan"/>
    <s v="Biryani popup counter on 27-9-2024"/>
    <n v="14000"/>
    <n v="14000"/>
    <x v="25"/>
    <x v="0"/>
    <x v="1"/>
    <s v="Closed"/>
    <m/>
    <n v="0"/>
    <s v="Corporate Order"/>
    <m/>
    <m/>
    <s v="Sep-25"/>
    <n v="39"/>
    <m/>
  </r>
  <r>
    <d v="2025-09-28T00:00:00"/>
    <s v="IIT Hyderabad"/>
    <s v="Call"/>
    <s v="College"/>
    <x v="4"/>
    <s v="Mohan"/>
    <s v="Biryani popup counter on 27-9-2024"/>
    <n v="6500"/>
    <n v="6500"/>
    <x v="25"/>
    <x v="0"/>
    <x v="1"/>
    <s v="Closed"/>
    <m/>
    <n v="0"/>
    <s v="Corporate Order"/>
    <m/>
    <m/>
    <s v="Sep-25"/>
    <n v="39"/>
    <m/>
  </r>
  <r>
    <d v="2025-09-28T00:00:00"/>
    <s v="Intercity Transport Logistics"/>
    <s v="F2F"/>
    <s v="Corporate"/>
    <x v="0"/>
    <s v="Mallikarjuna"/>
    <s v="Dusshera Lunch for 700 on 28-09-2025"/>
    <n v="199120"/>
    <n v="199120"/>
    <x v="25"/>
    <x v="0"/>
    <x v="1"/>
    <s v="Closed"/>
    <m/>
    <n v="0"/>
    <s v="Bulk Order"/>
    <m/>
    <m/>
    <s v="Sep-25"/>
    <n v="39"/>
    <m/>
  </r>
  <r>
    <d v="2025-09-29T00:00:00"/>
    <s v="IIT Hyderabad"/>
    <s v="Call"/>
    <s v="College"/>
    <x v="4"/>
    <s v="Mohan"/>
    <s v="Biryani popup counter on 29-9-2024"/>
    <n v="16500"/>
    <n v="16500"/>
    <x v="25"/>
    <x v="0"/>
    <x v="1"/>
    <s v="Closed"/>
    <m/>
    <n v="0"/>
    <s v="Corporate Order"/>
    <m/>
    <m/>
    <s v="Sep-25"/>
    <n v="40"/>
    <m/>
  </r>
  <r>
    <d v="2025-09-29T00:00:00"/>
    <s v="Popup Counter at Capital Land Block A"/>
    <s v="Call"/>
    <s v="Corporate"/>
    <x v="17"/>
    <s v="Vamsi"/>
    <s v="Sale of CB,VB,MB,DKM on 29-9-2025"/>
    <n v="10267"/>
    <n v="10267"/>
    <x v="25"/>
    <x v="0"/>
    <x v="1"/>
    <s v="Closed"/>
    <m/>
    <n v="0"/>
    <s v="Corporate Order"/>
    <m/>
    <m/>
    <s v="Sep-25"/>
    <n v="40"/>
    <m/>
  </r>
  <r>
    <d v="2025-09-29T00:00:00"/>
    <s v="Intercity Transport Logistics"/>
    <s v="F2F"/>
    <s v="Corporate"/>
    <x v="0"/>
    <s v="Mallikarjuna"/>
    <s v="Payment followup and delivery on 1-10-2025"/>
    <n v="63000"/>
    <n v="63000"/>
    <x v="28"/>
    <x v="0"/>
    <x v="1"/>
    <s v="Closed"/>
    <m/>
    <n v="0"/>
    <s v="Bulk Order"/>
    <m/>
    <m/>
    <s v="Sep-25"/>
    <n v="40"/>
    <m/>
  </r>
  <r>
    <d v="2025-09-29T00:00:00"/>
    <s v="Anthea Pharma"/>
    <s v="F2F"/>
    <s v="Corporate"/>
    <x v="5"/>
    <s v="Jaipal"/>
    <s v="Take away of CB &amp; VB in September month "/>
    <n v="20500"/>
    <n v="20500"/>
    <x v="25"/>
    <x v="0"/>
    <x v="1"/>
    <s v="Closed"/>
    <m/>
    <n v="0"/>
    <s v="Corporate Order"/>
    <m/>
    <m/>
    <s v="Sep-25"/>
    <n v="40"/>
    <m/>
  </r>
  <r>
    <d v="2025-09-30T00:00:00"/>
    <s v="IIT Hyderabad"/>
    <s v="Call"/>
    <s v="College"/>
    <x v="4"/>
    <s v="Mohan"/>
    <s v="Biryani popup counter on 30-9-2024"/>
    <n v="12500"/>
    <n v="12500"/>
    <x v="25"/>
    <x v="0"/>
    <x v="1"/>
    <s v="Closed"/>
    <m/>
    <n v="0"/>
    <s v="Corporate Order"/>
    <m/>
    <m/>
    <s v="Sep-25"/>
    <n v="40"/>
    <m/>
  </r>
  <r>
    <d v="2025-09-30T00:00:00"/>
    <s v="Popup Counter at Capital Land Block A"/>
    <s v="Call"/>
    <s v="Corporate"/>
    <x v="17"/>
    <s v="Vamsi"/>
    <s v="Sale of CB,VB,MB,DKM on 29-9-2025"/>
    <n v="9550"/>
    <n v="9550"/>
    <x v="25"/>
    <x v="0"/>
    <x v="1"/>
    <s v="Closed"/>
    <m/>
    <n v="0"/>
    <s v="Corporate Order"/>
    <m/>
    <m/>
    <s v="Sep-25"/>
    <n v="40"/>
    <m/>
  </r>
  <r>
    <d v="2025-09-30T00:00:00"/>
    <s v="Intercity Transport Logistics"/>
    <s v="F2F"/>
    <s v="Corporate"/>
    <x v="0"/>
    <s v="Mallikarjuna"/>
    <s v="Confirmation of delivery 3 location on 1-10-2025"/>
    <n v="0"/>
    <n v="0"/>
    <x v="28"/>
    <x v="0"/>
    <x v="1"/>
    <s v="Closed"/>
    <m/>
    <n v="0"/>
    <s v="Bulk Order"/>
    <m/>
    <m/>
    <s v="Sep-25"/>
    <n v="40"/>
    <m/>
  </r>
  <r>
    <d v="2025-10-01T00:00:00"/>
    <s v="Popup Counter at Capital Land Block A"/>
    <s v="Call"/>
    <s v="Corporate"/>
    <x v="17"/>
    <s v="Vamsi"/>
    <s v="Sale of CB,VB,MB,DKM on 1-10-2025"/>
    <n v="6355"/>
    <n v="6355"/>
    <x v="28"/>
    <x v="0"/>
    <x v="1"/>
    <s v="Closed"/>
    <m/>
    <n v="0"/>
    <s v="Corporate Order"/>
    <m/>
    <m/>
    <s v="Oct-25"/>
    <n v="40"/>
    <m/>
  </r>
  <r>
    <d v="2025-10-01T00:00:00"/>
    <s v="Delivery at SEBLR Banglore (Compass)"/>
    <s v="Call"/>
    <s v="Corporate"/>
    <x v="17"/>
    <s v="Saad"/>
    <s v="New Delivery at Compass group on 1-10-2025"/>
    <n v="25279"/>
    <n v="25279"/>
    <x v="28"/>
    <x v="1"/>
    <x v="1"/>
    <s v="Closed"/>
    <m/>
    <n v="0"/>
    <s v="Bulk Order"/>
    <m/>
    <m/>
    <s v="Oct-25"/>
    <n v="40"/>
    <m/>
  </r>
  <r>
    <d v="2025-10-02T00:00:00"/>
    <s v="Vollyball Leaug Gachibowli stadium"/>
    <s v="F2F"/>
    <s v="Corporate"/>
    <x v="17"/>
    <s v="Varun"/>
    <s v="Popup counter on 02-20-2025"/>
    <n v="5500"/>
    <n v="5500"/>
    <x v="28"/>
    <x v="0"/>
    <x v="1"/>
    <s v="Closed"/>
    <m/>
    <n v="0"/>
    <s v="Corporate Order"/>
    <m/>
    <m/>
    <s v="Oct-25"/>
    <n v="40"/>
    <m/>
  </r>
  <r>
    <d v="2025-10-03T00:00:00"/>
    <s v="JCNM Church"/>
    <s v="Call "/>
    <s v="Church"/>
    <x v="8"/>
    <s v="Daniel Pramod"/>
    <s v="Followup for delivery of CB on 25-12-2025"/>
    <n v="3224730"/>
    <n v="3224730"/>
    <x v="18"/>
    <x v="0"/>
    <x v="1"/>
    <s v="Closed"/>
    <m/>
    <n v="0"/>
    <s v="Corporate Order"/>
    <m/>
    <m/>
    <s v="Oct-25"/>
    <n v="40"/>
    <m/>
  </r>
  <r>
    <d v="2025-10-03T00:00:00"/>
    <s v="Popup Counter at Capital Land Block A"/>
    <s v="Call"/>
    <s v="Corporate"/>
    <x v="17"/>
    <s v="Vamsi"/>
    <s v="Sale of CB,VB,MB,DKM on 3-10-2025"/>
    <n v="4935"/>
    <n v="4935"/>
    <x v="28"/>
    <x v="0"/>
    <x v="1"/>
    <s v="Closed"/>
    <m/>
    <n v="0"/>
    <s v="Corporate Order"/>
    <m/>
    <m/>
    <s v="Oct-25"/>
    <n v="40"/>
    <m/>
  </r>
  <r>
    <d v="2025-10-03T00:00:00"/>
    <s v="IIT Hyderabad"/>
    <s v="Call"/>
    <s v="College"/>
    <x v="4"/>
    <s v="Mohan"/>
    <s v="Biryani popup counter on 3-10-2025"/>
    <n v="8000"/>
    <n v="8000"/>
    <x v="28"/>
    <x v="0"/>
    <x v="1"/>
    <s v="Closed"/>
    <m/>
    <n v="0"/>
    <s v="Corporate Order"/>
    <m/>
    <m/>
    <s v="Oct-25"/>
    <n v="40"/>
    <m/>
  </r>
  <r>
    <d v="2025-10-05T00:00:00"/>
    <s v="Delivery at Malkajgiri"/>
    <s v="Call"/>
    <s v="Events"/>
    <x v="10"/>
    <s v="Vijay"/>
    <s v="Delivery of Cb on 5-10-2025"/>
    <n v="11569"/>
    <n v="11569"/>
    <x v="28"/>
    <x v="0"/>
    <x v="1"/>
    <s v="Closed"/>
    <m/>
    <n v="0"/>
    <s v="Corporate Order"/>
    <m/>
    <m/>
    <s v="Oct-25"/>
    <n v="40"/>
    <m/>
  </r>
  <r>
    <d v="2025-10-06T00:00:00"/>
    <s v="Popup Counter at Capital Land Block A"/>
    <s v="Call"/>
    <s v="Corporate"/>
    <x v="17"/>
    <s v="Vamsi"/>
    <s v="Sale of CB,VB,MB,DKM on 6-10-2025"/>
    <n v="9500"/>
    <n v="9500"/>
    <x v="28"/>
    <x v="0"/>
    <x v="1"/>
    <s v="Closed"/>
    <m/>
    <n v="0"/>
    <s v="Corporate Order"/>
    <m/>
    <m/>
    <s v="Oct-25"/>
    <n v="41"/>
    <m/>
  </r>
  <r>
    <d v="2025-10-07T00:00:00"/>
    <s v="Popup Counter at Capital Land Block A"/>
    <s v="Call"/>
    <s v="Corporate"/>
    <x v="17"/>
    <s v="Vamsi"/>
    <s v="Sale of CB,VB,MB,DKM on 7-10-2025"/>
    <n v="13657"/>
    <n v="13657"/>
    <x v="28"/>
    <x v="0"/>
    <x v="1"/>
    <s v="Closed"/>
    <m/>
    <n v="0"/>
    <s v="Corporate Order"/>
    <m/>
    <m/>
    <s v="Oct-25"/>
    <n v="41"/>
    <m/>
  </r>
  <r>
    <d v="2025-10-07T00:00:00"/>
    <s v="IIT Hyderabad"/>
    <s v="Call"/>
    <s v="College"/>
    <x v="4"/>
    <s v="Mohan"/>
    <s v="Biryani popup counter on 7-10-2025"/>
    <n v="12000"/>
    <n v="12000"/>
    <x v="28"/>
    <x v="0"/>
    <x v="1"/>
    <s v="Closed"/>
    <m/>
    <n v="0"/>
    <s v="Corporate Order"/>
    <m/>
    <m/>
    <s v="Oct-25"/>
    <n v="41"/>
    <m/>
  </r>
  <r>
    <d v="2025-10-07T00:00:00"/>
    <s v="Accenture"/>
    <s v="F2F"/>
    <s v="Corporate"/>
    <x v="0"/>
    <s v="Sasidevi"/>
    <s v="Popup of at Accenture on 7-10-2025"/>
    <n v="47590"/>
    <n v="47590"/>
    <x v="28"/>
    <x v="0"/>
    <x v="1"/>
    <s v="Closed"/>
    <m/>
    <n v="0"/>
    <s v="Bulk Order"/>
    <m/>
    <m/>
    <s v="Oct-25"/>
    <n v="41"/>
    <m/>
  </r>
  <r>
    <d v="2025-10-08T00:00:00"/>
    <s v="Popup Counter at Capital Land Block A"/>
    <s v="Call"/>
    <s v="Corporate"/>
    <x v="17"/>
    <s v="Vamsi"/>
    <s v="Sale of CB,VB,MB,DKM on 8-10-2025"/>
    <n v="12634"/>
    <n v="12634"/>
    <x v="28"/>
    <x v="0"/>
    <x v="1"/>
    <s v="Closed"/>
    <m/>
    <n v="0"/>
    <s v="Corporate Order"/>
    <m/>
    <m/>
    <s v="Oct-25"/>
    <n v="41"/>
    <m/>
  </r>
  <r>
    <d v="2025-10-08T00:00:00"/>
    <s v="IIT Hyderabad"/>
    <s v="Call"/>
    <s v="College"/>
    <x v="4"/>
    <s v="Mohan"/>
    <s v="Biryani popup counter on 8-10-2025"/>
    <n v="15500"/>
    <n v="15500"/>
    <x v="28"/>
    <x v="0"/>
    <x v="1"/>
    <s v="Closed"/>
    <m/>
    <n v="0"/>
    <s v="Corporate Order"/>
    <m/>
    <m/>
    <s v="Oct-25"/>
    <n v="41"/>
    <m/>
  </r>
  <r>
    <d v="2025-10-08T00:00:00"/>
    <s v="Accenture"/>
    <s v="F2F"/>
    <s v="Corporate"/>
    <x v="0"/>
    <s v="Sasidevi"/>
    <s v="Popup of at Accenture on 8-10-2025"/>
    <n v="35700"/>
    <n v="35700"/>
    <x v="28"/>
    <x v="0"/>
    <x v="1"/>
    <s v="Closed"/>
    <m/>
    <n v="0"/>
    <s v="Bulk Order"/>
    <m/>
    <m/>
    <s v="Oct-25"/>
    <n v="41"/>
    <m/>
  </r>
  <r>
    <d v="2025-10-08T00:00:00"/>
    <s v="Delivery at SEBLR Banglore (Compass)"/>
    <s v="Call"/>
    <s v="Corporate"/>
    <x v="17"/>
    <s v="Saad"/>
    <s v="New Delivery at Compass group on 8-10-2025"/>
    <n v="29333"/>
    <n v="29333"/>
    <x v="28"/>
    <x v="1"/>
    <x v="1"/>
    <s v="Closed"/>
    <m/>
    <n v="0"/>
    <s v="Bulk Order"/>
    <m/>
    <m/>
    <s v="Oct-25"/>
    <n v="41"/>
    <m/>
  </r>
  <r>
    <d v="2025-10-08T00:00:00"/>
    <s v="Hari Transport Maharashtra"/>
    <s v="F2F"/>
    <s v="Corporate "/>
    <x v="1"/>
    <s v="Srinivas"/>
    <s v="Dine in of Tourist group from Maharashtra at IMAX"/>
    <n v="70786"/>
    <n v="70786"/>
    <x v="28"/>
    <x v="0"/>
    <x v="0"/>
    <s v="Cancelled"/>
    <m/>
    <n v="0"/>
    <s v="Bulk Order"/>
    <m/>
    <m/>
    <s v="Oct-25"/>
    <n v="41"/>
    <m/>
  </r>
  <r>
    <d v="2025-10-08T00:00:00"/>
    <s v="Platos"/>
    <s v="F2F"/>
    <s v="Corporate"/>
    <x v="17"/>
    <s v="Rohan"/>
    <s v="Followup for  Delivery of employee lunch on 13-10-2025"/>
    <n v="100000"/>
    <m/>
    <x v="18"/>
    <x v="0"/>
    <x v="0"/>
    <s v="Cancelled"/>
    <m/>
    <n v="0"/>
    <s v="Bulk Order"/>
    <m/>
    <m/>
    <s v="Oct-25"/>
    <n v="41"/>
    <m/>
  </r>
  <r>
    <d v="2025-10-09T00:00:00"/>
    <s v="Cube Highways"/>
    <s v="F2F"/>
    <s v="Corporate"/>
    <x v="15"/>
    <s v="Saikiran"/>
    <s v="Shared details of Buffet lunch on 16-9-2025  160017"/>
    <n v="161700"/>
    <n v="161700"/>
    <x v="28"/>
    <x v="0"/>
    <x v="1"/>
    <s v="Closed"/>
    <m/>
    <n v="0"/>
    <s v="Bulk Order"/>
    <m/>
    <m/>
    <s v="Oct-25"/>
    <n v="41"/>
    <m/>
  </r>
  <r>
    <d v="2025-10-09T00:00:00"/>
    <s v="Popup Counter at Capital Land Block A"/>
    <s v="Call"/>
    <s v="Corporate"/>
    <x v="17"/>
    <s v="Vamsi"/>
    <s v="Sale of CB,VB,MB,DKM on 9-10-2025"/>
    <n v="14500"/>
    <n v="14500"/>
    <x v="28"/>
    <x v="0"/>
    <x v="1"/>
    <s v="Closed"/>
    <m/>
    <n v="0"/>
    <s v="Corporate Order"/>
    <m/>
    <m/>
    <s v="Oct-25"/>
    <n v="41"/>
    <m/>
  </r>
  <r>
    <d v="2025-10-09T00:00:00"/>
    <s v="AO Production "/>
    <s v="F2F"/>
    <s v="Corporate"/>
    <x v="1"/>
    <s v="Srinivas"/>
    <s v="Dine in at Shamshabad &amp; Imax on 12-10-2025"/>
    <n v="216348"/>
    <n v="216348"/>
    <x v="28"/>
    <x v="0"/>
    <x v="1"/>
    <s v="Closed"/>
    <m/>
    <n v="0"/>
    <s v="Bulk Order"/>
    <m/>
    <m/>
    <s v="Oct-25"/>
    <n v="41"/>
    <m/>
  </r>
  <r>
    <d v="2025-10-09T00:00:00"/>
    <s v="Accenture Waverock"/>
    <s v="F2F"/>
    <s v="Corporate"/>
    <x v="0"/>
    <s v="Sasidevi"/>
    <s v="Popup of at Accenture on 9-10-2025"/>
    <n v="23500"/>
    <n v="23500"/>
    <x v="28"/>
    <x v="0"/>
    <x v="1"/>
    <s v="Closed"/>
    <m/>
    <n v="0"/>
    <s v="Bulk Order"/>
    <m/>
    <m/>
    <s v="Oct-25"/>
    <n v="41"/>
    <m/>
  </r>
  <r>
    <d v="2025-10-10T00:00:00"/>
    <s v="Popup Counter at Capital Land Block A"/>
    <s v="Call"/>
    <s v="Corporate"/>
    <x v="17"/>
    <s v="Vamsi"/>
    <s v="Sale of CB,VB,MB,DKM on 10-10-2025"/>
    <n v="13850"/>
    <n v="13850"/>
    <x v="28"/>
    <x v="0"/>
    <x v="1"/>
    <s v="Closed"/>
    <m/>
    <n v="0"/>
    <s v="Corporate Order"/>
    <m/>
    <m/>
    <s v="Oct-25"/>
    <n v="41"/>
    <m/>
  </r>
  <r>
    <d v="2025-10-10T00:00:00"/>
    <s v="Department of Agriculture"/>
    <s v="F2F"/>
    <s v="Corporate"/>
    <x v="20"/>
    <s v="Chandrashekhar"/>
    <s v="Delivery of CB and Kabab on 11-10-2025"/>
    <n v="18080"/>
    <n v="18080"/>
    <x v="28"/>
    <x v="0"/>
    <x v="1"/>
    <s v="Closed"/>
    <m/>
    <n v="0"/>
    <s v="Corporate Order"/>
    <m/>
    <m/>
    <s v="Oct-25"/>
    <n v="41"/>
    <m/>
  </r>
  <r>
    <d v="2025-10-11T00:00:00"/>
    <s v="IIT Hyderibad (Delivery)"/>
    <s v="Call"/>
    <s v="College"/>
    <x v="4"/>
    <s v="Aditya"/>
    <s v="Delivery of CB &amp; VB on 11-10-2025 from Lingampally"/>
    <n v="25600"/>
    <n v="25600"/>
    <x v="28"/>
    <x v="0"/>
    <x v="1"/>
    <s v="Closed"/>
    <m/>
    <n v="0"/>
    <s v="Corporate Order"/>
    <m/>
    <m/>
    <s v="Oct-25"/>
    <n v="41"/>
    <m/>
  </r>
  <r>
    <d v="2025-10-11T00:00:00"/>
    <s v="Tourist Group from Maharashtra"/>
    <s v="Call"/>
    <s v="Corporate"/>
    <x v="1"/>
    <s v="Vinay"/>
    <s v="Dine in at IMAX 50 PAX on 11-10-2025"/>
    <n v="16423"/>
    <n v="16423"/>
    <x v="28"/>
    <x v="0"/>
    <x v="0"/>
    <s v="Cancelled"/>
    <m/>
    <n v="0"/>
    <s v="Corporate Order"/>
    <m/>
    <m/>
    <s v="Oct-25"/>
    <n v="41"/>
    <m/>
  </r>
  <r>
    <d v="2025-10-11T00:00:00"/>
    <s v="Orphanage Secundrabad"/>
    <s v="Call"/>
    <s v="Corporate"/>
    <x v="36"/>
    <s v="Satish"/>
    <s v="Take away of Supreme biryany on 11-10-2025 Secbad"/>
    <n v="13500"/>
    <n v="13500"/>
    <x v="28"/>
    <x v="0"/>
    <x v="1"/>
    <s v="Closed"/>
    <m/>
    <n v="0"/>
    <s v="Corporate Order"/>
    <m/>
    <m/>
    <s v="Oct-25"/>
    <n v="41"/>
    <m/>
  </r>
  <r>
    <d v="2025-10-12T00:00:00"/>
    <s v="Delivery at Shamshabad Airport"/>
    <s v="Call"/>
    <s v="Corporate"/>
    <x v="1"/>
    <s v="Ajay"/>
    <s v="Delivery of Snacks on 12-10-2025"/>
    <n v="8500"/>
    <n v="8500"/>
    <x v="28"/>
    <x v="0"/>
    <x v="0"/>
    <s v="Cancelled"/>
    <m/>
    <n v="0"/>
    <s v="Corporate Order"/>
    <m/>
    <m/>
    <s v="Oct-25"/>
    <n v="41"/>
    <m/>
  </r>
  <r>
    <d v="2025-10-12T00:00:00"/>
    <s v="Nims Hospital Panjagutta"/>
    <s v="Call"/>
    <s v="Corporate"/>
    <x v="13"/>
    <s v="Rupesh"/>
    <s v="Delivery of Executive Thali fromBegumpet on 12-10-2025"/>
    <n v="15044"/>
    <n v="15044"/>
    <x v="28"/>
    <x v="0"/>
    <x v="1"/>
    <s v="Closed"/>
    <m/>
    <n v="0"/>
    <s v="Corporate Order"/>
    <m/>
    <m/>
    <s v="Oct-25"/>
    <n v="41"/>
    <m/>
  </r>
  <r>
    <d v="2025-10-13T00:00:00"/>
    <s v="Department of Agriculture"/>
    <s v="F2F"/>
    <s v="Corporate"/>
    <x v="20"/>
    <s v="Chandrashekhar"/>
    <s v="Delivery of CB on 15-10-2025"/>
    <n v="30000"/>
    <m/>
    <x v="28"/>
    <x v="0"/>
    <x v="0"/>
    <s v="Cancelled"/>
    <m/>
    <n v="0"/>
    <s v="Corporate Order"/>
    <m/>
    <m/>
    <s v="Oct-25"/>
    <n v="42"/>
    <m/>
  </r>
  <r>
    <d v="2025-10-13T00:00:00"/>
    <s v="Platos"/>
    <s v="F2F"/>
    <s v="Corporate"/>
    <x v="17"/>
    <s v="Rohan"/>
    <s v="Delivery of employee lunch on 13-10-2025"/>
    <n v="39555"/>
    <n v="39555"/>
    <x v="28"/>
    <x v="0"/>
    <x v="1"/>
    <s v="Closed"/>
    <m/>
    <n v="0"/>
    <s v="Bulk Order"/>
    <m/>
    <m/>
    <s v="Oct-25"/>
    <n v="42"/>
    <m/>
  </r>
  <r>
    <d v="2025-10-13T00:00:00"/>
    <s v="Popup Counter at Capital Land Block A"/>
    <s v="Call"/>
    <s v="Corporate"/>
    <x v="17"/>
    <s v="Vamsi"/>
    <s v="Sale of CB,VB,MB,DKM on 13-10-2025"/>
    <n v="11830"/>
    <n v="11830"/>
    <x v="28"/>
    <x v="0"/>
    <x v="1"/>
    <s v="Closed"/>
    <m/>
    <n v="0"/>
    <s v="Corporate Order"/>
    <m/>
    <m/>
    <s v="Oct-25"/>
    <n v="42"/>
    <m/>
  </r>
  <r>
    <d v="2025-10-13T00:00:00"/>
    <s v="IIT Hyderabad"/>
    <s v="Call"/>
    <s v="College"/>
    <x v="4"/>
    <s v="Mohan"/>
    <s v="Biryani popup counter on 13-10-2025"/>
    <n v="15500"/>
    <n v="15500"/>
    <x v="28"/>
    <x v="0"/>
    <x v="1"/>
    <s v="Closed"/>
    <m/>
    <n v="0"/>
    <s v="Corporate Order"/>
    <m/>
    <m/>
    <s v="Oct-25"/>
    <n v="42"/>
    <m/>
  </r>
  <r>
    <d v="2025-10-13T00:00:00"/>
    <s v="Railway Hospital"/>
    <s v="F2F"/>
    <s v="Corporate"/>
    <x v="13"/>
    <s v="Vishwam"/>
    <s v="Delivery of Packed lunch in Jan 2026"/>
    <n v="0"/>
    <n v="0"/>
    <x v="26"/>
    <x v="0"/>
    <x v="0"/>
    <s v="Cancelled"/>
    <m/>
    <n v="0"/>
    <s v="Bulk Order"/>
    <m/>
    <m/>
    <s v="Oct-25"/>
    <n v="42"/>
    <m/>
  </r>
  <r>
    <d v="2025-10-13T00:00:00"/>
    <s v="Onesta Nanakramguda"/>
    <s v="F2F"/>
    <s v="Corporate"/>
    <x v="15"/>
    <s v="Prabhu"/>
    <s v="Shared Details of Biryani Buffet 100 PAX 16-10-2025"/>
    <n v="80000"/>
    <m/>
    <x v="24"/>
    <x v="0"/>
    <x v="0"/>
    <s v="Cancelled"/>
    <m/>
    <n v="0"/>
    <s v="Bulk Order"/>
    <m/>
    <m/>
    <s v="Oct-25"/>
    <n v="42"/>
    <m/>
  </r>
  <r>
    <d v="2025-10-13T00:00:00"/>
    <s v="Delivery at Hanmakonda"/>
    <s v="Call"/>
    <s v="Events"/>
    <x v="10"/>
    <s v="Rakesh"/>
    <s v="Delivery of Biryani &amp; Kabab on 13-10-2025"/>
    <n v="13979"/>
    <n v="13979"/>
    <x v="28"/>
    <x v="0"/>
    <x v="1"/>
    <s v="Closed"/>
    <m/>
    <n v="0"/>
    <s v="Corporte Order"/>
    <m/>
    <m/>
    <s v="Oct-25"/>
    <n v="42"/>
    <m/>
  </r>
  <r>
    <d v="2025-10-13T00:00:00"/>
    <s v="Travel Group from Maharashtra"/>
    <s v="Call"/>
    <s v="Corporate"/>
    <x v="1"/>
    <s v="MD Munavir"/>
    <s v="Dine in at IMAX for Tourist Students "/>
    <n v="21041"/>
    <n v="21041"/>
    <x v="28"/>
    <x v="0"/>
    <x v="0"/>
    <s v="Cancelled"/>
    <m/>
    <n v="0"/>
    <s v="Corporte Order"/>
    <m/>
    <m/>
    <s v="Oct-25"/>
    <n v="42"/>
    <m/>
  </r>
  <r>
    <d v="2025-10-13T00:00:00"/>
    <s v="Delivery of Chicken Handi at BRS Party Meet"/>
    <s v="Call"/>
    <s v="Corporate"/>
    <x v="20"/>
    <s v="Mahesh"/>
    <s v="Delivery of 5 CB Handi from Begumpet on 13-10-2025"/>
    <n v="34500"/>
    <n v="34500"/>
    <x v="28"/>
    <x v="0"/>
    <x v="0"/>
    <s v="Cancelled"/>
    <m/>
    <n v="0"/>
    <s v="Corporte Order"/>
    <m/>
    <m/>
    <s v="Oct-25"/>
    <n v="42"/>
    <m/>
  </r>
  <r>
    <d v="2025-10-13T00:00:00"/>
    <s v="Vasanta Tools"/>
    <s v="F2F"/>
    <s v="Corporate"/>
    <x v="7"/>
    <s v="Ashrf"/>
    <s v="Introiduction to Gifting and Bulk order"/>
    <n v="0"/>
    <m/>
    <x v="18"/>
    <x v="0"/>
    <x v="0"/>
    <s v="Cancelled"/>
    <m/>
    <n v="0"/>
    <s v="Corporte Order"/>
    <m/>
    <m/>
    <s v="Oct-25"/>
    <n v="42"/>
    <m/>
  </r>
  <r>
    <d v="2025-10-13T00:00:00"/>
    <s v="MTAR "/>
    <s v="F2F"/>
    <s v="Corporate"/>
    <x v="7"/>
    <s v="Jagan"/>
    <s v="Introiduction to Gifting and Bulk order"/>
    <n v="0"/>
    <m/>
    <x v="18"/>
    <x v="0"/>
    <x v="0"/>
    <s v="Cancelled"/>
    <m/>
    <n v="0"/>
    <s v="Corporte Order"/>
    <m/>
    <m/>
    <s v="Oct-25"/>
    <n v="42"/>
    <m/>
  </r>
  <r>
    <d v="2025-10-14T00:00:00"/>
    <s v="Popup Counter at Capital Land Block A"/>
    <s v="Call"/>
    <s v="Corporate"/>
    <x v="17"/>
    <s v="Vamsi"/>
    <s v="Sale of CB,VB,MB,DKM on 14-10-2025"/>
    <n v="10240"/>
    <n v="10240"/>
    <x v="28"/>
    <x v="0"/>
    <x v="1"/>
    <s v="Closed"/>
    <m/>
    <n v="0"/>
    <s v="Corporate Order"/>
    <m/>
    <m/>
    <s v="Oct-25"/>
    <n v="42"/>
    <m/>
  </r>
  <r>
    <d v="2025-10-14T00:00:00"/>
    <s v="Platos"/>
    <s v="F2F"/>
    <s v="Corporate"/>
    <x v="17"/>
    <s v="Hyder"/>
    <s v="Delivery of employee lunch on 14-10-2025"/>
    <n v="58185"/>
    <n v="58185"/>
    <x v="28"/>
    <x v="0"/>
    <x v="1"/>
    <s v="Closed"/>
    <m/>
    <n v="0"/>
    <s v="Bulk Order"/>
    <m/>
    <m/>
    <s v="Oct-25"/>
    <n v="42"/>
    <m/>
  </r>
  <r>
    <d v="2025-10-14T00:00:00"/>
    <s v="S&amp;P Capital IQ"/>
    <s v="Call "/>
    <s v="Corporate"/>
    <x v="0"/>
    <s v="Kiran"/>
    <s v="Delivery of CB and VB on 15-10-2025"/>
    <n v="6640"/>
    <n v="6640"/>
    <x v="28"/>
    <x v="0"/>
    <x v="1"/>
    <s v="Closed"/>
    <m/>
    <n v="0"/>
    <s v="Corporate Order"/>
    <m/>
    <m/>
    <s v="Oct-25"/>
    <n v="42"/>
    <m/>
  </r>
  <r>
    <d v="2025-10-15T00:00:00"/>
    <s v="IIT Hyderabad"/>
    <s v="Call"/>
    <s v="College"/>
    <x v="4"/>
    <s v="Mohan"/>
    <s v="Biryani popup counter on 15-10-2025"/>
    <n v="16100"/>
    <n v="16100"/>
    <x v="28"/>
    <x v="0"/>
    <x v="1"/>
    <s v="Closed"/>
    <m/>
    <n v="0"/>
    <s v="Corporate Order"/>
    <m/>
    <m/>
    <s v="Oct-25"/>
    <n v="42"/>
    <m/>
  </r>
  <r>
    <d v="2025-10-15T00:00:00"/>
    <s v="Popup Counter at Capital Land Block A"/>
    <s v="Call"/>
    <s v="Corporate"/>
    <x v="17"/>
    <s v="Vamsi"/>
    <s v="Sale of CB,VB,MB,DKM on 15-10-2025"/>
    <n v="21680"/>
    <n v="21680"/>
    <x v="28"/>
    <x v="0"/>
    <x v="1"/>
    <s v="Closed"/>
    <m/>
    <n v="0"/>
    <s v="Corporate Order"/>
    <m/>
    <m/>
    <s v="Oct-25"/>
    <n v="42"/>
    <m/>
  </r>
  <r>
    <d v="2025-10-15T00:00:00"/>
    <s v="Platos"/>
    <s v="F2F"/>
    <s v="Corporate"/>
    <x v="17"/>
    <s v="Hyder"/>
    <s v="Delivery of employee lunch on 15-10-2025"/>
    <n v="43200"/>
    <n v="43200"/>
    <x v="28"/>
    <x v="0"/>
    <x v="1"/>
    <s v="Closed"/>
    <m/>
    <n v="0"/>
    <s v="Bulk Order"/>
    <m/>
    <m/>
    <s v="Oct-25"/>
    <n v="42"/>
    <m/>
  </r>
  <r>
    <d v="2025-10-15T00:00:00"/>
    <s v="Delivery at SEBLR Banglore (Compass)"/>
    <s v="Call"/>
    <s v="Corporate"/>
    <x v="17"/>
    <s v="Saad"/>
    <s v="New Delivery at Compass group on 15-10-2025"/>
    <n v="36208"/>
    <n v="36208"/>
    <x v="28"/>
    <x v="1"/>
    <x v="1"/>
    <s v="Closed"/>
    <m/>
    <n v="0"/>
    <s v="Bulk Order"/>
    <m/>
    <m/>
    <s v="Oct-25"/>
    <n v="42"/>
    <m/>
  </r>
  <r>
    <d v="2025-10-16T00:00:00"/>
    <s v="IIT Hyderabad"/>
    <s v="Call"/>
    <s v="College"/>
    <x v="4"/>
    <s v="Mohan"/>
    <s v="Biryani popup counter on 16-10-2025"/>
    <n v="15000"/>
    <n v="16100"/>
    <x v="28"/>
    <x v="0"/>
    <x v="1"/>
    <s v="Closed"/>
    <m/>
    <n v="0"/>
    <s v="Corporate Order"/>
    <m/>
    <m/>
    <s v="Oct-25"/>
    <n v="42"/>
    <m/>
  </r>
  <r>
    <d v="2025-10-16T00:00:00"/>
    <s v="Popup Counter at Capital Land Block A"/>
    <s v="Call"/>
    <s v="Corporate"/>
    <x v="17"/>
    <s v="Vamsi"/>
    <s v="Sale of CB,VB,MB,DKM on 16-10-2025"/>
    <n v="17576"/>
    <n v="17576"/>
    <x v="28"/>
    <x v="0"/>
    <x v="1"/>
    <s v="Closed"/>
    <m/>
    <n v="0"/>
    <s v="Corporate Order"/>
    <m/>
    <m/>
    <s v="Oct-25"/>
    <n v="42"/>
    <m/>
  </r>
  <r>
    <d v="2025-10-16T00:00:00"/>
    <s v="Platos"/>
    <s v="F2F"/>
    <s v="Corporate"/>
    <x v="17"/>
    <s v="Hyder"/>
    <s v="Delivery of employee lunch on 16-10-2025"/>
    <n v="40905"/>
    <n v="40905"/>
    <x v="28"/>
    <x v="0"/>
    <x v="1"/>
    <s v="Closed"/>
    <m/>
    <n v="0"/>
    <s v="Bulk Order"/>
    <m/>
    <m/>
    <s v="Oct-25"/>
    <n v="42"/>
    <m/>
  </r>
  <r>
    <d v="2025-10-17T00:00:00"/>
    <s v="IIT Hyderabad"/>
    <s v="Call"/>
    <s v="College"/>
    <x v="4"/>
    <s v="Mohan"/>
    <s v="Biryani popup counter on 17-10-2025"/>
    <n v="12000"/>
    <n v="16100"/>
    <x v="28"/>
    <x v="0"/>
    <x v="1"/>
    <s v="Closed"/>
    <m/>
    <n v="0"/>
    <s v="Corporate Order"/>
    <m/>
    <m/>
    <s v="Oct-25"/>
    <n v="42"/>
    <m/>
  </r>
  <r>
    <d v="2025-10-17T00:00:00"/>
    <s v="Popup Counter at Capital Land Block A"/>
    <s v="Call"/>
    <s v="Corporate"/>
    <x v="17"/>
    <s v="Vamsi"/>
    <s v="Sale of CB,VB,MB,DKM on 17-10-2025"/>
    <n v="12297"/>
    <n v="12297"/>
    <x v="28"/>
    <x v="0"/>
    <x v="1"/>
    <s v="Closed"/>
    <m/>
    <n v="0"/>
    <s v="Corporate Order"/>
    <m/>
    <m/>
    <s v="Oct-25"/>
    <n v="42"/>
    <m/>
  </r>
  <r>
    <d v="2025-10-18T00:00:00"/>
    <s v="IIT Hyderabad"/>
    <s v="Call"/>
    <s v="College"/>
    <x v="4"/>
    <s v="Mohan"/>
    <s v="Biryani popup counter on 18-10-2025"/>
    <n v="5500"/>
    <n v="5500"/>
    <x v="28"/>
    <x v="0"/>
    <x v="1"/>
    <s v="Closed"/>
    <m/>
    <n v="0"/>
    <s v="Corporate Order"/>
    <m/>
    <m/>
    <s v="Oct-25"/>
    <n v="42"/>
    <m/>
  </r>
  <r>
    <d v="2025-10-21T00:00:00"/>
    <s v="IIT Hyderabad"/>
    <s v="Call"/>
    <s v="College"/>
    <x v="4"/>
    <s v="Mohan"/>
    <s v="Biryani popup counter on 18-10-2025"/>
    <n v="2500"/>
    <n v="2500"/>
    <x v="28"/>
    <x v="0"/>
    <x v="1"/>
    <s v="Closed"/>
    <m/>
    <n v="0"/>
    <s v="Corporate Order"/>
    <m/>
    <m/>
    <s v="Oct-25"/>
    <n v="43"/>
    <m/>
  </r>
  <r>
    <d v="2025-10-21T00:00:00"/>
    <s v="Popup Counter at Capital Land Block A"/>
    <s v="Call"/>
    <s v="Corporate"/>
    <x v="17"/>
    <s v="Vamsi"/>
    <s v="Sale of CB,VB,MB,DKM on 21-10-2025"/>
    <n v="3160"/>
    <n v="3160"/>
    <x v="28"/>
    <x v="0"/>
    <x v="1"/>
    <s v="Closed"/>
    <m/>
    <n v="0"/>
    <s v="Corporate Order"/>
    <m/>
    <m/>
    <s v="Oct-25"/>
    <n v="43"/>
    <m/>
  </r>
  <r>
    <d v="2025-10-22T00:00:00"/>
    <s v="Popup Counter at Capital Land Block A"/>
    <s v="Call"/>
    <s v="Corporate"/>
    <x v="17"/>
    <s v="Vamsi"/>
    <s v="Sale of CB,VB,MB,DKM on 22-10-2025"/>
    <n v="10215"/>
    <n v="10215"/>
    <x v="28"/>
    <x v="0"/>
    <x v="1"/>
    <s v="Closed"/>
    <m/>
    <n v="0"/>
    <s v="Corporate Order"/>
    <m/>
    <m/>
    <s v="Oct-25"/>
    <n v="43"/>
    <m/>
  </r>
  <r>
    <d v="2025-10-22T00:00:00"/>
    <s v="Delivery at SEBLR Banglore (Compass)"/>
    <s v="Call"/>
    <s v="Corporate"/>
    <x v="17"/>
    <s v="Saad"/>
    <s v="New Delivery at Compass group on 22-10-2025"/>
    <n v="39416"/>
    <n v="39416"/>
    <x v="28"/>
    <x v="1"/>
    <x v="1"/>
    <s v="Closed"/>
    <m/>
    <n v="0"/>
    <s v="Bulk Order"/>
    <m/>
    <m/>
    <s v="Oct-25"/>
    <n v="43"/>
    <m/>
  </r>
  <r>
    <d v="2025-10-23T00:00:00"/>
    <s v="Popup Counter at Capital Land Block A"/>
    <s v="Call"/>
    <s v="Corporate"/>
    <x v="17"/>
    <s v="Vamsi"/>
    <s v="Sale of CB,VB,MB,DKM on 23-10-2025"/>
    <n v="10215"/>
    <n v="10215"/>
    <x v="28"/>
    <x v="0"/>
    <x v="1"/>
    <s v="Closed"/>
    <m/>
    <n v="0"/>
    <s v="Corporate Order"/>
    <m/>
    <m/>
    <s v="Oct-25"/>
    <n v="43"/>
    <m/>
  </r>
  <r>
    <d v="2025-10-24T00:00:00"/>
    <s v="Popup Counter at Capital Land Block A"/>
    <s v="Call"/>
    <s v="Corporate"/>
    <x v="17"/>
    <s v="Vamsi"/>
    <s v="Sale of CB,VB,MB,DKM on 24-10-2025"/>
    <n v="11371"/>
    <n v="11371"/>
    <x v="28"/>
    <x v="0"/>
    <x v="1"/>
    <s v="Closed"/>
    <m/>
    <n v="0"/>
    <s v="Corporate Order"/>
    <m/>
    <m/>
    <s v="Oct-25"/>
    <n v="43"/>
    <m/>
  </r>
  <r>
    <d v="2025-10-24T00:00:00"/>
    <s v="Birla Sunlife Insurance"/>
    <s v="Call"/>
    <s v="Corporate"/>
    <x v="21"/>
    <s v="Karishma"/>
    <s v="Buffet lunch on 29-10-2025"/>
    <n v="230000"/>
    <n v="0"/>
    <x v="28"/>
    <x v="0"/>
    <x v="0"/>
    <s v="Cancelled"/>
    <s v="Less budget for Buffet, Opted for Pista House"/>
    <n v="0"/>
    <s v="Bulk Order"/>
    <m/>
    <m/>
    <s v="Oct-25"/>
    <n v="43"/>
    <m/>
  </r>
  <r>
    <d v="2025-10-27T00:00:00"/>
    <s v="Delivery of CB at Musheerabad"/>
    <s v="F2F"/>
    <s v="Events"/>
    <x v="10"/>
    <s v="Rajasekhar"/>
    <s v="Delivery of CB on 02-11-2025"/>
    <n v="18000"/>
    <m/>
    <x v="24"/>
    <x v="0"/>
    <x v="0"/>
    <s v="Cancelled"/>
    <m/>
    <n v="0"/>
    <s v="Bulk Order"/>
    <m/>
    <m/>
    <s v="Oct-25"/>
    <n v="44"/>
    <m/>
  </r>
  <r>
    <d v="2025-10-27T00:00:00"/>
    <s v="Popup Counter at Capital Land Block A"/>
    <s v="Call"/>
    <s v="Corporate"/>
    <x v="17"/>
    <s v="Vamsi"/>
    <s v="Sale of CB,VB,MB,DKM on 27-10-2025"/>
    <n v="12500"/>
    <n v="12500"/>
    <x v="28"/>
    <x v="0"/>
    <x v="1"/>
    <s v="Closed"/>
    <m/>
    <n v="0"/>
    <s v="Agregator"/>
    <m/>
    <m/>
    <s v="Oct-25"/>
    <n v="44"/>
    <m/>
  </r>
  <r>
    <d v="2025-10-28T00:00:00"/>
    <s v="Popup Counter at Capital Land Block A"/>
    <s v="Call"/>
    <s v="Corporate"/>
    <x v="17"/>
    <s v="Vamsi"/>
    <s v="Sale of CB,VB,MB,DKM on 28-10-2025"/>
    <n v="15000"/>
    <n v="15000"/>
    <x v="28"/>
    <x v="0"/>
    <x v="1"/>
    <s v="Closed"/>
    <m/>
    <n v="0"/>
    <s v="Agregator"/>
    <m/>
    <m/>
    <s v="Oct-25"/>
    <n v="44"/>
    <m/>
  </r>
  <r>
    <d v="2025-10-28T00:00:00"/>
    <s v="MSN Labs"/>
    <s v="Call"/>
    <s v="Corporate"/>
    <x v="5"/>
    <s v="Satya"/>
    <s v="Delivery of Biryani Kits in November"/>
    <n v="7599375"/>
    <n v="7599375"/>
    <x v="24"/>
    <x v="0"/>
    <x v="1"/>
    <s v="Closed"/>
    <m/>
    <n v="0"/>
    <s v="Corporate Order"/>
    <m/>
    <m/>
    <s v="Oct-25"/>
    <n v="44"/>
    <m/>
  </r>
  <r>
    <d v="2025-10-28T00:00:00"/>
    <s v="Mount opera Amusement Park"/>
    <s v="Call"/>
    <s v="Corporate"/>
    <x v="6"/>
    <s v="Bhavya"/>
    <s v="delivery of CB on 24-11-25"/>
    <n v="200000"/>
    <m/>
    <x v="18"/>
    <x v="0"/>
    <x v="0"/>
    <s v="Cancelled"/>
    <m/>
    <n v="0"/>
    <s v="Corporate Order"/>
    <m/>
    <m/>
    <s v="Oct-25"/>
    <n v="44"/>
    <m/>
  </r>
  <r>
    <d v="2025-10-28T00:00:00"/>
    <s v="Priest Association From Milan, Italy"/>
    <s v="Call"/>
    <s v="Corporate"/>
    <x v="29"/>
    <s v="Loudu Xavier"/>
    <s v="Follow up for buffet lunch on 20-11-25"/>
    <n v="40000"/>
    <m/>
    <x v="18"/>
    <x v="0"/>
    <x v="0"/>
    <s v="Cancelled"/>
    <m/>
    <n v="0"/>
    <s v="Corporate Order"/>
    <m/>
    <m/>
    <s v="Oct-25"/>
    <n v="44"/>
    <m/>
  </r>
  <r>
    <d v="2025-10-28T00:00:00"/>
    <s v=" DBS"/>
    <s v="Call"/>
    <s v="Corporate"/>
    <x v="0"/>
    <s v="Sadhiqua"/>
    <s v="followup for Delivery of CB and VB Combo in JAN"/>
    <n v="0"/>
    <n v="0"/>
    <x v="26"/>
    <x v="0"/>
    <x v="0"/>
    <s v="Cancelled"/>
    <m/>
    <n v="0"/>
    <s v="Corporate Order"/>
    <m/>
    <m/>
    <s v="Oct-25"/>
    <n v="44"/>
    <m/>
  </r>
  <r>
    <d v="2025-10-28T00:00:00"/>
    <s v="Meditronics"/>
    <s v="Call"/>
    <s v="Corporate"/>
    <x v="5"/>
    <s v="Arif"/>
    <s v="followup for Delivery at NIMS Hospital on 14-11-25"/>
    <n v="0"/>
    <n v="0"/>
    <x v="26"/>
    <x v="0"/>
    <x v="1"/>
    <s v="Closed"/>
    <m/>
    <n v="0"/>
    <s v="Corporate Order"/>
    <m/>
    <m/>
    <s v="Oct-25"/>
    <n v="44"/>
    <m/>
  </r>
  <r>
    <d v="2025-10-28T00:00:00"/>
    <s v="Delivery at DBS"/>
    <s v="Call"/>
    <s v="Corporate"/>
    <x v="0"/>
    <s v="Sadhiqua"/>
    <s v="Delivery of CB and VB Combo on 7th November"/>
    <n v="19000"/>
    <m/>
    <x v="18"/>
    <x v="0"/>
    <x v="0"/>
    <s v="Cancelled"/>
    <m/>
    <n v="0"/>
    <s v="Corporate Order"/>
    <m/>
    <m/>
    <s v="Oct-25"/>
    <n v="44"/>
    <m/>
  </r>
  <r>
    <d v="2025-10-28T00:00:00"/>
    <s v="Kaushik Enterprise "/>
    <s v="Call"/>
    <s v="Corporate"/>
    <x v="17"/>
    <s v="Suresh"/>
    <s v="Delivery  of CB, MB &amp; VB at DBS in Jan"/>
    <n v="0"/>
    <n v="0"/>
    <x v="26"/>
    <x v="0"/>
    <x v="0"/>
    <s v="Cancelled"/>
    <m/>
    <n v="0"/>
    <s v="Corporate Order"/>
    <m/>
    <m/>
    <s v="Oct-25"/>
    <n v="44"/>
    <m/>
  </r>
  <r>
    <d v="2025-10-28T00:00:00"/>
    <s v="Teavel Group from Nagpur"/>
    <s v="Call"/>
    <s v="Events"/>
    <x v="10"/>
    <s v="Nitin"/>
    <s v="Dine in at secundrabad on 10-11-25"/>
    <n v="23800"/>
    <m/>
    <x v="18"/>
    <x v="0"/>
    <x v="0"/>
    <s v="Cancelled"/>
    <m/>
    <n v="0"/>
    <s v="Corporate Order"/>
    <m/>
    <m/>
    <s v="Oct-25"/>
    <n v="44"/>
    <m/>
  </r>
  <r>
    <d v="2025-10-28T00:00:00"/>
    <s v="Saga Events &amp; Holidays"/>
    <s v="Call"/>
    <s v="Events"/>
    <x v="10"/>
    <s v="Vikram"/>
    <s v="Dine in at secundrabad in Jan"/>
    <n v="0"/>
    <n v="0"/>
    <x v="26"/>
    <x v="0"/>
    <x v="0"/>
    <s v="Cancelled"/>
    <m/>
    <n v="0"/>
    <s v="Corporate Order"/>
    <m/>
    <m/>
    <s v="Oct-25"/>
    <n v="44"/>
    <m/>
  </r>
  <r>
    <d v="2025-10-28T00:00:00"/>
    <s v="Delivery at Vijawada railway staton"/>
    <s v="Call"/>
    <s v="Travel Group"/>
    <x v="1"/>
    <s v="Karanbir"/>
    <s v="Deliverd CB at Vijawada on 4-11-25"/>
    <n v="20000"/>
    <m/>
    <x v="18"/>
    <x v="0"/>
    <x v="0"/>
    <s v="Csncelled"/>
    <m/>
    <n v="0"/>
    <s v="Corporate Order"/>
    <m/>
    <m/>
    <s v="Oct-25"/>
    <n v="44"/>
    <m/>
  </r>
  <r>
    <d v="2025-10-28T00:00:00"/>
    <s v="IIT HYD"/>
    <s v="Call"/>
    <s v="College"/>
    <x v="4"/>
    <s v="Anik Das"/>
    <s v="Received advance for food delivery on 6 Nov 2025"/>
    <n v="50000"/>
    <m/>
    <x v="18"/>
    <x v="0"/>
    <x v="0"/>
    <s v="Cancelled"/>
    <m/>
    <n v="0"/>
    <s v="Corporate Order"/>
    <m/>
    <m/>
    <s v="Oct-25"/>
    <n v="44"/>
    <m/>
  </r>
  <r>
    <d v="2025-10-28T00:00:00"/>
    <s v="ODC at Prestige High Fields"/>
    <s v="Call"/>
    <s v="Events"/>
    <x v="30"/>
    <s v="Giridhar"/>
    <s v="ODC on 31-12-25"/>
    <n v="21000"/>
    <m/>
    <x v="18"/>
    <x v="0"/>
    <x v="0"/>
    <s v="Cancelled"/>
    <m/>
    <n v="0"/>
    <s v="Corporate Order"/>
    <m/>
    <m/>
    <s v="Oct-25"/>
    <n v="44"/>
    <m/>
  </r>
  <r>
    <d v="2025-10-28T00:00:00"/>
    <s v="Delivery of PLum Cakes to JCNM Church"/>
    <s v="Call"/>
    <s v="Church"/>
    <x v="8"/>
    <s v="Daniel"/>
    <s v="Delivery of Special Plum Cakes"/>
    <n v="0"/>
    <m/>
    <x v="18"/>
    <x v="0"/>
    <x v="1"/>
    <s v="Closed"/>
    <m/>
    <n v="0"/>
    <s v="Corporate Order"/>
    <m/>
    <m/>
    <s v="Oct-25"/>
    <n v="44"/>
    <m/>
  </r>
  <r>
    <d v="2025-10-28T00:00:00"/>
    <s v="Delivery at Westn hotels"/>
    <s v="Call"/>
    <s v="Corporate"/>
    <x v="17"/>
    <s v="Samba Siva Rao"/>
    <s v="Delivery of CB &amp; MB in Jan"/>
    <n v="37000"/>
    <m/>
    <x v="26"/>
    <x v="0"/>
    <x v="0"/>
    <s v="Cancelled"/>
    <m/>
    <n v="0"/>
    <s v="Corporate Order"/>
    <m/>
    <m/>
    <s v="Oct-25"/>
    <n v="44"/>
    <m/>
  </r>
  <r>
    <d v="2025-10-28T00:00:00"/>
    <s v="Delivery at Novotel"/>
    <s v="Call"/>
    <s v="Corporate"/>
    <x v="17"/>
    <s v="Rakesh"/>
    <s v="Delivery of CB in JAN"/>
    <n v="0"/>
    <n v="0"/>
    <x v="26"/>
    <x v="0"/>
    <x v="0"/>
    <s v="Cancelled"/>
    <m/>
    <n v="0"/>
    <s v="Corporate Order"/>
    <m/>
    <m/>
    <s v="Oct-25"/>
    <n v="44"/>
    <m/>
  </r>
  <r>
    <d v="2025-10-28T00:00:00"/>
    <s v="Vasavi Brundavanam Gated Community"/>
    <s v="Call"/>
    <s v="Corporate"/>
    <x v="15"/>
    <s v="Pavan"/>
    <s v="ODC on 31-12-25"/>
    <n v="0"/>
    <n v="0"/>
    <x v="18"/>
    <x v="0"/>
    <x v="1"/>
    <s v="Closed"/>
    <m/>
    <n v="0"/>
    <s v="Aggregator"/>
    <m/>
    <m/>
    <s v="Oct-25"/>
    <n v="44"/>
    <m/>
  </r>
  <r>
    <d v="2025-10-28T00:00:00"/>
    <s v="Mount opera Amusement Park"/>
    <s v="Call"/>
    <s v="Corporate"/>
    <x v="6"/>
    <s v="Bhavya"/>
    <s v="delivery of CB on 8-12-25"/>
    <n v="200000"/>
    <m/>
    <x v="18"/>
    <x v="0"/>
    <x v="0"/>
    <s v="Cancelled"/>
    <m/>
    <n v="0"/>
    <s v="Corporate Order"/>
    <m/>
    <m/>
    <s v="Oct-25"/>
    <n v="44"/>
    <m/>
  </r>
  <r>
    <d v="2025-10-28T00:00:00"/>
    <s v="Santa Maria"/>
    <s v="Call"/>
    <s v="School "/>
    <x v="4"/>
    <s v="Srinivas"/>
    <s v="300 pax Dinner on 14 &amp; 15 December 2025"/>
    <n v="120000"/>
    <m/>
    <x v="18"/>
    <x v="0"/>
    <x v="0"/>
    <s v="Cancelled"/>
    <m/>
    <n v="0"/>
    <s v="Bulk Order"/>
    <m/>
    <m/>
    <s v="Oct-25"/>
    <n v="44"/>
    <m/>
  </r>
  <r>
    <d v="2025-10-28T00:00:00"/>
    <s v="Sarojni Devi Eye Hospital"/>
    <s v="Call"/>
    <s v="Corporate"/>
    <x v="13"/>
    <s v="Ashok"/>
    <s v="Delivery of CB &amp; DKM in JAN"/>
    <n v="40000"/>
    <m/>
    <x v="26"/>
    <x v="0"/>
    <x v="0"/>
    <s v="Cancelled"/>
    <m/>
    <n v="0"/>
    <s v="Corporate Order"/>
    <m/>
    <m/>
    <s v="Oct-25"/>
    <n v="44"/>
    <m/>
  </r>
  <r>
    <d v="2025-10-28T00:00:00"/>
    <s v="Cognizant Technology Solutions"/>
    <s v="Call"/>
    <s v="Corporate"/>
    <x v="0"/>
    <s v="Anil"/>
    <s v="Dine in at Gachabowli on 13-12-25"/>
    <n v="0"/>
    <n v="0"/>
    <x v="18"/>
    <x v="0"/>
    <x v="1"/>
    <s v="Closed"/>
    <m/>
    <n v="0"/>
    <s v="Corporate Order"/>
    <m/>
    <m/>
    <s v="Oct-25"/>
    <n v="44"/>
    <m/>
  </r>
  <r>
    <d v="2025-10-28T00:00:00"/>
    <s v="Coforge"/>
    <s v="Call"/>
    <s v="Corporate"/>
    <x v="0"/>
    <s v="Mahesh"/>
    <s v="Take away from Gachabowli in Jan"/>
    <n v="13500"/>
    <n v="0"/>
    <x v="26"/>
    <x v="0"/>
    <x v="0"/>
    <s v="Cancelled"/>
    <m/>
    <n v="0"/>
    <s v="Corporate Order"/>
    <m/>
    <m/>
    <s v="Oct-25"/>
    <n v="44"/>
    <m/>
  </r>
  <r>
    <d v="2025-10-28T00:00:00"/>
    <s v="Amara Raja Battries"/>
    <s v="Call"/>
    <s v="Corporate"/>
    <x v="7"/>
    <s v="Ravi Kumar"/>
    <s v="Delivery of CB in Jan"/>
    <n v="9800"/>
    <n v="0"/>
    <x v="26"/>
    <x v="0"/>
    <x v="0"/>
    <s v="Cancelled"/>
    <m/>
    <n v="0"/>
    <s v="Corporate Order"/>
    <m/>
    <m/>
    <s v="Oct-25"/>
    <n v="44"/>
    <m/>
  </r>
  <r>
    <d v="2025-10-28T00:00:00"/>
    <s v="HSBC"/>
    <s v="Call"/>
    <s v="Corporate"/>
    <x v="21"/>
    <s v="Sai Satya"/>
    <s v="Delivery of Combo on In Jan"/>
    <n v="18000"/>
    <m/>
    <x v="26"/>
    <x v="0"/>
    <x v="0"/>
    <s v="Cancelled"/>
    <m/>
    <n v="0"/>
    <s v="Corporate Order"/>
    <m/>
    <m/>
    <s v="Oct-25"/>
    <n v="44"/>
    <m/>
  </r>
  <r>
    <d v="2025-10-28T00:00:00"/>
    <s v="United Church BHEL"/>
    <s v="Call"/>
    <s v="Corporate"/>
    <x v="8"/>
    <s v="Vinay"/>
    <s v="Delivery of Plum cakes on 24-12-2025"/>
    <n v="0"/>
    <n v="0"/>
    <x v="18"/>
    <x v="0"/>
    <x v="1"/>
    <s v="Closed"/>
    <m/>
    <n v="0"/>
    <s v="Bulk Order"/>
    <m/>
    <m/>
    <s v="Oct-25"/>
    <n v="44"/>
    <m/>
  </r>
  <r>
    <d v="2025-10-29T00:00:00"/>
    <s v="Delivery at SEBLR Banglore (Compass)"/>
    <s v="Call"/>
    <s v="Corporate"/>
    <x v="17"/>
    <s v="Saad"/>
    <s v="New Delivery at Compass group on 29-10-2025"/>
    <n v="38040"/>
    <n v="38040"/>
    <x v="28"/>
    <x v="1"/>
    <x v="1"/>
    <s v="Closed"/>
    <m/>
    <n v="0"/>
    <s v="Bulk Order"/>
    <m/>
    <m/>
    <s v="Oct-25"/>
    <n v="44"/>
    <m/>
  </r>
  <r>
    <d v="2025-10-29T00:00:00"/>
    <s v="Popup Counter at Capital Land Block A"/>
    <s v="Call"/>
    <s v="Corporate"/>
    <x v="17"/>
    <s v="Vamsi"/>
    <s v="Sale of CB,VB,MB,DKM on 29-10-2025"/>
    <n v="12500"/>
    <n v="12500"/>
    <x v="28"/>
    <x v="0"/>
    <x v="1"/>
    <s v="Closed"/>
    <m/>
    <n v="0"/>
    <s v="Agregator"/>
    <m/>
    <m/>
    <s v="Oct-25"/>
    <n v="44"/>
    <m/>
  </r>
  <r>
    <d v="2025-10-29T00:00:00"/>
    <s v="Aurobibdo Pharma"/>
    <s v="F2F"/>
    <s v="Corporate"/>
    <x v="5"/>
    <s v="Gopi Krishna"/>
    <s v="Introduction to bulk orders and Gifting"/>
    <n v="0"/>
    <m/>
    <x v="27"/>
    <x v="0"/>
    <x v="2"/>
    <s v="Cold"/>
    <m/>
    <n v="0"/>
    <s v="Corporate Order"/>
    <m/>
    <m/>
    <s v="Oct-25"/>
    <n v="44"/>
    <m/>
  </r>
  <r>
    <d v="2025-10-30T00:00:00"/>
    <s v="ICMR National Institute of Nutrition"/>
    <s v="Call"/>
    <s v="Corporate"/>
    <x v="4"/>
    <s v="Sai Kumar"/>
    <s v="Takeaway of CB &amp; Kabab on 30-10-25 from secundrabad"/>
    <n v="13500"/>
    <n v="13500"/>
    <x v="28"/>
    <x v="0"/>
    <x v="1"/>
    <s v="Closed"/>
    <m/>
    <n v="0"/>
    <s v="Corporate Order"/>
    <m/>
    <m/>
    <s v="Oct-25"/>
    <n v="44"/>
    <m/>
  </r>
  <r>
    <d v="2025-10-30T00:00:00"/>
    <s v="Popup Counter at Capital Land Block A"/>
    <s v="Call"/>
    <s v="Corporate"/>
    <x v="17"/>
    <s v="Vamsi"/>
    <s v="Sale of CB,VB,MB,DKM on 30-10-2025"/>
    <n v="12662"/>
    <n v="12662"/>
    <x v="28"/>
    <x v="0"/>
    <x v="1"/>
    <s v="Closed"/>
    <m/>
    <n v="0"/>
    <s v="Agregator"/>
    <m/>
    <m/>
    <s v="Oct-25"/>
    <n v="44"/>
    <m/>
  </r>
  <r>
    <d v="2025-10-31T00:00:00"/>
    <s v="Popup Counter at Capital Land Block A"/>
    <s v="Call"/>
    <s v="Corporate"/>
    <x v="17"/>
    <s v="Vamsi"/>
    <s v="Sale of CB,VB,MB,DKM on 31-10-2025"/>
    <n v="11115"/>
    <n v="11115"/>
    <x v="28"/>
    <x v="0"/>
    <x v="1"/>
    <s v="Closed"/>
    <m/>
    <n v="0"/>
    <s v="Agregator"/>
    <m/>
    <m/>
    <s v="Oct-25"/>
    <n v="44"/>
    <m/>
  </r>
  <r>
    <d v="2025-10-31T00:00:00"/>
    <s v="Anthea Pharma"/>
    <s v="F2F"/>
    <s v="Corporate"/>
    <x v="5"/>
    <s v="Jaipal"/>
    <s v="Take away from Muthangi Store in October Month"/>
    <n v="44825"/>
    <n v="44825"/>
    <x v="28"/>
    <x v="0"/>
    <x v="1"/>
    <s v="Closed"/>
    <m/>
    <n v="0"/>
    <s v="Bulk Order"/>
    <m/>
    <m/>
    <s v="Oct-25"/>
    <n v="44"/>
    <m/>
  </r>
  <r>
    <d v="2025-11-02T00:00:00"/>
    <s v="IIT Hyderabad"/>
    <s v="Call"/>
    <s v="College"/>
    <x v="4"/>
    <s v="Abnik "/>
    <s v="Delivery of Biryani on 2-11-2025"/>
    <n v="6448"/>
    <n v="6448"/>
    <x v="24"/>
    <x v="0"/>
    <x v="1"/>
    <s v="Closed"/>
    <m/>
    <n v="0"/>
    <s v="Bulk Order"/>
    <m/>
    <m/>
    <s v="Nov-25"/>
    <n v="44"/>
    <m/>
  </r>
  <r>
    <d v="2025-11-03T00:00:00"/>
    <s v="Popup Counter at Capital Land Block A"/>
    <s v="Call"/>
    <s v="Corporate"/>
    <x v="17"/>
    <s v="Vamsi"/>
    <s v="Sale of CB,VB,MB,DKM on 4-11-2025"/>
    <n v="16330"/>
    <n v="16330"/>
    <x v="24"/>
    <x v="0"/>
    <x v="1"/>
    <s v="Closed"/>
    <m/>
    <n v="0"/>
    <s v="Agregator"/>
    <m/>
    <m/>
    <s v="Nov-25"/>
    <n v="45"/>
    <m/>
  </r>
  <r>
    <d v="2025-11-03T00:00:00"/>
    <s v="VJIT College Fest"/>
    <s v="F2F"/>
    <s v="College"/>
    <x v="4"/>
    <s v="Harsha"/>
    <s v="Sale at popup counter on 03-11-2025"/>
    <n v="40000"/>
    <n v="40000"/>
    <x v="24"/>
    <x v="0"/>
    <x v="1"/>
    <s v="Closed"/>
    <m/>
    <n v="0"/>
    <s v="Pop up"/>
    <m/>
    <m/>
    <s v="Nov-25"/>
    <n v="45"/>
    <m/>
  </r>
  <r>
    <d v="2025-11-04T00:00:00"/>
    <s v="Luthran Church"/>
    <s v="F2F"/>
    <s v="Church"/>
    <x v="8"/>
    <s v="Yesu"/>
    <s v="Delivery of CB,MB &amp; VB on 9-11-2025"/>
    <n v="95202"/>
    <n v="95202"/>
    <x v="24"/>
    <x v="0"/>
    <x v="1"/>
    <s v="Closed"/>
    <m/>
    <n v="0"/>
    <s v="Bulk Order"/>
    <m/>
    <m/>
    <s v="Nov-25"/>
    <n v="45"/>
    <m/>
  </r>
  <r>
    <d v="2025-11-04T00:00:00"/>
    <s v="VJIT College Fest"/>
    <s v="F2F"/>
    <s v="College"/>
    <x v="4"/>
    <s v="Harsha"/>
    <s v="Sale at popup counter on 04-11-2025"/>
    <n v="40281"/>
    <n v="40281"/>
    <x v="24"/>
    <x v="0"/>
    <x v="1"/>
    <s v="Closed"/>
    <m/>
    <n v="0"/>
    <s v="Pop up"/>
    <m/>
    <m/>
    <s v="Nov-25"/>
    <n v="45"/>
    <m/>
  </r>
  <r>
    <d v="2025-11-04T00:00:00"/>
    <s v="JCNM Church"/>
    <s v="Call"/>
    <s v="Church "/>
    <x v="8"/>
    <s v="Daniel"/>
    <s v="Daniel told he will give appointment shortly"/>
    <n v="0"/>
    <n v="0"/>
    <x v="18"/>
    <x v="0"/>
    <x v="1"/>
    <s v="Closed"/>
    <m/>
    <n v="0"/>
    <s v="Bulk Order"/>
    <m/>
    <m/>
    <s v="Nov-25"/>
    <n v="45"/>
    <m/>
  </r>
  <r>
    <d v="2025-11-04T00:00:00"/>
    <s v="Popup Counter at Capital Land Block A"/>
    <s v="Call"/>
    <s v="Corporate"/>
    <x v="17"/>
    <s v="Vamsi"/>
    <s v="Sale of CB,VB,MB,DKM on 04-11-2025"/>
    <n v="13585"/>
    <n v="13585"/>
    <x v="24"/>
    <x v="0"/>
    <x v="1"/>
    <s v="Closed"/>
    <m/>
    <n v="0"/>
    <s v="Agregator"/>
    <m/>
    <m/>
    <s v="Nov-25"/>
    <n v="45"/>
    <m/>
  </r>
  <r>
    <d v="2025-11-04T00:00:00"/>
    <s v="Medtronics"/>
    <s v="F2F"/>
    <s v="Corporate"/>
    <x v="5"/>
    <s v="Asad"/>
    <s v="Discussion for delivery of packed combo on 14-11-20025"/>
    <n v="0"/>
    <n v="0"/>
    <x v="24"/>
    <x v="0"/>
    <x v="1"/>
    <s v="Closed"/>
    <m/>
    <n v="0"/>
    <s v="Corporate Order"/>
    <m/>
    <m/>
    <s v="Nov-25"/>
    <n v="45"/>
    <m/>
  </r>
  <r>
    <d v="2025-11-04T00:00:00"/>
    <s v="AWFIS"/>
    <s v="F2F"/>
    <s v="Corporate"/>
    <x v="15"/>
    <s v="Akash"/>
    <s v="Discussion for bulk delivery and Vendor Registration "/>
    <n v="0"/>
    <n v="0"/>
    <x v="24"/>
    <x v="0"/>
    <x v="1"/>
    <s v="Closed"/>
    <m/>
    <n v="0"/>
    <s v="Corporate Order"/>
    <m/>
    <m/>
    <s v="Nov-25"/>
    <n v="45"/>
    <m/>
  </r>
  <r>
    <d v="2025-11-05T00:00:00"/>
    <s v="Popup Counter at Capital Land Block A"/>
    <s v="Call"/>
    <s v="Corporate"/>
    <x v="17"/>
    <s v="Vamsi"/>
    <s v="Sale of CB,VB,MB,DKM on 5-11-2025"/>
    <n v="9210"/>
    <n v="9210"/>
    <x v="24"/>
    <x v="0"/>
    <x v="1"/>
    <s v="Closed"/>
    <m/>
    <n v="0"/>
    <s v="Agregator"/>
    <m/>
    <m/>
    <s v="Nov-25"/>
    <n v="45"/>
    <m/>
  </r>
  <r>
    <d v="2025-11-05T00:00:00"/>
    <s v="Delivery at SEBLR Banglore (Compass)"/>
    <s v="Call"/>
    <s v="Corporate"/>
    <x v="17"/>
    <s v="Saad"/>
    <s v="New Delivery at Compass group on 5-11-2025"/>
    <n v="60956"/>
    <n v="60956"/>
    <x v="24"/>
    <x v="1"/>
    <x v="1"/>
    <s v="Closed"/>
    <m/>
    <n v="0"/>
    <s v="Bulk Order"/>
    <m/>
    <m/>
    <s v="Nov-25"/>
    <n v="45"/>
    <m/>
  </r>
  <r>
    <d v="2025-11-06T00:00:00"/>
    <s v="Popup Counter at Capital Land Block A"/>
    <s v="Call"/>
    <s v="Corporate"/>
    <x v="17"/>
    <s v="Vamsi"/>
    <s v="Sale of CB,VB,MB,DKM on 6-11-2025"/>
    <n v="14335"/>
    <n v="14335"/>
    <x v="24"/>
    <x v="0"/>
    <x v="1"/>
    <s v="Closed"/>
    <m/>
    <n v="0"/>
    <s v="Agregator"/>
    <m/>
    <m/>
    <s v="Nov-25"/>
    <n v="45"/>
    <m/>
  </r>
  <r>
    <d v="2025-11-07T00:00:00"/>
    <s v="Accenture Waverock"/>
    <s v="F2F"/>
    <s v="Corporate"/>
    <x v="0"/>
    <s v="Sasidevi"/>
    <s v="Popup of at Accenture on 7-11-2025"/>
    <n v="57570"/>
    <n v="57570"/>
    <x v="24"/>
    <x v="0"/>
    <x v="1"/>
    <s v="Closed"/>
    <m/>
    <n v="0"/>
    <s v="Bulk Order"/>
    <m/>
    <m/>
    <s v="Nov-25"/>
    <n v="45"/>
    <m/>
  </r>
  <r>
    <d v="2025-11-07T00:00:00"/>
    <s v="Popup Counter at Capital Land Block A"/>
    <s v="Call"/>
    <s v="Corporate"/>
    <x v="17"/>
    <s v="Vamsi"/>
    <s v="Sale of CB,VB,MB,DKM on 7-11-2025"/>
    <n v="11505"/>
    <n v="11505"/>
    <x v="24"/>
    <x v="0"/>
    <x v="1"/>
    <s v="Closed"/>
    <m/>
    <n v="0"/>
    <s v="Agregator"/>
    <m/>
    <m/>
    <s v="Nov-25"/>
    <n v="45"/>
    <m/>
  </r>
  <r>
    <d v="2025-11-09T00:00:00"/>
    <s v="Bits Pilani Event "/>
    <s v="F2F"/>
    <s v="College"/>
    <x v="4"/>
    <s v="Varun"/>
    <s v="ODC Sale on 7,8,9 November"/>
    <n v="271590"/>
    <n v="271590"/>
    <x v="24"/>
    <x v="0"/>
    <x v="1"/>
    <s v="Closed"/>
    <m/>
    <n v="0"/>
    <s v="Pop up"/>
    <m/>
    <m/>
    <s v="Nov-25"/>
    <n v="45"/>
    <m/>
  </r>
  <r>
    <d v="2025-11-10T00:00:00"/>
    <s v="Popup Counter at Capital Land Block A"/>
    <s v="Call"/>
    <s v="Corporate"/>
    <x v="17"/>
    <s v="Vamsi"/>
    <s v="Sale of CB,VB,MB,DKM on 10-11-2025"/>
    <n v="12480"/>
    <n v="12480"/>
    <x v="24"/>
    <x v="0"/>
    <x v="1"/>
    <s v="Closed"/>
    <m/>
    <n v="0"/>
    <s v="Agregator"/>
    <m/>
    <m/>
    <s v="Nov-25"/>
    <n v="46"/>
    <m/>
  </r>
  <r>
    <d v="2025-11-10T00:00:00"/>
    <s v="Delivery at SEBLR Banglore (Compass)"/>
    <s v="Call"/>
    <s v="Corporate"/>
    <x v="17"/>
    <s v="Saad"/>
    <s v="New Delivery at Compass group on 10-11-2025"/>
    <n v="30000"/>
    <n v="30000"/>
    <x v="24"/>
    <x v="1"/>
    <x v="1"/>
    <s v="Closed"/>
    <m/>
    <n v="0"/>
    <s v="Bulk Order"/>
    <m/>
    <m/>
    <s v="Nov-25"/>
    <n v="46"/>
    <m/>
  </r>
  <r>
    <d v="2025-11-11T00:00:00"/>
    <s v="Popup Counter at Capital Land Block A"/>
    <s v="Call"/>
    <s v="Corporate"/>
    <x v="17"/>
    <s v="Vamsi"/>
    <s v="Sale of CB,VB,MB,DKM on 11-11-2025"/>
    <n v="11474"/>
    <n v="11474"/>
    <x v="24"/>
    <x v="0"/>
    <x v="1"/>
    <s v="Closed"/>
    <m/>
    <n v="0"/>
    <s v="Agregator"/>
    <m/>
    <m/>
    <s v="Nov-25"/>
    <n v="46"/>
    <m/>
  </r>
  <r>
    <d v="2025-11-12T00:00:00"/>
    <s v="Popup Counter at Capital Land Block A"/>
    <s v="Call"/>
    <s v="Corporate"/>
    <x v="17"/>
    <s v="Vamsi"/>
    <s v="Sale of CB,VB,MB,DKM on 12-11-2025"/>
    <n v="12500"/>
    <n v="12500"/>
    <x v="24"/>
    <x v="0"/>
    <x v="1"/>
    <s v="Closed"/>
    <m/>
    <n v="0"/>
    <s v="Agregator"/>
    <m/>
    <m/>
    <s v="Nov-25"/>
    <n v="46"/>
    <m/>
  </r>
  <r>
    <d v="2025-11-12T00:00:00"/>
    <s v="AWFIS"/>
    <s v="F2F"/>
    <s v="Corporate"/>
    <x v="15"/>
    <s v="Akash"/>
    <s v="Bulk Delivery at different location on 13-11-2025"/>
    <n v="41861"/>
    <n v="41861"/>
    <x v="24"/>
    <x v="0"/>
    <x v="1"/>
    <s v="Closed"/>
    <m/>
    <n v="0"/>
    <s v="Corporate Order"/>
    <m/>
    <m/>
    <s v="Nov-25"/>
    <n v="46"/>
    <m/>
  </r>
  <r>
    <d v="2025-11-13T00:00:00"/>
    <s v="Popup Counter at Capital Land Block A"/>
    <s v="Call"/>
    <s v="Corporate"/>
    <x v="17"/>
    <s v="Vamsi"/>
    <s v="Sale of CB,VB,MB,DKM on 13-11-2025"/>
    <n v="9750"/>
    <n v="9750"/>
    <x v="24"/>
    <x v="0"/>
    <x v="1"/>
    <s v="Closed"/>
    <m/>
    <n v="0"/>
    <s v="Agregator"/>
    <m/>
    <m/>
    <s v="Nov-25"/>
    <n v="46"/>
    <m/>
  </r>
  <r>
    <d v="2025-11-13T00:00:00"/>
    <s v="Hyderabad Metro"/>
    <s v="Call"/>
    <s v="Corporate"/>
    <x v="2"/>
    <s v="Sulakshna"/>
    <s v="Take away from uppal store on 13-11-2025"/>
    <n v="5100"/>
    <n v="5100"/>
    <x v="24"/>
    <x v="0"/>
    <x v="1"/>
    <s v="Closed"/>
    <m/>
    <n v="0"/>
    <s v="Corporate Order"/>
    <m/>
    <m/>
    <s v="Nov-25"/>
    <n v="46"/>
    <m/>
  </r>
  <r>
    <d v="2025-11-14T00:00:00"/>
    <s v="Ramdev Hospital (Medtronics)"/>
    <s v="F2F"/>
    <s v="Corporate"/>
    <x v="13"/>
    <s v="Arif"/>
    <s v="Delivery of meal combo from kukatpally on 14-11-2025"/>
    <n v="57625"/>
    <n v="57625"/>
    <x v="24"/>
    <x v="0"/>
    <x v="1"/>
    <s v="Closed"/>
    <m/>
    <n v="0"/>
    <s v="Corporate Order"/>
    <m/>
    <m/>
    <s v="Nov-25"/>
    <n v="46"/>
    <m/>
  </r>
  <r>
    <d v="2025-11-14T00:00:00"/>
    <s v="Benz Circle Vijawada Hospital (Medtronics)"/>
    <s v="Call"/>
    <s v="Corporate"/>
    <x v="13"/>
    <s v="Arif"/>
    <s v="Delivery of meal combo from Benz Circle on 14-11-2025"/>
    <n v="14093"/>
    <n v="14093"/>
    <x v="24"/>
    <x v="0"/>
    <x v="1"/>
    <s v="Closed"/>
    <m/>
    <n v="0"/>
    <s v="Corporate Order"/>
    <m/>
    <m/>
    <s v="Nov-25"/>
    <n v="46"/>
    <m/>
  </r>
  <r>
    <d v="2025-11-14T00:00:00"/>
    <s v="Barbeque Nation"/>
    <s v="F2F"/>
    <s v="Corporate"/>
    <x v="17"/>
    <s v="Jagdish"/>
    <s v="Delivery of Samosa from Hitec on 14-11-2025"/>
    <n v="60000"/>
    <n v="60000"/>
    <x v="24"/>
    <x v="0"/>
    <x v="1"/>
    <s v="Closed"/>
    <m/>
    <n v="0"/>
    <s v="Bulk Order"/>
    <m/>
    <m/>
    <s v="Nov-25"/>
    <n v="46"/>
    <m/>
  </r>
  <r>
    <d v="2025-11-14T00:00:00"/>
    <s v="Popup Counter at Capital Land Block A"/>
    <s v="Call"/>
    <s v="Corporate"/>
    <x v="17"/>
    <s v="Vamsi"/>
    <s v="Sale of CB,VB,MB,DKM on 14-11-2025"/>
    <n v="13290"/>
    <n v="13290"/>
    <x v="24"/>
    <x v="0"/>
    <x v="1"/>
    <s v="Closed"/>
    <m/>
    <n v="0"/>
    <s v="Agregator"/>
    <m/>
    <m/>
    <s v="Nov-25"/>
    <n v="46"/>
    <m/>
  </r>
  <r>
    <d v="2025-11-15T00:00:00"/>
    <s v="Dine in at Charminar"/>
    <s v="F2F"/>
    <s v="Corporate"/>
    <x v="1"/>
    <s v="Rakesh"/>
    <s v="Dine in at charminar on 15-11-2025"/>
    <n v="23500"/>
    <n v="23500"/>
    <x v="24"/>
    <x v="0"/>
    <x v="1"/>
    <s v="Closed"/>
    <m/>
    <n v="0"/>
    <s v="Bulk Order"/>
    <m/>
    <m/>
    <s v="Nov-25"/>
    <n v="46"/>
    <m/>
  </r>
  <r>
    <d v="2025-11-15T00:00:00"/>
    <s v="Girikand Travels"/>
    <s v="F2F"/>
    <s v="Corporate"/>
    <x v="1"/>
    <s v="Nitin"/>
    <s v="CB at Kachiguda Station from Begumpet on 15-11-2025"/>
    <n v="24180"/>
    <n v="24180"/>
    <x v="24"/>
    <x v="0"/>
    <x v="1"/>
    <s v="Closed"/>
    <m/>
    <n v="0"/>
    <s v="Bulk Order"/>
    <m/>
    <m/>
    <s v="Nov-25"/>
    <n v="46"/>
    <m/>
  </r>
  <r>
    <d v="2025-11-15T00:00:00"/>
    <s v="Delivery at Begumpet"/>
    <s v="Call"/>
    <s v="Events"/>
    <x v="10"/>
    <s v="Habib"/>
    <s v="Delivery of CB from Begumpet on 15-11-2025"/>
    <n v="8193"/>
    <n v="8193"/>
    <x v="24"/>
    <x v="0"/>
    <x v="1"/>
    <s v="Closed"/>
    <m/>
    <n v="0"/>
    <s v="Bulk Order"/>
    <m/>
    <m/>
    <s v="Nov-25"/>
    <n v="46"/>
    <m/>
  </r>
  <r>
    <d v="2025-11-16T00:00:00"/>
    <s v="Delivery at  Ramaram"/>
    <s v="Call"/>
    <s v="Events"/>
    <x v="10"/>
    <s v="Ajay"/>
    <s v="Delivery of CB from kukatpally on 16-11-2025"/>
    <n v="10003"/>
    <n v="10003"/>
    <x v="24"/>
    <x v="0"/>
    <x v="1"/>
    <s v="Closed"/>
    <m/>
    <n v="0"/>
    <s v="Bulk Order"/>
    <m/>
    <m/>
    <s v="Nov-25"/>
    <n v="46"/>
    <m/>
  </r>
  <r>
    <d v="2025-11-16T00:00:00"/>
    <s v="Gachibowli Stadium Karate compitition"/>
    <s v="F2F"/>
    <s v="Corporate"/>
    <x v="1"/>
    <s v="Arvind"/>
    <s v="Delivery of CB from BHEL on 16-11-2025"/>
    <n v="59401"/>
    <n v="59401"/>
    <x v="24"/>
    <x v="0"/>
    <x v="1"/>
    <s v="Closed"/>
    <m/>
    <n v="0"/>
    <s v="Bulk Order"/>
    <m/>
    <m/>
    <s v="Nov-25"/>
    <n v="46"/>
    <m/>
  </r>
  <r>
    <d v="2025-11-17T00:00:00"/>
    <s v="GHMC Zonal Office"/>
    <s v="F2F"/>
    <s v="Corporate"/>
    <x v="20"/>
    <s v="Sammiah/ Anurag"/>
    <s v="Follow up for past payment of 7,50,000/-"/>
    <n v="0"/>
    <n v="0"/>
    <x v="27"/>
    <x v="0"/>
    <x v="3"/>
    <s v="Cold"/>
    <m/>
    <n v="0"/>
    <s v="Bulk Order"/>
    <m/>
    <m/>
    <s v="Nov-25"/>
    <n v="47"/>
    <m/>
  </r>
  <r>
    <d v="2025-11-17T00:00:00"/>
    <s v="HITEX Exhibition"/>
    <s v="F2F"/>
    <s v="Corporate"/>
    <x v="30"/>
    <s v="Venugopal"/>
    <s v="Discussed regarding Biryani requirement on 25-28 th Nov"/>
    <n v="1120000"/>
    <n v="1120000"/>
    <x v="24"/>
    <x v="0"/>
    <x v="1"/>
    <s v="Closed"/>
    <m/>
    <n v="0"/>
    <s v="Bulk Order"/>
    <m/>
    <m/>
    <s v="Nov-25"/>
    <n v="47"/>
    <m/>
  </r>
  <r>
    <d v="2025-11-17T00:00:00"/>
    <s v="NVIDIA Graphics"/>
    <s v="F2F"/>
    <s v="Corporate"/>
    <x v="0"/>
    <s v="Naveen"/>
    <s v="Delivery of MB on 19-11-2025"/>
    <n v="0"/>
    <n v="0"/>
    <x v="24"/>
    <x v="0"/>
    <x v="1"/>
    <s v="Closed"/>
    <m/>
    <n v="0"/>
    <s v="Agregator"/>
    <m/>
    <m/>
    <s v="Nov-25"/>
    <n v="47"/>
    <m/>
  </r>
  <r>
    <d v="2025-11-17T00:00:00"/>
    <s v="Popup Counter at Capital Land Block A"/>
    <s v="Call"/>
    <s v="Corporate"/>
    <x v="17"/>
    <s v="Vamsi"/>
    <s v="Sale of CB,VB,MB,DKM on 17-11-2025"/>
    <n v="4757"/>
    <n v="4757"/>
    <x v="24"/>
    <x v="0"/>
    <x v="1"/>
    <s v="Closed"/>
    <m/>
    <n v="0"/>
    <s v="Agregator"/>
    <m/>
    <m/>
    <s v="Nov-25"/>
    <n v="47"/>
    <m/>
  </r>
  <r>
    <d v="2025-11-18T00:00:00"/>
    <s v="Popup Counter at Capital Land Block A"/>
    <s v="Call"/>
    <s v="Corporate"/>
    <x v="17"/>
    <s v="Vamsi"/>
    <s v="Sale of CB,VB,MB,DKM on 18-11-2025"/>
    <n v="10780"/>
    <n v="10780"/>
    <x v="24"/>
    <x v="0"/>
    <x v="1"/>
    <s v="Closed"/>
    <m/>
    <n v="0"/>
    <s v="Agregator"/>
    <m/>
    <m/>
    <s v="Nov-25"/>
    <n v="47"/>
    <m/>
  </r>
  <r>
    <d v="2025-11-18T00:00:00"/>
    <s v="Take away from secundrabad"/>
    <s v="Call"/>
    <s v="Events"/>
    <x v="10"/>
    <s v="Shoiab"/>
    <s v="Take away of CB on 18-11-2025 from Secundrabad"/>
    <n v="20000"/>
    <n v="20000"/>
    <x v="24"/>
    <x v="0"/>
    <x v="1"/>
    <s v="Closed"/>
    <m/>
    <n v="0"/>
    <s v="Bulk Order"/>
    <m/>
    <m/>
    <s v="Nov-25"/>
    <n v="47"/>
    <m/>
  </r>
  <r>
    <d v="2025-11-19T00:00:00"/>
    <s v="NS tours and travels"/>
    <s v="F2F"/>
    <s v="Corporate"/>
    <x v="1"/>
    <s v="Azam"/>
    <s v="Dine in at IMAX on 19-11-2025"/>
    <n v="14200"/>
    <n v="14200"/>
    <x v="24"/>
    <x v="0"/>
    <x v="1"/>
    <s v="Closed"/>
    <m/>
    <n v="0"/>
    <s v="Corporate Order"/>
    <m/>
    <m/>
    <s v="Nov-25"/>
    <n v="47"/>
    <m/>
  </r>
  <r>
    <d v="2025-11-19T00:00:00"/>
    <s v="Popup Counter at Capital Land Block A"/>
    <s v="Call"/>
    <s v="Corporate"/>
    <x v="17"/>
    <s v="Vamsi"/>
    <s v="Sale of CB,VB,MB,DKM on 19-11-2025"/>
    <n v="9840"/>
    <n v="9840"/>
    <x v="24"/>
    <x v="0"/>
    <x v="1"/>
    <s v="Closed"/>
    <m/>
    <n v="0"/>
    <s v="Agregator"/>
    <m/>
    <m/>
    <s v="Nov-25"/>
    <n v="47"/>
    <m/>
  </r>
  <r>
    <d v="2025-11-19T00:00:00"/>
    <s v="Delivery at Secundrabad Railway Station"/>
    <s v="Call"/>
    <s v="Corporate"/>
    <x v="1"/>
    <s v="Vijay"/>
    <s v="Delivery of CB and VB from Begumpet on 19-11-2025"/>
    <n v="20600"/>
    <n v="20600"/>
    <x v="24"/>
    <x v="0"/>
    <x v="1"/>
    <s v="Closed"/>
    <m/>
    <n v="0"/>
    <s v="Bulk Order"/>
    <m/>
    <m/>
    <s v="Nov-25"/>
    <n v="47"/>
    <m/>
  </r>
  <r>
    <d v="2025-11-19T00:00:00"/>
    <s v="NVIDIA Graphics (Smart Q)"/>
    <s v="F2F"/>
    <s v="Corporate"/>
    <x v="0"/>
    <s v="Naveen"/>
    <s v="Delivery of MB and rumali from Begumpet on 19-11-2025"/>
    <n v="103000"/>
    <n v="103000"/>
    <x v="24"/>
    <x v="0"/>
    <x v="1"/>
    <s v="Closed"/>
    <m/>
    <n v="0"/>
    <s v="Agregator"/>
    <m/>
    <m/>
    <s v="Nov-25"/>
    <n v="47"/>
    <m/>
  </r>
  <r>
    <d v="2025-11-19T00:00:00"/>
    <s v="Axis Securities"/>
    <s v="F2F"/>
    <s v="Corporate"/>
    <x v="21"/>
    <s v="Nilesh"/>
    <s v="Followup for corporate order"/>
    <n v="0"/>
    <n v="0"/>
    <x v="29"/>
    <x v="0"/>
    <x v="0"/>
    <s v="Cancelled"/>
    <m/>
    <n v="0"/>
    <s v="Corporate Order"/>
    <m/>
    <m/>
    <s v="Nov-25"/>
    <n v="47"/>
    <m/>
  </r>
  <r>
    <d v="2025-11-19T00:00:00"/>
    <s v="Delivery at SEBLR Banglore (Compass)"/>
    <s v="Call"/>
    <s v="Corporate"/>
    <x v="17"/>
    <s v="Saad"/>
    <s v="New Delivery at Compass group on 19-11-2025"/>
    <n v="39415"/>
    <n v="39415"/>
    <x v="24"/>
    <x v="1"/>
    <x v="1"/>
    <s v="Closed"/>
    <m/>
    <n v="0"/>
    <s v="Bulk Order"/>
    <m/>
    <m/>
    <s v="Nov-25"/>
    <n v="47"/>
    <m/>
  </r>
  <r>
    <d v="2025-11-19T00:00:00"/>
    <s v="Take away from secundrabad"/>
    <s v="Call"/>
    <s v="Events"/>
    <x v="10"/>
    <s v="Rajsekhar"/>
    <s v="Take away of CB on 19-11-2025 from Secundrabad"/>
    <n v="4800"/>
    <n v="4800"/>
    <x v="24"/>
    <x v="0"/>
    <x v="1"/>
    <s v="Closed"/>
    <m/>
    <n v="0"/>
    <s v="Bulk Order"/>
    <m/>
    <m/>
    <s v="Nov-25"/>
    <n v="47"/>
    <m/>
  </r>
  <r>
    <d v="2025-11-20T00:00:00"/>
    <s v="Popup Counter at Capital Land Block A"/>
    <s v="Call"/>
    <s v="Corporate"/>
    <x v="17"/>
    <s v="Vamsi"/>
    <s v="Sale of CB,VB,MB,DKM on 20-11-2025"/>
    <n v="7510"/>
    <n v="7510"/>
    <x v="24"/>
    <x v="0"/>
    <x v="1"/>
    <s v="Closed"/>
    <m/>
    <n v="0"/>
    <s v="Agregator"/>
    <m/>
    <m/>
    <s v="Nov-25"/>
    <n v="47"/>
    <m/>
  </r>
  <r>
    <d v="2025-11-20T00:00:00"/>
    <s v="Rashtrapati Nilayam"/>
    <s v="F2F"/>
    <s v="Corporate"/>
    <x v="20"/>
    <s v="Varaprasad"/>
    <s v="Registration for Jan exhibition"/>
    <n v="300000"/>
    <n v="0"/>
    <x v="26"/>
    <x v="0"/>
    <x v="0"/>
    <s v="Cancelled"/>
    <m/>
    <n v="0"/>
    <s v="Pop up"/>
    <m/>
    <m/>
    <s v="Nov-25"/>
    <n v="47"/>
    <m/>
  </r>
  <r>
    <d v="2025-11-20T00:00:00"/>
    <s v="Meru International School"/>
    <s v="F2F"/>
    <s v="School"/>
    <x v="4"/>
    <s v="Amaya"/>
    <s v="Registration for stall on 29-11-2025"/>
    <n v="0"/>
    <n v="0"/>
    <x v="24"/>
    <x v="0"/>
    <x v="1"/>
    <s v="Closed"/>
    <m/>
    <n v="0"/>
    <s v="Pop up"/>
    <m/>
    <m/>
    <s v="Nov-25"/>
    <n v="47"/>
    <m/>
  </r>
  <r>
    <d v="2025-11-21T00:00:00"/>
    <s v="Popup at IIT Hyderabad"/>
    <s v="Call"/>
    <s v="College"/>
    <x v="4"/>
    <s v="Mohan"/>
    <s v="Popup Counter from 17 to 21 November 2025"/>
    <n v="43000"/>
    <n v="43000"/>
    <x v="24"/>
    <x v="0"/>
    <x v="1"/>
    <s v="Closed"/>
    <m/>
    <n v="0"/>
    <s v="Pop up"/>
    <m/>
    <m/>
    <s v="Nov-25"/>
    <n v="47"/>
    <m/>
  </r>
  <r>
    <d v="2025-11-21T00:00:00"/>
    <s v="Popup Counter at Capital Land Block A"/>
    <s v="Call"/>
    <s v="Corporate"/>
    <x v="17"/>
    <s v="Vamsi"/>
    <s v="Sale of CB,VB,MB,DKM on 21-11-2025"/>
    <n v="7909"/>
    <n v="7909"/>
    <x v="24"/>
    <x v="0"/>
    <x v="1"/>
    <s v="Closed"/>
    <m/>
    <n v="0"/>
    <s v="Agregator"/>
    <m/>
    <m/>
    <s v="Nov-25"/>
    <n v="47"/>
    <m/>
  </r>
  <r>
    <d v="2025-11-21T00:00:00"/>
    <s v="Cognizant"/>
    <s v="F2F"/>
    <s v="Corporate"/>
    <x v="0"/>
    <s v="Anil"/>
    <s v="Followup for corporate order"/>
    <n v="0"/>
    <m/>
    <x v="29"/>
    <x v="0"/>
    <x v="0"/>
    <s v="Cancelled"/>
    <m/>
    <n v="0"/>
    <s v="Corporate Order"/>
    <m/>
    <m/>
    <s v="Nov-25"/>
    <n v="47"/>
    <m/>
  </r>
  <r>
    <d v="2025-11-21T00:00:00"/>
    <s v="Gravity Films"/>
    <s v="F2F"/>
    <s v="Corporate"/>
    <x v="6"/>
    <s v="Anji"/>
    <s v="Delivery of CB &amp; VB on 19&amp;22 November 2025 from Hitec"/>
    <n v="101681"/>
    <n v="101681"/>
    <x v="24"/>
    <x v="0"/>
    <x v="1"/>
    <s v="Closed"/>
    <m/>
    <n v="0"/>
    <s v="Corporate Order"/>
    <m/>
    <m/>
    <s v="Nov-25"/>
    <n v="47"/>
    <m/>
  </r>
  <r>
    <d v="2025-11-21T00:00:00"/>
    <s v="Christ the King Church"/>
    <s v="F2F"/>
    <s v="Church"/>
    <x v="8"/>
    <s v="Dr Suman"/>
    <s v="Delivery of 200 CB on 22-11-2025"/>
    <n v="40000"/>
    <n v="0"/>
    <x v="24"/>
    <x v="0"/>
    <x v="0"/>
    <s v="Cancelled"/>
    <s v="Event Postpond"/>
    <n v="0"/>
    <s v="Bulk Order"/>
    <m/>
    <m/>
    <s v="Nov-25"/>
    <n v="47"/>
    <m/>
  </r>
  <r>
    <d v="2025-11-21T00:00:00"/>
    <s v="CTS Holidays"/>
    <s v="F2F"/>
    <s v="Corporate"/>
    <x v="1"/>
    <s v="Gobindas"/>
    <s v="Dine in for 400 PAX in Jan"/>
    <n v="0"/>
    <m/>
    <x v="29"/>
    <x v="0"/>
    <x v="0"/>
    <s v="Cancelled"/>
    <m/>
    <n v="0"/>
    <s v="Bulk Order"/>
    <m/>
    <m/>
    <s v="Nov-25"/>
    <n v="47"/>
    <m/>
  </r>
  <r>
    <d v="2025-11-22T00:00:00"/>
    <s v="Dine in at IMAX"/>
    <s v="Call"/>
    <s v="Events"/>
    <x v="10"/>
    <s v="Rafi"/>
    <s v="Dine in at IMAX on 22-11-20215"/>
    <n v="2400"/>
    <n v="2400"/>
    <x v="24"/>
    <x v="0"/>
    <x v="1"/>
    <s v="Closed"/>
    <m/>
    <n v="0"/>
    <s v="Bulk Order"/>
    <m/>
    <m/>
    <s v="Nov-25"/>
    <n v="47"/>
    <m/>
  </r>
  <r>
    <d v="2025-11-24T00:00:00"/>
    <s v="ICFAI"/>
    <s v="Call"/>
    <s v="College"/>
    <x v="4"/>
    <s v="Manas"/>
    <s v="Discussion in regards with Popup in Jan"/>
    <n v="60000"/>
    <m/>
    <x v="26"/>
    <x v="0"/>
    <x v="0"/>
    <s v="Cancelled"/>
    <m/>
    <n v="0"/>
    <s v="Pop up"/>
    <m/>
    <m/>
    <s v="Nov-25"/>
    <n v="48"/>
    <m/>
  </r>
  <r>
    <d v="2025-11-24T00:00:00"/>
    <s v="Meru International School"/>
    <s v="F2F"/>
    <s v="School"/>
    <x v="4"/>
    <s v="Amaya"/>
    <s v="Discussion for stall on 29-11-2025"/>
    <n v="0"/>
    <n v="0"/>
    <x v="24"/>
    <x v="0"/>
    <x v="1"/>
    <s v="Closed"/>
    <m/>
    <n v="0"/>
    <s v="Pop up"/>
    <m/>
    <m/>
    <s v="Nov-25"/>
    <n v="48"/>
    <m/>
  </r>
  <r>
    <d v="2025-11-24T00:00:00"/>
    <s v="Gem Kids Fest"/>
    <s v="F2F"/>
    <s v="Events"/>
    <x v="30"/>
    <s v="Ram"/>
    <s v="Site visit for Event on 13-14 Dec 2025"/>
    <n v="0"/>
    <n v="0"/>
    <x v="18"/>
    <x v="0"/>
    <x v="1"/>
    <s v="Closed"/>
    <m/>
    <n v="0"/>
    <s v="Pop up"/>
    <m/>
    <m/>
    <s v="Nov-25"/>
    <n v="48"/>
    <m/>
  </r>
  <r>
    <d v="2025-11-24T00:00:00"/>
    <s v="Popup Counter at Capital Land Block A"/>
    <s v="Call"/>
    <s v="Corporate"/>
    <x v="17"/>
    <s v="Vamsi"/>
    <s v="Sale of CB,VB,MB,DKM on 24-11-2025"/>
    <n v="6040"/>
    <n v="6040"/>
    <x v="24"/>
    <x v="0"/>
    <x v="1"/>
    <s v="Closed"/>
    <m/>
    <n v="0"/>
    <s v="Agregator"/>
    <m/>
    <m/>
    <s v="Nov-25"/>
    <n v="48"/>
    <m/>
  </r>
  <r>
    <d v="2025-11-24T00:00:00"/>
    <s v="Doctors Association "/>
    <s v="F2F"/>
    <s v="Corporate"/>
    <x v="13"/>
    <s v="Meharlata"/>
    <s v="Dine in in Jan for 20 PAX  on 11-1-2026"/>
    <n v="0"/>
    <n v="0"/>
    <x v="26"/>
    <x v="0"/>
    <x v="1"/>
    <s v="Closed"/>
    <m/>
    <n v="0"/>
    <s v="Bulk Order"/>
    <m/>
    <m/>
    <s v="Nov-25"/>
    <n v="48"/>
    <m/>
  </r>
  <r>
    <d v="2025-11-24T00:00:00"/>
    <s v="Popup at IIT Hyderabad"/>
    <s v="Call"/>
    <s v="College"/>
    <x v="4"/>
    <s v="Mohan"/>
    <s v="Popup Counter from 24 November 2025"/>
    <n v="7500"/>
    <n v="7500"/>
    <x v="24"/>
    <x v="0"/>
    <x v="1"/>
    <s v="Closed"/>
    <m/>
    <n v="0"/>
    <s v="Pop up"/>
    <m/>
    <m/>
    <s v="Nov-25"/>
    <n v="48"/>
    <m/>
  </r>
  <r>
    <d v="2025-11-25T00:00:00"/>
    <s v="MTAR"/>
    <s v="F2F"/>
    <s v="Corporate"/>
    <x v="7"/>
    <s v="Jagan"/>
    <s v="Follow up for Corporate Order"/>
    <n v="0"/>
    <m/>
    <x v="29"/>
    <x v="0"/>
    <x v="0"/>
    <s v="Cancelled"/>
    <m/>
    <n v="0"/>
    <s v="Corporate Order"/>
    <m/>
    <m/>
    <s v="Nov-25"/>
    <n v="48"/>
    <m/>
  </r>
  <r>
    <d v="2025-11-25T00:00:00"/>
    <s v="Protivity"/>
    <s v="F2F"/>
    <s v="Corporate"/>
    <x v="0"/>
    <s v="Sagar"/>
    <s v="Follow up for next order of Packed lunch"/>
    <n v="0"/>
    <m/>
    <x v="27"/>
    <x v="0"/>
    <x v="3"/>
    <s v="Warm"/>
    <m/>
    <n v="0"/>
    <s v="Corporate Order"/>
    <m/>
    <m/>
    <s v="Nov-25"/>
    <n v="48"/>
    <m/>
  </r>
  <r>
    <d v="2025-11-25T00:00:00"/>
    <s v="Medha Servo Drives"/>
    <s v="F2F"/>
    <s v="Corporate"/>
    <x v="7"/>
    <s v="Vinay"/>
    <s v="Follow up for orders and gifting"/>
    <n v="100000"/>
    <m/>
    <x v="29"/>
    <x v="0"/>
    <x v="0"/>
    <s v="Cancelled"/>
    <m/>
    <n v="0"/>
    <s v="Corporate Order"/>
    <m/>
    <m/>
    <s v="Nov-25"/>
    <n v="48"/>
    <m/>
  </r>
  <r>
    <d v="2025-11-25T00:00:00"/>
    <s v="Popup at IIT Hyderabad"/>
    <s v="Call"/>
    <s v="College"/>
    <x v="4"/>
    <s v="Mohan"/>
    <s v="Popup Counter from 25-11- 2025 from BHEL"/>
    <n v="7500"/>
    <n v="7500"/>
    <x v="24"/>
    <x v="0"/>
    <x v="1"/>
    <s v="Closed"/>
    <m/>
    <n v="0"/>
    <s v="Pop up"/>
    <m/>
    <m/>
    <s v="Nov-25"/>
    <n v="48"/>
    <m/>
  </r>
  <r>
    <d v="2025-11-25T00:00:00"/>
    <s v="Popup Counter at Capital Land Block A"/>
    <s v="Call"/>
    <s v="Corporate"/>
    <x v="17"/>
    <s v="Vamsi"/>
    <s v="Sale of CB,VB,MB,DKM on 25-11-2025"/>
    <n v="9085"/>
    <n v="9085"/>
    <x v="24"/>
    <x v="0"/>
    <x v="1"/>
    <s v="Closed"/>
    <m/>
    <n v="0"/>
    <s v="Agregator"/>
    <m/>
    <m/>
    <s v="Nov-25"/>
    <n v="48"/>
    <m/>
  </r>
  <r>
    <d v="2025-11-26T00:00:00"/>
    <s v="Popup Counter at Capital Land Block A"/>
    <s v="Call"/>
    <s v="Corporate"/>
    <x v="17"/>
    <s v="Vamsi"/>
    <s v="Sale of CB,VB,MB,DKM on 26-11-2025"/>
    <n v="8185"/>
    <n v="8185"/>
    <x v="24"/>
    <x v="0"/>
    <x v="1"/>
    <s v="Closed"/>
    <m/>
    <n v="0"/>
    <s v="Agregator"/>
    <m/>
    <m/>
    <s v="Nov-25"/>
    <n v="48"/>
    <m/>
  </r>
  <r>
    <d v="2025-11-26T00:00:00"/>
    <s v="Popup at IIT Hyderabad"/>
    <s v="Call"/>
    <s v="College"/>
    <x v="4"/>
    <s v="Mohan"/>
    <s v="Popup Counter from 26-11- 2025 from BHEL"/>
    <n v="7800"/>
    <n v="7800"/>
    <x v="24"/>
    <x v="0"/>
    <x v="1"/>
    <s v="Closed"/>
    <m/>
    <n v="0"/>
    <s v="Pop up"/>
    <m/>
    <m/>
    <s v="Nov-25"/>
    <n v="48"/>
    <m/>
  </r>
  <r>
    <d v="2025-11-26T00:00:00"/>
    <s v="Delivery at SEBLR Banglore (Compass)"/>
    <s v="Call"/>
    <s v="Corporate"/>
    <x v="17"/>
    <s v="Saad"/>
    <s v="New Delivery at Compass group on 26-11-2025"/>
    <n v="43083"/>
    <n v="43083"/>
    <x v="24"/>
    <x v="1"/>
    <x v="1"/>
    <s v="Closed"/>
    <m/>
    <n v="0"/>
    <s v="Bulk Order"/>
    <m/>
    <m/>
    <s v="Nov-25"/>
    <n v="48"/>
    <m/>
  </r>
  <r>
    <d v="2025-11-26T00:00:00"/>
    <s v="Santa Maria"/>
    <s v="F2F"/>
    <s v="School"/>
    <x v="4"/>
    <s v="Srinivas"/>
    <s v="Follow up for Corporate Order Jan"/>
    <n v="0"/>
    <m/>
    <x v="27"/>
    <x v="0"/>
    <x v="3"/>
    <s v="Warm"/>
    <m/>
    <n v="0"/>
    <s v="Bulk Order"/>
    <m/>
    <m/>
    <s v="Nov-25"/>
    <n v="48"/>
    <m/>
  </r>
  <r>
    <d v="2025-11-26T00:00:00"/>
    <s v="GVK(Arscian)"/>
    <s v="F2F"/>
    <s v="Corporate"/>
    <x v="5"/>
    <s v="Pasha"/>
    <s v="Follow up for bulk order"/>
    <n v="90000"/>
    <m/>
    <x v="27"/>
    <x v="0"/>
    <x v="3"/>
    <s v="Warm"/>
    <m/>
    <n v="0"/>
    <s v="Corporate Order"/>
    <m/>
    <m/>
    <s v="Nov-25"/>
    <n v="48"/>
    <m/>
  </r>
  <r>
    <d v="2025-11-26T00:00:00"/>
    <s v="Excelra Knowledge Solution"/>
    <s v="F2F"/>
    <s v="Corporate"/>
    <x v="5"/>
    <s v="Maniram"/>
    <s v="Follow up for bulk order"/>
    <n v="0"/>
    <m/>
    <x v="27"/>
    <x v="0"/>
    <x v="3"/>
    <s v="Warm"/>
    <m/>
    <n v="0"/>
    <s v="Corporate Order"/>
    <m/>
    <m/>
    <s v="Nov-25"/>
    <n v="48"/>
    <m/>
  </r>
  <r>
    <d v="2025-11-27T00:00:00"/>
    <s v="Popup Counter at Capital Land Block A"/>
    <s v="Call"/>
    <s v="Corporate"/>
    <x v="17"/>
    <s v="Vamsi"/>
    <s v="Sale of CB,VB,MB,DKM on 27-11-2025"/>
    <n v="8990"/>
    <n v="8990"/>
    <x v="24"/>
    <x v="0"/>
    <x v="1"/>
    <s v="Closed"/>
    <m/>
    <n v="0"/>
    <s v="Agregator"/>
    <m/>
    <m/>
    <s v="Nov-25"/>
    <n v="48"/>
    <m/>
  </r>
  <r>
    <d v="2025-11-27T00:00:00"/>
    <s v="Popup at IIT Hyderabad"/>
    <s v="Call"/>
    <s v="College"/>
    <x v="4"/>
    <s v="Mohan"/>
    <s v="Popup Counter from 27-11- 2025 from BHEL"/>
    <n v="7900"/>
    <n v="7900"/>
    <x v="24"/>
    <x v="0"/>
    <x v="1"/>
    <s v="Closed"/>
    <m/>
    <n v="0"/>
    <s v="Pop up"/>
    <m/>
    <m/>
    <s v="Nov-25"/>
    <n v="48"/>
    <m/>
  </r>
  <r>
    <d v="2025-11-27T00:00:00"/>
    <s v="Meru International School"/>
    <s v="F2F"/>
    <s v="School"/>
    <x v="4"/>
    <s v="Amaya"/>
    <s v="Registration for stall on 29-11-2025"/>
    <n v="37830"/>
    <n v="37830"/>
    <x v="24"/>
    <x v="0"/>
    <x v="1"/>
    <s v="Closed"/>
    <m/>
    <n v="0"/>
    <s v="Pop up"/>
    <m/>
    <m/>
    <s v="Nov-25"/>
    <n v="48"/>
    <m/>
  </r>
  <r>
    <d v="2025-11-27T00:00:00"/>
    <s v="HITEX Exhibition (Poultry Expo)"/>
    <s v="F2F"/>
    <s v="Corporate"/>
    <x v="30"/>
    <s v="Venugopal"/>
    <s v="Feedback of current delivery and membership 27 Nov-25"/>
    <n v="0"/>
    <n v="0"/>
    <x v="24"/>
    <x v="0"/>
    <x v="1"/>
    <s v="Closed"/>
    <m/>
    <n v="0"/>
    <s v="Bulk Order"/>
    <m/>
    <m/>
    <s v="Nov-25"/>
    <n v="48"/>
    <m/>
  </r>
  <r>
    <d v="2025-11-28T00:00:00"/>
    <s v="MSN Labs"/>
    <s v="F2F"/>
    <s v="Corporate"/>
    <x v="5"/>
    <s v="Satya"/>
    <s v="Follow up for Ramzan gifting Biryani kits on 5th Jan 2026"/>
    <n v="2086875"/>
    <n v="2086875"/>
    <x v="26"/>
    <x v="0"/>
    <x v="1"/>
    <s v="Closed"/>
    <m/>
    <n v="0"/>
    <s v="Gifting"/>
    <m/>
    <m/>
    <s v="Nov-25"/>
    <n v="48"/>
    <m/>
  </r>
  <r>
    <d v="2025-11-28T00:00:00"/>
    <s v="Popup Counter at Capital Land Block A"/>
    <s v="Call"/>
    <s v="Corporate"/>
    <x v="17"/>
    <s v="Vamsi"/>
    <s v="Sale of CB,VB,MB,DKM on 28-11-2025"/>
    <n v="7500"/>
    <n v="7500"/>
    <x v="24"/>
    <x v="0"/>
    <x v="1"/>
    <s v="Closed"/>
    <m/>
    <n v="0"/>
    <s v="Agregator"/>
    <m/>
    <m/>
    <s v="Nov-25"/>
    <n v="48"/>
    <m/>
  </r>
  <r>
    <d v="2025-11-28T00:00:00"/>
    <s v="Popup at IIT Hyderabad"/>
    <s v="Call"/>
    <s v="College"/>
    <x v="4"/>
    <s v="Mohan"/>
    <s v="Popup Counter from 28-11- 2025 from BHEL"/>
    <n v="4890"/>
    <n v="4890"/>
    <x v="24"/>
    <x v="0"/>
    <x v="1"/>
    <s v="Closed"/>
    <m/>
    <n v="0"/>
    <s v="Pop up"/>
    <m/>
    <m/>
    <s v="Nov-25"/>
    <n v="48"/>
    <m/>
  </r>
  <r>
    <d v="2025-11-28T00:00:00"/>
    <s v="Anthea Pharma"/>
    <s v="F2F"/>
    <s v="Corporate"/>
    <x v="5"/>
    <s v="Jaipal"/>
    <s v="Take away from Muthangi Store in Novemer month"/>
    <n v="72775"/>
    <n v="72775"/>
    <x v="24"/>
    <x v="0"/>
    <x v="1"/>
    <s v="Closed"/>
    <m/>
    <n v="0"/>
    <s v="Bulk Order"/>
    <m/>
    <m/>
    <s v="Nov-25"/>
    <n v="48"/>
    <m/>
  </r>
  <r>
    <d v="2025-11-28T00:00:00"/>
    <s v="Take away from Secundrabad"/>
    <s v="Call"/>
    <s v="Events"/>
    <x v="10"/>
    <s v="Hussain"/>
    <s v="Take away from secundrabad on 28-11-2025"/>
    <n v="12500"/>
    <n v="12500"/>
    <x v="24"/>
    <x v="0"/>
    <x v="1"/>
    <s v="Closed"/>
    <m/>
    <n v="0"/>
    <s v="Bulk Order"/>
    <m/>
    <m/>
    <s v="Nov-25"/>
    <n v="48"/>
    <m/>
  </r>
  <r>
    <d v="2025-10-29T00:00:00"/>
    <s v="Take away from Secundrabad"/>
    <s v="Call"/>
    <s v="Events"/>
    <x v="10"/>
    <s v="Mamatha"/>
    <s v="Take away of CB from Secbad on 29-11-2025"/>
    <n v="11000"/>
    <n v="11000"/>
    <x v="24"/>
    <x v="0"/>
    <x v="1"/>
    <s v="Closed"/>
    <m/>
    <n v="0"/>
    <s v="Bulk Order"/>
    <m/>
    <m/>
    <s v="Oct-25"/>
    <n v="44"/>
    <m/>
  </r>
  <r>
    <d v="2025-11-29T00:00:00"/>
    <s v="Take away from BHEL"/>
    <s v="Call"/>
    <s v="Events"/>
    <x v="10"/>
    <s v="Ganesh"/>
    <s v="Take away from BHEL on 30-11-2025"/>
    <n v="5500"/>
    <n v="5500"/>
    <x v="24"/>
    <x v="0"/>
    <x v="1"/>
    <s v="Closed"/>
    <m/>
    <n v="0"/>
    <s v="Bulk Order"/>
    <m/>
    <m/>
    <s v="Nov-25"/>
    <n v="48"/>
    <m/>
  </r>
  <r>
    <d v="2025-12-01T00:00:00"/>
    <s v="Popup Counter at Capital Land Block A"/>
    <s v="Call"/>
    <s v="Corporate"/>
    <x v="17"/>
    <s v="Vamsi"/>
    <s v="Sale of CB,VB,MB,DKM on 1-12-2025"/>
    <n v="6500"/>
    <n v="7500"/>
    <x v="18"/>
    <x v="0"/>
    <x v="1"/>
    <s v="Closed"/>
    <m/>
    <n v="0"/>
    <s v="Agregator"/>
    <m/>
    <m/>
    <s v="Dec-25"/>
    <n v="49"/>
    <m/>
  </r>
  <r>
    <d v="2025-12-01T00:00:00"/>
    <s v="Popup at IIT Hyderabad"/>
    <s v="Call"/>
    <s v="College"/>
    <x v="4"/>
    <s v="Mohan"/>
    <s v="Popup Counter on 1-12- 2025 from BHEL"/>
    <n v="4500"/>
    <n v="4890"/>
    <x v="18"/>
    <x v="0"/>
    <x v="1"/>
    <s v="Closed"/>
    <m/>
    <n v="0"/>
    <s v="Pop up"/>
    <m/>
    <m/>
    <s v="Dec-25"/>
    <n v="49"/>
    <m/>
  </r>
  <r>
    <d v="2025-12-01T00:00:00"/>
    <s v="Accenture HDC4A (Smart Q)"/>
    <s v="F2F"/>
    <s v="Corporate"/>
    <x v="17"/>
    <s v="Raza"/>
    <s v="Popup in December 17-18 2025"/>
    <n v="0"/>
    <n v="0"/>
    <x v="18"/>
    <x v="0"/>
    <x v="1"/>
    <s v="Closed"/>
    <m/>
    <n v="0"/>
    <s v="Agregator"/>
    <m/>
    <m/>
    <s v="Dec-25"/>
    <n v="49"/>
    <m/>
  </r>
  <r>
    <d v="2025-12-01T00:00:00"/>
    <s v="Accenture HDC5A (Smart Q)"/>
    <s v="F2F"/>
    <s v="Corporate"/>
    <x v="17"/>
    <s v="Teja"/>
    <s v="Popup in december 11-12-2025"/>
    <n v="0"/>
    <n v="0"/>
    <x v="18"/>
    <x v="0"/>
    <x v="1"/>
    <s v="Closed"/>
    <m/>
    <n v="0"/>
    <s v="Agregator"/>
    <m/>
    <m/>
    <s v="Dec-25"/>
    <n v="49"/>
    <m/>
  </r>
  <r>
    <d v="2025-12-01T00:00:00"/>
    <s v="Cognizant GAR Infobahan Tower 5"/>
    <s v="F2F"/>
    <s v="Corporate"/>
    <x v="17"/>
    <s v="Phalguna"/>
    <s v="Popup counter in Jan"/>
    <n v="100000"/>
    <m/>
    <x v="27"/>
    <x v="0"/>
    <x v="4"/>
    <s v="Hot"/>
    <m/>
    <n v="0"/>
    <s v="Agregator"/>
    <m/>
    <m/>
    <s v="Dec-25"/>
    <n v="49"/>
    <m/>
  </r>
  <r>
    <d v="2025-12-02T00:00:00"/>
    <s v="Popup Counter at Capital Land Block A"/>
    <s v="Call"/>
    <s v="Corporate"/>
    <x v="17"/>
    <s v="Vamsi"/>
    <s v="Sale of CB,VB,MB,DKM on 2-12-2025"/>
    <n v="9845"/>
    <n v="9845"/>
    <x v="18"/>
    <x v="0"/>
    <x v="1"/>
    <s v="Closed"/>
    <m/>
    <n v="0"/>
    <s v="Agregator"/>
    <m/>
    <m/>
    <s v="Dec-25"/>
    <n v="49"/>
    <m/>
  </r>
  <r>
    <d v="2025-12-02T00:00:00"/>
    <s v="Popup at IIT Hyderabad"/>
    <s v="Call"/>
    <s v="College"/>
    <x v="4"/>
    <s v="Mohan"/>
    <s v="Popup Counter on 2-12- 2025 from BHEL"/>
    <n v="4500"/>
    <n v="4890"/>
    <x v="18"/>
    <x v="0"/>
    <x v="1"/>
    <s v="Closed"/>
    <m/>
    <n v="0"/>
    <s v="Pop up"/>
    <m/>
    <m/>
    <s v="Dec-25"/>
    <n v="49"/>
    <m/>
  </r>
  <r>
    <d v="2025-12-03T00:00:00"/>
    <s v="Popup Counter at Capital Land Block A"/>
    <s v="Call"/>
    <s v="Corporate"/>
    <x v="17"/>
    <s v="Vamsi"/>
    <s v="Sale of CB,VB,MB,DKM on 3-12-2025"/>
    <n v="11011"/>
    <n v="11011"/>
    <x v="18"/>
    <x v="0"/>
    <x v="1"/>
    <s v="Closed"/>
    <m/>
    <n v="0"/>
    <s v="Agregator"/>
    <m/>
    <m/>
    <s v="Dec-25"/>
    <n v="49"/>
    <m/>
  </r>
  <r>
    <d v="2025-12-03T00:00:00"/>
    <s v="Popup at IIT Hyderabad"/>
    <s v="Call"/>
    <s v="College"/>
    <x v="4"/>
    <s v="Mohan"/>
    <s v="Popup Counter on 3-12- 2025 from BHEL"/>
    <n v="4500"/>
    <n v="4890"/>
    <x v="18"/>
    <x v="0"/>
    <x v="1"/>
    <s v="Closed"/>
    <m/>
    <n v="0"/>
    <s v="Pop up"/>
    <m/>
    <m/>
    <s v="Dec-25"/>
    <n v="49"/>
    <m/>
  </r>
  <r>
    <d v="2025-12-03T00:00:00"/>
    <s v="Delivery at SEBLR Banglore (Compass)"/>
    <s v="Call"/>
    <s v="Corporate"/>
    <x v="17"/>
    <s v="Saad"/>
    <s v="New Delivery at Compass group on 3-12-2025"/>
    <n v="43083"/>
    <n v="43083"/>
    <x v="18"/>
    <x v="1"/>
    <x v="1"/>
    <s v="Closed"/>
    <m/>
    <n v="0"/>
    <s v="Bulk Order"/>
    <m/>
    <m/>
    <s v="Dec-25"/>
    <n v="49"/>
    <m/>
  </r>
  <r>
    <d v="2025-12-04T00:00:00"/>
    <s v="MSN Labs"/>
    <s v="F2F"/>
    <s v="Corporate"/>
    <x v="5"/>
    <s v="Satya"/>
    <s v="Discussion in regards with delivery for next order"/>
    <n v="0"/>
    <m/>
    <x v="26"/>
    <x v="0"/>
    <x v="1"/>
    <s v="Closed"/>
    <m/>
    <n v="0"/>
    <s v="Gifting"/>
    <m/>
    <m/>
    <s v="Dec-25"/>
    <n v="49"/>
    <m/>
  </r>
  <r>
    <d v="2025-12-04T00:00:00"/>
    <s v="Popup Counter at Capital Land Block A"/>
    <s v="Call"/>
    <s v="Corporate"/>
    <x v="17"/>
    <s v="Vamsi"/>
    <s v="Sale of CB,VB,MB,DKM on 4-12-2025"/>
    <n v="6600"/>
    <n v="6600"/>
    <x v="18"/>
    <x v="0"/>
    <x v="1"/>
    <s v="Closed"/>
    <m/>
    <n v="0"/>
    <s v="Agregator"/>
    <m/>
    <m/>
    <s v="Dec-25"/>
    <n v="49"/>
    <m/>
  </r>
  <r>
    <d v="2025-12-04T00:00:00"/>
    <s v="Popup at IIT Hyderabad"/>
    <s v="Call"/>
    <s v="College"/>
    <x v="4"/>
    <s v="Mohan"/>
    <s v="Popup Counter on 4-12- 2025 from BHEL"/>
    <n v="4500"/>
    <n v="4890"/>
    <x v="18"/>
    <x v="0"/>
    <x v="1"/>
    <s v="Closed"/>
    <m/>
    <n v="0"/>
    <s v="Pop up"/>
    <m/>
    <m/>
    <s v="Dec-25"/>
    <n v="49"/>
    <m/>
  </r>
  <r>
    <d v="2025-12-04T00:00:00"/>
    <s v="Infosys Pocharam"/>
    <s v="F2F"/>
    <s v="Corporate"/>
    <x v="0"/>
    <s v="Prasad"/>
    <s v="Follow up for popup counter and bulk delivery at Infosys"/>
    <n v="0"/>
    <m/>
    <x v="27"/>
    <x v="0"/>
    <x v="3"/>
    <s v="Warm"/>
    <m/>
    <n v="0"/>
    <s v="Corporate Order"/>
    <m/>
    <m/>
    <s v="Dec-25"/>
    <n v="49"/>
    <m/>
  </r>
  <r>
    <d v="2025-12-04T00:00:00"/>
    <s v="Hyderabad Metro Rail"/>
    <s v="F2F"/>
    <s v="Corporate"/>
    <x v="2"/>
    <s v="Sulakshna"/>
    <s v="Follow up for popup counter and bulk delivery at HMRL"/>
    <n v="0"/>
    <m/>
    <x v="18"/>
    <x v="0"/>
    <x v="0"/>
    <s v="Cancelled"/>
    <m/>
    <n v="0"/>
    <s v="Corporate Order"/>
    <m/>
    <m/>
    <s v="Dec-25"/>
    <n v="49"/>
    <m/>
  </r>
  <r>
    <d v="2025-12-05T00:00:00"/>
    <s v="Popup Counter at Capital Land Block A"/>
    <s v="Call"/>
    <s v="Corporate"/>
    <x v="17"/>
    <s v="Vamsi"/>
    <s v="Sale of CB,VB,MB,DKM on 5-12-2025"/>
    <n v="10775"/>
    <n v="10775"/>
    <x v="18"/>
    <x v="0"/>
    <x v="1"/>
    <s v="Closed"/>
    <m/>
    <n v="0"/>
    <s v="Agregator"/>
    <m/>
    <m/>
    <s v="Dec-25"/>
    <n v="49"/>
    <m/>
  </r>
  <r>
    <d v="2025-12-05T00:00:00"/>
    <s v="Popup at IIT Hyderabad"/>
    <s v="Call"/>
    <s v="College"/>
    <x v="4"/>
    <s v="Mohan"/>
    <s v="Popup Counter on 5-12- 2025 from BHEL"/>
    <n v="4200"/>
    <n v="4890"/>
    <x v="18"/>
    <x v="0"/>
    <x v="1"/>
    <s v="Closed"/>
    <m/>
    <n v="0"/>
    <s v="Pop up"/>
    <m/>
    <m/>
    <s v="Dec-25"/>
    <n v="49"/>
    <m/>
  </r>
  <r>
    <d v="2025-12-06T00:00:00"/>
    <s v="PTM at Meru International School"/>
    <s v="F2F"/>
    <s v="School"/>
    <x v="4"/>
    <s v="Giridhar"/>
    <s v="Popup counter on 6-12-25 from Sarath City Mall"/>
    <n v="15200"/>
    <n v="15200"/>
    <x v="18"/>
    <x v="0"/>
    <x v="1"/>
    <s v="Closed"/>
    <m/>
    <n v="0"/>
    <s v="Pop up"/>
    <m/>
    <m/>
    <s v="Dec-25"/>
    <n v="49"/>
    <m/>
  </r>
  <r>
    <d v="2025-12-06T00:00:00"/>
    <s v="Supercross Bike Race at Stadium"/>
    <s v="F2F"/>
    <s v="Corporate"/>
    <x v="30"/>
    <s v="Varun"/>
    <s v="Popup on 6-12-2025 from BHEL"/>
    <n v="72000"/>
    <n v="72000"/>
    <x v="18"/>
    <x v="0"/>
    <x v="1"/>
    <s v="Closed"/>
    <m/>
    <n v="0"/>
    <s v="Pop up"/>
    <m/>
    <m/>
    <s v="Dec-25"/>
    <n v="49"/>
    <m/>
  </r>
  <r>
    <d v="2025-12-08T00:00:00"/>
    <s v="Popup Counter at Capital Land Block A"/>
    <s v="Call"/>
    <s v="Corporate"/>
    <x v="17"/>
    <s v="Vamsi"/>
    <s v="Sale of CB,VB,MB,DKM on 8-12-2025"/>
    <n v="6344"/>
    <n v="6344"/>
    <x v="18"/>
    <x v="0"/>
    <x v="1"/>
    <s v="Closed"/>
    <m/>
    <n v="0"/>
    <s v="Agregator"/>
    <m/>
    <m/>
    <s v="Dec-25"/>
    <n v="50"/>
    <m/>
  </r>
  <r>
    <d v="2025-12-08T00:00:00"/>
    <s v="Popup at IIT Hyderabad"/>
    <s v="Call"/>
    <s v="College"/>
    <x v="4"/>
    <s v="Mohan"/>
    <s v="Popup Counter on 8-12- 2025 from BHEL"/>
    <n v="4200"/>
    <n v="4890"/>
    <x v="18"/>
    <x v="0"/>
    <x v="1"/>
    <s v="Closed"/>
    <m/>
    <n v="0"/>
    <s v="Pop up"/>
    <m/>
    <m/>
    <s v="Dec-25"/>
    <n v="50"/>
    <m/>
  </r>
  <r>
    <d v="2025-12-08T00:00:00"/>
    <s v="Kiram Events "/>
    <s v="F2F"/>
    <s v="Events"/>
    <x v="30"/>
    <s v="Varum"/>
    <s v="Collection of Cheque and discussion for further events"/>
    <n v="0"/>
    <n v="0"/>
    <x v="26"/>
    <x v="0"/>
    <x v="1"/>
    <s v="Closed"/>
    <m/>
    <n v="0"/>
    <s v="Pop up"/>
    <m/>
    <m/>
    <s v="Dec-25"/>
    <n v="50"/>
    <m/>
  </r>
  <r>
    <d v="2025-12-08T00:00:00"/>
    <s v="Girikand Travels"/>
    <s v="F2F"/>
    <s v="Corporate"/>
    <x v="1"/>
    <s v="Nitin"/>
    <s v="Delivery of CB from Himayathnagar on "/>
    <n v="10200"/>
    <n v="10200"/>
    <x v="18"/>
    <x v="0"/>
    <x v="1"/>
    <s v="Closed"/>
    <m/>
    <n v="0"/>
    <s v="Pop up"/>
    <m/>
    <m/>
    <s v="Dec-25"/>
    <n v="50"/>
    <m/>
  </r>
  <r>
    <d v="2025-12-08T00:00:00"/>
    <s v="Chai Blizz"/>
    <s v="F2F"/>
    <s v="Corporate"/>
    <x v="37"/>
    <s v="Kiran Babu"/>
    <s v="Sampling of Osmania Biscuits for Bulk oeder"/>
    <n v="28000"/>
    <m/>
    <x v="26"/>
    <x v="0"/>
    <x v="0"/>
    <s v="Cancelled"/>
    <s v="Less Budget"/>
    <n v="0"/>
    <s v="Bulk Order"/>
    <m/>
    <m/>
    <s v="Dec-25"/>
    <n v="50"/>
    <m/>
  </r>
  <r>
    <d v="2025-12-08T00:00:00"/>
    <s v="BBQN"/>
    <s v="F2F"/>
    <s v="Corporate"/>
    <x v="37"/>
    <s v="Jagdish"/>
    <s v="Sampling of Cookies to be deliverd on 9-12-2025"/>
    <n v="5000"/>
    <n v="5000"/>
    <x v="18"/>
    <x v="0"/>
    <x v="1"/>
    <s v="Closed"/>
    <m/>
    <n v="0"/>
    <s v="Bulk Order"/>
    <m/>
    <m/>
    <s v="Dec-25"/>
    <n v="50"/>
    <m/>
  </r>
  <r>
    <d v="2025-12-09T00:00:00"/>
    <s v="Met Life"/>
    <s v="F2F"/>
    <s v="Corporate"/>
    <x v="0"/>
    <s v="Vishal"/>
    <s v="Packed lunch for 200 Employees in Jan"/>
    <n v="100000"/>
    <m/>
    <x v="27"/>
    <x v="0"/>
    <x v="3"/>
    <s v="Cold"/>
    <m/>
    <n v="0"/>
    <s v="Corporate Order"/>
    <m/>
    <m/>
    <s v="Dec-25"/>
    <n v="50"/>
    <m/>
  </r>
  <r>
    <d v="2025-12-09T00:00:00"/>
    <s v="Popup Counter at Capital Land Block A"/>
    <s v="Call"/>
    <s v="Corporate"/>
    <x v="17"/>
    <s v="Vamsi"/>
    <s v="Sale of CB,VB,MB,DKM on 9-12-2025"/>
    <n v="9488"/>
    <n v="9488"/>
    <x v="18"/>
    <x v="0"/>
    <x v="1"/>
    <s v="Closed"/>
    <m/>
    <n v="0"/>
    <s v="Agregator"/>
    <m/>
    <m/>
    <s v="Dec-25"/>
    <n v="50"/>
    <m/>
  </r>
  <r>
    <d v="2025-12-10T00:00:00"/>
    <s v="Popup Counter at Capital Land Block A"/>
    <s v="Call"/>
    <s v="Corporate"/>
    <x v="17"/>
    <s v="Vamsi"/>
    <s v="Sale of CB,VB,MB,DKM on 10-12-2025"/>
    <n v="13175"/>
    <n v="13175"/>
    <x v="18"/>
    <x v="0"/>
    <x v="1"/>
    <s v="Closed"/>
    <m/>
    <n v="0"/>
    <s v="Agregator"/>
    <m/>
    <m/>
    <s v="Dec-25"/>
    <n v="50"/>
    <m/>
  </r>
  <r>
    <d v="2025-12-10T00:00:00"/>
    <s v="Infosys Pocharam"/>
    <s v="F2F"/>
    <s v="Corporate"/>
    <x v="0"/>
    <s v="Subbarao"/>
    <s v="Followup for Bulk oeder in December"/>
    <n v="50000"/>
    <n v="0"/>
    <x v="27"/>
    <x v="0"/>
    <x v="3"/>
    <s v="Warm"/>
    <m/>
    <n v="0"/>
    <s v="Corporate Order"/>
    <m/>
    <m/>
    <s v="Dec-25"/>
    <n v="50"/>
    <m/>
  </r>
  <r>
    <d v="2025-12-10T00:00:00"/>
    <s v="Delivery at SEBLR Banglore (Compass)"/>
    <s v="Call"/>
    <s v="Corporate"/>
    <x v="17"/>
    <s v="Saad"/>
    <s v="New Delivery at Compass group on 10-12-2025"/>
    <n v="45374"/>
    <n v="45374"/>
    <x v="18"/>
    <x v="1"/>
    <x v="1"/>
    <s v="Closed"/>
    <m/>
    <n v="0"/>
    <s v="Bulk Order"/>
    <m/>
    <m/>
    <s v="Dec-25"/>
    <n v="50"/>
    <m/>
  </r>
  <r>
    <d v="2025-12-10T00:00:00"/>
    <s v="United Church BHEL"/>
    <s v="F2F"/>
    <s v="Church"/>
    <x v="8"/>
    <s v="Karunakar"/>
    <s v="Requirement of plum cakes on 24-12-25"/>
    <n v="0"/>
    <n v="0"/>
    <x v="18"/>
    <x v="0"/>
    <x v="1"/>
    <s v="Closed"/>
    <m/>
    <n v="0"/>
    <s v="Bulk Order"/>
    <m/>
    <m/>
    <s v="Dec-25"/>
    <n v="50"/>
    <m/>
  </r>
  <r>
    <d v="2025-12-10T00:00:00"/>
    <s v="NTT DATA"/>
    <s v="F2F"/>
    <s v="Corporate"/>
    <x v="0"/>
    <s v="Sania"/>
    <s v="Delivery of Packed lunch in Jan 2026"/>
    <n v="20000"/>
    <m/>
    <x v="26"/>
    <x v="0"/>
    <x v="0"/>
    <s v="Cancelled"/>
    <m/>
    <n v="0"/>
    <s v="Bulk Order"/>
    <m/>
    <m/>
    <s v="Dec-25"/>
    <n v="50"/>
    <m/>
  </r>
  <r>
    <d v="2025-12-11T00:00:00"/>
    <s v="PJ Stephen Paul Ministries"/>
    <s v="F2F"/>
    <s v="Church"/>
    <x v="8"/>
    <s v="Thomas"/>
    <s v="Delivery of Plum/Sponj Cakes"/>
    <n v="0"/>
    <n v="0"/>
    <x v="18"/>
    <x v="0"/>
    <x v="1"/>
    <s v="Closed"/>
    <m/>
    <n v="0"/>
    <s v="Bulk Order"/>
    <m/>
    <m/>
    <s v="Dec-25"/>
    <n v="50"/>
    <m/>
  </r>
  <r>
    <d v="2025-12-11T00:00:00"/>
    <s v="Open Text"/>
    <s v="F2F"/>
    <s v="Corporate"/>
    <x v="0"/>
    <s v="Vivek"/>
    <s v="Delivery from Gachibowli on 12-12-25"/>
    <n v="7200"/>
    <m/>
    <x v="18"/>
    <x v="0"/>
    <x v="0"/>
    <s v="Cancelled"/>
    <m/>
    <n v="0"/>
    <s v="Corporate Order"/>
    <m/>
    <m/>
    <s v="Dec-25"/>
    <n v="50"/>
    <m/>
  </r>
  <r>
    <d v="2025-12-11T00:00:00"/>
    <s v="Cognizant DLF"/>
    <s v="F2F"/>
    <s v="Corporate"/>
    <x v="0"/>
    <s v="Anil"/>
    <s v="Dine in for team at Gachibowli on 11-12-2024"/>
    <n v="8800"/>
    <n v="8800"/>
    <x v="18"/>
    <x v="0"/>
    <x v="1"/>
    <s v="Closed"/>
    <m/>
    <n v="0"/>
    <s v="Corporate Order"/>
    <m/>
    <m/>
    <s v="Dec-25"/>
    <n v="50"/>
    <m/>
  </r>
  <r>
    <d v="2025-12-11T00:00:00"/>
    <s v="Popup Counter at Capital Land Block A"/>
    <s v="Call"/>
    <s v="Corporate"/>
    <x v="17"/>
    <s v="Vamsi"/>
    <s v="Sale of CB,VB,MB,DKM on 11-12-2025"/>
    <n v="8250"/>
    <n v="8250"/>
    <x v="18"/>
    <x v="0"/>
    <x v="1"/>
    <s v="Closed"/>
    <m/>
    <n v="0"/>
    <s v="Agregator"/>
    <m/>
    <m/>
    <s v="Dec-25"/>
    <n v="50"/>
    <m/>
  </r>
  <r>
    <d v="2025-12-12T00:00:00"/>
    <s v="Popup Counter at Capital Land Block A"/>
    <s v="Call"/>
    <s v="Corporate"/>
    <x v="17"/>
    <s v="Vamsi"/>
    <s v="Sale of CB,VB,MB,DKM on 12-12-2025"/>
    <n v="8250"/>
    <n v="8250"/>
    <x v="18"/>
    <x v="0"/>
    <x v="1"/>
    <s v="Closed"/>
    <m/>
    <n v="0"/>
    <s v="Agregator"/>
    <m/>
    <m/>
    <s v="Dec-25"/>
    <n v="50"/>
    <m/>
  </r>
  <r>
    <d v="2025-12-12T00:00:00"/>
    <s v="Delivery at Himayatnagar"/>
    <s v="Call"/>
    <s v="Events"/>
    <x v="10"/>
    <s v="Mahesh"/>
    <s v="Delivery of MB on 12-12-2025"/>
    <n v="7560"/>
    <n v="7560"/>
    <x v="18"/>
    <x v="0"/>
    <x v="1"/>
    <s v="Closed"/>
    <m/>
    <n v="0"/>
    <s v="Bulk Order"/>
    <m/>
    <m/>
    <s v="Dec-25"/>
    <n v="50"/>
    <m/>
  </r>
  <r>
    <d v="2025-12-12T00:00:00"/>
    <s v="Delivery at Tarnaka"/>
    <s v="F2F"/>
    <s v="Events"/>
    <x v="10"/>
    <s v="Narsimhalu"/>
    <s v="Delivery of CB in 12-12-2025 from Uppal"/>
    <n v="6300"/>
    <n v="6300"/>
    <x v="18"/>
    <x v="0"/>
    <x v="1"/>
    <s v="Closed"/>
    <m/>
    <n v="0"/>
    <s v="Bulk Order"/>
    <m/>
    <m/>
    <s v="Dec-25"/>
    <n v="50"/>
    <m/>
  </r>
  <r>
    <d v="2025-12-12T00:00:00"/>
    <s v="Delivery at Manikonda"/>
    <s v="Call"/>
    <s v="Events"/>
    <x v="10"/>
    <s v="Vinod"/>
    <s v="Delivery of CB in 12-12-2025 from Manikonda"/>
    <n v="12717"/>
    <n v="12717"/>
    <x v="18"/>
    <x v="0"/>
    <x v="1"/>
    <s v="Closed"/>
    <m/>
    <n v="0"/>
    <s v="Bulk Order"/>
    <m/>
    <m/>
    <s v="Dec-25"/>
    <n v="50"/>
    <m/>
  </r>
  <r>
    <d v="2025-12-12T00:00:00"/>
    <s v="PJS Paul Ministries"/>
    <s v="F2F"/>
    <s v="Church"/>
    <x v="8"/>
    <s v="Shiju"/>
    <s v="Delivery of Plum Cakes in December"/>
    <n v="0"/>
    <n v="0"/>
    <x v="18"/>
    <x v="0"/>
    <x v="1"/>
    <s v="Closed"/>
    <m/>
    <n v="0"/>
    <s v="Bulk Order"/>
    <m/>
    <m/>
    <s v="Dec-25"/>
    <n v="50"/>
    <m/>
  </r>
  <r>
    <d v="2025-12-13T00:00:00"/>
    <s v="Gem Kids Fest"/>
    <s v="Call"/>
    <s v="Events"/>
    <x v="30"/>
    <s v="Ram"/>
    <s v="Popup on 13&amp;14 Dec 2025 from Kukatpally"/>
    <n v="259400"/>
    <n v="259400"/>
    <x v="18"/>
    <x v="0"/>
    <x v="1"/>
    <s v="Closed"/>
    <m/>
    <n v="0"/>
    <s v="Bulk Order"/>
    <m/>
    <m/>
    <s v="Dec-25"/>
    <n v="50"/>
    <m/>
  </r>
  <r>
    <d v="2025-12-13T00:00:00"/>
    <s v="Delivery at Kompally"/>
    <s v="Call"/>
    <s v="Events"/>
    <x v="10"/>
    <s v="Sai"/>
    <s v="Delivery of CB &amp; VB on 13-12-25 from Kompally"/>
    <n v="6570"/>
    <n v="6570"/>
    <x v="18"/>
    <x v="0"/>
    <x v="1"/>
    <s v="Closed"/>
    <m/>
    <n v="0"/>
    <s v="Bulk Order"/>
    <m/>
    <m/>
    <s v="Dec-25"/>
    <n v="50"/>
    <m/>
  </r>
  <r>
    <d v="2025-12-15T00:00:00"/>
    <s v="Take away from Secundrabad"/>
    <s v="Call"/>
    <s v="Events"/>
    <x v="10"/>
    <s v="PY Rao "/>
    <s v="Take away of CB &amp; VB fron Sec on 15-12-2025"/>
    <n v="4300"/>
    <n v="4300"/>
    <x v="18"/>
    <x v="0"/>
    <x v="1"/>
    <s v="Closed"/>
    <m/>
    <n v="0"/>
    <s v="Bulk Order"/>
    <m/>
    <m/>
    <s v="Dec-25"/>
    <n v="51"/>
    <m/>
  </r>
  <r>
    <d v="2025-12-15T00:00:00"/>
    <s v="Popup Counter at Capital Land Block A"/>
    <s v="Call"/>
    <s v="Corporate"/>
    <x v="17"/>
    <s v="Vamsi"/>
    <s v="Sale of CB,VB,MB,DKM on 15-12-2025"/>
    <n v="7885"/>
    <n v="7885"/>
    <x v="18"/>
    <x v="0"/>
    <x v="1"/>
    <s v="Closed"/>
    <m/>
    <n v="0"/>
    <s v="Agregator"/>
    <m/>
    <m/>
    <s v="Dec-25"/>
    <n v="51"/>
    <m/>
  </r>
  <r>
    <d v="2025-12-16T00:00:00"/>
    <s v="Popup Counter at Capital Land Block A"/>
    <s v="Call"/>
    <s v="Corporate"/>
    <x v="17"/>
    <s v="Vamsi"/>
    <s v="Sale of CB,VB,MB,DKM on 16-12-2025"/>
    <n v="8355"/>
    <n v="8355"/>
    <x v="18"/>
    <x v="0"/>
    <x v="1"/>
    <s v="Closed"/>
    <m/>
    <n v="0"/>
    <s v="Agregator"/>
    <m/>
    <m/>
    <s v="Dec-25"/>
    <n v="51"/>
    <m/>
  </r>
  <r>
    <d v="2025-12-17T00:00:00"/>
    <s v="Popup Counter at Capital Land Block A"/>
    <s v="Call"/>
    <s v="Corporate"/>
    <x v="17"/>
    <s v="Vamsi"/>
    <s v="Sale of CB,VB,MB,DKM on 17-12-2025"/>
    <n v="8345"/>
    <n v="8345"/>
    <x v="18"/>
    <x v="0"/>
    <x v="1"/>
    <s v="Closed"/>
    <m/>
    <n v="0"/>
    <s v="Agregator"/>
    <m/>
    <m/>
    <s v="Dec-25"/>
    <n v="51"/>
    <m/>
  </r>
  <r>
    <d v="2025-12-17T00:00:00"/>
    <s v="Popup at IIT Hyderabad"/>
    <s v="Call"/>
    <s v="College"/>
    <x v="4"/>
    <s v="Mohan"/>
    <s v="Popup Counter on 14-17- 2025 from BHEL"/>
    <n v="15500"/>
    <n v="15500"/>
    <x v="18"/>
    <x v="0"/>
    <x v="1"/>
    <s v="Closed"/>
    <m/>
    <n v="0"/>
    <s v="Pop up"/>
    <m/>
    <m/>
    <s v="Dec-25"/>
    <n v="51"/>
    <m/>
  </r>
  <r>
    <d v="2025-12-17T00:00:00"/>
    <s v="Accenture HDC4A (Smart Q)"/>
    <s v="F2F"/>
    <s v="Corporate"/>
    <x v="17"/>
    <s v="Raza"/>
    <s v="Popup in December 17-12-25 from Gachibowli"/>
    <n v="53000"/>
    <n v="53000"/>
    <x v="18"/>
    <x v="0"/>
    <x v="1"/>
    <s v="Closed"/>
    <m/>
    <n v="0"/>
    <s v="Agregator"/>
    <m/>
    <m/>
    <s v="Dec-25"/>
    <n v="51"/>
    <m/>
  </r>
  <r>
    <d v="2025-12-17T00:00:00"/>
    <s v="Teresa Church SR Nagar"/>
    <s v="F2F"/>
    <s v="Church"/>
    <x v="8"/>
    <s v="Papya"/>
    <s v="Shared details of plum cake and Biryani"/>
    <n v="0"/>
    <m/>
    <x v="18"/>
    <x v="0"/>
    <x v="0"/>
    <s v="Cancelled"/>
    <m/>
    <n v="0"/>
    <s v="Bulk Order"/>
    <m/>
    <m/>
    <s v="Dec-25"/>
    <n v="51"/>
    <m/>
  </r>
  <r>
    <d v="2025-12-18T00:00:00"/>
    <s v="Popup Counter at Capital Land Block A"/>
    <s v="Call"/>
    <s v="Corporate"/>
    <x v="17"/>
    <s v="Vamsi"/>
    <s v="Sale of CB,VB,MB,DKM on 18-12-2025"/>
    <n v="13370"/>
    <n v="13370"/>
    <x v="18"/>
    <x v="0"/>
    <x v="1"/>
    <s v="Closed"/>
    <m/>
    <n v="0"/>
    <s v="Agregator"/>
    <m/>
    <m/>
    <s v="Dec-25"/>
    <n v="51"/>
    <m/>
  </r>
  <r>
    <d v="2025-12-18T00:00:00"/>
    <s v="PJS Paul Ministries"/>
    <s v="F2F"/>
    <s v="Church"/>
    <x v="8"/>
    <s v="Shiju"/>
    <s v="Delivery of Plum Cakes in December, Sampling"/>
    <n v="0"/>
    <n v="0"/>
    <x v="18"/>
    <x v="0"/>
    <x v="1"/>
    <s v="Closed"/>
    <m/>
    <n v="0"/>
    <s v="Bulk Order"/>
    <m/>
    <m/>
    <s v="Dec-25"/>
    <n v="51"/>
    <m/>
  </r>
  <r>
    <d v="2025-12-18T00:00:00"/>
    <s v="Delivery at SEBLR Banglore (Compass)"/>
    <s v="Call"/>
    <s v="Corporate"/>
    <x v="17"/>
    <s v="Saad"/>
    <s v="New Delivery at Compass group on 18-12-2025"/>
    <n v="51332"/>
    <n v="51332"/>
    <x v="18"/>
    <x v="1"/>
    <x v="1"/>
    <s v="Closed"/>
    <m/>
    <n v="0"/>
    <s v="Bulk Order"/>
    <m/>
    <m/>
    <s v="Dec-25"/>
    <n v="51"/>
    <m/>
  </r>
  <r>
    <d v="2025-12-18T00:00:00"/>
    <s v="Accenture HDC4A (Smart Q)"/>
    <s v="F2F"/>
    <s v="Corporate"/>
    <x v="17"/>
    <s v="Raza"/>
    <s v="Popup in December 18-12-25 from Gachibowli"/>
    <n v="70570"/>
    <n v="70570"/>
    <x v="18"/>
    <x v="0"/>
    <x v="1"/>
    <s v="Closed"/>
    <m/>
    <n v="0"/>
    <s v="Agregator"/>
    <m/>
    <m/>
    <s v="Dec-25"/>
    <n v="51"/>
    <m/>
  </r>
  <r>
    <d v="2025-12-18T00:00:00"/>
    <s v="United Church BHEL"/>
    <s v="F2F"/>
    <s v="Church"/>
    <x v="8"/>
    <s v="Kishore"/>
    <s v="Follow up for 31 Dec Cake confirmation"/>
    <n v="0"/>
    <n v="0"/>
    <x v="18"/>
    <x v="0"/>
    <x v="1"/>
    <s v="Closed"/>
    <m/>
    <n v="0"/>
    <s v="Bulk Order"/>
    <m/>
    <m/>
    <s v="Dec-25"/>
    <n v="51"/>
    <m/>
  </r>
  <r>
    <d v="2025-12-19T00:00:00"/>
    <s v="PJS Paul Ministries"/>
    <s v="F2F"/>
    <s v="Church"/>
    <x v="8"/>
    <s v="Shiju"/>
    <s v="Delivery of Plum Cakes in December, Sampling"/>
    <n v="0"/>
    <n v="0"/>
    <x v="18"/>
    <x v="0"/>
    <x v="1"/>
    <s v="Closed"/>
    <m/>
    <n v="0"/>
    <s v="Bulk Order"/>
    <m/>
    <m/>
    <s v="Dec-25"/>
    <n v="51"/>
    <m/>
  </r>
  <r>
    <d v="2025-12-19T00:00:00"/>
    <s v="Accenture HDC5 (Smart Q)"/>
    <s v="F2F"/>
    <s v="Corporate"/>
    <x v="17"/>
    <s v="Raza"/>
    <s v="Popup in December 19-12-25 from Gachibowli"/>
    <n v="27000"/>
    <n v="27000"/>
    <x v="18"/>
    <x v="0"/>
    <x v="1"/>
    <s v="Closed"/>
    <m/>
    <n v="0"/>
    <s v="Agregator"/>
    <m/>
    <m/>
    <s v="Dec-25"/>
    <n v="51"/>
    <m/>
  </r>
  <r>
    <d v="2025-12-19T00:00:00"/>
    <s v="Popup Counter at Capital Land Block A"/>
    <s v="Call"/>
    <s v="Corporate"/>
    <x v="17"/>
    <s v="Vamsi"/>
    <s v="Sale of CB,VB,MB,DKM on 19-12-2025"/>
    <n v="10308"/>
    <n v="10308"/>
    <x v="18"/>
    <x v="0"/>
    <x v="1"/>
    <s v="Closed"/>
    <m/>
    <n v="0"/>
    <s v="Agregator"/>
    <m/>
    <m/>
    <s v="Dec-25"/>
    <n v="51"/>
    <m/>
  </r>
  <r>
    <d v="2025-12-19T00:00:00"/>
    <s v="Popup at IIT Hyderabad"/>
    <s v="Call"/>
    <s v="College"/>
    <x v="4"/>
    <s v="Mohan"/>
    <s v="Popup Counter on 9Dec to 19-12-2025 from BHEL"/>
    <n v="22000"/>
    <n v="22000"/>
    <x v="18"/>
    <x v="0"/>
    <x v="1"/>
    <s v="Closed"/>
    <m/>
    <n v="0"/>
    <s v="Pop up"/>
    <m/>
    <m/>
    <s v="Dec-25"/>
    <n v="51"/>
    <m/>
  </r>
  <r>
    <d v="2025-12-22T00:00:00"/>
    <s v="ST Teresa Church"/>
    <s v="F2F"/>
    <s v="Church"/>
    <x v="8"/>
    <s v="Joseph"/>
    <s v="Shared details of Cakes and Biryani"/>
    <n v="0"/>
    <m/>
    <x v="18"/>
    <x v="0"/>
    <x v="0"/>
    <s v="Cancelled"/>
    <m/>
    <n v="0"/>
    <s v="Bulk Order"/>
    <m/>
    <m/>
    <s v="Dec-25"/>
    <n v="52"/>
    <m/>
  </r>
  <r>
    <d v="2025-12-22T00:00:00"/>
    <s v="Vasavi Brindavanam"/>
    <s v="F2F"/>
    <s v="Corporate"/>
    <x v="8"/>
    <s v="Shiva"/>
    <s v="Site visit for #1st night event"/>
    <n v="0"/>
    <n v="0"/>
    <x v="18"/>
    <x v="0"/>
    <x v="1"/>
    <s v="Closed"/>
    <m/>
    <n v="0"/>
    <s v="Pop up"/>
    <m/>
    <m/>
    <s v="Dec-25"/>
    <n v="52"/>
    <m/>
  </r>
  <r>
    <d v="2025-12-23T00:00:00"/>
    <s v="Astrazeneca"/>
    <s v="F2F"/>
    <s v="Corporate"/>
    <x v="5"/>
    <s v="Laxman"/>
    <s v="Delivery of CB from Vanasthalipuram on 23-12-2025"/>
    <n v="15000"/>
    <n v="15000"/>
    <x v="18"/>
    <x v="0"/>
    <x v="1"/>
    <s v="Closed"/>
    <m/>
    <n v="0"/>
    <s v="Bulk Order"/>
    <m/>
    <m/>
    <s v="Dec-25"/>
    <n v="52"/>
    <m/>
  </r>
  <r>
    <d v="2025-12-23T00:00:00"/>
    <s v="Splash Entertainment"/>
    <s v="F2F"/>
    <s v="Corporate"/>
    <x v="1"/>
    <s v="Ghouse"/>
    <s v="Follow up for Student Group"/>
    <n v="50000"/>
    <m/>
    <x v="26"/>
    <x v="0"/>
    <x v="0"/>
    <s v="Cancelled"/>
    <m/>
    <n v="0"/>
    <s v="Bulk Order"/>
    <m/>
    <m/>
    <s v="Dec-25"/>
    <n v="52"/>
    <m/>
  </r>
  <r>
    <d v="2025-12-23T00:00:00"/>
    <s v="Infinity Holidays"/>
    <s v="F2F"/>
    <s v="Corporate"/>
    <x v="1"/>
    <s v="Vikas"/>
    <s v="Follow up for Student Group"/>
    <n v="40000"/>
    <m/>
    <x v="26"/>
    <x v="0"/>
    <x v="0"/>
    <s v="Cancelled"/>
    <m/>
    <n v="0"/>
    <s v="Bulk Order"/>
    <m/>
    <m/>
    <s v="Dec-25"/>
    <n v="52"/>
    <m/>
  </r>
  <r>
    <d v="2025-12-23T00:00:00"/>
    <s v="Wild Waters"/>
    <s v="F2F"/>
    <s v="Corporate"/>
    <x v="1"/>
    <s v="Sravan"/>
    <s v="Follow up for Student Group"/>
    <n v="100000"/>
    <m/>
    <x v="26"/>
    <x v="0"/>
    <x v="0"/>
    <s v="Cancelled"/>
    <m/>
    <n v="0"/>
    <s v="Bulk Order"/>
    <m/>
    <m/>
    <s v="Dec-25"/>
    <n v="52"/>
    <m/>
  </r>
  <r>
    <d v="2025-12-23T00:00:00"/>
    <s v="Omni Hospitals "/>
    <s v="Call"/>
    <s v="Corporate"/>
    <x v="13"/>
    <s v="Ashok"/>
    <s v="Delivery of CB on 23-12-2025"/>
    <n v="9455"/>
    <n v="9455"/>
    <x v="18"/>
    <x v="0"/>
    <x v="1"/>
    <s v="Closed"/>
    <m/>
    <n v="0"/>
    <s v="Bulk Order"/>
    <m/>
    <m/>
    <s v="Dec-25"/>
    <n v="52"/>
    <m/>
  </r>
  <r>
    <d v="2025-12-23T00:00:00"/>
    <s v="JCNM Church"/>
    <s v="Call"/>
    <s v="Church"/>
    <x v="8"/>
    <s v="Daniel"/>
    <s v="Delivery of Plup Cakes on 31-12-2025"/>
    <n v="600000"/>
    <n v="600000"/>
    <x v="18"/>
    <x v="0"/>
    <x v="1"/>
    <s v="Closed"/>
    <m/>
    <n v="0"/>
    <s v="Bulk Order"/>
    <m/>
    <m/>
    <s v="Dec-25"/>
    <n v="52"/>
    <m/>
  </r>
  <r>
    <d v="2025-12-24T00:00:00"/>
    <s v="Delivery at SEBLR Banglore (Compass)"/>
    <s v="Call"/>
    <s v="Corporate"/>
    <x v="17"/>
    <s v="Saad"/>
    <s v="New Delivery at Compass group on 24-11-2025"/>
    <n v="30250"/>
    <n v="30250"/>
    <x v="18"/>
    <x v="1"/>
    <x v="1"/>
    <s v="Closed"/>
    <m/>
    <n v="0"/>
    <s v="Bulk Order"/>
    <m/>
    <m/>
    <s v="Dec-25"/>
    <n v="52"/>
    <m/>
  </r>
  <r>
    <d v="2025-12-24T00:00:00"/>
    <s v="PJS Paul Ministries"/>
    <s v="F2F"/>
    <s v="Church"/>
    <x v="8"/>
    <s v="Shiju"/>
    <s v="Delivery of Plum Cakes on 24-12-2025"/>
    <n v="186200"/>
    <n v="186200"/>
    <x v="18"/>
    <x v="0"/>
    <x v="1"/>
    <s v="Closed"/>
    <m/>
    <n v="0"/>
    <s v="Bulk Order"/>
    <m/>
    <m/>
    <s v="Dec-25"/>
    <n v="52"/>
    <m/>
  </r>
  <r>
    <d v="2025-12-24T00:00:00"/>
    <s v="United Church BHEL"/>
    <s v="F2F"/>
    <s v="Church"/>
    <x v="8"/>
    <s v="Kishore"/>
    <s v="Deliverd 2500 Plum cake on 24-12-2025"/>
    <n v="107500"/>
    <n v="107500"/>
    <x v="18"/>
    <x v="0"/>
    <x v="1"/>
    <s v="Closed"/>
    <m/>
    <n v="0"/>
    <s v="Bulk Order"/>
    <m/>
    <m/>
    <s v="Dec-25"/>
    <n v="52"/>
    <m/>
  </r>
  <r>
    <d v="2025-12-25T00:00:00"/>
    <s v="JCNM Church"/>
    <s v="F2F"/>
    <s v="Church "/>
    <x v="8"/>
    <s v="Daniel"/>
    <s v="Delivered 16000 Biryani on 25-12-2025"/>
    <n v="0"/>
    <n v="0"/>
    <x v="18"/>
    <x v="0"/>
    <x v="1"/>
    <s v="Closed"/>
    <m/>
    <n v="0"/>
    <s v="Bulk Order"/>
    <m/>
    <m/>
    <s v="Dec-25"/>
    <n v="52"/>
    <m/>
  </r>
  <r>
    <d v="2025-12-25T00:00:00"/>
    <s v="Vasavi Brindavanam"/>
    <s v="F2F"/>
    <s v="Corporate"/>
    <x v="38"/>
    <s v="Naresh"/>
    <s v="Confirmed popup on 31-12-2025"/>
    <n v="20610"/>
    <n v="20610"/>
    <x v="18"/>
    <x v="0"/>
    <x v="1"/>
    <s v="Closed"/>
    <m/>
    <n v="0"/>
    <s v="Pop up"/>
    <m/>
    <m/>
    <s v="Dec-25"/>
    <n v="52"/>
    <m/>
  </r>
  <r>
    <d v="2025-12-26T00:00:00"/>
    <s v="Anthea Pharma"/>
    <s v="F2F"/>
    <s v="Corporate"/>
    <x v="5"/>
    <s v="Jaipal"/>
    <s v="Take away from Muthangi in December"/>
    <n v="15000"/>
    <n v="15000"/>
    <x v="18"/>
    <x v="0"/>
    <x v="1"/>
    <s v="Closed"/>
    <m/>
    <n v="0"/>
    <s v="Corporate Order"/>
    <m/>
    <m/>
    <s v="Dec-25"/>
    <n v="52"/>
    <m/>
  </r>
  <r>
    <d v="2025-12-26T00:00:00"/>
    <s v="Bolleneni Buyon"/>
    <s v="F2F"/>
    <s v="Corporate"/>
    <x v="38"/>
    <s v="Giridhar"/>
    <s v="Popup on 31-12-2025"/>
    <n v="30000"/>
    <n v="0"/>
    <x v="18"/>
    <x v="0"/>
    <x v="0"/>
    <s v="Cancelled"/>
    <s v="Not Profitable"/>
    <n v="0"/>
    <s v="Pop up"/>
    <m/>
    <m/>
    <s v="Dec-25"/>
    <n v="52"/>
    <m/>
  </r>
  <r>
    <d v="2025-12-28T00:00:00"/>
    <s v="GHR Titania"/>
    <s v="F2F"/>
    <s v="Corporate"/>
    <x v="38"/>
    <s v="Rajesh"/>
    <s v="Popup on 31-12-2025"/>
    <n v="20000"/>
    <n v="0"/>
    <x v="18"/>
    <x v="0"/>
    <x v="0"/>
    <s v="Cancelled"/>
    <s v="Not Profitable"/>
    <n v="0"/>
    <s v="Pop up"/>
    <m/>
    <m/>
    <s v="Dec-25"/>
    <n v="52"/>
    <m/>
  </r>
  <r>
    <d v="2025-12-28T00:00:00"/>
    <s v="INDIS ONE City"/>
    <s v="Call"/>
    <s v="Corporate"/>
    <x v="38"/>
    <s v="Rajesh"/>
    <s v="Popup on 31-12-2025"/>
    <n v="12800"/>
    <n v="12800"/>
    <x v="18"/>
    <x v="0"/>
    <x v="1"/>
    <s v="Closed"/>
    <m/>
    <n v="0"/>
    <s v="Pop up"/>
    <m/>
    <m/>
    <s v="Dec-25"/>
    <n v="52"/>
    <m/>
  </r>
  <r>
    <d v="2025-12-31T00:00:00"/>
    <s v="PJS Paul Ministries"/>
    <s v="F2F"/>
    <s v="Church"/>
    <x v="8"/>
    <s v="Shiju"/>
    <s v="Delivery of Plum Cakes on 31-12-2025"/>
    <n v="106875"/>
    <n v="106875"/>
    <x v="18"/>
    <x v="0"/>
    <x v="1"/>
    <s v="Closed"/>
    <m/>
    <n v="0"/>
    <s v="Bulk Order"/>
    <m/>
    <m/>
    <s v="Dec-25"/>
    <n v="1"/>
    <m/>
  </r>
  <r>
    <d v="2025-12-31T00:00:00"/>
    <s v="United Church BHEL"/>
    <s v="F2F"/>
    <s v="Church"/>
    <x v="8"/>
    <s v="Kishore"/>
    <s v="Deliverd 2500 Plum cake on 31-12-2025"/>
    <n v="107500"/>
    <n v="107500"/>
    <x v="18"/>
    <x v="0"/>
    <x v="1"/>
    <s v="Closed"/>
    <m/>
    <n v="0"/>
    <s v="Bulk Order"/>
    <m/>
    <m/>
    <s v="Dec-25"/>
    <n v="1"/>
    <m/>
  </r>
  <r>
    <d v="2025-12-31T00:00:00"/>
    <s v="Delivery at Kukatpally"/>
    <s v="F2F"/>
    <s v="Events"/>
    <x v="38"/>
    <s v="Pradeep"/>
    <s v="Delivery of CB from kukatpally on 31-12-2025"/>
    <n v="5700"/>
    <n v="5700"/>
    <x v="18"/>
    <x v="0"/>
    <x v="1"/>
    <s v="Closed"/>
    <m/>
    <n v="0"/>
    <s v="Bulk Order"/>
    <m/>
    <m/>
    <s v="Dec-25"/>
    <n v="1"/>
    <m/>
  </r>
  <r>
    <d v="2025-12-31T00:00:00"/>
    <s v="Delivery at SEBLR Banglore (Compass)"/>
    <s v="Call"/>
    <s v="Corporate"/>
    <x v="17"/>
    <s v="Saad"/>
    <s v="New Delivery at Compass group on 31-12-2025"/>
    <n v="12833"/>
    <n v="12833"/>
    <x v="18"/>
    <x v="1"/>
    <x v="1"/>
    <s v="Closed"/>
    <m/>
    <n v="0"/>
    <s v="Bulk Order"/>
    <m/>
    <m/>
    <s v="Dec-25"/>
    <n v="1"/>
    <m/>
  </r>
  <r>
    <d v="2026-01-02T00:00:00"/>
    <s v="GMR Arena NUCLEYA Event"/>
    <s v="F2F"/>
    <s v="Corporate"/>
    <x v="26"/>
    <s v="Varun"/>
    <s v="Event on 3-1-2026"/>
    <n v="32200"/>
    <n v="32200"/>
    <x v="26"/>
    <x v="0"/>
    <x v="1"/>
    <s v="Closed"/>
    <m/>
    <n v="0"/>
    <s v="Pop up"/>
    <m/>
    <m/>
    <s v="Jan-26"/>
    <n v="1"/>
    <m/>
  </r>
  <r>
    <d v="2026-01-02T00:00:00"/>
    <s v="NVIDIA Graphics (Smart Q)"/>
    <s v="F2F"/>
    <s v="Corporate"/>
    <x v="0"/>
    <s v="Kaustubh"/>
    <s v="Delivery of MB on 7-1-2026"/>
    <n v="88800"/>
    <n v="88800"/>
    <x v="26"/>
    <x v="0"/>
    <x v="1"/>
    <s v="Closed"/>
    <m/>
    <n v="0"/>
    <s v="Bulk Order"/>
    <m/>
    <m/>
    <s v="Jan-26"/>
    <n v="1"/>
    <m/>
  </r>
  <r>
    <d v="2026-01-03T00:00:00"/>
    <s v="Delivery at Hanmakonda"/>
    <s v="Call"/>
    <s v="Events"/>
    <x v="10"/>
    <s v="Ramesh"/>
    <s v="Delivery of CB from hanmakonda on 4-1-2026"/>
    <n v="12500"/>
    <n v="12500"/>
    <x v="26"/>
    <x v="0"/>
    <x v="1"/>
    <s v="Closed"/>
    <m/>
    <n v="0"/>
    <s v="Bulk Order"/>
    <m/>
    <m/>
    <s v="Jan-26"/>
    <n v="1"/>
    <m/>
  </r>
  <r>
    <d v="2026-01-05T00:00:00"/>
    <s v="Wny Holidays"/>
    <s v="F2F"/>
    <s v="Corporate"/>
    <x v="1"/>
    <s v="Rohit"/>
    <s v="Shared Quote for Dine in "/>
    <n v="35000"/>
    <m/>
    <x v="27"/>
    <x v="0"/>
    <x v="2"/>
    <s v="Cold"/>
    <m/>
    <n v="0"/>
    <s v="Bulk Order"/>
    <m/>
    <m/>
    <s v="Jan-26"/>
    <n v="2"/>
    <m/>
  </r>
  <r>
    <d v="2026-01-05T00:00:00"/>
    <s v="Medtronics"/>
    <s v="F2F"/>
    <s v="Corporate"/>
    <x v="5"/>
    <s v="Asad"/>
    <s v="Shared quote for Delivery at Hospital in hyderabad"/>
    <n v="0"/>
    <n v="0"/>
    <x v="26"/>
    <x v="0"/>
    <x v="1"/>
    <s v="Closed"/>
    <m/>
    <n v="0"/>
    <s v="Bulk Order"/>
    <m/>
    <m/>
    <s v="Jan-26"/>
    <n v="2"/>
    <m/>
  </r>
  <r>
    <d v="2026-01-05T00:00:00"/>
    <s v="Kukudukoo Event"/>
    <s v="Call"/>
    <s v="Corporate"/>
    <x v="30"/>
    <s v="Megha"/>
    <s v="Confirmation of Event on 31-1-2026 &amp; 1-2-2026"/>
    <n v="0"/>
    <n v="0"/>
    <x v="29"/>
    <x v="0"/>
    <x v="1"/>
    <s v="Closed"/>
    <m/>
    <n v="0"/>
    <s v="Bulk Order"/>
    <m/>
    <m/>
    <s v="Jan-26"/>
    <n v="2"/>
    <m/>
  </r>
  <r>
    <d v="2026-01-06T00:00:00"/>
    <s v="Telangana Tourism Kite Festival"/>
    <s v="F2F"/>
    <s v="Corporate"/>
    <x v="1"/>
    <s v="Malar"/>
    <s v="Food stall on 13-14-15"/>
    <n v="0"/>
    <n v="0"/>
    <x v="26"/>
    <x v="0"/>
    <x v="1"/>
    <s v="Closed"/>
    <m/>
    <n v="0"/>
    <s v="Pop up"/>
    <m/>
    <m/>
    <s v="Jan-26"/>
    <n v="2"/>
    <m/>
  </r>
  <r>
    <d v="2026-01-06T00:00:00"/>
    <s v="Malkajgiri Church"/>
    <s v="F2F"/>
    <s v="Events"/>
    <x v="10"/>
    <s v="Manila"/>
    <s v="Take away of CB on 03-01-2026"/>
    <n v="15000"/>
    <m/>
    <x v="26"/>
    <x v="0"/>
    <x v="0"/>
    <s v="Cancelled"/>
    <m/>
    <n v="0"/>
    <s v="Bulk Order"/>
    <m/>
    <m/>
    <s v="Jan-26"/>
    <n v="2"/>
    <m/>
  </r>
  <r>
    <d v="2026-01-06T00:00:00"/>
    <s v="Delivery of CB at Attapur"/>
    <s v="Call"/>
    <s v="Events"/>
    <x v="10"/>
    <s v="Bharath"/>
    <s v="Delivery of CB on 19-1-2026"/>
    <n v="15000"/>
    <m/>
    <x v="26"/>
    <x v="0"/>
    <x v="0"/>
    <s v="Cancelled"/>
    <m/>
    <n v="0"/>
    <s v="Bulk Order"/>
    <m/>
    <m/>
    <s v="Jan-26"/>
    <n v="2"/>
    <m/>
  </r>
  <r>
    <d v="2026-01-06T00:00:00"/>
    <s v="Infosys"/>
    <s v="F2F"/>
    <s v="Corporate"/>
    <x v="0"/>
    <s v="Prasad"/>
    <s v="Follow up for haleem counter &amp; bulk order"/>
    <n v="50000"/>
    <m/>
    <x v="27"/>
    <x v="0"/>
    <x v="3"/>
    <s v="Hot"/>
    <m/>
    <n v="0"/>
    <s v="Corporate Order"/>
    <m/>
    <m/>
    <s v="Jan-26"/>
    <n v="2"/>
    <m/>
  </r>
  <r>
    <d v="2026-01-06T00:00:00"/>
    <s v="Accenture HDC4A (Smart Q)"/>
    <s v="Call"/>
    <s v="Corporate"/>
    <x v="0"/>
    <s v="Raza"/>
    <s v="Popuo on 9-1-2026"/>
    <n v="67761"/>
    <n v="67761"/>
    <x v="26"/>
    <x v="0"/>
    <x v="1"/>
    <s v="Closed"/>
    <m/>
    <n v="0"/>
    <s v="Pop up"/>
    <m/>
    <m/>
    <s v="Jan-26"/>
    <n v="2"/>
    <m/>
  </r>
  <r>
    <d v="2026-01-06T00:00:00"/>
    <s v="Accenture HDC5 (Smart Q)"/>
    <s v="Call"/>
    <s v="Corporate"/>
    <x v="0"/>
    <s v="Teja"/>
    <s v="Popuo on 9-1-2026"/>
    <n v="30000"/>
    <n v="30000"/>
    <x v="26"/>
    <x v="0"/>
    <x v="1"/>
    <s v="Closed"/>
    <m/>
    <n v="0"/>
    <s v="Pop up"/>
    <m/>
    <m/>
    <s v="Jan-26"/>
    <n v="2"/>
    <m/>
  </r>
  <r>
    <d v="2026-01-07T00:00:00"/>
    <s v="Axis Securities"/>
    <s v="Call"/>
    <s v="Corporate"/>
    <x v="0"/>
    <s v="Nilesh"/>
    <s v="Delivery of CB from begumpet on 7-1-2026"/>
    <n v="12500"/>
    <n v="12500"/>
    <x v="26"/>
    <x v="0"/>
    <x v="1"/>
    <s v="Closed"/>
    <m/>
    <n v="0"/>
    <s v="Corporate Order"/>
    <m/>
    <m/>
    <s v="Jan-26"/>
    <n v="2"/>
    <m/>
  </r>
  <r>
    <d v="2026-01-07T00:00:00"/>
    <s v="Delivery at SEBLR Banglore (Compass)"/>
    <s v="Call"/>
    <s v="Corporate"/>
    <x v="17"/>
    <s v="Saad"/>
    <s v="New Delivery at Compass group on 7-1-2026"/>
    <n v="20853"/>
    <n v="20853"/>
    <x v="26"/>
    <x v="1"/>
    <x v="1"/>
    <s v="Closed"/>
    <m/>
    <n v="0"/>
    <s v="Bulk Order"/>
    <m/>
    <m/>
    <s v="Jan-26"/>
    <n v="2"/>
    <m/>
  </r>
  <r>
    <d v="2026-01-08T00:00:00"/>
    <s v="Osmania Univercity"/>
    <s v="F2F"/>
    <s v="College"/>
    <x v="4"/>
    <s v="Azizuddin"/>
    <s v="Delivery of CB from Secbad on 9-1-2026"/>
    <n v="18000"/>
    <n v="18000"/>
    <x v="26"/>
    <x v="0"/>
    <x v="1"/>
    <s v="Closed"/>
    <m/>
    <n v="0"/>
    <s v="Bulk Order"/>
    <m/>
    <m/>
    <s v="Jan-26"/>
    <n v="2"/>
    <m/>
  </r>
  <r>
    <d v="2026-01-08T00:00:00"/>
    <s v="PlanB Events"/>
    <s v="F2F"/>
    <s v="Corporate"/>
    <x v="30"/>
    <s v="Arun"/>
    <s v="Outdoor Events"/>
    <n v="100000"/>
    <m/>
    <x v="27"/>
    <x v="0"/>
    <x v="2"/>
    <s v="Cold"/>
    <m/>
    <n v="0"/>
    <s v="Pop up"/>
    <m/>
    <m/>
    <s v="Jan-26"/>
    <n v="2"/>
    <m/>
  </r>
  <r>
    <d v="2026-01-08T00:00:00"/>
    <s v="TA From Sholapur"/>
    <s v="Call"/>
    <s v="Corporate"/>
    <x v="1"/>
    <s v="Santosh"/>
    <s v="Bulk delivery for Tourist"/>
    <n v="20000"/>
    <m/>
    <x v="27"/>
    <x v="0"/>
    <x v="2"/>
    <s v="Cold"/>
    <m/>
    <n v="0"/>
    <s v="Bulk Order"/>
    <m/>
    <m/>
    <s v="Jan-26"/>
    <n v="2"/>
    <m/>
  </r>
  <r>
    <d v="2026-01-09T00:00:00"/>
    <s v="Telangana Tourism Kite Festival"/>
    <s v="F2F"/>
    <s v="Corporate"/>
    <x v="1"/>
    <s v="Malar"/>
    <s v="Confirmation of food stall at parade grounds"/>
    <n v="0"/>
    <n v="0"/>
    <x v="26"/>
    <x v="0"/>
    <x v="1"/>
    <s v="Closed"/>
    <m/>
    <n v="0"/>
    <s v="Pop up"/>
    <m/>
    <m/>
    <s v="Jan-26"/>
    <n v="2"/>
    <m/>
  </r>
  <r>
    <d v="2026-01-11T00:00:00"/>
    <s v="Tourist Group from Mumbai"/>
    <s v="Call"/>
    <s v="Corporate"/>
    <x v="1"/>
    <s v="Meharlata"/>
    <s v="Buffet lunch at charminar on 11-1-2026"/>
    <n v="20000"/>
    <n v="20000"/>
    <x v="26"/>
    <x v="0"/>
    <x v="1"/>
    <s v="Closed"/>
    <m/>
    <n v="0"/>
    <s v="Bulk Order"/>
    <m/>
    <m/>
    <s v="Jan-26"/>
    <n v="2"/>
    <m/>
  </r>
  <r>
    <d v="2026-01-12T00:00:00"/>
    <s v="Telangana Tourism Kite Festival"/>
    <s v="F2F"/>
    <s v="Corporate"/>
    <x v="1"/>
    <s v="Chennakshav"/>
    <s v="Confirmed food stall"/>
    <n v="0"/>
    <m/>
    <x v="26"/>
    <x v="0"/>
    <x v="1"/>
    <s v="Closed"/>
    <m/>
    <n v="0"/>
    <s v="Pop up"/>
    <m/>
    <m/>
    <s v="Jan-26"/>
    <n v="3"/>
    <m/>
  </r>
  <r>
    <d v="2026-01-12T00:00:00"/>
    <s v="Suzuki Motorcycle fest(Pinnacle)"/>
    <s v="Call"/>
    <s v="Corporate"/>
    <x v="17"/>
    <s v="Vijay"/>
    <s v="Confirmation of food stall on 25-1-2026"/>
    <n v="39000"/>
    <n v="39000"/>
    <x v="26"/>
    <x v="0"/>
    <x v="1"/>
    <s v="Closed"/>
    <m/>
    <n v="0"/>
    <s v="Agregator"/>
    <m/>
    <m/>
    <s v="Jan-26"/>
    <n v="3"/>
    <m/>
  </r>
  <r>
    <d v="2026-01-12T00:00:00"/>
    <s v="Aragan (GVK BIO)"/>
    <s v="F2F"/>
    <s v="Corporate"/>
    <x v="5"/>
    <s v="Chakrapani"/>
    <s v="Follow up for Bulk orders"/>
    <n v="100000"/>
    <m/>
    <x v="27"/>
    <x v="0"/>
    <x v="3"/>
    <s v="Hot"/>
    <m/>
    <n v="0"/>
    <s v="Corporate Order"/>
    <m/>
    <m/>
    <s v="Jan-26"/>
    <n v="3"/>
    <m/>
  </r>
  <r>
    <d v="2026-01-12T00:00:00"/>
    <s v="Medtronics"/>
    <s v="F2F"/>
    <s v="Corporate"/>
    <x v="5"/>
    <s v="Arif"/>
    <s v="Delivery at Hospital on 25-2-2026"/>
    <n v="50000"/>
    <m/>
    <x v="27"/>
    <x v="0"/>
    <x v="3"/>
    <s v="Hot"/>
    <m/>
    <n v="0"/>
    <s v="Corporate Order"/>
    <m/>
    <m/>
    <s v="Jan-26"/>
    <n v="3"/>
    <m/>
  </r>
  <r>
    <d v="2026-01-13T00:00:00"/>
    <s v="Telangana Tourism Kite Festival"/>
    <s v="F2F"/>
    <s v="Corporate"/>
    <x v="1"/>
    <s v="Malar"/>
    <s v="Food stall on 13-1-2026"/>
    <n v="18500"/>
    <n v="18500"/>
    <x v="26"/>
    <x v="0"/>
    <x v="1"/>
    <s v="Closed"/>
    <m/>
    <n v="0"/>
    <s v="Pop up"/>
    <m/>
    <m/>
    <s v="Jan-26"/>
    <n v="3"/>
    <m/>
  </r>
  <r>
    <d v="2026-01-13T00:00:00"/>
    <s v="Aurobindo Pharma"/>
    <s v="F2F"/>
    <s v="Corporate"/>
    <x v="5"/>
    <s v="Bapiraju"/>
    <s v="Follow up for Aurobindo premier league"/>
    <n v="0"/>
    <m/>
    <x v="27"/>
    <x v="0"/>
    <x v="3"/>
    <s v="Hot"/>
    <m/>
    <n v="0"/>
    <s v="Corporate Order"/>
    <m/>
    <m/>
    <s v="Jan-26"/>
    <n v="3"/>
    <m/>
  </r>
  <r>
    <d v="2026-01-13T00:00:00"/>
    <s v="Delivery at VIP Vizag"/>
    <s v="Call"/>
    <s v="Events"/>
    <x v="10"/>
    <s v="Savitri"/>
    <s v="Delivery of CB on 14-1-2026"/>
    <n v="8000"/>
    <n v="8000"/>
    <x v="26"/>
    <x v="0"/>
    <x v="1"/>
    <s v="Closed"/>
    <m/>
    <n v="0"/>
    <s v="Bulk Order"/>
    <m/>
    <m/>
    <s v="Jan-26"/>
    <n v="3"/>
    <m/>
  </r>
  <r>
    <d v="2026-01-13T00:00:00"/>
    <s v="MSN Labs"/>
    <s v="F2F"/>
    <s v="Corporate"/>
    <x v="5"/>
    <s v="Sandeep"/>
    <s v="Relationship Call"/>
    <n v="0"/>
    <n v="0"/>
    <x v="26"/>
    <x v="0"/>
    <x v="1"/>
    <s v="Closed"/>
    <m/>
    <n v="0"/>
    <s v="Corporate Order"/>
    <m/>
    <m/>
    <s v="Jan-26"/>
    <n v="3"/>
    <m/>
  </r>
  <r>
    <d v="2026-01-14T00:00:00"/>
    <s v="Delivery at SEBLR Banglore (Compass)"/>
    <s v="Call"/>
    <s v="Corporate"/>
    <x v="17"/>
    <s v="Saad"/>
    <s v="New Delivery at Compass group on 14-1-2026"/>
    <n v="19708"/>
    <n v="19708"/>
    <x v="26"/>
    <x v="1"/>
    <x v="1"/>
    <s v="Closed"/>
    <m/>
    <n v="0"/>
    <s v="Bulk Order"/>
    <m/>
    <m/>
    <s v="Jan-26"/>
    <n v="3"/>
    <m/>
  </r>
  <r>
    <d v="2026-01-14T00:00:00"/>
    <s v="Telangana Tourism Kite Festival"/>
    <s v="F2F"/>
    <s v="Corporate"/>
    <x v="1"/>
    <s v="Malar"/>
    <s v="Food stall on 14-1-2026"/>
    <n v="26700"/>
    <n v="26700"/>
    <x v="26"/>
    <x v="0"/>
    <x v="1"/>
    <s v="Closed"/>
    <m/>
    <n v="0"/>
    <s v="Pop up"/>
    <m/>
    <m/>
    <s v="Jan-26"/>
    <n v="3"/>
    <m/>
  </r>
  <r>
    <d v="2026-01-14T00:00:00"/>
    <s v="CUBE Highways"/>
    <s v="F2F"/>
    <s v="Corporate"/>
    <x v="15"/>
    <s v="Reena"/>
    <s v="Followup for payment and next order"/>
    <n v="0"/>
    <n v="0"/>
    <x v="26"/>
    <x v="0"/>
    <x v="1"/>
    <s v="Closed"/>
    <m/>
    <n v="0"/>
    <s v="Bulk Order"/>
    <m/>
    <m/>
    <s v="Jan-26"/>
    <n v="3"/>
    <m/>
  </r>
  <r>
    <d v="2026-01-15T00:00:00"/>
    <s v="Telangana Tourism Kite Festival"/>
    <s v="F2F"/>
    <s v="Corporate"/>
    <x v="1"/>
    <s v="Malar"/>
    <s v="Food stall on 15-1-2026"/>
    <n v="33675"/>
    <n v="33675"/>
    <x v="26"/>
    <x v="0"/>
    <x v="1"/>
    <s v="Closed"/>
    <m/>
    <n v="0"/>
    <s v="Pop up"/>
    <m/>
    <m/>
    <s v="Jan-26"/>
    <n v="3"/>
    <m/>
  </r>
  <r>
    <d v="2026-01-18T00:00:00"/>
    <s v="Telangana Tourism Kite Festival"/>
    <s v="F2F"/>
    <s v="Corporate"/>
    <x v="1"/>
    <s v="Malar"/>
    <s v="Food stall on 16 , 17 &amp; 18 Jan 2026"/>
    <n v="20545"/>
    <n v="20545"/>
    <x v="26"/>
    <x v="0"/>
    <x v="1"/>
    <s v="Closed"/>
    <m/>
    <n v="0"/>
    <s v="Pop up"/>
    <m/>
    <m/>
    <s v="Jan-26"/>
    <n v="3"/>
    <m/>
  </r>
  <r>
    <d v="2026-01-19T00:00:00"/>
    <s v="MSN Labs"/>
    <s v="F2F"/>
    <s v="Corporate"/>
    <x v="5"/>
    <s v="Sandeep"/>
    <s v="Discussion regarding delivery of Kits"/>
    <n v="0"/>
    <n v="0"/>
    <x v="26"/>
    <x v="0"/>
    <x v="1"/>
    <s v="Closed"/>
    <m/>
    <n v="0"/>
    <s v="Corporate Order"/>
    <m/>
    <m/>
    <s v="Jan-26"/>
    <n v="4"/>
    <m/>
  </r>
  <r>
    <d v="2026-01-19T00:00:00"/>
    <s v="Carelon Global Solutions"/>
    <s v="F2F"/>
    <s v="Corporate"/>
    <x v="0"/>
    <s v="Priyansh"/>
    <s v="Popup counter on 21-1-2026"/>
    <n v="20000"/>
    <n v="20000"/>
    <x v="26"/>
    <x v="0"/>
    <x v="1"/>
    <s v="Closed"/>
    <m/>
    <n v="0"/>
    <s v="Pop up"/>
    <m/>
    <m/>
    <s v="Jan-26"/>
    <n v="4"/>
    <m/>
  </r>
  <r>
    <d v="2026-01-20T00:00:00"/>
    <s v="Dine in at Begumpet"/>
    <s v="Call"/>
    <s v="Events"/>
    <x v="10"/>
    <s v="Kazmi"/>
    <s v="Dine in at begumpet on  20-1-2026"/>
    <n v="9500"/>
    <n v="9500"/>
    <x v="26"/>
    <x v="0"/>
    <x v="1"/>
    <s v="Closed"/>
    <m/>
    <n v="0"/>
    <s v="Bulk Order"/>
    <m/>
    <m/>
    <s v="Jan-26"/>
    <n v="4"/>
    <m/>
  </r>
  <r>
    <d v="2026-01-20T00:00:00"/>
    <s v="Navdurda Travels"/>
    <s v="F2F"/>
    <s v="Corporate"/>
    <x v="1"/>
    <s v="Shyam Oza"/>
    <s v="Dine in at IMAX on 25-1-2025"/>
    <n v="47000"/>
    <n v="47000"/>
    <x v="26"/>
    <x v="0"/>
    <x v="1"/>
    <s v="Closed"/>
    <m/>
    <n v="0"/>
    <s v="Bulk Order"/>
    <m/>
    <m/>
    <s v="Jan-26"/>
    <n v="4"/>
    <m/>
  </r>
  <r>
    <d v="2026-01-20T00:00:00"/>
    <s v="Medha Servo Drives"/>
    <s v="F2F"/>
    <s v="Corporate"/>
    <x v="7"/>
    <s v="Santosh"/>
    <s v="Followup for bilk orders"/>
    <n v="0"/>
    <m/>
    <x v="29"/>
    <x v="0"/>
    <x v="0"/>
    <s v="Cancelled"/>
    <m/>
    <n v="0"/>
    <s v="Corporate Order"/>
    <m/>
    <m/>
    <s v="Jan-26"/>
    <n v="4"/>
    <m/>
  </r>
  <r>
    <d v="2026-01-21T00:00:00"/>
    <s v="Delivery at SEBLR Banglore (Compass)"/>
    <s v="Call"/>
    <s v="Corporate"/>
    <x v="17"/>
    <s v="Saad"/>
    <s v="New Delivery at Compass group on 21-1-2026"/>
    <n v="19708"/>
    <n v="19708"/>
    <x v="26"/>
    <x v="1"/>
    <x v="1"/>
    <s v="Closed"/>
    <m/>
    <n v="0"/>
    <s v="Bulk Order"/>
    <m/>
    <m/>
    <s v="Jan-26"/>
    <n v="4"/>
    <m/>
  </r>
  <r>
    <d v="2026-01-21T00:00:00"/>
    <s v="Telangana Ruchulu"/>
    <s v="Call "/>
    <s v="Corporate"/>
    <x v="37"/>
    <s v="Goli Nagraju"/>
    <s v="Shared quote for Packed Biscuit"/>
    <n v="70000"/>
    <m/>
    <x v="29"/>
    <x v="0"/>
    <x v="0"/>
    <s v="Cancelled"/>
    <m/>
    <n v="0"/>
    <s v="Bulk Order"/>
    <m/>
    <m/>
    <s v="Jan-26"/>
    <n v="4"/>
    <m/>
  </r>
  <r>
    <d v="2026-01-21T00:00:00"/>
    <s v="Pheonix Arena Bangalore"/>
    <s v="Call"/>
    <s v="Corporate"/>
    <x v="39"/>
    <s v="Chandrasekhar"/>
    <s v="Singer event on 18-2-2026"/>
    <n v="80000"/>
    <m/>
    <x v="29"/>
    <x v="1"/>
    <x v="0"/>
    <s v="Cancelled"/>
    <m/>
    <n v="0"/>
    <s v="Pop up"/>
    <m/>
    <m/>
    <s v="Jan-26"/>
    <n v="4"/>
    <m/>
  </r>
  <r>
    <d v="2026-01-21T00:00:00"/>
    <s v="College Fest at IPE"/>
    <s v="F2F"/>
    <s v="College"/>
    <x v="4"/>
    <s v="Aditi"/>
    <s v="food stall in fest on 29 &amp; 30 Jan "/>
    <n v="70000"/>
    <m/>
    <x v="26"/>
    <x v="0"/>
    <x v="0"/>
    <s v="Cancelled"/>
    <m/>
    <n v="0"/>
    <s v="Pop up"/>
    <m/>
    <m/>
    <s v="Jan-26"/>
    <n v="4"/>
    <m/>
  </r>
  <r>
    <d v="2026-01-22T00:00:00"/>
    <s v="Global India "/>
    <s v="F2F"/>
    <s v="Corporate"/>
    <x v="1"/>
    <s v="Satya"/>
    <s v="Delivery of CB at Shamshabad on 23-1-2026"/>
    <n v="14500"/>
    <n v="14500"/>
    <x v="26"/>
    <x v="0"/>
    <x v="1"/>
    <s v="Closed"/>
    <m/>
    <n v="0"/>
    <s v="Bulk Order"/>
    <m/>
    <m/>
    <s v="Jan-26"/>
    <n v="4"/>
    <m/>
  </r>
  <r>
    <d v="2026-01-22T00:00:00"/>
    <s v="Tourist group from Maharashtra"/>
    <s v="Call"/>
    <s v="Corporate"/>
    <x v="1"/>
    <s v="Vijay"/>
    <s v="Dine in on 26-1-2026"/>
    <n v="60000"/>
    <m/>
    <x v="26"/>
    <x v="0"/>
    <x v="0"/>
    <s v="Cancelled"/>
    <m/>
    <n v="0"/>
    <s v="Bulk Order"/>
    <m/>
    <m/>
    <s v="Jan-26"/>
    <n v="4"/>
    <m/>
  </r>
  <r>
    <d v="2026-01-22T00:00:00"/>
    <s v="Muthoot Finance"/>
    <s v="F2F"/>
    <s v="Events"/>
    <x v="10"/>
    <s v="Rachna"/>
    <s v="Delivery of CB on 9-2-2026"/>
    <n v="5500"/>
    <m/>
    <x v="29"/>
    <x v="0"/>
    <x v="0"/>
    <s v="Cancelled"/>
    <m/>
    <n v="0"/>
    <s v="Bulk Order"/>
    <m/>
    <m/>
    <s v="Jan-26"/>
    <n v="4"/>
    <m/>
  </r>
  <r>
    <d v="2026-01-22T00:00:00"/>
    <s v="Omni Hospitals"/>
    <s v="F2F"/>
    <s v="Corporate"/>
    <x v="13"/>
    <s v="Rekha"/>
    <s v="Followup for bulk orders"/>
    <n v="70000"/>
    <m/>
    <x v="29"/>
    <x v="0"/>
    <x v="0"/>
    <s v="Cancelled"/>
    <m/>
    <n v="0"/>
    <s v="Corporate Order"/>
    <m/>
    <m/>
    <s v="Jan-26"/>
    <n v="4"/>
    <m/>
  </r>
  <r>
    <d v="2026-01-23T00:00:00"/>
    <s v="Muthoot Finance"/>
    <s v="Call"/>
    <s v="Events"/>
    <x v="10"/>
    <s v="Rachna"/>
    <s v="Delivery of CB on 9-2-2026 from Malkajgiri"/>
    <n v="5500"/>
    <n v="5500"/>
    <x v="29"/>
    <x v="0"/>
    <x v="1"/>
    <s v="Closed"/>
    <m/>
    <n v="0"/>
    <s v="Bulk Order"/>
    <m/>
    <m/>
    <s v="Jan-26"/>
    <n v="4"/>
    <m/>
  </r>
  <r>
    <d v="2026-01-23T00:00:00"/>
    <s v="MSN Labs"/>
    <s v="F2F"/>
    <s v="Corporate"/>
    <x v="5"/>
    <s v="Vinay"/>
    <s v="Visited warehouse for negotiation and Delivery Planning"/>
    <n v="0"/>
    <n v="0"/>
    <x v="26"/>
    <x v="0"/>
    <x v="1"/>
    <s v="Closed"/>
    <m/>
    <n v="0"/>
    <s v="Corporate Order"/>
    <m/>
    <m/>
    <s v="Jan-26"/>
    <n v="4"/>
    <m/>
  </r>
  <r>
    <d v="2026-01-27T00:00:00"/>
    <s v="MSN"/>
    <s v="F2F"/>
    <s v="Corporate"/>
    <x v="5"/>
    <s v="Dayanidhi"/>
    <s v="Package shipment aligned for OUM Division"/>
    <n v="0"/>
    <n v="0"/>
    <x v="26"/>
    <x v="0"/>
    <x v="1"/>
    <s v="Closed"/>
    <m/>
    <n v="0"/>
    <s v="Corporate Order"/>
    <m/>
    <m/>
    <s v="Jan-26"/>
    <n v="5"/>
    <m/>
  </r>
  <r>
    <d v="2026-01-27T00:00:00"/>
    <s v="Medtronics"/>
    <s v="Call"/>
    <s v="Corporate"/>
    <x v="5"/>
    <s v="Vasant"/>
    <s v="Delivery of Packed lunch at Benz Circle on 25-1-2026"/>
    <n v="32500"/>
    <n v="32500"/>
    <x v="26"/>
    <x v="0"/>
    <x v="1"/>
    <s v="Closed"/>
    <m/>
    <n v="0"/>
    <s v="Corporate Order"/>
    <m/>
    <m/>
    <s v="Jan-26"/>
    <n v="5"/>
    <m/>
  </r>
  <r>
    <d v="2026-01-27T00:00:00"/>
    <s v="Kukdukoo Fest 2026"/>
    <s v="Call"/>
    <s v="Corporate"/>
    <x v="30"/>
    <s v="Subham"/>
    <s v="Confirmed menu for the event on 31-1-2026 &amp; 1St Feb"/>
    <n v="239550"/>
    <n v="239550"/>
    <x v="29"/>
    <x v="0"/>
    <x v="1"/>
    <s v="Closed"/>
    <m/>
    <n v="0"/>
    <s v="Popup"/>
    <m/>
    <m/>
    <s v="Jan-26"/>
    <n v="5"/>
    <m/>
  </r>
  <r>
    <d v="2026-01-28T00:00:00"/>
    <s v="Delivery at SEBLR Banglore (Compass)"/>
    <s v="Call"/>
    <s v="Corporate"/>
    <x v="17"/>
    <s v="Saad"/>
    <s v="New Delivery at Compass group on 28-1-2026"/>
    <n v="19708"/>
    <n v="19708"/>
    <x v="26"/>
    <x v="1"/>
    <x v="1"/>
    <s v="Closed"/>
    <m/>
    <n v="0"/>
    <s v="Bulk Order"/>
    <m/>
    <m/>
    <s v="Jan-26"/>
    <n v="5"/>
    <m/>
  </r>
  <r>
    <d v="2026-01-28T00:00:00"/>
    <s v="MSN Labs"/>
    <s v="F2F"/>
    <s v="Corporate"/>
    <x v="5"/>
    <s v="Vinay"/>
    <s v="Visited warehouse for negotiation and Delivery Planning"/>
    <n v="0"/>
    <n v="0"/>
    <x v="26"/>
    <x v="0"/>
    <x v="1"/>
    <s v="Closed"/>
    <m/>
    <n v="0"/>
    <s v="Corporate Order"/>
    <m/>
    <m/>
    <s v="Jan-26"/>
    <n v="5"/>
    <m/>
  </r>
  <r>
    <d v="2026-01-28T00:00:00"/>
    <s v="Gokhana"/>
    <s v="Call"/>
    <s v="Corporate"/>
    <x v="17"/>
    <s v="Sandhya"/>
    <s v="Shared quote for MB &amp; VB Delivery in Feb"/>
    <n v="45000"/>
    <m/>
    <x v="29"/>
    <x v="0"/>
    <x v="0"/>
    <s v="Cancelled"/>
    <m/>
    <n v="0"/>
    <s v="Bulk Order"/>
    <m/>
    <m/>
    <s v="Jan-26"/>
    <n v="5"/>
    <m/>
  </r>
  <r>
    <d v="2026-01-29T00:00:00"/>
    <s v="Delivery at Bowenpally"/>
    <s v="Call"/>
    <s v="Events"/>
    <x v="10"/>
    <s v="Shiva"/>
    <s v="Delivery of CB on 1-2-2026"/>
    <n v="7500"/>
    <m/>
    <x v="29"/>
    <x v="0"/>
    <x v="0"/>
    <s v="Cancelled"/>
    <m/>
    <n v="0"/>
    <s v="Bulk Order"/>
    <m/>
    <m/>
    <s v="Jan-26"/>
    <n v="5"/>
    <m/>
  </r>
  <r>
    <d v="2026-01-29T00:00:00"/>
    <s v="Delivery at skyview"/>
    <s v="F2F"/>
    <s v="Corporate"/>
    <x v="0"/>
    <s v="Bharat"/>
    <s v="Delivery of MB &amp; VB on 12-02-2026 for 450 PAX"/>
    <n v="230000"/>
    <m/>
    <x v="27"/>
    <x v="0"/>
    <x v="3"/>
    <s v="Hot"/>
    <m/>
    <n v="0"/>
    <s v="Bulk Order"/>
    <m/>
    <m/>
    <s v="Jan-26"/>
    <n v="5"/>
    <m/>
  </r>
  <r>
    <d v="2026-02-02T00:00:00"/>
    <s v="S&amp;P Capital"/>
    <s v="F2F"/>
    <s v="Corporate"/>
    <x v="0"/>
    <s v="Kiran"/>
    <s v="Shared quote for Delivery of CB on 11,12,13 Feb"/>
    <n v="500000"/>
    <n v="0"/>
    <x v="29"/>
    <x v="0"/>
    <x v="0"/>
    <s v="Cancelled"/>
    <s v="They require same vendor for Ahmadabad,Pune &amp; Mumbai"/>
    <n v="0"/>
    <s v="Corporate Order"/>
    <m/>
    <m/>
    <s v="Feb-26"/>
    <n v="6"/>
    <m/>
  </r>
  <r>
    <d v="2026-02-02T00:00:00"/>
    <s v="Delivery at Begumpet"/>
    <s v="Call"/>
    <s v="Corporate"/>
    <x v="20"/>
    <s v="Ankush"/>
    <s v="Delivery MB on 2-1-2026 from Secundrabad Take away"/>
    <n v="15840"/>
    <n v="15840"/>
    <x v="29"/>
    <x v="0"/>
    <x v="1"/>
    <s v="Closed"/>
    <m/>
    <n v="0"/>
    <s v="Bulk Order"/>
    <m/>
    <m/>
    <s v="Feb-26"/>
    <n v="6"/>
    <m/>
  </r>
  <r>
    <d v="2026-02-04T00:00:00"/>
    <s v="Delivery at SEBLR Banglore (Compass)"/>
    <s v="Call"/>
    <s v="Corporate"/>
    <x v="17"/>
    <s v="Saad"/>
    <s v="New Delivery at Compass group on 4-2-2026"/>
    <n v="21041"/>
    <n v="21041"/>
    <x v="29"/>
    <x v="1"/>
    <x v="1"/>
    <s v="Closed"/>
    <m/>
    <n v="0"/>
    <s v="Bulk Order"/>
    <m/>
    <m/>
    <s v="Feb-26"/>
    <n v="6"/>
    <m/>
  </r>
  <r>
    <d v="2026-02-05T00:00:00"/>
    <s v="Accenture Nanakramguda , Hungerbox"/>
    <s v="Call"/>
    <s v="Corporate"/>
    <x v="0"/>
    <s v="Praveen"/>
    <s v="Popup Counter on 4th &amp; 5th Feb 2026"/>
    <n v="104260"/>
    <n v="104260"/>
    <x v="29"/>
    <x v="0"/>
    <x v="1"/>
    <s v="Closed"/>
    <m/>
    <n v="0"/>
    <s v="Popup"/>
    <m/>
    <m/>
    <s v="Feb-26"/>
    <n v="6"/>
    <m/>
  </r>
  <r>
    <d v="2026-02-06T00:00:00"/>
    <s v="Accenture Waverock , Hungerbox"/>
    <s v="Call"/>
    <s v="Corporate"/>
    <x v="0"/>
    <s v="Praveen"/>
    <s v="Popup Counter on 6-2-2026"/>
    <n v="21210"/>
    <n v="21210"/>
    <x v="29"/>
    <x v="0"/>
    <x v="1"/>
    <s v="Closed"/>
    <m/>
    <n v="0"/>
    <s v="Popup"/>
    <m/>
    <m/>
    <s v="Feb-26"/>
    <n v="6"/>
    <m/>
  </r>
  <r>
    <d v="2026-02-10T00:00:00"/>
    <s v="Novartis, Compass"/>
    <s v="Call"/>
    <s v="Corporate"/>
    <x v="0"/>
    <s v="Avinash"/>
    <s v="Popup on 10-2-2026"/>
    <n v="71200"/>
    <n v="71200"/>
    <x v="29"/>
    <x v="0"/>
    <x v="1"/>
    <s v="Closed"/>
    <m/>
    <n v="0"/>
    <s v="Popup"/>
    <m/>
    <m/>
    <s v="Feb-26"/>
    <n v="7"/>
    <m/>
  </r>
  <r>
    <d v="2026-02-11T00:00:00"/>
    <s v="Delivery at SEBLR Banglore (Compass)"/>
    <s v="Call"/>
    <s v="Corporate"/>
    <x v="17"/>
    <s v="Saad"/>
    <s v="New Delivery at Compass group on 11-2-2026"/>
    <n v="23833"/>
    <n v="23833"/>
    <x v="29"/>
    <x v="1"/>
    <x v="1"/>
    <s v="Closed"/>
    <m/>
    <n v="0"/>
    <s v="Bulk Order"/>
    <m/>
    <m/>
    <s v="Feb-26"/>
    <n v="7"/>
    <m/>
  </r>
  <r>
    <d v="2026-02-11T00:00:00"/>
    <s v="Novartis, Compass"/>
    <s v="Call"/>
    <s v="Corporate"/>
    <x v="0"/>
    <s v="Avinash"/>
    <s v="Popup on 11-2-2026"/>
    <n v="96930"/>
    <n v="96930"/>
    <x v="29"/>
    <x v="0"/>
    <x v="1"/>
    <s v="Closed"/>
    <m/>
    <n v="0"/>
    <s v="Popup"/>
    <m/>
    <m/>
    <s v="Feb-26"/>
    <n v="7"/>
    <m/>
  </r>
  <r>
    <d v="2026-02-11T00:00:00"/>
    <s v="Azad Engineering"/>
    <s v="Call "/>
    <s v="Corporate "/>
    <x v="0"/>
    <s v="Bharath"/>
    <s v="Ramzan Vouchers from Secbad "/>
    <n v="900000"/>
    <n v="900000"/>
    <x v="29"/>
    <x v="0"/>
    <x v="1"/>
    <s v="Closed"/>
    <m/>
    <n v="0"/>
    <s v="Bulk Order"/>
    <m/>
    <m/>
    <s v="Feb-26"/>
    <n v="7"/>
    <m/>
  </r>
  <r>
    <d v="2026-02-12T00:00:00"/>
    <s v="Novartis, Compass"/>
    <s v="F2F"/>
    <s v="Corporate"/>
    <x v="0"/>
    <s v="Avinash"/>
    <s v="Popup on 12-2-2026"/>
    <n v="97740"/>
    <n v="97740"/>
    <x v="29"/>
    <x v="0"/>
    <x v="1"/>
    <s v="Closed"/>
    <m/>
    <n v="0"/>
    <s v="Popup"/>
    <m/>
    <m/>
    <s v="Feb-26"/>
    <n v="7"/>
    <m/>
  </r>
  <r>
    <d v="2026-02-12T00:00:00"/>
    <s v="NVIDIA"/>
    <s v="F2F"/>
    <s v="Corporate"/>
    <x v="0"/>
    <s v="Dinesh"/>
    <s v="Bulk Delivery on 18-2-2026"/>
    <n v="68500"/>
    <n v="68500"/>
    <x v="29"/>
    <x v="0"/>
    <x v="1"/>
    <s v="Closed"/>
    <m/>
    <n v="0"/>
    <s v="Bulk Order"/>
    <m/>
    <m/>
    <s v="Feb-26"/>
    <n v="7"/>
    <m/>
  </r>
  <r>
    <d v="2026-02-13T00:00:00"/>
    <s v="ADP"/>
    <s v="F2F"/>
    <s v="Corporate"/>
    <x v="0"/>
    <s v="Arun"/>
    <s v="Haleem Popup in Feb"/>
    <n v="450000"/>
    <m/>
    <x v="27"/>
    <x v="0"/>
    <x v="4"/>
    <s v="Hot"/>
    <m/>
    <n v="0"/>
    <s v="Popup"/>
    <m/>
    <m/>
    <s v="Feb-26"/>
    <n v="7"/>
    <m/>
  </r>
  <r>
    <d v="2026-02-13T00:00:00"/>
    <s v="Infosys Pocharam"/>
    <s v="F2F"/>
    <s v="Corporate"/>
    <x v="0"/>
    <s v="Sathya"/>
    <s v="Haleem popup at Infosys"/>
    <n v="150000"/>
    <m/>
    <x v="27"/>
    <x v="0"/>
    <x v="4"/>
    <s v="Hot"/>
    <m/>
    <n v="0"/>
    <s v="Popup"/>
    <m/>
    <m/>
    <s v="Feb-26"/>
    <n v="7"/>
    <m/>
  </r>
  <r>
    <d v="2026-02-13T00:00:00"/>
    <s v="Accenture Orion HDC5A (Hungerbox)"/>
    <s v="Call"/>
    <s v="Corporate"/>
    <x v="0"/>
    <s v="Praveen"/>
    <s v="Popup Counter fron Gachibowli on 13-02-2026"/>
    <n v="24030"/>
    <n v="24030"/>
    <x v="29"/>
    <x v="0"/>
    <x v="1"/>
    <s v="Closed"/>
    <m/>
    <n v="0"/>
    <s v="Popup"/>
    <m/>
    <m/>
    <s v="Feb-26"/>
    <n v="7"/>
    <m/>
  </r>
  <r>
    <d v="2026-02-14T00:00:00"/>
    <s v="Gem Kid Fest Chennai"/>
    <s v="Call"/>
    <s v="Corporate"/>
    <x v="30"/>
    <s v="Ram"/>
    <s v="Popup counter on 14-02-2026"/>
    <n v="63025"/>
    <n v="63025"/>
    <x v="29"/>
    <x v="0"/>
    <x v="1"/>
    <s v="Closed"/>
    <m/>
    <n v="0"/>
    <s v="Popup"/>
    <m/>
    <m/>
    <s v="Feb-26"/>
    <n v="7"/>
    <m/>
  </r>
  <r>
    <d v="2026-02-15T00:00:00"/>
    <s v="Gem Kid Fest Chennai"/>
    <s v="Call"/>
    <s v="Corporate"/>
    <x v="30"/>
    <s v="Ram"/>
    <s v="Popup counter on 15-02-2026"/>
    <n v="79075"/>
    <n v="79075"/>
    <x v="29"/>
    <x v="0"/>
    <x v="1"/>
    <s v="Closed"/>
    <m/>
    <n v="0"/>
    <s v="Popup"/>
    <m/>
    <m/>
    <s v="Feb-26"/>
    <n v="7"/>
    <m/>
  </r>
  <r>
    <d v="2026-02-16T00:00:00"/>
    <s v="Cognizant GAR ( Smart Q )"/>
    <s v="F2F"/>
    <s v="Corporate"/>
    <x v="0"/>
    <s v="Samruddhi"/>
    <s v="Popup on 18-2-2026"/>
    <n v="42000"/>
    <n v="42000"/>
    <x v="29"/>
    <x v="0"/>
    <x v="1"/>
    <s v="Closed"/>
    <m/>
    <n v="0"/>
    <s v="Popup"/>
    <m/>
    <m/>
    <s v="Feb-26"/>
    <n v="8"/>
    <m/>
  </r>
  <r>
    <d v="2026-02-16T00:00:00"/>
    <s v="Knowledge Park"/>
    <s v="F2F"/>
    <s v="Corporate"/>
    <x v="0"/>
    <s v="Chandrika"/>
    <s v="Popup on 24-2-2026"/>
    <n v="50000"/>
    <m/>
    <x v="27"/>
    <x v="0"/>
    <x v="4"/>
    <s v="Hot"/>
    <m/>
    <n v="0"/>
    <s v="Popup"/>
    <m/>
    <m/>
    <s v="Feb-26"/>
    <n v="8"/>
    <m/>
  </r>
  <r>
    <d v="2026-02-18T00:00:00"/>
    <s v="Infosys "/>
    <s v="F2F"/>
    <s v="Corporate"/>
    <x v="0"/>
    <s v="Sathya"/>
    <s v="Haleem counter site visit"/>
    <n v="0"/>
    <n v="0"/>
    <x v="27"/>
    <x v="0"/>
    <x v="1"/>
    <s v="Closed"/>
    <m/>
    <n v="0"/>
    <s v="Popup"/>
    <m/>
    <m/>
    <s v="Feb-26"/>
    <n v="8"/>
    <m/>
  </r>
  <r>
    <d v="2026-02-18T00:00:00"/>
    <s v="Delivery at SEBLR Banglore (Compass)"/>
    <s v="Call"/>
    <s v="Corporate"/>
    <x v="17"/>
    <s v="Saad"/>
    <s v="New Delivery at Compass group on 18-2-2026"/>
    <n v="22500"/>
    <n v="22500"/>
    <x v="29"/>
    <x v="1"/>
    <x v="1"/>
    <s v="Closed"/>
    <m/>
    <n v="0"/>
    <s v="Popup"/>
    <m/>
    <m/>
    <s v="Feb-26"/>
    <n v="8"/>
    <m/>
  </r>
  <r>
    <d v="2026-02-19T00:00:00"/>
    <s v="Infosys Nanakramguga"/>
    <s v="F2F"/>
    <s v="Corporate"/>
    <x v="0"/>
    <s v="Gopi"/>
    <s v="Haleem counter from 21-02-2026"/>
    <n v="200000"/>
    <m/>
    <x v="30"/>
    <x v="0"/>
    <x v="0"/>
    <s v="Cancelled"/>
    <m/>
    <n v="0"/>
    <s v="Popup"/>
    <m/>
    <m/>
    <s v="Feb-26"/>
    <n v="8"/>
    <m/>
  </r>
  <r>
    <d v="2026-02-19T00:00:00"/>
    <s v="App associates"/>
    <s v="F2F"/>
    <s v="Corporate"/>
    <x v="0"/>
    <s v="Aparna"/>
    <s v="Haleem Sampling for Office ramzan Party"/>
    <n v="35000"/>
    <m/>
    <x v="27"/>
    <x v="0"/>
    <x v="3"/>
    <s v="Warm"/>
    <m/>
    <n v="0"/>
    <s v="Bulk Order"/>
    <m/>
    <m/>
    <s v="Feb-26"/>
    <n v="8"/>
    <m/>
  </r>
  <r>
    <d v="2026-02-19T00:00:00"/>
    <s v="Haleem Counter at Infosys Pocharam"/>
    <s v="Call"/>
    <s v="Corporate"/>
    <x v="0"/>
    <s v="Sathya"/>
    <s v="Haleem popup on 19-02-2026"/>
    <n v="12430"/>
    <n v="12430"/>
    <x v="29"/>
    <x v="0"/>
    <x v="1"/>
    <s v="Closed"/>
    <m/>
    <n v="12430"/>
    <s v="Popup"/>
    <m/>
    <m/>
    <s v="Feb-26"/>
    <n v="8"/>
    <m/>
  </r>
  <r>
    <d v="2026-02-19T00:00:00"/>
    <s v="Accenture HDC4 Smart Q"/>
    <s v="Call"/>
    <s v="Corporate"/>
    <x v="0"/>
    <s v="Priyansh"/>
    <s v="Haleem popup on 19-02-2026 from BHEL"/>
    <n v="48360"/>
    <n v="48360"/>
    <x v="29"/>
    <x v="0"/>
    <x v="1"/>
    <s v="Closed"/>
    <m/>
    <n v="0"/>
    <s v="Popup"/>
    <m/>
    <m/>
    <s v="Feb-26"/>
    <n v="8"/>
    <m/>
  </r>
  <r>
    <d v="2026-02-20T00:00:00"/>
    <s v="Haleem Counter at Infosys Pocharam"/>
    <s v="Call"/>
    <s v="Corporate"/>
    <x v="0"/>
    <s v="Sathya"/>
    <s v="Haleem popup on 20-02-2026"/>
    <n v="17050"/>
    <n v="17050"/>
    <x v="29"/>
    <x v="0"/>
    <x v="1"/>
    <s v="Closed"/>
    <m/>
    <n v="17050"/>
    <s v="Popup"/>
    <m/>
    <m/>
    <s v="Feb-26"/>
    <n v="8"/>
    <m/>
  </r>
  <r>
    <d v="2026-02-20T00:00:00"/>
    <s v="BBQN"/>
    <s v="Call"/>
    <s v="Corporate"/>
    <x v="37"/>
    <s v="Shubham"/>
    <s v="deliverd veg samosa on 22-02-2026"/>
    <n v="3200"/>
    <n v="3200"/>
    <x v="29"/>
    <x v="0"/>
    <x v="1"/>
    <s v="Closed"/>
    <m/>
    <n v="0"/>
    <s v="Bulk Order"/>
    <m/>
    <m/>
    <s v="Feb-26"/>
    <n v="8"/>
    <m/>
  </r>
  <r>
    <d v="2026-02-20T00:00:00"/>
    <s v="Snadd Developers"/>
    <s v="F2F"/>
    <s v="Corporate"/>
    <x v="0"/>
    <s v="Rajesh"/>
    <s v="Introduction to Bulk delivery"/>
    <n v="0"/>
    <m/>
    <x v="27"/>
    <x v="0"/>
    <x v="2"/>
    <s v="Cold"/>
    <m/>
    <n v="0"/>
    <s v="Corporate Order"/>
    <m/>
    <m/>
    <s v="Feb-26"/>
    <n v="8"/>
    <m/>
  </r>
  <r>
    <d v="2026-02-23T00:00:00"/>
    <s v="Haleem Counter at Infosys Pocharam"/>
    <s v="Call"/>
    <s v="Corporate"/>
    <x v="0"/>
    <s v="Sathya"/>
    <s v="Haleem popup on 20-02-2026"/>
    <n v="12560"/>
    <n v="12560"/>
    <x v="29"/>
    <x v="0"/>
    <x v="1"/>
    <s v="Closed"/>
    <m/>
    <n v="12560"/>
    <s v="Popup"/>
    <m/>
    <m/>
    <s v="Feb-26"/>
    <n v="9"/>
    <m/>
  </r>
  <r>
    <d v="2026-02-23T00:00:00"/>
    <s v="NVIDIA"/>
    <s v="F2F"/>
    <s v="Corporate"/>
    <x v="0"/>
    <s v="Dinesh"/>
    <s v="Follow up for Bulk order"/>
    <n v="60000"/>
    <m/>
    <x v="27"/>
    <x v="0"/>
    <x v="3"/>
    <s v="Hot"/>
    <m/>
    <n v="0"/>
    <s v="Bulk Order"/>
    <m/>
    <m/>
    <s v="Feb-26"/>
    <n v="9"/>
    <m/>
  </r>
  <r>
    <d v="2026-02-24T00:00:00"/>
    <s v="Haleem Counter at Infosys Pocharam"/>
    <s v="Call"/>
    <s v="Corporate"/>
    <x v="0"/>
    <s v="Sathya"/>
    <s v="Haleem popup on 24-02-2026"/>
    <n v="15870"/>
    <n v="15870"/>
    <x v="29"/>
    <x v="0"/>
    <x v="1"/>
    <s v="Closed"/>
    <m/>
    <n v="15870"/>
    <s v="Popup"/>
    <m/>
    <m/>
    <s v="Feb-26"/>
    <n v="9"/>
    <m/>
  </r>
  <r>
    <d v="2026-02-24T00:00:00"/>
    <s v="Haleem Counter at Infosys Gachibowli"/>
    <s v="Call"/>
    <s v="Corporate"/>
    <x v="0"/>
    <s v="Sathya"/>
    <s v="Haleem popup on 24-02-2026"/>
    <n v="58129"/>
    <n v="58129"/>
    <x v="29"/>
    <x v="0"/>
    <x v="1"/>
    <s v="Closed"/>
    <m/>
    <n v="58129"/>
    <s v="Popup"/>
    <m/>
    <m/>
    <s v="Feb-26"/>
    <n v="9"/>
    <m/>
  </r>
  <r>
    <d v="2026-02-24T00:00:00"/>
    <s v="EA Sports"/>
    <s v="Call"/>
    <s v="Corporate"/>
    <x v="0"/>
    <s v="Dakshit"/>
    <s v="Haleem and Sheerkhurma for 300 PAX in March"/>
    <n v="120000"/>
    <m/>
    <x v="27"/>
    <x v="0"/>
    <x v="2"/>
    <s v="Hot"/>
    <m/>
    <n v="0"/>
    <s v="Bulk Order"/>
    <m/>
    <m/>
    <s v="Feb-26"/>
    <n v="9"/>
    <m/>
  </r>
  <r>
    <d v="2026-02-24T00:00:00"/>
    <s v="Accenture Skyview"/>
    <s v="Call"/>
    <s v="Corporate"/>
    <x v="0"/>
    <s v="Praveen"/>
    <s v="Delivery of Iftiar haleem and snacks in March"/>
    <n v="90000"/>
    <m/>
    <x v="27"/>
    <x v="0"/>
    <x v="2"/>
    <s v="Hot"/>
    <m/>
    <n v="0"/>
    <s v="Bulk Order"/>
    <m/>
    <m/>
    <s v="Feb-26"/>
    <n v="9"/>
    <m/>
  </r>
  <r>
    <d v="2026-02-25T00:00:00"/>
    <s v="EA Sports"/>
    <s v="F2F"/>
    <s v="Corporate"/>
    <x v="0"/>
    <s v="Dakshit"/>
    <s v="Sampling and order confirmation for March"/>
    <n v="90000"/>
    <m/>
    <x v="27"/>
    <x v="0"/>
    <x v="4"/>
    <s v="Hot"/>
    <m/>
    <n v="0"/>
    <s v="Bulk Order"/>
    <m/>
    <m/>
    <s v="Feb-26"/>
    <n v="9"/>
    <m/>
  </r>
  <r>
    <d v="2026-02-25T00:00:00"/>
    <s v="Delivery at SEBLR Banglore (Compass)"/>
    <s v="Call"/>
    <s v="Corporate"/>
    <x v="17"/>
    <s v="Saad"/>
    <s v="New Delivery at Compass group on 25-2-2026"/>
    <n v="21312"/>
    <n v="21312"/>
    <x v="29"/>
    <x v="1"/>
    <x v="1"/>
    <s v="Closed"/>
    <m/>
    <n v="0"/>
    <s v="Popup"/>
    <m/>
    <m/>
    <s v="Feb-26"/>
    <n v="9"/>
    <m/>
  </r>
  <r>
    <d v="2026-02-25T00:00:00"/>
    <s v="Haleem Counter at Infosys Pocharam"/>
    <s v="Call"/>
    <s v="Corporate"/>
    <x v="0"/>
    <s v="Sathya"/>
    <s v="Haleem popup on 25-02-2026"/>
    <n v="18470"/>
    <n v="18470"/>
    <x v="29"/>
    <x v="0"/>
    <x v="1"/>
    <s v="Closed"/>
    <m/>
    <n v="18470"/>
    <s v="Popup"/>
    <m/>
    <m/>
    <s v="Feb-26"/>
    <n v="9"/>
    <m/>
  </r>
  <r>
    <d v="2026-02-25T00:00:00"/>
    <s v="Haleem Counter at Infosys Gachibowli"/>
    <s v="Call"/>
    <s v="Corporate"/>
    <x v="0"/>
    <s v="Sathya"/>
    <s v="Haleem popup on 25-02-2026"/>
    <n v="57600"/>
    <n v="57600"/>
    <x v="29"/>
    <x v="0"/>
    <x v="1"/>
    <s v="Closed"/>
    <m/>
    <n v="57600"/>
    <s v="Popup"/>
    <m/>
    <m/>
    <s v="Feb-26"/>
    <n v="9"/>
    <m/>
  </r>
  <r>
    <d v="2026-02-25T00:00:00"/>
    <s v="Cognizant GAR ( Smart Q )"/>
    <s v="F2F"/>
    <s v="Corporate"/>
    <x v="0"/>
    <s v="Samruddhi"/>
    <s v="Popup on 25-2-2026"/>
    <n v="42930"/>
    <n v="42930"/>
    <x v="29"/>
    <x v="0"/>
    <x v="1"/>
    <s v="Closed"/>
    <m/>
    <n v="42930"/>
    <s v="Popup"/>
    <m/>
    <m/>
    <s v="Feb-26"/>
    <n v="9"/>
    <m/>
  </r>
  <r>
    <d v="2026-02-26T00:00:00"/>
    <s v="F5"/>
    <s v="F2F"/>
    <s v="Corporate"/>
    <x v="0"/>
    <s v="Praveen"/>
    <s v="Haleem and Biryani on 26-3-2025"/>
    <n v="120000"/>
    <m/>
    <x v="27"/>
    <x v="0"/>
    <x v="4"/>
    <s v="Hot"/>
    <m/>
    <n v="80000"/>
    <s v="Bulk Order"/>
    <m/>
    <m/>
    <s v="Feb-26"/>
    <n v="9"/>
    <m/>
  </r>
  <r>
    <d v="2026-02-26T00:00:00"/>
    <s v="Haleem Counter at Infosys Pocharam"/>
    <s v="Call"/>
    <s v="Corporate"/>
    <x v="0"/>
    <s v="Sathya"/>
    <s v="Haleem popup on 26-02-2026"/>
    <n v="9207"/>
    <n v="9207"/>
    <x v="29"/>
    <x v="0"/>
    <x v="1"/>
    <s v="Closed"/>
    <m/>
    <n v="9207"/>
    <s v="Popup"/>
    <m/>
    <m/>
    <s v="Feb-26"/>
    <n v="9"/>
    <m/>
  </r>
  <r>
    <d v="2026-02-26T00:00:00"/>
    <s v="Haleem Counter at Infosys Gachibowli"/>
    <s v="F2F"/>
    <s v="Corporate"/>
    <x v="0"/>
    <s v="Sathya"/>
    <s v="Haleem popup on 26-02-2026"/>
    <n v="37600"/>
    <n v="37600"/>
    <x v="29"/>
    <x v="0"/>
    <x v="1"/>
    <s v="Closed"/>
    <m/>
    <n v="37600"/>
    <s v="Popup"/>
    <m/>
    <m/>
    <s v="Feb-26"/>
    <n v="9"/>
    <m/>
  </r>
  <r>
    <d v="2026-02-26T00:00:00"/>
    <s v="Cognizant GAR ( Smart Q )"/>
    <s v="F2F"/>
    <s v="Corporate"/>
    <x v="0"/>
    <s v="Samruddhi"/>
    <s v="Popup on 26-2-2026"/>
    <n v="52500"/>
    <n v="52500"/>
    <x v="29"/>
    <x v="0"/>
    <x v="1"/>
    <s v="Closed"/>
    <m/>
    <n v="52500"/>
    <s v="Popup"/>
    <m/>
    <m/>
    <s v="Feb-26"/>
    <n v="9"/>
    <m/>
  </r>
  <r>
    <d v="2026-02-27T00:00:00"/>
    <s v="Haleem Counter at Infosys Pocharam"/>
    <s v="Call"/>
    <s v="Corporate"/>
    <x v="0"/>
    <s v="Sathya"/>
    <s v="Haleem popup on 27-02-2026"/>
    <n v="9207"/>
    <n v="9207"/>
    <x v="29"/>
    <x v="0"/>
    <x v="1"/>
    <s v="Closed"/>
    <m/>
    <n v="9207"/>
    <s v="Popup"/>
    <m/>
    <m/>
    <s v="Feb-26"/>
    <n v="9"/>
    <m/>
  </r>
  <r>
    <d v="2026-02-27T00:00:00"/>
    <s v="Haleem Counter at Infosys Gachibowli"/>
    <s v="F2F"/>
    <s v="Corporate"/>
    <x v="0"/>
    <s v="Sathya"/>
    <s v="Haleem popup on 27-02-2026"/>
    <n v="35500"/>
    <n v="35500"/>
    <x v="29"/>
    <x v="0"/>
    <x v="1"/>
    <s v="Closed"/>
    <m/>
    <n v="35500"/>
    <s v="Popup"/>
    <m/>
    <m/>
    <s v="Feb-26"/>
    <n v="9"/>
    <m/>
  </r>
  <r>
    <d v="2026-02-28T00:00:00"/>
    <s v="Haleem Counter at Infosys Pocharam"/>
    <s v="Call"/>
    <s v="Corporate"/>
    <x v="0"/>
    <s v="Sathya"/>
    <s v="Haleem popup on 28-02-2026"/>
    <n v="5530"/>
    <n v="5530"/>
    <x v="29"/>
    <x v="0"/>
    <x v="1"/>
    <s v="Closed"/>
    <m/>
    <n v="5530"/>
    <s v="Popup"/>
    <m/>
    <m/>
    <s v="Feb-26"/>
    <n v="9"/>
    <m/>
  </r>
  <r>
    <d v="2026-02-28T00:00:00"/>
    <s v="Haleem Counter at Infosys Gachibowli"/>
    <s v="F2F"/>
    <s v="Corporate"/>
    <x v="0"/>
    <s v="Gopi"/>
    <s v="Haleem popup on 28-02-2026"/>
    <n v="27300"/>
    <n v="27300"/>
    <x v="29"/>
    <x v="0"/>
    <x v="1"/>
    <s v="Closed"/>
    <m/>
    <n v="27300"/>
    <s v="Popup"/>
    <m/>
    <m/>
    <s v="Feb-26"/>
    <n v="9"/>
    <m/>
  </r>
  <r>
    <d v="2026-03-02T00:00:00"/>
    <s v="Haleem Counter at Infosys Pocharam"/>
    <s v="Call"/>
    <s v="Corporate"/>
    <x v="0"/>
    <s v="Sathya"/>
    <s v="Haleem popup on 02-03-2026"/>
    <n v="8571"/>
    <n v="8571"/>
    <x v="30"/>
    <x v="0"/>
    <x v="1"/>
    <s v="Closed"/>
    <m/>
    <n v="8571"/>
    <s v="Popup"/>
    <m/>
    <m/>
    <s v="Mar-26"/>
    <n v="10"/>
    <m/>
  </r>
  <r>
    <d v="2026-03-03T00:00:00"/>
    <s v="Haleem Counter at Infosys Pocharam"/>
    <s v="Call"/>
    <s v="Corporate"/>
    <x v="0"/>
    <s v="Sathya"/>
    <s v="Haleem popup on 03-03-2026"/>
    <n v="15500"/>
    <n v="15500"/>
    <x v="30"/>
    <x v="0"/>
    <x v="1"/>
    <s v="Closed"/>
    <m/>
    <n v="15500"/>
    <s v="Popup"/>
    <m/>
    <m/>
    <s v="Mar-26"/>
    <n v="10"/>
    <m/>
  </r>
  <r>
    <d v="2026-03-03T00:00:00"/>
    <s v="Haleem Counter at Infosys Gachibowli"/>
    <s v="Call"/>
    <s v="Corporate"/>
    <x v="0"/>
    <s v="Gopi"/>
    <s v="Haleem popup on 03-03-2026"/>
    <n v="37500"/>
    <n v="37500"/>
    <x v="30"/>
    <x v="0"/>
    <x v="1"/>
    <s v="Closed"/>
    <m/>
    <n v="37500"/>
    <s v="Popup"/>
    <m/>
    <m/>
    <s v="Mar-26"/>
    <n v="10"/>
    <m/>
  </r>
  <r>
    <d v="2026-03-04T00:00:00"/>
    <s v="Haleem Counter at Infosys Pocharam"/>
    <s v="Call"/>
    <s v="Corporate"/>
    <x v="0"/>
    <s v="Sathya"/>
    <s v="Haleem popup on 04-03-2026"/>
    <n v="10500"/>
    <n v="10500"/>
    <x v="30"/>
    <x v="0"/>
    <x v="1"/>
    <s v="Closed"/>
    <m/>
    <n v="10500"/>
    <s v="Popup"/>
    <m/>
    <m/>
    <s v="Mar-26"/>
    <n v="10"/>
    <m/>
  </r>
  <r>
    <d v="2026-03-04T00:00:00"/>
    <s v="Haleem Counter at Infosys Gachibowli"/>
    <s v="Call"/>
    <s v="Corporate"/>
    <x v="0"/>
    <s v="Gopi"/>
    <s v="Haleem popup on 04-03-2026"/>
    <n v="29600"/>
    <n v="29600"/>
    <x v="30"/>
    <x v="0"/>
    <x v="1"/>
    <s v="Closed"/>
    <m/>
    <n v="29600"/>
    <s v="Popup"/>
    <m/>
    <m/>
    <s v="Mar-26"/>
    <n v="10"/>
    <m/>
  </r>
  <r>
    <d v="2026-03-04T00:00:00"/>
    <s v="Delivery at SEBLR Banglore (Compass)"/>
    <s v="Call"/>
    <s v="Corporate"/>
    <x v="17"/>
    <s v="Saad"/>
    <s v="Delivery on 4-3-2026"/>
    <n v="18333"/>
    <n v="18333"/>
    <x v="30"/>
    <x v="1"/>
    <x v="1"/>
    <s v="Closed"/>
    <m/>
    <n v="0"/>
    <s v="Bulk Order"/>
    <m/>
    <m/>
    <s v="Mar-26"/>
    <n v="10"/>
    <m/>
  </r>
  <r>
    <d v="2026-03-05T00:00:00"/>
    <s v="Haleem Counter at Infosys Pocharam"/>
    <s v="Call"/>
    <s v="Corporate"/>
    <x v="0"/>
    <s v="Sathya"/>
    <s v="Haleem popup on 05-03-2026"/>
    <n v="11398"/>
    <n v="11398"/>
    <x v="30"/>
    <x v="0"/>
    <x v="1"/>
    <s v="Closed"/>
    <m/>
    <n v="11398"/>
    <s v="Popup"/>
    <m/>
    <m/>
    <s v="Mar-26"/>
    <n v="10"/>
    <m/>
  </r>
  <r>
    <d v="2026-03-05T00:00:00"/>
    <s v="Haleem Counter at Infosys Gachibowli"/>
    <s v="Call"/>
    <s v="Corporate"/>
    <x v="0"/>
    <s v="Gopi"/>
    <s v="Haleem popup on 05-03-2026"/>
    <n v="34560"/>
    <n v="34560"/>
    <x v="30"/>
    <x v="0"/>
    <x v="1"/>
    <s v="Closed"/>
    <m/>
    <n v="34560"/>
    <s v="Popup"/>
    <m/>
    <m/>
    <s v="Mar-26"/>
    <n v="10"/>
    <m/>
  </r>
  <r>
    <d v="2026-03-05T00:00:00"/>
    <s v="Accenture HDC4 Smart Q"/>
    <s v="Call"/>
    <s v="Corporate"/>
    <x v="0"/>
    <s v="Priyansh"/>
    <s v="Haleem popup  05-03-2026 BHEL"/>
    <n v="22080"/>
    <n v="22080"/>
    <x v="30"/>
    <x v="0"/>
    <x v="1"/>
    <s v="Closed"/>
    <m/>
    <n v="22080"/>
    <s v="Popup"/>
    <m/>
    <m/>
    <s v="Mar-26"/>
    <n v="10"/>
    <m/>
  </r>
  <r>
    <d v="2026-03-05T00:00:00"/>
    <s v="Accenture HDC5 Smart Q"/>
    <s v="Call"/>
    <s v="Corporate"/>
    <x v="0"/>
    <s v="Priyansh"/>
    <s v="Haleem popup  05-03-2026 BHEL"/>
    <n v="22520"/>
    <n v="22520"/>
    <x v="30"/>
    <x v="0"/>
    <x v="1"/>
    <s v="Closed"/>
    <m/>
    <n v="22520"/>
    <s v="Popup"/>
    <m/>
    <m/>
    <s v="Mar-26"/>
    <n v="10"/>
    <m/>
  </r>
  <r>
    <d v="2026-03-06T00:00:00"/>
    <s v="Haleem Counter at Infosys Pocharam"/>
    <s v="Call"/>
    <s v="Corporate"/>
    <x v="0"/>
    <s v="Sathya"/>
    <s v="Haleem popup on 06-03-2026"/>
    <n v="5124"/>
    <n v="5124"/>
    <x v="30"/>
    <x v="0"/>
    <x v="1"/>
    <s v="Closed"/>
    <m/>
    <n v="5124"/>
    <s v="Popup"/>
    <m/>
    <m/>
    <s v="Mar-26"/>
    <n v="10"/>
    <m/>
  </r>
  <r>
    <d v="2026-03-06T00:00:00"/>
    <s v="Haleem Counter at Infosys Gachibowli"/>
    <s v="Call"/>
    <s v="Corporate"/>
    <x v="0"/>
    <s v="Gopi"/>
    <s v="Haleem popup on 06-03-2026"/>
    <n v="32080"/>
    <n v="32080"/>
    <x v="30"/>
    <x v="0"/>
    <x v="1"/>
    <s v="Closed"/>
    <m/>
    <n v="32080"/>
    <s v="Popup"/>
    <m/>
    <m/>
    <s v="Mar-26"/>
    <n v="10"/>
    <m/>
  </r>
  <r>
    <d v="2026-03-06T00:00:00"/>
    <s v="Accenture HDC4 Smart Q"/>
    <s v="Call"/>
    <s v="Corporate"/>
    <x v="0"/>
    <s v="Priyansh"/>
    <s v="Haleem popup  06-03-2026 BHEL"/>
    <n v="15880"/>
    <n v="15880"/>
    <x v="30"/>
    <x v="0"/>
    <x v="1"/>
    <s v="Closed"/>
    <m/>
    <n v="15880"/>
    <s v="Popup"/>
    <m/>
    <m/>
    <s v="Mar-26"/>
    <n v="10"/>
    <m/>
  </r>
  <r>
    <d v="2026-03-06T00:00:00"/>
    <s v="Accenture HDC5 Smart Q"/>
    <s v="Call"/>
    <s v="Corporate"/>
    <x v="0"/>
    <s v="Priyansh"/>
    <s v="Haleem popup  06-03-2026 BHEL"/>
    <n v="11240"/>
    <n v="11240"/>
    <x v="30"/>
    <x v="0"/>
    <x v="1"/>
    <s v="Closed"/>
    <m/>
    <n v="11240"/>
    <s v="Popup"/>
    <m/>
    <m/>
    <s v="Mar-26"/>
    <n v="10"/>
    <m/>
  </r>
  <r>
    <d v="2026-03-07T00:00:00"/>
    <s v="Metro Rail Hyderabad"/>
    <s v="F2F"/>
    <s v="Corporate"/>
    <x v="2"/>
    <s v="Sulakshna"/>
    <s v="Uppal 7-3-2026 CB at Metro Station"/>
    <n v="56827"/>
    <n v="56827"/>
    <x v="30"/>
    <x v="0"/>
    <x v="1"/>
    <s v="Closed"/>
    <m/>
    <n v="0"/>
    <s v="Bulk Order"/>
    <m/>
    <m/>
    <s v="Mar-26"/>
    <n v="10"/>
    <m/>
  </r>
  <r>
    <d v="2026-03-08T00:00:00"/>
    <s v="Delivery of Biryani Handi Tarnaka"/>
    <s v="Call"/>
    <s v="Church"/>
    <x v="8"/>
    <s v="Naveen"/>
    <s v="Delivery on 8-3-2026 from IMAX"/>
    <n v="15600"/>
    <n v="15600"/>
    <x v="30"/>
    <x v="0"/>
    <x v="1"/>
    <s v="Closed"/>
    <m/>
    <n v="0"/>
    <s v="Bulk Order"/>
    <m/>
    <m/>
    <s v="Mar-26"/>
    <n v="10"/>
    <m/>
  </r>
  <r>
    <d v="2026-03-09T00:00:00"/>
    <s v="NVIDIA "/>
    <s v="F2F"/>
    <s v="Corporate"/>
    <x v="0"/>
    <s v="Dinesh"/>
    <s v="Biryani on 9-3-2026 from Kukatpally"/>
    <n v="85100"/>
    <n v="85100"/>
    <x v="30"/>
    <x v="0"/>
    <x v="1"/>
    <s v="Closed"/>
    <m/>
    <n v="0"/>
    <s v="Bulk Order"/>
    <m/>
    <m/>
    <s v="Mar-26"/>
    <n v="11"/>
    <m/>
  </r>
  <r>
    <d v="2026-03-09T00:00:00"/>
    <s v="ADP (compass)"/>
    <s v="F2F"/>
    <s v="Corporate"/>
    <x v="0"/>
    <s v="Kaustubh"/>
    <s v="Popup on 9-3-2026 from Kukatpally"/>
    <n v="42500"/>
    <n v="42500"/>
    <x v="30"/>
    <x v="0"/>
    <x v="1"/>
    <s v="Closed"/>
    <m/>
    <n v="0"/>
    <s v="Popup"/>
    <m/>
    <m/>
    <s v="Mar-26"/>
    <n v="11"/>
    <m/>
  </r>
  <r>
    <d v="2026-03-09T00:00:00"/>
    <s v="Haleem Counter at Infosys Pocharam"/>
    <s v="Call"/>
    <s v="Corporate"/>
    <x v="0"/>
    <s v="Sathya"/>
    <s v="Haleem popup on 09-03-2026"/>
    <n v="5600"/>
    <n v="5600"/>
    <x v="30"/>
    <x v="0"/>
    <x v="1"/>
    <s v="Closed"/>
    <m/>
    <n v="5124"/>
    <s v="Popup"/>
    <m/>
    <m/>
    <s v="Mar-26"/>
    <n v="11"/>
    <m/>
  </r>
  <r>
    <d v="2026-03-10T00:00:00"/>
    <s v="Haleem Counter at Infosys Pocharam"/>
    <s v="Call"/>
    <s v="Corporate"/>
    <x v="0"/>
    <s v="Sathya"/>
    <s v="Haleem popup on 10-03-2026"/>
    <n v="6292"/>
    <n v="6292"/>
    <x v="30"/>
    <x v="0"/>
    <x v="1"/>
    <s v="Closed"/>
    <m/>
    <n v="6292"/>
    <s v="Popup"/>
    <m/>
    <m/>
    <s v="Mar-26"/>
    <n v="11"/>
    <m/>
  </r>
  <r>
    <d v="2026-03-10T00:00:00"/>
    <s v="NTT Data (Hungerbox)"/>
    <s v="F2F"/>
    <s v="Corporate"/>
    <x v="0"/>
    <s v="Saiteja"/>
    <s v="Haleem popup Gachibowli on 10-3-2026"/>
    <n v="8900"/>
    <n v="8900"/>
    <x v="30"/>
    <x v="0"/>
    <x v="1"/>
    <s v="Closed"/>
    <m/>
    <n v="8900"/>
    <s v="Popup"/>
    <m/>
    <m/>
    <s v="Mar-26"/>
    <n v="11"/>
    <m/>
  </r>
  <r>
    <d v="2026-03-10T00:00:00"/>
    <s v="ADP (compass)"/>
    <s v="F2F"/>
    <s v="Corporate"/>
    <x v="0"/>
    <s v="Kaustubh"/>
    <s v="Popup on 10-3-2026 from Kukatpally"/>
    <n v="75380"/>
    <n v="75380"/>
    <x v="30"/>
    <x v="0"/>
    <x v="1"/>
    <s v="Closed"/>
    <m/>
    <n v="75380"/>
    <s v="Popup"/>
    <m/>
    <m/>
    <s v="Mar-26"/>
    <n v="11"/>
    <m/>
  </r>
  <r>
    <d v="2026-03-10T00:00:00"/>
    <s v="EA Sports"/>
    <s v="F2F"/>
    <s v="Corporate"/>
    <x v="0"/>
    <s v="Dakshit"/>
    <s v="Haleem delivery on 10-3-2026 , Kukatpally"/>
    <n v="104500"/>
    <n v="104500"/>
    <x v="30"/>
    <x v="0"/>
    <x v="1"/>
    <s v="Closed"/>
    <m/>
    <n v="104500"/>
    <s v="Bulk Order"/>
    <m/>
    <m/>
    <s v="Mar-26"/>
    <n v="11"/>
    <m/>
  </r>
  <r>
    <d v="2026-03-10T00:00:00"/>
    <s v="Delivery at Shamshabad Airport"/>
    <s v="Call "/>
    <s v="Cprporate"/>
    <x v="3"/>
    <s v="Tarun"/>
    <s v="CB with Express packaging on 10-03-2026"/>
    <n v="47000"/>
    <n v="47000"/>
    <x v="30"/>
    <x v="0"/>
    <x v="1"/>
    <s v="Closed"/>
    <m/>
    <n v="0"/>
    <s v="Bulk Order"/>
    <m/>
    <m/>
    <s v="Mar-26"/>
    <n v="11"/>
    <m/>
  </r>
  <r>
    <d v="2026-03-11T00:00:00"/>
    <s v="Haleem Counter at Infosys Pocharam"/>
    <s v="Call"/>
    <s v="Corporate"/>
    <x v="0"/>
    <s v="Sathya"/>
    <s v="Haleem popup on 11-03-2026"/>
    <n v="9200"/>
    <n v="9200"/>
    <x v="30"/>
    <x v="0"/>
    <x v="1"/>
    <s v="Closed"/>
    <m/>
    <n v="9200"/>
    <s v="Popup"/>
    <m/>
    <m/>
    <s v="Mar-26"/>
    <n v="11"/>
    <m/>
  </r>
  <r>
    <d v="2026-03-11T00:00:00"/>
    <s v="NTT Data (Hungerbox)"/>
    <s v="F2F"/>
    <s v="Corporate"/>
    <x v="0"/>
    <s v="Saiteja"/>
    <s v="Haleem popup Gachibowli on 11-3-2026"/>
    <n v="9000"/>
    <n v="9000"/>
    <x v="30"/>
    <x v="0"/>
    <x v="1"/>
    <s v="Closed"/>
    <m/>
    <n v="9000"/>
    <s v="Popup"/>
    <m/>
    <m/>
    <s v="Mar-26"/>
    <n v="11"/>
    <m/>
  </r>
  <r>
    <d v="2026-03-11T00:00:00"/>
    <s v="ADP (compass)"/>
    <s v="F2F"/>
    <s v="Corporate"/>
    <x v="0"/>
    <s v="Kaustubh"/>
    <s v="Popup on 11-3-2026 from Kukatpally"/>
    <n v="85000"/>
    <n v="85000"/>
    <x v="30"/>
    <x v="0"/>
    <x v="1"/>
    <s v="Closed"/>
    <m/>
    <n v="85000"/>
    <s v="Popup"/>
    <m/>
    <m/>
    <s v="Mar-26"/>
    <n v="11"/>
    <m/>
  </r>
  <r>
    <d v="2026-03-11T00:00:00"/>
    <s v="Accenture HDC4 Smart Q"/>
    <s v="Call"/>
    <s v="Corporate"/>
    <x v="0"/>
    <s v="Priyansh"/>
    <s v="Haleem popup  11-03-2026 BHEL"/>
    <n v="10480"/>
    <n v="10480"/>
    <x v="30"/>
    <x v="0"/>
    <x v="1"/>
    <s v="Closed"/>
    <m/>
    <n v="10480"/>
    <s v="Popup"/>
    <m/>
    <m/>
    <s v="Mar-26"/>
    <n v="11"/>
    <m/>
  </r>
  <r>
    <d v="2026-03-11T00:00:00"/>
    <s v="Accenture HDC5 Smart Q"/>
    <s v="Call"/>
    <s v="Corporate"/>
    <x v="0"/>
    <s v="Priyansh"/>
    <s v="Haleem popup  11-03-2026 Sharat City"/>
    <n v="9280"/>
    <n v="9280"/>
    <x v="30"/>
    <x v="0"/>
    <x v="1"/>
    <s v="Closed"/>
    <m/>
    <n v="9280"/>
    <s v="Popup"/>
    <m/>
    <m/>
    <s v="Mar-26"/>
    <n v="11"/>
    <m/>
  </r>
  <r>
    <d v="2026-03-11T00:00:00"/>
    <s v="Accenture HDC3 (Hungerbox)"/>
    <s v="Call"/>
    <s v="Corporate"/>
    <x v="0"/>
    <s v="Pawan"/>
    <s v="Haleem popup  11-03-2026 BHEL"/>
    <n v="17300"/>
    <n v="17300"/>
    <x v="30"/>
    <x v="0"/>
    <x v="1"/>
    <s v="Closed"/>
    <m/>
    <n v="17300"/>
    <s v="Popup"/>
    <m/>
    <m/>
    <s v="Mar-26"/>
    <n v="11"/>
    <m/>
  </r>
  <r>
    <d v="2026-03-11T00:00:00"/>
    <s v="Capgemini Campus (Gokhana)"/>
    <s v="Call"/>
    <s v="Corporate"/>
    <x v="0"/>
    <s v="Sandhya"/>
    <s v="Popup 11-3-2026 from Gachibowli"/>
    <n v="40580"/>
    <n v="40580"/>
    <x v="30"/>
    <x v="0"/>
    <x v="1"/>
    <s v="Closed"/>
    <m/>
    <n v="40580"/>
    <s v="Popup"/>
    <m/>
    <m/>
    <s v="Mar-26"/>
    <n v="11"/>
    <m/>
  </r>
  <r>
    <d v="2026-03-11T00:00:00"/>
    <s v="Delivery at SEBLR Banglore (Compass)"/>
    <s v="Call"/>
    <s v="Corporate"/>
    <x v="17"/>
    <s v="Saad"/>
    <s v="Delivery on 11-3-2026"/>
    <n v="18333"/>
    <n v="18333"/>
    <x v="30"/>
    <x v="1"/>
    <x v="1"/>
    <s v="Closed"/>
    <m/>
    <n v="0"/>
    <s v="Bulk Order"/>
    <m/>
    <m/>
    <s v="Mar-26"/>
    <n v="11"/>
    <m/>
  </r>
  <r>
    <d v="2026-03-12T00:00:00"/>
    <s v="Haleem Counter at Infosys Pocharam"/>
    <s v="Call"/>
    <s v="Corporate"/>
    <x v="0"/>
    <s v="Sathya"/>
    <s v="Haleem popup on 12-03-2026"/>
    <n v="9500"/>
    <n v="9500"/>
    <x v="30"/>
    <x v="0"/>
    <x v="1"/>
    <s v="Closed"/>
    <m/>
    <n v="9500"/>
    <s v="Popup"/>
    <m/>
    <m/>
    <s v="Mar-26"/>
    <n v="11"/>
    <m/>
  </r>
  <r>
    <d v="2026-03-12T00:00:00"/>
    <s v="ADP (compass)"/>
    <s v="Call"/>
    <s v="Corporate"/>
    <x v="0"/>
    <s v="Kaustubh"/>
    <s v="Popup on 12-3-2026 from Kukatpally"/>
    <n v="55200"/>
    <n v="55200"/>
    <x v="30"/>
    <x v="0"/>
    <x v="1"/>
    <s v="Closed"/>
    <m/>
    <n v="55200"/>
    <s v="Popup"/>
    <m/>
    <m/>
    <s v="Mar-26"/>
    <n v="11"/>
    <m/>
  </r>
  <r>
    <d v="2026-03-12T00:00:00"/>
    <s v="Accenture HDC2 (Hungerbox)"/>
    <s v="Call"/>
    <s v="Corporate"/>
    <x v="0"/>
    <s v="Praveen"/>
    <s v="Haleem popup  12-03-2026 BHEL"/>
    <n v="7550"/>
    <n v="7550"/>
    <x v="30"/>
    <x v="0"/>
    <x v="1"/>
    <s v="Closed"/>
    <m/>
    <n v="7550"/>
    <s v="Popup"/>
    <m/>
    <m/>
    <s v="Mar-26"/>
    <n v="11"/>
    <m/>
  </r>
  <r>
    <d v="2026-03-12T00:00:00"/>
    <s v="Accenture HDC4 Smart Q"/>
    <s v="Call"/>
    <s v="Corporate"/>
    <x v="0"/>
    <s v="Priyansh"/>
    <s v="Haleem popup  12-03-2026 BHEL"/>
    <n v="15480"/>
    <n v="15480"/>
    <x v="30"/>
    <x v="0"/>
    <x v="1"/>
    <s v="Closed"/>
    <m/>
    <n v="15480"/>
    <s v="Popup"/>
    <m/>
    <m/>
    <s v="Mar-26"/>
    <n v="11"/>
    <m/>
  </r>
  <r>
    <d v="2026-03-12T00:00:00"/>
    <s v="Accenture HDC5 Smart Q"/>
    <s v="Call"/>
    <s v="Corporate"/>
    <x v="0"/>
    <s v="Priyansh"/>
    <s v="Haleem popup  12-03-2026 Sharat City"/>
    <n v="7240"/>
    <n v="7240"/>
    <x v="30"/>
    <x v="0"/>
    <x v="1"/>
    <s v="Closed"/>
    <m/>
    <n v="7240"/>
    <s v="Popup"/>
    <m/>
    <m/>
    <s v="Mar-26"/>
    <n v="11"/>
    <m/>
  </r>
  <r>
    <d v="2026-03-12T00:00:00"/>
    <s v="Accenture HDC3 (Hungerbox)"/>
    <s v="Call"/>
    <s v="Corporate"/>
    <x v="0"/>
    <s v="Pawan"/>
    <s v="Haleem popup  12-03-2026 BHEL"/>
    <n v="17010"/>
    <n v="17010"/>
    <x v="30"/>
    <x v="0"/>
    <x v="1"/>
    <s v="Closed"/>
    <m/>
    <n v="17010"/>
    <s v="Popup"/>
    <m/>
    <m/>
    <s v="Mar-26"/>
    <n v="11"/>
    <m/>
  </r>
  <r>
    <d v="2026-03-12T00:00:00"/>
    <s v="Capgemini Campus (Gokhana)"/>
    <s v="Call"/>
    <s v="Corporate"/>
    <x v="0"/>
    <s v="Sandhya"/>
    <s v="Popup 12-3-2026 from Gachibowli"/>
    <n v="39919"/>
    <n v="39919"/>
    <x v="30"/>
    <x v="0"/>
    <x v="1"/>
    <s v="Closed"/>
    <m/>
    <n v="39919"/>
    <s v="Popup"/>
    <m/>
    <m/>
    <s v="Mar-26"/>
    <n v="11"/>
    <m/>
  </r>
  <r>
    <d v="2026-03-12T00:00:00"/>
    <s v="Deloitte Towers (Hungerbox)"/>
    <s v="F2F"/>
    <s v="Corporate "/>
    <x v="0"/>
    <s v="Rajender"/>
    <s v="Popup from BHEL on 12-3-2026"/>
    <n v="53000"/>
    <n v="53000"/>
    <x v="30"/>
    <x v="0"/>
    <x v="1"/>
    <s v="Closed"/>
    <m/>
    <n v="0"/>
    <s v="Popup"/>
    <m/>
    <m/>
    <s v="Mar-26"/>
    <n v="11"/>
    <m/>
  </r>
  <r>
    <d v="2026-03-12T00:00:00"/>
    <s v="Delivery of Haleem at Shaikpet"/>
    <s v="Call"/>
    <s v="Events"/>
    <x v="10"/>
    <s v="Sameer"/>
    <s v="Mutt Haleem Gudimalkapur 12-3-2026"/>
    <n v="22400"/>
    <n v="22400"/>
    <x v="30"/>
    <x v="0"/>
    <x v="1"/>
    <s v="Closed"/>
    <m/>
    <n v="22400"/>
    <s v="Bulk Order"/>
    <m/>
    <m/>
    <s v="Mar-26"/>
    <n v="11"/>
    <m/>
  </r>
  <r>
    <d v="2026-03-12T00:00:00"/>
    <s v="Novartis (Compass)"/>
    <s v="F2F"/>
    <s v="Corporate "/>
    <x v="0"/>
    <s v="Arun"/>
    <s v="Ch Haleem Kukatpally on 12-3-2026"/>
    <n v="45000"/>
    <n v="45000"/>
    <x v="30"/>
    <x v="0"/>
    <x v="1"/>
    <s v="Closed"/>
    <m/>
    <n v="45000"/>
    <s v="Bulk Order"/>
    <m/>
    <m/>
    <s v="Mar-26"/>
    <n v="11"/>
    <m/>
  </r>
  <r>
    <d v="2026-03-12T00:00:00"/>
    <s v="Mishru Cloathing PVT LTD"/>
    <s v="F2F"/>
    <s v="Corporate"/>
    <x v="19"/>
    <s v="Divya"/>
    <s v="CB From IMAX 12-3-2026"/>
    <n v="46450"/>
    <n v="46450"/>
    <x v="30"/>
    <x v="0"/>
    <x v="1"/>
    <s v="Closed"/>
    <m/>
    <n v="0"/>
    <s v="Bulk Order"/>
    <m/>
    <m/>
    <s v="Mar-26"/>
    <n v="11"/>
    <m/>
  </r>
  <r>
    <d v="2026-03-13T00:00:00"/>
    <s v="Haleem Counter at Infosys Pocharam"/>
    <s v="Call"/>
    <s v="Corporate"/>
    <x v="0"/>
    <s v="Sathya"/>
    <s v="Haleem popup on 13-03-2026"/>
    <n v="8500"/>
    <n v="8500"/>
    <x v="30"/>
    <x v="0"/>
    <x v="1"/>
    <s v="Closed"/>
    <m/>
    <n v="8500"/>
    <s v="Popup"/>
    <m/>
    <m/>
    <s v="Mar-26"/>
    <n v="11"/>
    <m/>
  </r>
  <r>
    <d v="2026-03-13T00:00:00"/>
    <s v="ADP (compass)"/>
    <s v="Call"/>
    <s v="Corporate"/>
    <x v="0"/>
    <s v="Kaustubh"/>
    <s v="Popup on 13-3-2026 from Kukatpally"/>
    <n v="48970"/>
    <n v="48970"/>
    <x v="30"/>
    <x v="0"/>
    <x v="1"/>
    <s v="Closed"/>
    <m/>
    <n v="48970"/>
    <s v="Popup"/>
    <m/>
    <m/>
    <s v="Mar-26"/>
    <n v="11"/>
    <m/>
  </r>
  <r>
    <d v="2026-03-13T00:00:00"/>
    <s v="Accenture HDC2 (Hungerbox)"/>
    <s v="Call"/>
    <s v="Corporate"/>
    <x v="0"/>
    <s v="Praveen"/>
    <s v="Haleem popup  13-03-2026 BHEL"/>
    <n v="5500"/>
    <n v="5500"/>
    <x v="30"/>
    <x v="0"/>
    <x v="1"/>
    <s v="Closed"/>
    <m/>
    <n v="5500"/>
    <s v="Popup"/>
    <m/>
    <m/>
    <s v="Mar-26"/>
    <n v="11"/>
    <m/>
  </r>
  <r>
    <d v="2026-03-13T00:00:00"/>
    <s v="Accenture HDC4 Smart Q"/>
    <s v="Call"/>
    <s v="Corporate"/>
    <x v="0"/>
    <s v="Priyansh"/>
    <s v="Haleem popup  13-03-2026 BHEL"/>
    <n v="12440"/>
    <n v="12440"/>
    <x v="30"/>
    <x v="0"/>
    <x v="1"/>
    <s v="Closed"/>
    <m/>
    <n v="12440"/>
    <s v="Popup"/>
    <m/>
    <m/>
    <s v="Mar-26"/>
    <n v="11"/>
    <m/>
  </r>
  <r>
    <d v="2026-03-13T00:00:00"/>
    <s v="Accenture HDC5 Smart Q"/>
    <s v="Call"/>
    <s v="Corporate"/>
    <x v="0"/>
    <s v="Priyansh"/>
    <s v="Haleem popup  13-03-2026 Sharat City"/>
    <n v="5040"/>
    <n v="5040"/>
    <x v="30"/>
    <x v="0"/>
    <x v="1"/>
    <s v="Closed"/>
    <m/>
    <n v="5040"/>
    <s v="Popup"/>
    <m/>
    <m/>
    <s v="Mar-26"/>
    <n v="11"/>
    <m/>
  </r>
  <r>
    <d v="2026-03-13T00:00:00"/>
    <s v="Accenture HDC3 (Hungerbox)"/>
    <s v="Call"/>
    <s v="Corporate"/>
    <x v="0"/>
    <s v="Pawan"/>
    <s v="Haleem popup  13-03-2026 BHEL"/>
    <n v="26720"/>
    <n v="26720"/>
    <x v="30"/>
    <x v="0"/>
    <x v="1"/>
    <s v="Closed"/>
    <m/>
    <n v="26720"/>
    <s v="Popup"/>
    <m/>
    <m/>
    <s v="Mar-26"/>
    <n v="11"/>
    <m/>
  </r>
  <r>
    <d v="2026-03-13T00:00:00"/>
    <s v="Capgemini Campus (Gokhana)"/>
    <s v="Call"/>
    <s v="Corporate"/>
    <x v="0"/>
    <s v="Sandhya"/>
    <s v="Popup 13-3-2026 from Gachibowli"/>
    <n v="40640"/>
    <n v="40640"/>
    <x v="30"/>
    <x v="0"/>
    <x v="1"/>
    <s v="Closed"/>
    <m/>
    <n v="40640"/>
    <s v="Popup"/>
    <m/>
    <m/>
    <s v="Mar-26"/>
    <n v="11"/>
    <m/>
  </r>
  <r>
    <d v="2026-03-13T00:00:00"/>
    <s v="Deloitte Towers (Hungerbox)"/>
    <s v="F2F"/>
    <s v="Corporate "/>
    <x v="0"/>
    <s v="Rajender"/>
    <s v="Popup from BHEL on 13-3-2026"/>
    <n v="62000"/>
    <n v="62000"/>
    <x v="30"/>
    <x v="0"/>
    <x v="1"/>
    <s v="Closed"/>
    <m/>
    <n v="0"/>
    <s v="Popup"/>
    <m/>
    <m/>
    <s v="Mar-26"/>
    <n v="11"/>
    <m/>
  </r>
  <r>
    <d v="2026-03-13T00:00:00"/>
    <s v="Ramzan Fest at NEXUS Mall"/>
    <s v="F2F"/>
    <s v="Events"/>
    <x v="19"/>
    <s v="Vedika"/>
    <s v="Popup on 13-3-2026 from Nexus Mall"/>
    <n v="12500"/>
    <n v="12500"/>
    <x v="30"/>
    <x v="0"/>
    <x v="1"/>
    <s v="Closed"/>
    <m/>
    <n v="12500"/>
    <s v="Popup"/>
    <m/>
    <m/>
    <s v="Mar-26"/>
    <n v="11"/>
    <m/>
  </r>
  <r>
    <d v="2026-03-14T00:00:00"/>
    <s v="Ramzan Fest at NEXUS Mall"/>
    <s v="F2F"/>
    <s v="Events"/>
    <x v="19"/>
    <s v="Vedika"/>
    <s v="Popup on 14-3-2026 from Nexus Mall"/>
    <n v="20200"/>
    <n v="20200"/>
    <x v="30"/>
    <x v="0"/>
    <x v="1"/>
    <s v="Closed"/>
    <m/>
    <n v="20200"/>
    <s v="Popup"/>
    <m/>
    <m/>
    <s v="Mar-26"/>
    <n v="11"/>
    <m/>
  </r>
  <r>
    <d v="2026-03-15T00:00:00"/>
    <s v="Ramzan Fest at NEXUS Mall"/>
    <s v="F2F"/>
    <s v="Events"/>
    <x v="19"/>
    <s v="Vedika"/>
    <s v="Popup on 15-3-2026 from Nexus Mall"/>
    <n v="30100"/>
    <n v="30100"/>
    <x v="30"/>
    <x v="0"/>
    <x v="1"/>
    <s v="Closed"/>
    <m/>
    <n v="30100"/>
    <s v="Popup"/>
    <m/>
    <m/>
    <s v="Mar-26"/>
    <n v="11"/>
    <m/>
  </r>
  <r>
    <d v="2026-03-16T00:00:00"/>
    <s v="Haleem Counter at Infosys Pocharam"/>
    <s v="Call"/>
    <s v="Corporate"/>
    <x v="0"/>
    <s v="Sathya"/>
    <s v="Haleem popup on 16-03-2026"/>
    <n v="3116"/>
    <n v="3116"/>
    <x v="30"/>
    <x v="0"/>
    <x v="1"/>
    <s v="Closed"/>
    <m/>
    <n v="3116"/>
    <s v="Popup"/>
    <m/>
    <m/>
    <s v="Mar-26"/>
    <n v="12"/>
    <m/>
  </r>
  <r>
    <d v="2026-03-16T00:00:00"/>
    <s v="ADP (compass)"/>
    <s v="Call"/>
    <s v="Corporate"/>
    <x v="0"/>
    <s v="Kaustubh"/>
    <s v="Popup on 16-3-2026 from Kukatpally"/>
    <n v="45500"/>
    <n v="45500"/>
    <x v="30"/>
    <x v="0"/>
    <x v="1"/>
    <s v="Closed"/>
    <m/>
    <n v="45500"/>
    <s v="Popup"/>
    <m/>
    <m/>
    <s v="Mar-26"/>
    <n v="12"/>
    <m/>
  </r>
  <r>
    <d v="2026-03-16T00:00:00"/>
    <s v="Deloitte Towers (Hungerbox)"/>
    <s v="F2F"/>
    <s v="Corporate "/>
    <x v="0"/>
    <s v="Rajender"/>
    <s v="Popup from BHEL on 16-3-2026"/>
    <n v="89650"/>
    <n v="89650"/>
    <x v="30"/>
    <x v="0"/>
    <x v="1"/>
    <s v="Closed"/>
    <m/>
    <n v="0"/>
    <s v="Popup"/>
    <m/>
    <m/>
    <s v="Mar-26"/>
    <n v="12"/>
    <m/>
  </r>
  <r>
    <d v="2026-03-16T00:00:00"/>
    <s v="Accenture HDC3 (Hungerbox)"/>
    <s v="Call"/>
    <s v="Corporate"/>
    <x v="0"/>
    <s v="Pawan"/>
    <s v="Haleem popup  16-03-2026 BHEL"/>
    <n v="64110"/>
    <n v="64110"/>
    <x v="30"/>
    <x v="0"/>
    <x v="1"/>
    <s v="Closed"/>
    <m/>
    <n v="64110"/>
    <s v="Popup"/>
    <m/>
    <m/>
    <s v="Mar-26"/>
    <n v="12"/>
    <m/>
  </r>
  <r>
    <d v="2026-03-16T00:00:00"/>
    <s v="Azad Engineering"/>
    <s v="Call "/>
    <s v="Corporate "/>
    <x v="0"/>
    <s v="Bharath"/>
    <s v="Ramzan Vouchers from Secbad 16-03-2026"/>
    <n v="0"/>
    <n v="0"/>
    <x v="30"/>
    <x v="0"/>
    <x v="1"/>
    <s v="Closed"/>
    <m/>
    <n v="0"/>
    <s v="Bulk Order"/>
    <m/>
    <m/>
    <s v="Mar-26"/>
    <n v="12"/>
    <m/>
  </r>
  <r>
    <d v="2026-03-16T00:00:00"/>
    <s v="Muthoot Finance"/>
    <s v="Call"/>
    <s v="Corporate "/>
    <x v="21"/>
    <s v="Rachna"/>
    <s v="CB from Malkajgiri on 16-3-2026"/>
    <n v="4000"/>
    <n v="4000"/>
    <x v="30"/>
    <x v="0"/>
    <x v="1"/>
    <s v="Closed"/>
    <m/>
    <n v="0"/>
    <s v="Bulk Order"/>
    <m/>
    <m/>
    <s v="Mar-26"/>
    <n v="12"/>
    <m/>
  </r>
  <r>
    <d v="2026-03-17T00:00:00"/>
    <s v="Haleem Counter at Infosys Pocharam"/>
    <s v="Call"/>
    <s v="Corporate"/>
    <x v="0"/>
    <s v="Sathya"/>
    <s v="Haleem popup on 17-03-2026"/>
    <n v="7095"/>
    <n v="7095"/>
    <x v="30"/>
    <x v="0"/>
    <x v="1"/>
    <s v="Closed"/>
    <m/>
    <n v="7095"/>
    <s v="Popup"/>
    <m/>
    <m/>
    <s v="Mar-26"/>
    <n v="12"/>
    <m/>
  </r>
  <r>
    <d v="2026-03-17T00:00:00"/>
    <s v="ADP (compass)"/>
    <s v="Call"/>
    <s v="Corporate"/>
    <x v="0"/>
    <s v="Kaustubh"/>
    <s v="Popup on 17-3-2026 from Kukatpally"/>
    <n v="55000"/>
    <n v="55000"/>
    <x v="30"/>
    <x v="0"/>
    <x v="1"/>
    <s v="Closed"/>
    <m/>
    <n v="55000"/>
    <s v="Popup"/>
    <m/>
    <m/>
    <s v="Mar-26"/>
    <n v="12"/>
    <m/>
  </r>
  <r>
    <d v="2026-03-17T00:00:00"/>
    <s v="Deloitte Towers (Hungerbox)"/>
    <s v="F2F"/>
    <s v="Corporate "/>
    <x v="0"/>
    <s v="Rajender"/>
    <s v="Popup from BHEL on 17-3-2026"/>
    <n v="103090"/>
    <n v="103090"/>
    <x v="30"/>
    <x v="0"/>
    <x v="1"/>
    <s v="Closed"/>
    <m/>
    <n v="0"/>
    <s v="Popup"/>
    <m/>
    <m/>
    <s v="Mar-26"/>
    <n v="12"/>
    <m/>
  </r>
  <r>
    <d v="2026-03-17T00:00:00"/>
    <s v="Accenture HDC3 (Hungerbox)"/>
    <s v="Call"/>
    <s v="Corporate"/>
    <x v="0"/>
    <s v="Pawan"/>
    <s v="Haleem popup  17-03-2026 BHEL"/>
    <n v="67590"/>
    <n v="67590"/>
    <x v="30"/>
    <x v="0"/>
    <x v="1"/>
    <s v="Closed"/>
    <m/>
    <n v="67590"/>
    <s v="Popup"/>
    <m/>
    <m/>
    <s v="Mar-26"/>
    <n v="12"/>
    <m/>
  </r>
  <r>
    <d v="2026-03-17T00:00:00"/>
    <s v="S&amp;P Global (Gokhana)"/>
    <s v="F2F"/>
    <s v="Corporate"/>
    <x v="0"/>
    <s v="Kiran"/>
    <s v="Mutton Haleem on 17-3-2026 IMAX"/>
    <n v="228000"/>
    <n v="228000"/>
    <x v="30"/>
    <x v="0"/>
    <x v="1"/>
    <s v="Closed"/>
    <m/>
    <n v="228000"/>
    <s v="Bulk Order"/>
    <m/>
    <m/>
    <s v="Mar-26"/>
    <n v="12"/>
    <m/>
  </r>
  <r>
    <d v="2026-03-17T00:00:00"/>
    <s v="MGEN (Compass)"/>
    <s v="Call"/>
    <s v="Corporate "/>
    <x v="0"/>
    <s v="Bibekananda"/>
    <s v="CB on 17-3-2026 from Gachibowli"/>
    <n v="9460"/>
    <n v="9460"/>
    <x v="30"/>
    <x v="0"/>
    <x v="1"/>
    <s v="Closed"/>
    <m/>
    <n v="0"/>
    <s v="Bulk Order"/>
    <m/>
    <m/>
    <s v="Mar-26"/>
    <n v="12"/>
    <m/>
  </r>
  <r>
    <d v="2026-03-17T00:00:00"/>
    <s v="Novartis Hitec City (Compass)"/>
    <s v="Call"/>
    <s v="Corporate"/>
    <x v="0"/>
    <s v="Arun"/>
    <s v="Popup on 17-3-2026 from Kukatpally"/>
    <n v="67000"/>
    <n v="67000"/>
    <x v="30"/>
    <x v="0"/>
    <x v="1"/>
    <s v="Closed"/>
    <m/>
    <n v="67000"/>
    <s v="Popup "/>
    <m/>
    <m/>
    <s v="Mar-26"/>
    <n v="12"/>
    <m/>
  </r>
  <r>
    <d v="2026-03-17T00:00:00"/>
    <s v="Novartis Genom Valley (compass)"/>
    <s v="Call"/>
    <s v="Corporate "/>
    <x v="0"/>
    <s v="Srikanth"/>
    <s v="Popup on 17-3-2026 from IMAX"/>
    <n v="32470"/>
    <n v="32470"/>
    <x v="30"/>
    <x v="0"/>
    <x v="1"/>
    <s v="Closed"/>
    <m/>
    <n v="26980"/>
    <s v="Popup"/>
    <m/>
    <m/>
    <s v="Mar-26"/>
    <n v="12"/>
    <m/>
  </r>
  <r>
    <d v="2026-03-17T00:00:00"/>
    <s v="OPTUM 6A (Gokhana) and other"/>
    <s v="Call"/>
    <s v="Corporate"/>
    <x v="0"/>
    <s v="Anil"/>
    <s v="Popup on 17-3-2026 from Gachibowli"/>
    <n v="39900"/>
    <n v="39900"/>
    <x v="30"/>
    <x v="0"/>
    <x v="1"/>
    <s v="Closed"/>
    <m/>
    <n v="39900"/>
    <s v="Popup"/>
    <m/>
    <m/>
    <s v="Mar-26"/>
    <n v="12"/>
    <m/>
  </r>
  <r>
    <d v="2026-03-18T00:00:00"/>
    <s v="Haleem Counter at Infosys Pocharam"/>
    <s v="Call"/>
    <s v="Corporate"/>
    <x v="0"/>
    <s v="Sathya"/>
    <s v="Haleem popup on 18-03-2026"/>
    <n v="8500"/>
    <n v="8500"/>
    <x v="30"/>
    <x v="0"/>
    <x v="1"/>
    <s v="Closed"/>
    <m/>
    <n v="8500"/>
    <s v="Popup"/>
    <m/>
    <m/>
    <s v="Mar-26"/>
    <n v="12"/>
    <m/>
  </r>
  <r>
    <d v="2026-03-18T00:00:00"/>
    <s v="ADP (compass)"/>
    <s v="Call"/>
    <s v="Corporate"/>
    <x v="0"/>
    <s v="Kaustubh"/>
    <s v="Popup on 18-3-2026 from Kukatpally"/>
    <n v="54200"/>
    <n v="54200"/>
    <x v="30"/>
    <x v="0"/>
    <x v="1"/>
    <s v="Closed"/>
    <m/>
    <n v="54200"/>
    <s v="Popup"/>
    <m/>
    <m/>
    <s v="Mar-26"/>
    <n v="12"/>
    <m/>
  </r>
  <r>
    <d v="2026-03-18T00:00:00"/>
    <s v="Deloitte Towers (Hungerbox)"/>
    <s v="F2F"/>
    <s v="Corporate "/>
    <x v="0"/>
    <s v="Rajender"/>
    <s v="Popup from BHEL on 18-3-2026"/>
    <n v="56500"/>
    <n v="56500"/>
    <x v="30"/>
    <x v="0"/>
    <x v="1"/>
    <s v="Closed"/>
    <m/>
    <n v="0"/>
    <s v="Popup"/>
    <m/>
    <m/>
    <s v="Mar-26"/>
    <n v="12"/>
    <m/>
  </r>
  <r>
    <d v="2026-03-18T00:00:00"/>
    <s v="Accenture HDC3 (Hungerbox)"/>
    <s v="Call"/>
    <s v="Corporate"/>
    <x v="0"/>
    <s v="Pawan"/>
    <s v="Haleem popup  18-03-2026 BHEL"/>
    <n v="52500"/>
    <n v="52500"/>
    <x v="30"/>
    <x v="0"/>
    <x v="1"/>
    <s v="Closed"/>
    <m/>
    <n v="52500"/>
    <s v="Popup"/>
    <m/>
    <m/>
    <s v="Mar-26"/>
    <n v="12"/>
    <m/>
  </r>
  <r>
    <d v="2026-03-18T00:00:00"/>
    <s v="Novartis Hitec City (Compass)"/>
    <s v="Call"/>
    <s v="Corporate"/>
    <x v="0"/>
    <s v="Arun"/>
    <s v="Popup on 18-3-2026 from Kukatpally"/>
    <n v="56650"/>
    <n v="56650"/>
    <x v="30"/>
    <x v="0"/>
    <x v="1"/>
    <s v="Closed"/>
    <m/>
    <n v="56650"/>
    <s v="Popup "/>
    <m/>
    <m/>
    <s v="Mar-26"/>
    <n v="12"/>
    <m/>
  </r>
  <r>
    <d v="2026-03-18T00:00:00"/>
    <s v="Novartis Genom Valley (compass)"/>
    <s v="Call"/>
    <s v="Corporate "/>
    <x v="0"/>
    <s v="Srikanth"/>
    <s v="Popup on 18-3-2026 from IMAX"/>
    <n v="34200"/>
    <n v="34200"/>
    <x v="30"/>
    <x v="0"/>
    <x v="1"/>
    <s v="Closed"/>
    <m/>
    <n v="34200"/>
    <s v="Popup"/>
    <m/>
    <m/>
    <s v="Mar-26"/>
    <n v="12"/>
    <m/>
  </r>
  <r>
    <d v="2026-03-18T00:00:00"/>
    <s v="Sanofi (Compass)"/>
    <s v="Call"/>
    <s v="Corporate"/>
    <x v="0"/>
    <s v="Varsha"/>
    <s v="Mutt Haleem , Kukatpally on 18-03-2026"/>
    <n v="59500"/>
    <n v="59500"/>
    <x v="30"/>
    <x v="0"/>
    <x v="1"/>
    <s v="Closed"/>
    <m/>
    <n v="59500"/>
    <s v="Bulk Order"/>
    <m/>
    <m/>
    <s v="Mar-26"/>
    <n v="12"/>
    <m/>
  </r>
  <r>
    <d v="2026-03-18T00:00:00"/>
    <s v="Delivery at SEBLR Banglore (Compass)"/>
    <s v="Call"/>
    <s v="Corporate"/>
    <x v="17"/>
    <s v="Saad"/>
    <s v="Delivery on 18-3-2026"/>
    <n v="16729"/>
    <n v="16729"/>
    <x v="30"/>
    <x v="1"/>
    <x v="1"/>
    <s v="Closed"/>
    <m/>
    <n v="0"/>
    <s v="Bulk Order"/>
    <m/>
    <m/>
    <s v="Mar-26"/>
    <n v="12"/>
    <m/>
  </r>
  <r>
    <d v="2026-03-18T00:00:00"/>
    <s v="Delivery at Kukatpally"/>
    <s v="Call "/>
    <s v="Events"/>
    <x v="10"/>
    <s v="Ahmed"/>
    <s v="Delivery of CB &amp; Haleem on 18-3-2026"/>
    <n v="34553"/>
    <n v="34553"/>
    <x v="30"/>
    <x v="1"/>
    <x v="1"/>
    <s v="Closed"/>
    <m/>
    <n v="30000"/>
    <s v="Bulk Order"/>
    <m/>
    <m/>
    <s v="Mar-26"/>
    <n v="12"/>
    <m/>
  </r>
  <r>
    <d v="2026-03-19T00:00:00"/>
    <s v="Accenture HDC3 (Hungerbox)"/>
    <s v="Call"/>
    <s v="Corporate"/>
    <x v="0"/>
    <s v="Pawan"/>
    <s v="Haleem popup  19-03-2026 BHEL"/>
    <n v="32100"/>
    <n v="32100"/>
    <x v="30"/>
    <x v="0"/>
    <x v="1"/>
    <s v="Closed"/>
    <m/>
    <n v="32100"/>
    <s v="Popup"/>
    <m/>
    <m/>
    <s v="Mar-26"/>
    <n v="12"/>
    <m/>
  </r>
  <r>
    <d v="2026-03-20T00:00:00"/>
    <s v="Deloitte Towers (Hungerbox)"/>
    <s v="F2F"/>
    <s v="Corporate "/>
    <x v="0"/>
    <s v="Rajender"/>
    <s v="Popup from BHEL on 20-3-2026"/>
    <n v="36500"/>
    <n v="36500"/>
    <x v="30"/>
    <x v="0"/>
    <x v="1"/>
    <s v="Closed"/>
    <m/>
    <n v="0"/>
    <s v="Popup"/>
    <m/>
    <m/>
    <s v="Mar-26"/>
    <n v="12"/>
    <m/>
  </r>
  <r>
    <d v="2026-03-20T00:00:00"/>
    <s v="Axix Securities"/>
    <s v="Call"/>
    <s v="Corporate"/>
    <x v="21"/>
    <s v="Nilesh"/>
    <s v="Delivery CB on 20-3-2026 from Begumpet"/>
    <n v="6500"/>
    <n v="6500"/>
    <x v="30"/>
    <x v="0"/>
    <x v="1"/>
    <s v="Closed"/>
    <m/>
    <n v="0"/>
    <s v="Bulk Order"/>
    <m/>
    <m/>
    <s v="Mar-26"/>
    <n v="12"/>
    <m/>
  </r>
  <r>
    <d v="2026-03-21T00:00:00"/>
    <s v="Delivery of Haleem at Gudi Malkapur "/>
    <s v="Call "/>
    <s v="Events"/>
    <x v="10"/>
    <s v="Ravi"/>
    <s v="Delivery of Haleem on 21-03-2026"/>
    <n v="7500"/>
    <n v="7500"/>
    <x v="30"/>
    <x v="0"/>
    <x v="1"/>
    <s v="Closed"/>
    <m/>
    <n v="7500"/>
    <s v="Bulk Order"/>
    <m/>
    <m/>
    <s v="Mar-26"/>
    <n v="12"/>
    <m/>
  </r>
  <r>
    <d v="2026-03-22T00:00:00"/>
    <s v="Sanam Band Event at Nexus Mall"/>
    <s v="Call"/>
    <s v="Events"/>
    <x v="30"/>
    <s v="Naveen"/>
    <s v="Popup in event on 22-3-2026 , Begumpet"/>
    <n v="6000"/>
    <n v="6000"/>
    <x v="30"/>
    <x v="0"/>
    <x v="1"/>
    <s v="Closed"/>
    <m/>
    <n v="4000"/>
    <s v="Popup"/>
    <m/>
    <m/>
    <s v="Mar-26"/>
    <n v="12"/>
    <m/>
  </r>
  <r>
    <d v="2026-03-22T00:00:00"/>
    <s v="Indian Army Secundrabad"/>
    <s v="Call "/>
    <s v="Corporate"/>
    <x v="35"/>
    <s v="Rajshekhar"/>
    <s v="CB from Secundrabad on 22-3-2026"/>
    <n v="19000"/>
    <n v="19000"/>
    <x v="30"/>
    <x v="0"/>
    <x v="1"/>
    <s v="Closed"/>
    <m/>
    <n v="0"/>
    <s v="Bulk Order"/>
    <m/>
    <m/>
    <s v="Mar-26"/>
    <n v="12"/>
    <m/>
  </r>
  <r>
    <d v="2026-03-23T00:00:00"/>
    <s v="Accenture Gaar"/>
    <s v="Call"/>
    <s v="Corporate"/>
    <x v="0"/>
    <s v="Ravi"/>
    <s v="Mutt Haleem from Gachabowli 23-3-2026"/>
    <n v="16500"/>
    <n v="16500"/>
    <x v="30"/>
    <x v="0"/>
    <x v="1"/>
    <s v="Closed"/>
    <m/>
    <n v="16500"/>
    <s v="Bulk Order"/>
    <m/>
    <m/>
    <s v="Mar-26"/>
    <n v="13"/>
    <m/>
  </r>
  <r>
    <d v="2026-03-23T00:00:00"/>
    <s v="Aurobindo Reality Sky View ( Hungerbox)"/>
    <s v="Call"/>
    <s v="Corporate"/>
    <x v="17"/>
    <s v="Arvind"/>
    <s v="Popup Counter sharat City 23-03-2026"/>
    <n v="21000"/>
    <n v="21000"/>
    <x v="30"/>
    <x v="0"/>
    <x v="1"/>
    <s v="Closed"/>
    <m/>
    <n v="21000"/>
    <s v="Popup"/>
    <m/>
    <m/>
    <s v="Mar-26"/>
    <n v="13"/>
    <m/>
  </r>
  <r>
    <d v="2026-03-23T00:00:00"/>
    <s v="ADP (compass)"/>
    <s v="Call"/>
    <s v="Corporate"/>
    <x v="0"/>
    <s v="Kaustubh"/>
    <s v="Popup on 23-3-2026 from Kukatpally"/>
    <n v="14000"/>
    <n v="14000"/>
    <x v="30"/>
    <x v="0"/>
    <x v="1"/>
    <s v="Closed"/>
    <m/>
    <n v="14000"/>
    <s v="Popup"/>
    <m/>
    <m/>
    <s v="Mar-26"/>
    <n v="13"/>
    <m/>
  </r>
  <r>
    <d v="2026-03-23T00:00:00"/>
    <s v="Deloitte Towers (Hungerbox)"/>
    <s v="F2F"/>
    <s v="Corporate "/>
    <x v="0"/>
    <s v="Rajender"/>
    <s v="Popup from BHEL on 23-3-2026"/>
    <n v="41600"/>
    <n v="41600"/>
    <x v="30"/>
    <x v="0"/>
    <x v="1"/>
    <s v="Closed"/>
    <m/>
    <n v="41600"/>
    <s v="Popup"/>
    <m/>
    <m/>
    <s v="Mar-26"/>
    <n v="13"/>
    <m/>
  </r>
  <r>
    <d v="2026-03-23T00:00:00"/>
    <s v="Accenture HDC3 (Hungerbox)"/>
    <s v="Call"/>
    <s v="Corporate"/>
    <x v="0"/>
    <s v="Pawan"/>
    <s v="Haleem popup  23-03-2026 BHEL"/>
    <n v="29940"/>
    <n v="29940"/>
    <x v="30"/>
    <x v="0"/>
    <x v="1"/>
    <s v="Closed"/>
    <m/>
    <n v="0"/>
    <s v="Popup"/>
    <m/>
    <m/>
    <s v="Mar-26"/>
    <n v="13"/>
    <m/>
  </r>
  <r>
    <d v="2026-03-24T00:00:00"/>
    <s v="ADP (compass)"/>
    <s v="Call"/>
    <s v="Corporate"/>
    <x v="0"/>
    <s v="Kaustubh"/>
    <s v="Popup on 24-3-2026 from Kukatpally"/>
    <n v="40100"/>
    <n v="40100"/>
    <x v="30"/>
    <x v="0"/>
    <x v="1"/>
    <s v="Closed"/>
    <m/>
    <n v="40100"/>
    <s v="Popup"/>
    <m/>
    <m/>
    <s v="Mar-26"/>
    <n v="13"/>
    <m/>
  </r>
  <r>
    <d v="2026-03-24T00:00:00"/>
    <s v="Deloitte Towers (Hungerbox)"/>
    <s v="F2F"/>
    <s v="Corporate "/>
    <x v="0"/>
    <s v="Rajender"/>
    <s v="Popup from BHEL on 24-3-2026"/>
    <n v="64900"/>
    <n v="64900"/>
    <x v="30"/>
    <x v="0"/>
    <x v="1"/>
    <s v="Closed"/>
    <m/>
    <n v="0"/>
    <s v="Popup"/>
    <m/>
    <m/>
    <s v="Mar-26"/>
    <n v="13"/>
    <m/>
  </r>
  <r>
    <d v="2026-03-24T00:00:00"/>
    <s v="Accenture HDC3 (Hungerbox)"/>
    <s v="Call"/>
    <s v="Corporate"/>
    <x v="0"/>
    <s v="Pawan"/>
    <s v="Haleem popup  24-03-2026 BHEL"/>
    <n v="56330"/>
    <n v="56330"/>
    <x v="30"/>
    <x v="0"/>
    <x v="1"/>
    <s v="Closed"/>
    <m/>
    <n v="56330"/>
    <s v="Popup"/>
    <m/>
    <m/>
    <s v="Mar-26"/>
    <n v="13"/>
    <m/>
  </r>
  <r>
    <d v="2026-03-24T00:00:00"/>
    <s v="Vishal Computers"/>
    <s v="F2F"/>
    <s v="Corporate"/>
    <x v="0"/>
    <s v="Vikash"/>
    <s v="Shared details of Vouchers for gifting"/>
    <n v="0"/>
    <n v="0"/>
    <x v="27"/>
    <x v="0"/>
    <x v="2"/>
    <s v="Hot"/>
    <m/>
    <n v="0"/>
    <s v="Bulk Order"/>
    <m/>
    <m/>
    <s v="Mar-26"/>
    <n v="13"/>
    <m/>
  </r>
  <r>
    <d v="2026-03-25T00:00:00"/>
    <s v="ADP (compass)"/>
    <s v="Call"/>
    <s v="Corporate"/>
    <x v="0"/>
    <s v="Kaustubh"/>
    <s v="Popup on 25-3-2026 from Kukatpally"/>
    <n v="36200"/>
    <n v="36200"/>
    <x v="30"/>
    <x v="0"/>
    <x v="1"/>
    <s v="Closed"/>
    <m/>
    <n v="36200"/>
    <s v="Popup"/>
    <m/>
    <m/>
    <s v="Mar-26"/>
    <n v="13"/>
    <m/>
  </r>
  <r>
    <d v="2026-03-25T00:00:00"/>
    <s v="Deloitte Towers (Hungerbox)"/>
    <s v="F2F"/>
    <s v="Corporate "/>
    <x v="0"/>
    <s v="Rajender"/>
    <s v="Popup from BHEL on 25-3-2026"/>
    <n v="66500"/>
    <n v="66500"/>
    <x v="30"/>
    <x v="0"/>
    <x v="1"/>
    <s v="Closed"/>
    <m/>
    <n v="0"/>
    <s v="Popup"/>
    <m/>
    <m/>
    <s v="Mar-26"/>
    <n v="13"/>
    <m/>
  </r>
  <r>
    <d v="2026-03-25T00:00:00"/>
    <s v="Accenture HDC3 (Hungerbox)"/>
    <s v="Call"/>
    <s v="Corporate"/>
    <x v="0"/>
    <s v="Pawan"/>
    <s v="Haleem popup  25-03-2026 BHEL"/>
    <n v="63370"/>
    <n v="63370"/>
    <x v="30"/>
    <x v="0"/>
    <x v="1"/>
    <s v="Closed"/>
    <m/>
    <n v="63370"/>
    <s v="Popup"/>
    <m/>
    <m/>
    <s v="Mar-26"/>
    <n v="13"/>
    <m/>
  </r>
  <r>
    <d v="2026-03-25T00:00:00"/>
    <s v="Accenture HDC2 (Hungerbox)"/>
    <s v="Call"/>
    <s v="Corporate"/>
    <x v="0"/>
    <s v="Praveen"/>
    <s v="Haleem popup  25-03-2026 Gachibowli"/>
    <n v="13200"/>
    <n v="13200"/>
    <x v="30"/>
    <x v="0"/>
    <x v="1"/>
    <s v="Closed"/>
    <m/>
    <n v="13200"/>
    <s v="Popup"/>
    <m/>
    <m/>
    <s v="Mar-26"/>
    <n v="13"/>
    <m/>
  </r>
  <r>
    <d v="2026-03-25T00:00:00"/>
    <s v="Cognizant Pheonix SEZ"/>
    <s v="Call"/>
    <s v="Corporate"/>
    <x v="0"/>
    <s v="Vikash"/>
    <s v="Haleem Popup on 25-3-2026 Sarath City"/>
    <n v="43490"/>
    <n v="43490"/>
    <x v="30"/>
    <x v="0"/>
    <x v="1"/>
    <s v="Closed"/>
    <m/>
    <n v="43490"/>
    <s v="Popup"/>
    <m/>
    <m/>
    <s v="Mar-26"/>
    <n v="13"/>
    <m/>
  </r>
  <r>
    <d v="2026-03-25T00:00:00"/>
    <s v="Cognizant Mindspace 12A"/>
    <s v="Call"/>
    <s v="Corporate"/>
    <x v="0"/>
    <s v="Mohan"/>
    <s v="Haleem Popup on 25-3-2026 Gachibowli"/>
    <n v="44950"/>
    <n v="44950"/>
    <x v="30"/>
    <x v="0"/>
    <x v="1"/>
    <s v="Closed"/>
    <m/>
    <n v="44950"/>
    <s v="Popup"/>
    <m/>
    <m/>
    <s v="Mar-26"/>
    <n v="13"/>
    <m/>
  </r>
  <r>
    <d v="2026-03-25T00:00:00"/>
    <s v="BMS (Compass)"/>
    <s v="F2F"/>
    <s v="Corporate "/>
    <x v="0"/>
    <s v="Suman"/>
    <s v="Veg, Chicken Biryani 25-3-2025 Hitec City"/>
    <n v="61900"/>
    <n v="61900"/>
    <x v="30"/>
    <x v="0"/>
    <x v="1"/>
    <s v="Closed"/>
    <m/>
    <n v="0"/>
    <s v="Bulk Order"/>
    <m/>
    <m/>
    <s v="Mar-26"/>
    <n v="13"/>
    <m/>
  </r>
  <r>
    <d v="2026-03-25T00:00:00"/>
    <s v="Cognizant Mindspace 20B"/>
    <s v="Call"/>
    <s v="Corporate"/>
    <x v="0"/>
    <s v="Mohan"/>
    <s v="Haleem Popup on 25-3-2026 Gachibowli"/>
    <n v="13200"/>
    <n v="13200"/>
    <x v="30"/>
    <x v="0"/>
    <x v="1"/>
    <s v="Closed"/>
    <m/>
    <n v="13200"/>
    <s v="Popup"/>
    <m/>
    <m/>
    <s v="Mar-26"/>
    <n v="13"/>
    <m/>
  </r>
  <r>
    <d v="2026-03-25T00:00:00"/>
    <s v="F5 (Smart Q)"/>
    <s v="F2F"/>
    <s v="Corporate"/>
    <x v="0"/>
    <s v="Bharath"/>
    <s v="Haleem Biryani on 25-3-2026 Begumpet"/>
    <n v="219195"/>
    <n v="219195"/>
    <x v="30"/>
    <x v="0"/>
    <x v="1"/>
    <s v="Closed"/>
    <m/>
    <n v="219195"/>
    <s v="Bulk Order"/>
    <m/>
    <m/>
    <s v="Mar-26"/>
    <n v="13"/>
    <m/>
  </r>
  <r>
    <d v="2026-03-25T00:00:00"/>
    <s v="Delivery at SEBLR Banglore (Compass)"/>
    <s v="Call"/>
    <s v="Corporate"/>
    <x v="17"/>
    <s v="Saad"/>
    <s v="Delivery on 25-3-2026 from HSR"/>
    <n v="22456"/>
    <n v="22456"/>
    <x v="30"/>
    <x v="1"/>
    <x v="1"/>
    <s v="Closed"/>
    <m/>
    <n v="0"/>
    <s v="Bulk Order"/>
    <m/>
    <m/>
    <s v="Mar-26"/>
    <n v="13"/>
    <m/>
  </r>
  <r>
    <d v="2026-03-26T00:00:00"/>
    <s v="ADP (compass)"/>
    <s v="Call"/>
    <s v="Corporate"/>
    <x v="0"/>
    <s v="Kaustubh"/>
    <s v="Popup on 26-3-2026 from Kukatpally"/>
    <n v="22750"/>
    <n v="22750"/>
    <x v="30"/>
    <x v="0"/>
    <x v="1"/>
    <s v="Closed"/>
    <m/>
    <n v="22750"/>
    <s v="Popup"/>
    <m/>
    <m/>
    <s v="Mar-26"/>
    <n v="13"/>
    <m/>
  </r>
  <r>
    <d v="2026-03-26T00:00:00"/>
    <s v="Deloitte Towers (Hungerbox)"/>
    <s v="F2F"/>
    <s v="Corporate "/>
    <x v="0"/>
    <s v="Rajender"/>
    <s v="Popup from BHEL on 26-3-2026"/>
    <n v="65930"/>
    <n v="65930"/>
    <x v="30"/>
    <x v="0"/>
    <x v="1"/>
    <s v="Closed"/>
    <m/>
    <n v="0"/>
    <s v="Popup"/>
    <m/>
    <m/>
    <s v="Mar-26"/>
    <n v="13"/>
    <m/>
  </r>
  <r>
    <d v="2026-03-26T00:00:00"/>
    <s v="Accenture HDC3 (Hungerbox)"/>
    <s v="Call"/>
    <s v="Corporate"/>
    <x v="0"/>
    <s v="Pawan"/>
    <s v="Haleem popup  26-03-2026 BHEL"/>
    <n v="87500"/>
    <n v="87500"/>
    <x v="30"/>
    <x v="0"/>
    <x v="1"/>
    <s v="Closed"/>
    <m/>
    <n v="87500"/>
    <s v="Popup"/>
    <m/>
    <m/>
    <s v="Mar-26"/>
    <n v="13"/>
    <m/>
  </r>
  <r>
    <d v="2026-03-26T00:00:00"/>
    <s v="Cognizant Pheonix SEZ"/>
    <s v="Call"/>
    <s v="Corporate"/>
    <x v="0"/>
    <s v="Vikash"/>
    <s v="Haleem Popup on 26-3-2026 Sarath City"/>
    <n v="39400"/>
    <n v="39400"/>
    <x v="30"/>
    <x v="0"/>
    <x v="1"/>
    <s v="Closed"/>
    <m/>
    <n v="39400"/>
    <s v="Popup"/>
    <m/>
    <m/>
    <s v="Mar-26"/>
    <n v="13"/>
    <m/>
  </r>
  <r>
    <d v="2026-03-26T00:00:00"/>
    <s v="Cognizant Mindspace 12A"/>
    <s v="Call"/>
    <s v="Corporate"/>
    <x v="0"/>
    <s v="Mohan"/>
    <s v="Haleem Popup on 26-3-2026 Gachibowli"/>
    <n v="70635"/>
    <n v="70635"/>
    <x v="30"/>
    <x v="0"/>
    <x v="1"/>
    <s v="Closed"/>
    <m/>
    <n v="70635"/>
    <s v="Popup"/>
    <m/>
    <m/>
    <s v="Mar-26"/>
    <n v="13"/>
    <m/>
  </r>
  <r>
    <d v="2026-03-26T00:00:00"/>
    <s v="Cognizant Mindspace 20B"/>
    <s v="Call"/>
    <s v="Corporate"/>
    <x v="0"/>
    <s v="Mohan"/>
    <s v="Haleem Popup on 26-3-2026 Gachibowli"/>
    <n v="30273"/>
    <n v="30273"/>
    <x v="30"/>
    <x v="0"/>
    <x v="1"/>
    <s v="Closed"/>
    <m/>
    <n v="30273"/>
    <s v="Popup"/>
    <m/>
    <m/>
    <s v="Mar-26"/>
    <n v="13"/>
    <m/>
  </r>
  <r>
    <d v="2026-03-27T00:00:00"/>
    <s v="ADP (compass)"/>
    <s v="Call"/>
    <s v="Corporate"/>
    <x v="0"/>
    <s v="Kaustubh"/>
    <s v="Popup on 27-3-2026 from Kukatpally"/>
    <n v="16510"/>
    <n v="16510"/>
    <x v="30"/>
    <x v="0"/>
    <x v="1"/>
    <s v="Closed"/>
    <m/>
    <n v="16510"/>
    <s v="Popup"/>
    <m/>
    <m/>
    <s v="Mar-26"/>
    <n v="13"/>
    <m/>
  </r>
  <r>
    <d v="2026-03-27T00:00:00"/>
    <s v="Deloitte Towers (Hungerbox)"/>
    <s v="F2F"/>
    <s v="Corporate "/>
    <x v="0"/>
    <s v="Rajender"/>
    <s v="Popup from BHEL on 27-3-2026"/>
    <n v="38100"/>
    <n v="38100"/>
    <x v="30"/>
    <x v="0"/>
    <x v="1"/>
    <s v="Closed"/>
    <m/>
    <n v="0"/>
    <s v="Popup"/>
    <m/>
    <m/>
    <s v="Mar-26"/>
    <n v="13"/>
    <m/>
  </r>
  <r>
    <d v="2026-03-27T00:00:00"/>
    <s v="Accenture HDC3 (Hungerbox)"/>
    <s v="Call"/>
    <s v="Corporate"/>
    <x v="0"/>
    <s v="Pawan"/>
    <s v="Haleem popup  26-03-2026 BHEL"/>
    <n v="48160"/>
    <n v="48160"/>
    <x v="30"/>
    <x v="0"/>
    <x v="1"/>
    <s v="Closed"/>
    <m/>
    <n v="48160"/>
    <s v="Popup"/>
    <m/>
    <m/>
    <s v="Mar-26"/>
    <n v="13"/>
    <m/>
  </r>
  <r>
    <d v="2026-03-27T00:00:00"/>
    <s v="Cognizant Pheonix SEZ"/>
    <s v="Call"/>
    <s v="Corporate"/>
    <x v="0"/>
    <s v="Vikash"/>
    <s v="Haleem Popup on 27-3-2026 Sarath City"/>
    <n v="16430"/>
    <n v="16430"/>
    <x v="30"/>
    <x v="0"/>
    <x v="1"/>
    <s v="Closed"/>
    <m/>
    <n v="16430"/>
    <s v="Popup"/>
    <m/>
    <m/>
    <s v="Mar-26"/>
    <n v="13"/>
    <m/>
  </r>
  <r>
    <d v="2026-03-27T00:00:00"/>
    <s v="Cognizant Mindspace 12A"/>
    <s v="Call"/>
    <s v="Corporate"/>
    <x v="0"/>
    <s v="Mohan"/>
    <s v="Haleem Popup on 27-3-2026 Gachibowli"/>
    <n v="21413"/>
    <n v="21413"/>
    <x v="30"/>
    <x v="0"/>
    <x v="1"/>
    <s v="Closed"/>
    <m/>
    <n v="21413"/>
    <s v="Popup"/>
    <m/>
    <m/>
    <s v="Mar-26"/>
    <n v="13"/>
    <m/>
  </r>
  <r>
    <d v="2026-03-27T00:00:00"/>
    <s v="Cognizant Mindspace 20B"/>
    <s v="Call"/>
    <s v="Corporate"/>
    <x v="0"/>
    <s v="Mohan"/>
    <s v="Haleem Popup on 27-3-2026 Gachibowli"/>
    <n v="9175"/>
    <n v="9175"/>
    <x v="30"/>
    <x v="0"/>
    <x v="1"/>
    <s v="Closed"/>
    <m/>
    <n v="9175"/>
    <s v="Popup"/>
    <m/>
    <m/>
    <s v="Mar-26"/>
    <n v="13"/>
    <m/>
  </r>
  <r>
    <d v="2026-03-28T00:00:00"/>
    <s v="Dine in at IMAX"/>
    <s v="Call"/>
    <s v="Events"/>
    <x v="10"/>
    <s v="Sirish"/>
    <s v="Dine in IMAX in 28-3-2026"/>
    <n v="6500"/>
    <n v="6500"/>
    <x v="30"/>
    <x v="0"/>
    <x v="1"/>
    <s v="Closed"/>
    <m/>
    <n v="0"/>
    <s v="Bulk Order"/>
    <m/>
    <m/>
    <s v="Mar-26"/>
    <n v="13"/>
    <m/>
  </r>
  <r>
    <d v="2026-03-29T00:00:00"/>
    <s v="Dine in at Secundrabad"/>
    <s v="Call"/>
    <s v="Events"/>
    <x v="10"/>
    <s v="Arun"/>
    <s v="Dine in Secundrabad on 29-3-2026"/>
    <n v="18500"/>
    <n v="18500"/>
    <x v="30"/>
    <x v="0"/>
    <x v="1"/>
    <s v="Closed"/>
    <m/>
    <n v="0"/>
    <s v="Bulk Order"/>
    <m/>
    <m/>
    <s v="Mar-26"/>
    <n v="13"/>
    <m/>
  </r>
  <r>
    <d v="2026-03-30T00:00:00"/>
    <s v="Accenture HDC2 (Hungerbox)"/>
    <s v="Call"/>
    <s v="Corporate"/>
    <x v="0"/>
    <s v="Praveen"/>
    <s v="Haleem popup  30-03-2026 Gudimalkapur"/>
    <n v="8700"/>
    <n v="8700"/>
    <x v="30"/>
    <x v="0"/>
    <x v="1"/>
    <s v="Closed"/>
    <m/>
    <n v="8700"/>
    <s v="Popup"/>
    <m/>
    <m/>
    <s v="Mar-26"/>
    <n v="14"/>
    <m/>
  </r>
  <r>
    <d v="2026-03-30T00:00:00"/>
    <s v="Deloitte Towers (Hungerbox)"/>
    <s v="F2F"/>
    <s v="Corporate "/>
    <x v="0"/>
    <s v="Rajender"/>
    <s v="Popup from BHEL on 30-3-2026"/>
    <n v="42780"/>
    <n v="42780"/>
    <x v="30"/>
    <x v="0"/>
    <x v="1"/>
    <s v="Closed"/>
    <m/>
    <n v="0"/>
    <s v="Popup"/>
    <m/>
    <m/>
    <s v="Mar-26"/>
    <n v="14"/>
    <m/>
  </r>
  <r>
    <d v="2026-03-31T00:00:00"/>
    <s v="Accenture HDC2 (Hungerbox)"/>
    <s v="Call"/>
    <s v="Corporate"/>
    <x v="0"/>
    <s v="Praveen"/>
    <s v="Haleem popup  31-03-2026 Gudimalkapur"/>
    <n v="10200"/>
    <n v="10200"/>
    <x v="30"/>
    <x v="0"/>
    <x v="1"/>
    <s v="Closed"/>
    <m/>
    <n v="0"/>
    <s v="Popup"/>
    <m/>
    <m/>
    <s v="Mar-26"/>
    <n v="14"/>
    <m/>
  </r>
  <r>
    <d v="2026-03-31T00:00:00"/>
    <s v="Deloitte Towers (Hungerbox)"/>
    <s v="F2F"/>
    <s v="Corporate "/>
    <x v="0"/>
    <s v="Rajender"/>
    <s v="Popup from BHEL on 30-3-2026"/>
    <n v="66650"/>
    <n v="66650"/>
    <x v="30"/>
    <x v="0"/>
    <x v="1"/>
    <s v="Closed"/>
    <m/>
    <n v="0"/>
    <s v="Popup"/>
    <m/>
    <m/>
    <s v="Mar-26"/>
    <n v="14"/>
    <m/>
  </r>
  <r>
    <d v="2026-03-31T00:00:00"/>
    <s v="EA Sports (Compass)"/>
    <s v="F2F"/>
    <s v="Corporate"/>
    <x v="0"/>
    <s v="Sandeep"/>
    <s v="Popup on 31-3-2026 Gachibowli"/>
    <n v="115000"/>
    <n v="115000"/>
    <x v="30"/>
    <x v="0"/>
    <x v="1"/>
    <s v="Closed"/>
    <m/>
    <n v="0"/>
    <s v="Popup"/>
    <m/>
    <m/>
    <s v="Mar-26"/>
    <n v="14"/>
    <m/>
  </r>
  <r>
    <d v="2026-03-31T00:00:00"/>
    <s v="Cognizant GAR ( Smart Q )"/>
    <s v="F2F"/>
    <s v="Corporate"/>
    <x v="0"/>
    <s v="Samruddhi"/>
    <s v="Popup on 31-3-2026"/>
    <n v="39800"/>
    <n v="39800"/>
    <x v="30"/>
    <x v="0"/>
    <x v="1"/>
    <s v="Closed"/>
    <m/>
    <n v="0"/>
    <s v="Popup"/>
    <m/>
    <m/>
    <s v="Mar-26"/>
    <n v="14"/>
    <m/>
  </r>
  <r>
    <d v="2026-04-01T00:00:00"/>
    <s v="Accenture HDC2 (Hungerbox)"/>
    <s v="Call"/>
    <s v="Corporate"/>
    <x v="0"/>
    <s v="Praveen"/>
    <s v="Haleem popup  1-04-2026 Gudimalkapur"/>
    <n v="7200"/>
    <n v="7200"/>
    <x v="27"/>
    <x v="0"/>
    <x v="1"/>
    <s v="Closed"/>
    <m/>
    <n v="0"/>
    <s v="Popup Counter"/>
    <m/>
    <m/>
    <s v="Apr-26"/>
    <n v="14"/>
    <m/>
  </r>
  <r>
    <d v="2026-04-01T00:00:00"/>
    <s v="Deloitte Towers (Hungerbox)"/>
    <s v="F2F"/>
    <s v="Corporate "/>
    <x v="0"/>
    <s v="Rajender"/>
    <s v="Popup from BHEL on 01-4-2026"/>
    <n v="72790"/>
    <n v="72790"/>
    <x v="27"/>
    <x v="0"/>
    <x v="1"/>
    <s v="Closed"/>
    <m/>
    <n v="0"/>
    <s v="Popup Counter"/>
    <m/>
    <m/>
    <s v="Apr-26"/>
    <n v="14"/>
    <m/>
  </r>
  <r>
    <d v="2026-04-01T00:00:00"/>
    <s v="Cognizant GAR ( Smart Q )"/>
    <s v="F2F"/>
    <s v="Corporate"/>
    <x v="0"/>
    <s v="Samruddhi"/>
    <s v="Popup on 1-4-2026"/>
    <n v="38810"/>
    <n v="38810"/>
    <x v="27"/>
    <x v="0"/>
    <x v="1"/>
    <s v="Closed"/>
    <m/>
    <n v="0"/>
    <s v="Popup Counter"/>
    <m/>
    <m/>
    <s v="Apr-26"/>
    <n v="14"/>
    <m/>
  </r>
  <r>
    <d v="2026-04-01T00:00:00"/>
    <s v="Delivery at SEBLR Banglore (Compass)"/>
    <s v="Call"/>
    <s v="Corporate"/>
    <x v="17"/>
    <s v="Saad"/>
    <s v="Delivery on 1-4-2026 from HSR"/>
    <n v="22456"/>
    <n v="22456"/>
    <x v="27"/>
    <x v="1"/>
    <x v="1"/>
    <s v="Closed"/>
    <m/>
    <n v="0"/>
    <s v="Bulk Order"/>
    <m/>
    <m/>
    <s v="Apr-26"/>
    <n v="14"/>
    <m/>
  </r>
  <r>
    <d v="2026-04-01T00:00:00"/>
    <s v="BMS (Compass)"/>
    <s v="Call"/>
    <s v="Corporate"/>
    <x v="17"/>
    <s v="Suman"/>
    <s v="CB , VB on 1-4-2026 from Hitec"/>
    <n v="54200"/>
    <n v="54200"/>
    <x v="27"/>
    <x v="0"/>
    <x v="1"/>
    <s v="Closed"/>
    <m/>
    <n v="0"/>
    <s v="Bulk Order"/>
    <m/>
    <m/>
    <s v="Apr-26"/>
    <n v="14"/>
    <m/>
  </r>
  <r>
    <d v="2026-04-02T00:00:00"/>
    <s v="Deloitte Towers (Hungerbox)"/>
    <s v="F2F"/>
    <s v="Corporate "/>
    <x v="17"/>
    <s v="Rajender"/>
    <s v="Popup from BHEL on 02-4-2026  "/>
    <n v="48640"/>
    <n v="48640"/>
    <x v="27"/>
    <x v="0"/>
    <x v="1"/>
    <s v="Closed"/>
    <m/>
    <n v="0"/>
    <s v="Popup Counter"/>
    <m/>
    <m/>
    <s v="Apr-26"/>
    <n v="14"/>
    <m/>
  </r>
  <r>
    <d v="2026-04-02T00:00:00"/>
    <s v="Cognizant GAR ( Smart Q )"/>
    <s v="F2F"/>
    <s v="Corporate"/>
    <x v="17"/>
    <s v="Samruddhi"/>
    <s v="Popup on 2-4-2026"/>
    <n v="42480"/>
    <n v="42480"/>
    <x v="27"/>
    <x v="0"/>
    <x v="1"/>
    <s v="Closed"/>
    <m/>
    <n v="0"/>
    <s v="Popup Counter"/>
    <m/>
    <m/>
    <s v="Apr-26"/>
    <n v="14"/>
    <m/>
  </r>
  <r>
    <d v="2026-04-02T00:00:00"/>
    <s v="Accenture HDC2 (Hungerbox)"/>
    <s v="Call"/>
    <s v="Corporate"/>
    <x v="17"/>
    <s v="Praveen"/>
    <s v="Haleem popup  2-04-2026 Gudimalkapur"/>
    <n v="8500"/>
    <n v="8500"/>
    <x v="27"/>
    <x v="0"/>
    <x v="1"/>
    <s v="Closed"/>
    <m/>
    <n v="0"/>
    <s v="Popup Counter"/>
    <m/>
    <m/>
    <s v="Apr-26"/>
    <n v="14"/>
    <m/>
  </r>
  <r>
    <d v="2026-04-03T00:00:00"/>
    <s v="Accenture HDC4 (Smart Q)"/>
    <s v="Call"/>
    <s v="Corporate"/>
    <x v="17"/>
    <s v="Priyansh"/>
    <s v="popup  3-04-2026 Gachibowli"/>
    <n v="72210"/>
    <n v="72210"/>
    <x v="27"/>
    <x v="0"/>
    <x v="1"/>
    <s v="Closed"/>
    <m/>
    <n v="0"/>
    <s v="Popup Counter"/>
    <m/>
    <m/>
    <s v="Apr-26"/>
    <n v="14"/>
    <m/>
  </r>
  <r>
    <d v="2026-04-03T00:00:00"/>
    <s v="Accenture HDC5 (Smart Q)"/>
    <s v="Call"/>
    <s v="Corporate"/>
    <x v="17"/>
    <s v="Priyansh"/>
    <s v="Popup 3-4-2026 Sarat City 4th Floor"/>
    <n v="19250"/>
    <n v="19250"/>
    <x v="27"/>
    <x v="0"/>
    <x v="1"/>
    <s v="Closed"/>
    <m/>
    <n v="0"/>
    <s v="Popup Counter"/>
    <m/>
    <m/>
    <s v="Apr-26"/>
    <n v="14"/>
    <m/>
  </r>
  <r>
    <d v="2026-04-03T00:00:00"/>
    <s v="Deloitte Towers (Hungerbox)"/>
    <s v="F2F"/>
    <s v="Corporate "/>
    <x v="17"/>
    <s v="Rajender"/>
    <s v="Popup from BHEL on 03-4-2026  "/>
    <n v="50320"/>
    <n v="50320"/>
    <x v="27"/>
    <x v="0"/>
    <x v="1"/>
    <s v="Closed"/>
    <m/>
    <n v="0"/>
    <s v="Popup Counter"/>
    <m/>
    <m/>
    <s v="Apr-26"/>
    <n v="14"/>
    <m/>
  </r>
  <r>
    <d v="2026-04-03T00:00:00"/>
    <s v="Accenture HDC2 (Hungerbox)"/>
    <s v="Call"/>
    <s v="Corporate"/>
    <x v="17"/>
    <s v="Praveen"/>
    <s v="Haleem popup  3-04-2026 Gudimalkapur"/>
    <n v="10200"/>
    <n v="10200"/>
    <x v="27"/>
    <x v="0"/>
    <x v="1"/>
    <s v="Closed"/>
    <m/>
    <n v="0"/>
    <s v="Popup Counter"/>
    <m/>
    <m/>
    <s v="Apr-26"/>
    <n v="14"/>
    <m/>
  </r>
  <r>
    <d v="2026-04-04T00:00:00"/>
    <s v="Medical Expo Hitex (Pinnacle)"/>
    <s v="F2F"/>
    <s v="Corporate"/>
    <x v="5"/>
    <s v="Nawsad"/>
    <s v="Popup at Hitex on 4-4-2026 Hitec City"/>
    <n v="34120"/>
    <n v="34120"/>
    <x v="27"/>
    <x v="0"/>
    <x v="1"/>
    <s v="Closed"/>
    <m/>
    <n v="0"/>
    <s v="Popup Counter"/>
    <m/>
    <m/>
    <s v="Apr-26"/>
    <n v="14"/>
    <m/>
  </r>
  <r>
    <d v="2026-04-04T00:00:00"/>
    <s v="Amgen (Compass)"/>
    <s v="Call"/>
    <s v="Corporate"/>
    <x v="5"/>
    <s v="Bibekananda"/>
    <s v="Delivery of CB from Gachibowli 4-4-2026"/>
    <n v="24800"/>
    <n v="24800"/>
    <x v="27"/>
    <x v="0"/>
    <x v="1"/>
    <s v="Closed"/>
    <m/>
    <n v="0"/>
    <s v="Popup Counter"/>
    <m/>
    <m/>
    <s v="Apr-26"/>
    <n v="14"/>
    <m/>
  </r>
  <r>
    <d v="2026-04-05T00:00:00"/>
    <s v="Delivery at Gachibowli"/>
    <s v="Call"/>
    <s v="Events"/>
    <x v="5"/>
    <s v="Sunita Bomma"/>
    <s v="Delivery of MB"/>
    <n v="8800"/>
    <n v="8800"/>
    <x v="27"/>
    <x v="0"/>
    <x v="1"/>
    <s v="Closed"/>
    <m/>
    <n v="0"/>
    <s v="Popup Counter"/>
    <m/>
    <m/>
    <s v="Apr-26"/>
    <n v="14"/>
    <m/>
  </r>
  <r>
    <d v="2026-04-05T00:00:00"/>
    <s v="Medical Expo Hitex (Pinnacle)"/>
    <s v="Call"/>
    <s v="Corporate"/>
    <x v="17"/>
    <s v="Nawsad"/>
    <s v="Popup at Hitex on 5-4-2026 Hitec City"/>
    <n v="52350"/>
    <n v="52350"/>
    <x v="27"/>
    <x v="0"/>
    <x v="1"/>
    <s v="Closed"/>
    <m/>
    <n v="0"/>
    <s v="Popup Counter"/>
    <m/>
    <m/>
    <s v="Apr-26"/>
    <n v="14"/>
    <m/>
  </r>
  <r>
    <d v="2026-04-06T00:00:00"/>
    <s v="Medical Expo Hitex (Pinnacle)"/>
    <s v="F2F"/>
    <s v="Corporate"/>
    <x v="17"/>
    <s v="Nawsad"/>
    <s v="Popup at Hitex on 6-4-2026 Hitec City"/>
    <n v="27150"/>
    <n v="27150"/>
    <x v="27"/>
    <x v="0"/>
    <x v="1"/>
    <s v="Closed"/>
    <m/>
    <n v="0"/>
    <s v="Popup Counter"/>
    <m/>
    <m/>
    <s v="Apr-26"/>
    <n v="15"/>
    <m/>
  </r>
  <r>
    <d v="2026-04-06T00:00:00"/>
    <s v="Deloitte Towers (Hungerbox)"/>
    <s v="F2F"/>
    <s v="Corporate "/>
    <x v="17"/>
    <s v="Rajender"/>
    <s v="Popup from BHEL on 06-4-2026  "/>
    <n v="33665"/>
    <n v="33665"/>
    <x v="27"/>
    <x v="0"/>
    <x v="1"/>
    <s v="Closed"/>
    <m/>
    <n v="0"/>
    <s v="Popup Counter"/>
    <m/>
    <m/>
    <s v="Apr-26"/>
    <n v="15"/>
    <m/>
  </r>
  <r>
    <d v="2026-04-07T00:00:00"/>
    <s v="Accenture HDC4 (Smart Q)"/>
    <s v="Call"/>
    <s v="Corporate"/>
    <x v="17"/>
    <s v="Priyansh"/>
    <s v="popup  7-04-2026 Gachibowli"/>
    <n v="57290"/>
    <n v="57290"/>
    <x v="27"/>
    <x v="0"/>
    <x v="1"/>
    <s v="Closed"/>
    <m/>
    <n v="0"/>
    <s v="Popup Counter"/>
    <m/>
    <m/>
    <s v="Apr-26"/>
    <n v="15"/>
    <m/>
  </r>
  <r>
    <d v="2026-04-07T00:00:00"/>
    <s v="Accenture HDC5 (Smart Q)"/>
    <s v="Call"/>
    <s v="Corporate"/>
    <x v="17"/>
    <s v="Priyansh"/>
    <s v="Popup 7-4-2026 Sarat City 4th Floor"/>
    <n v="21980"/>
    <n v="21980"/>
    <x v="27"/>
    <x v="0"/>
    <x v="1"/>
    <s v="Closed"/>
    <m/>
    <n v="0"/>
    <s v="Popup Counter"/>
    <m/>
    <m/>
    <s v="Apr-26"/>
    <n v="15"/>
    <m/>
  </r>
  <r>
    <d v="2026-04-07T00:00:00"/>
    <s v="Deloitte Towers (Hungerbox)"/>
    <s v="F2F"/>
    <s v="Corporate "/>
    <x v="17"/>
    <s v="Rajender"/>
    <s v="Popup from BHEL on 07-4-2026  "/>
    <n v="57406"/>
    <n v="57406"/>
    <x v="27"/>
    <x v="0"/>
    <x v="1"/>
    <s v="Closed"/>
    <m/>
    <n v="0"/>
    <s v="Popup Counter"/>
    <m/>
    <m/>
    <s v="Apr-26"/>
    <n v="15"/>
    <m/>
  </r>
  <r>
    <d v="2026-04-08T00:00:00"/>
    <s v="Accenture HDC4 (Smart Q)"/>
    <s v="Call"/>
    <s v="Corporate"/>
    <x v="17"/>
    <s v="Priyansh"/>
    <s v="popup  8-04-2026 Gachibowli"/>
    <n v="58360"/>
    <n v="58360"/>
    <x v="27"/>
    <x v="0"/>
    <x v="1"/>
    <s v="Closed"/>
    <m/>
    <n v="0"/>
    <s v="Popup Counter"/>
    <m/>
    <m/>
    <s v="Apr-26"/>
    <n v="15"/>
    <m/>
  </r>
  <r>
    <d v="2026-04-08T00:00:00"/>
    <s v="Accenture HDC5 (Smart Q)"/>
    <s v="Call"/>
    <s v="Corporate"/>
    <x v="17"/>
    <s v="Priyansh"/>
    <s v="Popup 8-4-2026 Sarat City 4th Floor"/>
    <n v="16140"/>
    <n v="16140"/>
    <x v="27"/>
    <x v="0"/>
    <x v="1"/>
    <s v="Closed"/>
    <m/>
    <n v="0"/>
    <s v="Popup Counter"/>
    <m/>
    <m/>
    <s v="Apr-26"/>
    <n v="15"/>
    <m/>
  </r>
  <r>
    <d v="2026-04-08T00:00:00"/>
    <s v="Deloitte Towers (Hungerbox)"/>
    <s v="F2F"/>
    <s v="Corporate "/>
    <x v="17"/>
    <s v="Rajender"/>
    <s v="Popup from BHEL on 08-4-2026  "/>
    <n v="61550"/>
    <n v="61550"/>
    <x v="27"/>
    <x v="0"/>
    <x v="1"/>
    <s v="Closed"/>
    <m/>
    <n v="0"/>
    <s v="Popup Counter"/>
    <m/>
    <m/>
    <s v="Apr-26"/>
    <n v="15"/>
    <m/>
  </r>
  <r>
    <d v="2026-04-08T00:00:00"/>
    <s v="Delivery at SEBLR Banglore (Compass)"/>
    <s v="Call"/>
    <s v="Corporate"/>
    <x v="17"/>
    <s v="Saad"/>
    <s v="Delivery on 8-4-2026 from HSR"/>
    <n v="22456"/>
    <n v="22456"/>
    <x v="27"/>
    <x v="1"/>
    <x v="1"/>
    <s v="Closed"/>
    <m/>
    <n v="0"/>
    <s v="Bulk Order"/>
    <m/>
    <m/>
    <s v="Apr-26"/>
    <n v="15"/>
    <m/>
  </r>
  <r>
    <d v="2026-04-09T00:00:00"/>
    <s v="Accenture HDC4 (Smart Q)"/>
    <s v="Call"/>
    <s v="Corporate"/>
    <x v="17"/>
    <s v="Priyansh"/>
    <s v="popup  9-04-2026 Gachibowli"/>
    <n v="70450"/>
    <n v="70450"/>
    <x v="27"/>
    <x v="0"/>
    <x v="1"/>
    <s v="Closed"/>
    <m/>
    <n v="0"/>
    <s v="Popup Counter"/>
    <m/>
    <m/>
    <s v="Apr-26"/>
    <n v="15"/>
    <m/>
  </r>
  <r>
    <d v="2026-04-09T00:00:00"/>
    <s v="Accenture HDC5 (Smart Q)"/>
    <s v="Call"/>
    <s v="Corporate"/>
    <x v="17"/>
    <s v="Priyansh"/>
    <s v="Popup 9-4-2026 Sarat City 4th Floor"/>
    <n v="17320"/>
    <n v="17320"/>
    <x v="27"/>
    <x v="0"/>
    <x v="1"/>
    <s v="Closed"/>
    <m/>
    <n v="0"/>
    <s v="Popup Counter"/>
    <m/>
    <m/>
    <s v="Apr-26"/>
    <n v="15"/>
    <m/>
  </r>
  <r>
    <d v="2026-04-09T00:00:00"/>
    <s v="Deloitte Towers (Hungerbox)"/>
    <s v="F2F"/>
    <s v="Corporate "/>
    <x v="17"/>
    <s v="Rajender"/>
    <s v="Popup from BHEL on 09-4-2026  "/>
    <n v="63812"/>
    <n v="63812"/>
    <x v="27"/>
    <x v="0"/>
    <x v="1"/>
    <s v="Closed"/>
    <m/>
    <n v="0"/>
    <s v="Popup Counter"/>
    <m/>
    <m/>
    <s v="Apr-26"/>
    <n v="15"/>
    <m/>
  </r>
  <r>
    <d v="2026-04-10T00:00:00"/>
    <s v="Accenture HDC4 (Smart Q)"/>
    <s v="Call"/>
    <s v="Corporate"/>
    <x v="17"/>
    <s v="Priyansh"/>
    <s v="popup  10-04-2026 Gachibowli"/>
    <n v="83720"/>
    <n v="83720"/>
    <x v="27"/>
    <x v="0"/>
    <x v="1"/>
    <s v="Closed"/>
    <m/>
    <n v="0"/>
    <s v="Popup Counter"/>
    <m/>
    <m/>
    <s v="Apr-26"/>
    <n v="15"/>
    <m/>
  </r>
  <r>
    <d v="2026-04-10T00:00:00"/>
    <s v="Accenture HDC5 (Smart Q)"/>
    <s v="Call"/>
    <s v="Corporate"/>
    <x v="17"/>
    <s v="Priyansh"/>
    <s v="Popup 10-4-2026 Sarat City 4th Floor"/>
    <n v="19120"/>
    <n v="19120"/>
    <x v="27"/>
    <x v="0"/>
    <x v="1"/>
    <s v="Closed"/>
    <m/>
    <n v="0"/>
    <s v="Popup Counter"/>
    <m/>
    <m/>
    <s v="Apr-26"/>
    <n v="15"/>
    <m/>
  </r>
  <r>
    <d v="2026-04-10T00:00:00"/>
    <s v="Deloitte Towers (Hungerbox)"/>
    <s v="F2F"/>
    <s v="Corporate "/>
    <x v="17"/>
    <s v="Rajender"/>
    <s v="Popup from BHEL on 10-4-2026  "/>
    <n v="49754"/>
    <n v="49754"/>
    <x v="27"/>
    <x v="0"/>
    <x v="1"/>
    <s v="Closed"/>
    <m/>
    <n v="0"/>
    <s v="Popup Counter"/>
    <m/>
    <m/>
    <s v="Apr-26"/>
    <n v="15"/>
    <m/>
  </r>
  <r>
    <d v="2026-04-11T00:00:00"/>
    <s v="Delivery at BHEL"/>
    <s v="Call"/>
    <s v="Events"/>
    <x v="10"/>
    <s v="Sunita"/>
    <s v="Delivery of CB 12-04-2026 BHEL"/>
    <n v="6500"/>
    <n v="6500"/>
    <x v="27"/>
    <x v="0"/>
    <x v="1"/>
    <s v="Closed"/>
    <m/>
    <n v="0"/>
    <s v="Bulk Order"/>
    <m/>
    <m/>
    <s v="Apr-26"/>
    <n v="15"/>
    <m/>
  </r>
  <r>
    <d v="2026-04-13T00:00:00"/>
    <s v="Take away from Gachibowli"/>
    <s v="Call"/>
    <s v="Events "/>
    <x v="10"/>
    <s v="Hari Prasad"/>
    <s v="Delivery of CB 13-4-2026 Gachibowli"/>
    <n v="16500"/>
    <n v="16500"/>
    <x v="27"/>
    <x v="0"/>
    <x v="1"/>
    <s v="Closed"/>
    <m/>
    <n v="0"/>
    <s v="Bulk Order"/>
    <m/>
    <m/>
    <s v="Apr-26"/>
    <n v="16"/>
    <m/>
  </r>
  <r>
    <d v="2026-04-13T00:00:00"/>
    <s v="Accenture HDC4 (Smart Q)"/>
    <s v="Call"/>
    <s v="Corporate"/>
    <x v="17"/>
    <s v="Priyansh"/>
    <s v="popup  13-04-2026 Gachibowli"/>
    <n v="40960"/>
    <n v="40960"/>
    <x v="27"/>
    <x v="0"/>
    <x v="1"/>
    <s v="Closed"/>
    <m/>
    <n v="0"/>
    <s v="Popup Counter"/>
    <m/>
    <m/>
    <s v="Apr-26"/>
    <n v="16"/>
    <m/>
  </r>
  <r>
    <d v="2026-04-13T00:00:00"/>
    <s v="Accenture HDC5 (Smart Q)"/>
    <s v="Call"/>
    <s v="Corporate"/>
    <x v="17"/>
    <s v="Priyansh"/>
    <s v="Popup 13-4-2026 Sarat City 4th Floor"/>
    <n v="9440"/>
    <n v="9440"/>
    <x v="27"/>
    <x v="0"/>
    <x v="1"/>
    <s v="Closed"/>
    <m/>
    <n v="0"/>
    <s v="Popup Counter"/>
    <m/>
    <m/>
    <s v="Apr-26"/>
    <n v="16"/>
    <m/>
  </r>
  <r>
    <d v="2026-04-14T00:00:00"/>
    <s v="Accenture HDC4 (Smart Q)"/>
    <s v="Call"/>
    <s v="Corporate"/>
    <x v="17"/>
    <s v="Priyansh"/>
    <s v="popup  14-04-2026 Gachibowli"/>
    <n v="45220"/>
    <n v="45220"/>
    <x v="27"/>
    <x v="0"/>
    <x v="1"/>
    <s v="Closed"/>
    <m/>
    <n v="0"/>
    <s v="Popup Counter"/>
    <m/>
    <m/>
    <s v="Apr-26"/>
    <n v="16"/>
    <m/>
  </r>
  <r>
    <d v="2026-04-14T00:00:00"/>
    <s v="Accenture HDC5 (Smart Q)"/>
    <s v="Call"/>
    <s v="Corporate"/>
    <x v="17"/>
    <s v="Priyansh"/>
    <s v="Popup 14-4-2026 Sarat City 4th Floor"/>
    <n v="17180"/>
    <n v="17180"/>
    <x v="27"/>
    <x v="0"/>
    <x v="1"/>
    <s v="Closed"/>
    <m/>
    <n v="0"/>
    <s v="Popup Counter"/>
    <m/>
    <m/>
    <s v="Apr-26"/>
    <n v="16"/>
    <m/>
  </r>
  <r>
    <d v="2026-04-15T00:00:00"/>
    <s v="Accenture HDC3 (Hungerbox)"/>
    <s v="Call"/>
    <s v="Corporate"/>
    <x v="0"/>
    <s v="Pawan"/>
    <s v="Haleem popup  15-04-2026 BHEL"/>
    <n v="19150"/>
    <n v="19150"/>
    <x v="27"/>
    <x v="0"/>
    <x v="1"/>
    <s v="Closed"/>
    <m/>
    <n v="0"/>
    <s v="Popup Counter"/>
    <m/>
    <m/>
    <s v="Apr-26"/>
    <n v="16"/>
    <m/>
  </r>
  <r>
    <d v="2026-04-15T00:00:00"/>
    <s v="Accenture HDC4 (Smart Q)"/>
    <s v="Call"/>
    <s v="Corporate"/>
    <x v="17"/>
    <s v="Priyansh"/>
    <s v="popup  15-04-2026 Gachibowli"/>
    <n v="54120"/>
    <n v="54120"/>
    <x v="27"/>
    <x v="0"/>
    <x v="1"/>
    <s v="Closed"/>
    <m/>
    <n v="0"/>
    <s v="Popup Counter"/>
    <m/>
    <m/>
    <s v="Apr-26"/>
    <n v="16"/>
    <m/>
  </r>
  <r>
    <d v="2026-04-15T00:00:00"/>
    <s v="Accenture HDC5 (Smart Q)"/>
    <s v="Call"/>
    <s v="Corporate"/>
    <x v="17"/>
    <s v="Priyansh"/>
    <s v="Popup 15-4-2026 Sarat City 4th Floor"/>
    <n v="18500"/>
    <n v="18500"/>
    <x v="27"/>
    <x v="0"/>
    <x v="1"/>
    <s v="Closed"/>
    <m/>
    <n v="0"/>
    <s v="Popup Counter"/>
    <m/>
    <m/>
    <s v="Apr-26"/>
    <n v="16"/>
    <m/>
  </r>
  <r>
    <d v="2026-04-15T00:00:00"/>
    <s v="Delivery at SEBLR Banglore (Compass)"/>
    <s v="Call"/>
    <s v="Corporate"/>
    <x v="17"/>
    <s v="Saad"/>
    <s v="Delivery on 15-4-2026 from HSR"/>
    <n v="25208"/>
    <n v="25208"/>
    <x v="27"/>
    <x v="1"/>
    <x v="1"/>
    <s v="Closed"/>
    <m/>
    <n v="0"/>
    <s v="Bulk Order"/>
    <m/>
    <m/>
    <s v="Apr-26"/>
    <n v="16"/>
    <m/>
  </r>
  <r>
    <d v="2026-04-16T00:00:00"/>
    <s v="Accenture HDC3 (Hungerbox)"/>
    <s v="Call"/>
    <s v="Corporate"/>
    <x v="0"/>
    <s v="Pawan"/>
    <s v="Haleem popup  16-04-2026 BHEL"/>
    <n v="65980"/>
    <n v="65980"/>
    <x v="27"/>
    <x v="0"/>
    <x v="1"/>
    <s v="Closed"/>
    <m/>
    <n v="0"/>
    <s v="Popup Counter"/>
    <m/>
    <m/>
    <s v="Apr-26"/>
    <n v="16"/>
    <m/>
  </r>
  <r>
    <d v="2026-04-16T00:00:00"/>
    <s v="Accenture HDC4 (Smart Q)"/>
    <s v="Call"/>
    <s v="Corporate"/>
    <x v="17"/>
    <s v="Priyansh"/>
    <s v="popup  16-04-2026 Gachibowli"/>
    <n v="64620"/>
    <n v="64620"/>
    <x v="27"/>
    <x v="0"/>
    <x v="1"/>
    <s v="Closed"/>
    <m/>
    <n v="0"/>
    <s v="Popup Counter"/>
    <m/>
    <m/>
    <s v="Apr-26"/>
    <n v="16"/>
    <m/>
  </r>
  <r>
    <d v="2026-04-16T00:00:00"/>
    <s v="Accenture HDC5 (Smart Q)"/>
    <s v="Call"/>
    <s v="Corporate"/>
    <x v="17"/>
    <s v="Priyansh"/>
    <s v="Popup 16-4-2026 Sarat City 4th Floor"/>
    <n v="17240"/>
    <n v="17240"/>
    <x v="27"/>
    <x v="0"/>
    <x v="1"/>
    <s v="Closed"/>
    <m/>
    <n v="0"/>
    <s v="Popup Counter"/>
    <m/>
    <m/>
    <s v="Apr-26"/>
    <n v="16"/>
    <m/>
  </r>
  <r>
    <d v="2026-04-17T00:00:00"/>
    <s v="Vishal Computers"/>
    <s v="F2F"/>
    <s v="Corporate"/>
    <x v="19"/>
    <s v="Maanya"/>
    <s v="Deliverd  vouchers from Kompally 17-4-2026"/>
    <n v="100240"/>
    <n v="100240"/>
    <x v="27"/>
    <x v="0"/>
    <x v="1"/>
    <s v="Closed"/>
    <m/>
    <n v="0"/>
    <s v="Bulk Order"/>
    <m/>
    <m/>
    <s v="Apr-26"/>
    <n v="16"/>
    <m/>
  </r>
  <r>
    <d v="2026-04-17T00:00:00"/>
    <s v="Kims Hospital (Zenith Holidays)"/>
    <s v="F2F"/>
    <s v="Corporate"/>
    <x v="3"/>
    <s v="Arijit"/>
    <s v="Kims Hospital Begumpet 17-04-2026"/>
    <n v="12524"/>
    <n v="12524"/>
    <x v="27"/>
    <x v="0"/>
    <x v="1"/>
    <s v="Closed"/>
    <m/>
    <n v="0"/>
    <s v="Bulk Order"/>
    <m/>
    <m/>
    <s v="Apr-26"/>
    <n v="16"/>
    <m/>
  </r>
  <r>
    <d v="2026-04-17T00:00:00"/>
    <s v="Accenture HDC3 (Hungerbox)"/>
    <s v="Call"/>
    <s v="Corporate"/>
    <x v="0"/>
    <s v="Pawan"/>
    <s v="Haleem popup  17-04-2026 BHEL"/>
    <n v="70930"/>
    <n v="70930"/>
    <x v="27"/>
    <x v="0"/>
    <x v="1"/>
    <s v="Closed"/>
    <m/>
    <n v="0"/>
    <s v="Popup Counter"/>
    <m/>
    <m/>
    <s v="Apr-26"/>
    <n v="16"/>
    <m/>
  </r>
  <r>
    <d v="2026-04-17T00:00:00"/>
    <s v="Accenture HDC4 (Smart Q)"/>
    <s v="Call"/>
    <s v="Corporate"/>
    <x v="17"/>
    <s v="Priyansh"/>
    <s v="popup  17-04-2026 Gachibowli"/>
    <n v="86350"/>
    <n v="86350"/>
    <x v="27"/>
    <x v="0"/>
    <x v="1"/>
    <s v="Closed"/>
    <m/>
    <n v="0"/>
    <s v="Popup Counter"/>
    <m/>
    <m/>
    <s v="Apr-26"/>
    <n v="16"/>
    <m/>
  </r>
  <r>
    <d v="2026-04-17T00:00:00"/>
    <s v="Accenture HDC5 (Smart Q)"/>
    <s v="Call"/>
    <s v="Corporate"/>
    <x v="17"/>
    <s v="Priyansh"/>
    <s v="Popup 17-4-2026 from Lingampally"/>
    <n v="19180"/>
    <n v="19180"/>
    <x v="27"/>
    <x v="0"/>
    <x v="1"/>
    <s v="Closed"/>
    <m/>
    <n v="0"/>
    <s v="Popup Counter"/>
    <m/>
    <m/>
    <s v="Apr-26"/>
    <n v="16"/>
    <m/>
  </r>
  <r>
    <d v="2026-04-18T00:00:00"/>
    <s v="Tssifira Tours &amp; Travels"/>
    <s v="F2F"/>
    <s v="Corporate"/>
    <x v="1"/>
    <s v="Rupanta"/>
    <s v="Dine in at gachibowli on 18-4-2026"/>
    <n v="35495"/>
    <n v="35495"/>
    <x v="27"/>
    <x v="0"/>
    <x v="1"/>
    <s v="Closed"/>
    <m/>
    <n v="0"/>
    <s v="Bulk Order"/>
    <m/>
    <m/>
    <s v="Apr-26"/>
    <n v="16"/>
    <m/>
  </r>
  <r>
    <d v="2026-04-20T00:00:00"/>
    <s v="Accenture HDC4 (Smart Q)"/>
    <s v="Call"/>
    <s v="Corporate"/>
    <x v="17"/>
    <s v="Priyansh"/>
    <s v="popup  20-04-2026 Gachibowli"/>
    <n v="45590"/>
    <n v="45590"/>
    <x v="27"/>
    <x v="0"/>
    <x v="1"/>
    <s v="Closed"/>
    <m/>
    <n v="0"/>
    <s v="Popup Counter"/>
    <m/>
    <m/>
    <s v="Apr-26"/>
    <n v="17"/>
    <m/>
  </r>
  <r>
    <d v="2026-04-20T00:00:00"/>
    <s v="Accenture HDC5 (Smart Q)"/>
    <s v="Call"/>
    <s v="Corporate"/>
    <x v="17"/>
    <s v="Priyansh"/>
    <s v="Popup 20-04-2026 from Lingampally"/>
    <n v="11189"/>
    <n v="11189"/>
    <x v="27"/>
    <x v="0"/>
    <x v="1"/>
    <s v="Closed"/>
    <m/>
    <n v="0"/>
    <s v="Popup Counter"/>
    <m/>
    <m/>
    <s v="Apr-26"/>
    <n v="17"/>
    <m/>
  </r>
  <r>
    <d v="2026-04-20T00:00:00"/>
    <s v="Amgen (Compass)"/>
    <s v="Call"/>
    <s v="Corporate"/>
    <x v="17"/>
    <s v="Bibekananda"/>
    <s v="CB &amp; VB fron gachibowli on 20-04-2026"/>
    <n v="18200"/>
    <n v="18200"/>
    <x v="27"/>
    <x v="0"/>
    <x v="1"/>
    <s v="Closed"/>
    <m/>
    <n v="0"/>
    <s v="Bulk Order"/>
    <m/>
    <m/>
    <s v="Apr-26"/>
    <n v="17"/>
    <m/>
  </r>
  <r>
    <d v="2026-04-21T00:00:00"/>
    <s v="Accenture HDC4 (Smart Q)"/>
    <s v="Call"/>
    <s v="Corporate"/>
    <x v="17"/>
    <s v="Priyansh"/>
    <s v="popup  21-04-2026 Gachibowli"/>
    <n v="52920"/>
    <n v="52920"/>
    <x v="27"/>
    <x v="0"/>
    <x v="1"/>
    <s v="Closed"/>
    <m/>
    <n v="0"/>
    <s v="Popup Counter"/>
    <m/>
    <m/>
    <s v="Apr-26"/>
    <n v="17"/>
    <m/>
  </r>
  <r>
    <d v="2026-04-21T00:00:00"/>
    <s v="Accenture HDC5 (Smart Q)"/>
    <s v="Call"/>
    <s v="Corporate"/>
    <x v="17"/>
    <s v="Priyansh"/>
    <s v="Popup 21-04-2026 from Lingampally"/>
    <n v="9650"/>
    <n v="9650"/>
    <x v="27"/>
    <x v="0"/>
    <x v="1"/>
    <s v="Closed"/>
    <m/>
    <n v="0"/>
    <s v="Popup Counter"/>
    <m/>
    <m/>
    <s v="Apr-26"/>
    <n v="17"/>
    <m/>
  </r>
  <r>
    <d v="2026-04-21T00:00:00"/>
    <s v="Cognizant GAR ( Smart Q )"/>
    <s v="Call"/>
    <s v="Corporate"/>
    <x v="0"/>
    <s v="Samruddhi"/>
    <s v="Popup on 21-4-2026 from BHEL"/>
    <n v="38280"/>
    <n v="38280"/>
    <x v="27"/>
    <x v="0"/>
    <x v="1"/>
    <s v="Closed"/>
    <m/>
    <n v="0"/>
    <s v="Popup Counter"/>
    <m/>
    <m/>
    <s v="Apr-26"/>
    <n v="17"/>
    <m/>
  </r>
  <r>
    <d v="2026-04-21T00:00:00"/>
    <s v="IDFC First Bank"/>
    <s v="Call"/>
    <s v="Corporate"/>
    <x v="40"/>
    <s v="Chitra"/>
    <s v="Delivery of CB from Hitec on 21-04-2026"/>
    <n v="17220"/>
    <n v="17220"/>
    <x v="27"/>
    <x v="0"/>
    <x v="1"/>
    <s v="Closed"/>
    <m/>
    <n v="0"/>
    <s v="Bulk Order"/>
    <m/>
    <m/>
    <s v="Apr-26"/>
    <n v="17"/>
    <m/>
  </r>
  <r>
    <d v="2026-04-22T00:00:00"/>
    <s v="Accenture HDC4 (Smart Q)"/>
    <s v="Call"/>
    <s v="Corporate"/>
    <x v="17"/>
    <s v="Priyansh"/>
    <s v="popup  22-04-2026 Gachibowli"/>
    <n v="56660"/>
    <n v="56660"/>
    <x v="27"/>
    <x v="0"/>
    <x v="1"/>
    <s v="Closed"/>
    <m/>
    <n v="0"/>
    <s v="Popup Counter"/>
    <m/>
    <m/>
    <s v="Apr-26"/>
    <n v="17"/>
    <m/>
  </r>
  <r>
    <d v="2026-04-22T00:00:00"/>
    <s v="Accenture HDC5 (Smart Q)"/>
    <s v="Call"/>
    <s v="Corporate"/>
    <x v="17"/>
    <s v="Priyansh"/>
    <s v="Popup 22-04-2026 from Lingampally"/>
    <n v="14310"/>
    <n v="14310"/>
    <x v="27"/>
    <x v="0"/>
    <x v="1"/>
    <s v="Closed"/>
    <m/>
    <n v="0"/>
    <s v="Popup Counter"/>
    <m/>
    <m/>
    <s v="Apr-26"/>
    <n v="17"/>
    <m/>
  </r>
  <r>
    <d v="2026-04-22T00:00:00"/>
    <s v="Cognizant GAR ( Smart Q )"/>
    <s v="Call"/>
    <s v="Corporate"/>
    <x v="0"/>
    <s v="Samruddhi"/>
    <s v="Popup on 22-4-2026 from BHEL"/>
    <n v="51000"/>
    <n v="51000"/>
    <x v="27"/>
    <x v="0"/>
    <x v="1"/>
    <s v="Closed"/>
    <m/>
    <n v="0"/>
    <s v="Popup Counter"/>
    <m/>
    <m/>
    <s v="Apr-26"/>
    <n v="17"/>
    <m/>
  </r>
  <r>
    <d v="2026-04-22T00:00:00"/>
    <s v="NVIDIA (Compass)"/>
    <s v="F2F"/>
    <s v="Corporate"/>
    <x v="0"/>
    <s v="Dinesh"/>
    <s v="Biryani on 22-04-2026 from Kukatpally"/>
    <n v="66280"/>
    <n v="66280"/>
    <x v="27"/>
    <x v="0"/>
    <x v="1"/>
    <s v="Closed"/>
    <m/>
    <n v="0"/>
    <s v="Bulk Order"/>
    <m/>
    <m/>
    <s v="Apr-26"/>
    <n v="17"/>
    <m/>
  </r>
  <r>
    <d v="2026-04-22T00:00:00"/>
    <s v="TJX (Compass)"/>
    <s v="Call"/>
    <s v="Corporate"/>
    <x v="17"/>
    <s v="Sireesh"/>
    <s v="Haleem from kukatpally on 22-04-2026"/>
    <n v="20160"/>
    <n v="20160"/>
    <x v="27"/>
    <x v="0"/>
    <x v="1"/>
    <s v="Closed"/>
    <m/>
    <n v="0"/>
    <s v="Bulk Order"/>
    <m/>
    <m/>
    <s v="Apr-26"/>
    <n v="17"/>
    <m/>
  </r>
  <r>
    <d v="2026-04-22T00:00:00"/>
    <s v="Delivery at SEBLR Banglore (Compass)"/>
    <s v="Call"/>
    <s v="Corporate"/>
    <x v="17"/>
    <s v="Saad"/>
    <s v="Delivery on 22-4-2026 from HSR"/>
    <n v="24062"/>
    <n v="24062"/>
    <x v="27"/>
    <x v="1"/>
    <x v="1"/>
    <s v="Closed"/>
    <m/>
    <n v="0"/>
    <s v="Bulk Order"/>
    <m/>
    <m/>
    <s v="Apr-26"/>
    <n v="17"/>
    <m/>
  </r>
  <r>
    <d v="2026-04-23T00:00:00"/>
    <s v="Accenture HDC4 (Smart Q)"/>
    <s v="Call"/>
    <s v="Corporate"/>
    <x v="17"/>
    <s v="Priyansh"/>
    <s v="popup  23-04-2026 Gachibowli"/>
    <n v="69280"/>
    <n v="69280"/>
    <x v="27"/>
    <x v="0"/>
    <x v="1"/>
    <s v="Closed"/>
    <m/>
    <n v="0"/>
    <s v="Popup Counter"/>
    <m/>
    <m/>
    <s v="Apr-26"/>
    <n v="17"/>
    <m/>
  </r>
  <r>
    <d v="2026-04-23T00:00:00"/>
    <s v="Accenture HDC5 (Smart Q)"/>
    <s v="Call"/>
    <s v="Corporate"/>
    <x v="17"/>
    <s v="Priyansh"/>
    <s v="Popup 23-04-2026 from Lingampally"/>
    <n v="10110"/>
    <n v="10110"/>
    <x v="27"/>
    <x v="0"/>
    <x v="1"/>
    <s v="Closed"/>
    <m/>
    <n v="0"/>
    <s v="Popup Counter"/>
    <m/>
    <m/>
    <s v="Apr-26"/>
    <n v="17"/>
    <m/>
  </r>
  <r>
    <d v="2026-04-23T00:00:00"/>
    <s v="Cognizant GAR ( Smart Q )"/>
    <s v="Call"/>
    <s v="Corporate"/>
    <x v="0"/>
    <s v="Samruddhi"/>
    <s v="Popup on 23-4-2026 from BHEL"/>
    <n v="44750"/>
    <n v="44750"/>
    <x v="27"/>
    <x v="0"/>
    <x v="1"/>
    <s v="Closed"/>
    <m/>
    <n v="0"/>
    <s v="Popup Counter"/>
    <m/>
    <m/>
    <s v="Apr-26"/>
    <n v="17"/>
    <m/>
  </r>
  <r>
    <d v="2026-04-24T00:00:00"/>
    <s v="Accenture HDC4 (Smart Q)"/>
    <s v="Call"/>
    <s v="Corporate"/>
    <x v="17"/>
    <s v="Priyansh"/>
    <s v="popup  24-04-2026 Muthangi"/>
    <n v="72490"/>
    <n v="72490"/>
    <x v="27"/>
    <x v="0"/>
    <x v="1"/>
    <s v="Closed"/>
    <m/>
    <n v="0"/>
    <s v="Popup Counter"/>
    <m/>
    <m/>
    <s v="Apr-26"/>
    <n v="17"/>
    <m/>
  </r>
  <r>
    <d v="2026-04-24T00:00:00"/>
    <s v="Accenture HDC5 (Smart Q)"/>
    <s v="Call"/>
    <s v="Corporate"/>
    <x v="17"/>
    <s v="Priyansh"/>
    <s v="Popup 24-04-2026 from Lingampally"/>
    <n v="18050"/>
    <n v="18050"/>
    <x v="27"/>
    <x v="0"/>
    <x v="1"/>
    <s v="Closed"/>
    <m/>
    <n v="0"/>
    <s v="Popup Counter"/>
    <m/>
    <m/>
    <s v="Apr-26"/>
    <n v="17"/>
    <m/>
  </r>
  <r>
    <d v="2026-04-25T00:00:00"/>
    <s v="Take away from Begumbet"/>
    <s v="Call"/>
    <s v="Events"/>
    <x v="10"/>
    <s v="Sattar"/>
    <s v="Take away CB from Begumpet 25-04-2026"/>
    <n v="5564"/>
    <n v="5564"/>
    <x v="27"/>
    <x v="0"/>
    <x v="1"/>
    <s v="Closed"/>
    <m/>
    <n v="0"/>
    <s v="Bulk Order"/>
    <m/>
    <m/>
    <s v="Apr-26"/>
    <n v="17"/>
    <m/>
  </r>
  <r>
    <d v="2026-04-27T00:00:00"/>
    <s v="Take away from Secundrabad"/>
    <s v="Call"/>
    <s v="Events "/>
    <x v="10"/>
    <s v="Jyothi"/>
    <s v="supreme CB from secundrabad 27-4-2026"/>
    <n v="5856"/>
    <n v="5856"/>
    <x v="27"/>
    <x v="0"/>
    <x v="1"/>
    <s v="Closed"/>
    <m/>
    <n v="0"/>
    <s v="Bulk Order"/>
    <m/>
    <m/>
    <s v="Apr-26"/>
    <n v="18"/>
    <m/>
  </r>
  <r>
    <d v="2026-04-27T00:00:00"/>
    <s v="Accenture HDC4 (Smart Q)"/>
    <s v="Call"/>
    <s v="Corporate"/>
    <x v="17"/>
    <s v="Priyansh"/>
    <s v="popup  27-04-2026 Muthangi"/>
    <n v="51600"/>
    <n v="51600"/>
    <x v="27"/>
    <x v="0"/>
    <x v="1"/>
    <s v="Closed"/>
    <m/>
    <n v="0"/>
    <s v="Popup Counter"/>
    <m/>
    <m/>
    <s v="Apr-26"/>
    <n v="18"/>
    <m/>
  </r>
  <r>
    <d v="2026-04-27T00:00:00"/>
    <s v="Accenture HDC5 (Smart Q)"/>
    <s v="Call"/>
    <s v="Corporate"/>
    <x v="17"/>
    <s v="Priyansh"/>
    <s v="Popup 27-07-2026 from Lingampally"/>
    <n v="9470"/>
    <n v="9470"/>
    <x v="27"/>
    <x v="0"/>
    <x v="1"/>
    <s v="Closed"/>
    <m/>
    <n v="0"/>
    <s v="Popup Counter"/>
    <m/>
    <m/>
    <s v="Apr-26"/>
    <n v="18"/>
    <m/>
  </r>
  <r>
    <d v="2026-04-27T00:00:00"/>
    <s v="Medtronics"/>
    <s v="F2F"/>
    <s v="Corporate"/>
    <x v="5"/>
    <s v="Asad"/>
    <s v="Delivery of CB at Hospital in May"/>
    <n v="40000"/>
    <m/>
    <x v="27"/>
    <x v="0"/>
    <x v="4"/>
    <s v="Hot"/>
    <m/>
    <n v="0"/>
    <s v="Bulk Order"/>
    <m/>
    <m/>
    <s v="Apr-26"/>
    <n v="18"/>
    <m/>
  </r>
  <r>
    <d v="2026-04-28T00:00:00"/>
    <s v="Accenture HDC4 (Smart Q)"/>
    <s v="Call"/>
    <s v="Corporate"/>
    <x v="17"/>
    <s v="Priyansh"/>
    <s v="popup  28-04-2026 Muthangi"/>
    <n v="52880"/>
    <n v="52880"/>
    <x v="27"/>
    <x v="0"/>
    <x v="1"/>
    <s v="Closed"/>
    <m/>
    <n v="0"/>
    <s v="Popup Counter"/>
    <m/>
    <m/>
    <s v="Apr-26"/>
    <n v="18"/>
    <m/>
  </r>
  <r>
    <d v="2026-04-28T00:00:00"/>
    <s v="Accenture HDC5 (Smart Q)"/>
    <s v="Call"/>
    <s v="Corporate"/>
    <x v="17"/>
    <s v="Priyansh"/>
    <s v="Popup 28-07-2026 from Lingampally"/>
    <n v="12340"/>
    <n v="12340"/>
    <x v="27"/>
    <x v="0"/>
    <x v="1"/>
    <s v="Closed"/>
    <m/>
    <n v="0"/>
    <s v="Popup Counter"/>
    <m/>
    <m/>
    <s v="Apr-26"/>
    <n v="18"/>
    <m/>
  </r>
  <r>
    <d v="2026-04-29T00:00:00"/>
    <s v="Accenture HDC4 (Smart Q)"/>
    <s v="Call"/>
    <s v="Corporate"/>
    <x v="17"/>
    <s v="Priyansh"/>
    <s v="popup  29-04-2026 Muthangi"/>
    <n v="64990"/>
    <n v="64990"/>
    <x v="27"/>
    <x v="0"/>
    <x v="1"/>
    <s v="Closed"/>
    <m/>
    <n v="0"/>
    <s v="Popup Counter"/>
    <m/>
    <m/>
    <s v="Apr-26"/>
    <n v="18"/>
    <m/>
  </r>
  <r>
    <d v="2026-04-29T00:00:00"/>
    <s v="Accenture HDC5 (Smart Q)"/>
    <s v="Call"/>
    <s v="Corporate"/>
    <x v="17"/>
    <s v="Priyansh"/>
    <s v="Popup 29-07-2026 from Lingampally"/>
    <n v="11940"/>
    <n v="11940"/>
    <x v="27"/>
    <x v="0"/>
    <x v="1"/>
    <s v="Closed"/>
    <m/>
    <n v="0"/>
    <s v="Popup Counter"/>
    <m/>
    <m/>
    <s v="Apr-26"/>
    <n v="18"/>
    <m/>
  </r>
  <r>
    <d v="2026-04-29T00:00:00"/>
    <s v="Military Hospital"/>
    <s v="Call"/>
    <s v="Corporate"/>
    <x v="13"/>
    <s v="Sridhar"/>
    <s v="Takeaway secundrabad CB 29-04-2026"/>
    <n v="9324"/>
    <n v="9324"/>
    <x v="27"/>
    <x v="0"/>
    <x v="1"/>
    <s v="Closed"/>
    <m/>
    <n v="0"/>
    <s v="Bulk Order"/>
    <m/>
    <m/>
    <s v="Apr-26"/>
    <n v="18"/>
    <m/>
  </r>
  <r>
    <d v="2026-04-29T00:00:00"/>
    <s v="Delivery at SEBLR Banglore (Compass)"/>
    <s v="Call"/>
    <s v="Corporate"/>
    <x v="17"/>
    <s v="Saad"/>
    <s v="Delivery on 22-4-2026 from HSR"/>
    <n v="20166"/>
    <n v="20166"/>
    <x v="27"/>
    <x v="1"/>
    <x v="1"/>
    <s v="Closed"/>
    <m/>
    <n v="0"/>
    <s v="Bulk Order"/>
    <m/>
    <m/>
    <s v="Apr-26"/>
    <n v="18"/>
    <m/>
  </r>
  <r>
    <d v="2026-04-30T00:00:00"/>
    <s v="Accenture HDC4 (Smart Q)"/>
    <s v="Call"/>
    <s v="Corporate"/>
    <x v="17"/>
    <s v="Priyansh"/>
    <s v="popup  30-04-2026 Muthangi"/>
    <n v="76320"/>
    <n v="76320"/>
    <x v="27"/>
    <x v="0"/>
    <x v="1"/>
    <s v="Closed"/>
    <m/>
    <n v="0"/>
    <s v="Popup Counter"/>
    <m/>
    <m/>
    <s v="Apr-26"/>
    <n v="18"/>
    <m/>
  </r>
  <r>
    <d v="2026-04-30T00:00:00"/>
    <s v="Accenture HDC5 (Smart Q)"/>
    <s v="Call"/>
    <s v="Corporate"/>
    <x v="17"/>
    <s v="Priyansh"/>
    <s v="Popup 30-07-2026 from Lingampally"/>
    <n v="12350"/>
    <n v="12350"/>
    <x v="27"/>
    <x v="0"/>
    <x v="1"/>
    <s v="Closed"/>
    <m/>
    <n v="0"/>
    <s v="Popup Counter"/>
    <m/>
    <m/>
    <s v="Apr-26"/>
    <n v="18"/>
    <m/>
  </r>
  <r>
    <d v="2026-04-30T00:00:00"/>
    <s v="Vinay Marriage Function"/>
    <s v="F2F"/>
    <s v="Events"/>
    <x v="10"/>
    <s v="Vinay"/>
    <s v="Delivery 1st April at Kapra from Malakjgiri"/>
    <n v="9808"/>
    <n v="9808"/>
    <x v="31"/>
    <x v="0"/>
    <x v="1"/>
    <s v="Closed"/>
    <m/>
    <n v="0"/>
    <s v="Bulk Order"/>
    <m/>
    <m/>
    <s v="Apr-26"/>
    <n v="18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n v="0"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m/>
    <m/>
    <m/>
    <m/>
    <x v="41"/>
    <m/>
    <m/>
    <m/>
    <m/>
    <x v="32"/>
    <x v="2"/>
    <x v="5"/>
    <m/>
    <m/>
    <m/>
    <m/>
    <m/>
    <m/>
    <s v="Jan-00"/>
    <n v="52"/>
    <m/>
  </r>
  <r>
    <d v="2025-11-21T00:00:00"/>
    <m/>
    <m/>
    <m/>
    <x v="41"/>
    <m/>
    <m/>
    <m/>
    <m/>
    <x v="32"/>
    <x v="2"/>
    <x v="5"/>
    <m/>
    <m/>
    <m/>
    <m/>
    <m/>
    <m/>
    <s v="Nov-25"/>
    <n v="4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DAA68-3341-4333-B4E6-55D5AE72BEE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Status">
  <location ref="F3:I34" firstHeaderRow="0" firstDataRow="1" firstDataCol="2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7">
        <item sd="0" m="1" x="52"/>
        <item sd="0" x="18"/>
        <item sd="0" x="9"/>
        <item sd="0" x="21"/>
        <item sd="0" x="8"/>
        <item sd="0" x="35"/>
        <item sd="0" x="22"/>
        <item sd="0" x="16"/>
        <item sd="0" x="4"/>
        <item sd="0" x="6"/>
        <item m="1" x="54"/>
        <item sd="0" x="3"/>
        <item x="37"/>
        <item sd="0" x="10"/>
        <item sd="0" m="1" x="49"/>
        <item sd="0" x="23"/>
        <item sd="0" x="13"/>
        <item sd="0" x="12"/>
        <item sd="0" m="1" x="47"/>
        <item sd="0" x="0"/>
        <item sd="0" m="1" x="53"/>
        <item sd="0" x="7"/>
        <item sd="0" m="1" x="44"/>
        <item sd="0" x="5"/>
        <item sd="0" m="1" x="51"/>
        <item sd="0" m="1" x="48"/>
        <item sd="0" x="15"/>
        <item sd="0" x="19"/>
        <item sd="0" x="11"/>
        <item sd="0" x="1"/>
        <item sd="0" x="2"/>
        <item h="1" x="41"/>
        <item sd="0" x="24"/>
        <item sd="0" x="25"/>
        <item sd="0" m="1" x="45"/>
        <item sd="0" x="26"/>
        <item sd="0" x="27"/>
        <item sd="0" m="1" x="42"/>
        <item sd="0" x="28"/>
        <item sd="0" x="29"/>
        <item sd="0" x="30"/>
        <item sd="0" x="17"/>
        <item sd="0" x="31"/>
        <item sd="0" x="36"/>
        <item m="1" x="55"/>
        <item sd="0" m="1" x="46"/>
        <item sd="0" x="20"/>
        <item sd="0" m="1" x="43"/>
        <item sd="0" x="32"/>
        <item m="1" x="50"/>
        <item sd="0" x="14"/>
        <item h="1" x="33"/>
        <item h="1" x="34"/>
        <item h="1" x="38"/>
        <item h="1" x="39"/>
        <item h="1" x="4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7">
        <item x="32"/>
        <item f="1" x="33"/>
        <item f="1" x="34"/>
        <item f="1" x="35"/>
        <item f="1" x="36"/>
        <item f="1" x="37"/>
        <item f="1" x="38"/>
        <item f="1" x="39"/>
        <item f="1" x="40"/>
        <item f="1" x="41"/>
        <item f="1" x="42"/>
        <item f="1" x="43"/>
        <item f="1" x="44"/>
        <item f="1" x="45"/>
        <item f="1" x="46"/>
        <item f="1" x="47"/>
        <item f="1" x="48"/>
        <item f="1" x="49"/>
        <item f="1" x="50"/>
        <item f="1" x="51"/>
        <item f="1" x="52"/>
        <item f="1" x="53"/>
        <item f="1" x="54"/>
        <item f="1" x="55"/>
        <item x="16"/>
        <item x="12"/>
        <item x="1"/>
        <item x="14"/>
        <item x="2"/>
        <item x="3"/>
        <item x="7"/>
        <item x="15"/>
        <item x="5"/>
        <item x="0"/>
        <item x="10"/>
        <item x="6"/>
        <item x="4"/>
        <item x="8"/>
        <item x="9"/>
        <item x="11"/>
        <item x="23"/>
        <item x="13"/>
        <item x="21"/>
        <item x="17"/>
        <item x="22"/>
        <item x="19"/>
        <item x="25"/>
        <item x="24"/>
        <item x="28"/>
        <item x="18"/>
        <item x="20"/>
        <item x="26"/>
        <item x="29"/>
        <item x="30"/>
        <item x="27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">
        <item m="1" x="24"/>
        <item x="0"/>
        <item m="1" x="12"/>
        <item m="1" x="14"/>
        <item m="1" x="23"/>
        <item m="1" x="16"/>
        <item m="1" x="13"/>
        <item x="5"/>
        <item m="1" x="22"/>
        <item m="1" x="21"/>
        <item m="1" x="15"/>
        <item m="1" x="18"/>
        <item m="1" x="19"/>
        <item m="1" x="20"/>
        <item m="1" x="17"/>
        <item h="1" f="1" x="25"/>
        <item m="1" x="8"/>
        <item m="1" x="11"/>
        <item m="1" x="10"/>
        <item m="1" x="7"/>
        <item m="1" x="9"/>
        <item h="1" x="1"/>
        <item h="1" x="4"/>
        <item h="1" x="3"/>
        <item h="1" x="2"/>
        <item h="1"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1"/>
  </rowFields>
  <rowItems count="31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  <x v="1"/>
    </i>
    <i t="default">
      <x v="12"/>
    </i>
    <i>
      <x v="13"/>
    </i>
    <i>
      <x v="15"/>
    </i>
    <i>
      <x v="16"/>
    </i>
    <i>
      <x v="19"/>
    </i>
    <i>
      <x v="21"/>
    </i>
    <i>
      <x v="23"/>
    </i>
    <i>
      <x v="26"/>
    </i>
    <i>
      <x v="27"/>
    </i>
    <i>
      <x v="28"/>
    </i>
    <i>
      <x v="29"/>
    </i>
    <i>
      <x v="30"/>
    </i>
    <i>
      <x v="33"/>
    </i>
    <i>
      <x v="36"/>
    </i>
    <i>
      <x v="39"/>
    </i>
    <i>
      <x v="40"/>
    </i>
    <i>
      <x v="41"/>
    </i>
    <i>
      <x v="46"/>
    </i>
    <i>
      <x v="48"/>
    </i>
    <i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A/Cs" fld="1" subtotal="count" baseField="0" baseItem="0"/>
    <dataField name="Expexted Revenue" fld="7" baseField="0" baseItem="0"/>
  </dataFields>
  <formats count="1">
    <format dxfId="183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A4EFC-7377-4012-B645-BA6B96D788C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3:C5" firstHeaderRow="0" firstDataRow="1" firstDataCol="1"/>
  <pivotFields count="21">
    <pivotField numFmtId="164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7">
        <item x="32"/>
        <item f="1" x="33"/>
        <item f="1" x="34"/>
        <item f="1" x="35"/>
        <item f="1" x="36"/>
        <item f="1" x="37"/>
        <item f="1" x="38"/>
        <item f="1" x="39"/>
        <item f="1" x="40"/>
        <item f="1" x="41"/>
        <item f="1" x="42"/>
        <item f="1" x="43"/>
        <item f="1" x="44"/>
        <item f="1" x="45"/>
        <item f="1" x="46"/>
        <item f="1" x="47"/>
        <item f="1" x="48"/>
        <item f="1" x="49"/>
        <item f="1" x="50"/>
        <item f="1" x="51"/>
        <item f="1" x="52"/>
        <item f="1" x="53"/>
        <item f="1" x="54"/>
        <item f="1" x="55"/>
        <item x="16"/>
        <item x="12"/>
        <item x="1"/>
        <item x="14"/>
        <item x="2"/>
        <item x="3"/>
        <item x="7"/>
        <item x="15"/>
        <item x="5"/>
        <item x="0"/>
        <item x="10"/>
        <item x="6"/>
        <item x="4"/>
        <item x="8"/>
        <item x="9"/>
        <item x="11"/>
        <item x="23"/>
        <item x="13"/>
        <item x="21"/>
        <item x="17"/>
        <item x="22"/>
        <item x="19"/>
        <item x="25"/>
        <item x="24"/>
        <item x="28"/>
        <item x="18"/>
        <item x="20"/>
        <item x="26"/>
        <item x="29"/>
        <item x="30"/>
        <item x="27"/>
        <item x="31"/>
        <item t="default"/>
      </items>
    </pivotField>
    <pivotField showAll="0"/>
    <pivotField axis="axisRow" showAll="0">
      <items count="27">
        <item m="1" x="24"/>
        <item m="1" x="12"/>
        <item m="1" x="14"/>
        <item m="1" x="23"/>
        <item m="1" x="16"/>
        <item m="1" x="13"/>
        <item h="1" x="5"/>
        <item m="1" x="22"/>
        <item h="1" m="1" x="21"/>
        <item h="1" m="1" x="15"/>
        <item h="1" m="1" x="18"/>
        <item h="1" m="1" x="19"/>
        <item h="1" m="1" x="20"/>
        <item h="1" m="1" x="17"/>
        <item h="1" f="1" x="25"/>
        <item m="1" x="11"/>
        <item m="1" x="8"/>
        <item m="1" x="7"/>
        <item m="1" x="9"/>
        <item m="1" x="10"/>
        <item x="0"/>
        <item h="1" x="1"/>
        <item h="1" x="4"/>
        <item h="1" x="3"/>
        <item h="1" x="2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/Cs" fld="1" subtotal="count" baseField="0" baseItem="0"/>
    <dataField name="Expexted Revenue" fld="7" baseField="0" baseItem="0"/>
  </dataFields>
  <formats count="1">
    <format dxfId="182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E0EFA-2770-47E4-8B48-30EFE1860176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Status">
  <location ref="R3:U4" firstHeaderRow="0" firstDataRow="1" firstDataCol="2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7">
        <item m="1" x="52"/>
        <item sd="0" x="18"/>
        <item x="9"/>
        <item x="21"/>
        <item x="8"/>
        <item x="35"/>
        <item x="22"/>
        <item x="16"/>
        <item sd="0" x="4"/>
        <item x="6"/>
        <item m="1" x="54"/>
        <item x="3"/>
        <item x="37"/>
        <item sd="0" x="10"/>
        <item m="1" x="49"/>
        <item sd="0" x="23"/>
        <item sd="0" x="13"/>
        <item x="12"/>
        <item m="1" x="47"/>
        <item sd="0" x="0"/>
        <item m="1" x="53"/>
        <item sd="0" x="7"/>
        <item m="1" x="44"/>
        <item sd="0" x="5"/>
        <item m="1" x="51"/>
        <item m="1" x="48"/>
        <item x="15"/>
        <item sd="0" x="19"/>
        <item x="11"/>
        <item sd="0" x="1"/>
        <item x="2"/>
        <item x="41"/>
        <item x="24"/>
        <item x="25"/>
        <item m="1" x="45"/>
        <item x="26"/>
        <item x="27"/>
        <item m="1" x="42"/>
        <item x="28"/>
        <item x="29"/>
        <item x="30"/>
        <item sd="0" x="17"/>
        <item x="31"/>
        <item x="36"/>
        <item m="1" x="55"/>
        <item m="1" x="46"/>
        <item x="20"/>
        <item m="1" x="43"/>
        <item x="32"/>
        <item m="1" x="50"/>
        <item x="14"/>
        <item x="33"/>
        <item x="34"/>
        <item x="38"/>
        <item x="39"/>
        <item x="4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7">
        <item x="32"/>
        <item f="1" x="33"/>
        <item f="1" x="34"/>
        <item f="1" x="35"/>
        <item f="1" x="36"/>
        <item f="1" x="37"/>
        <item f="1" x="38"/>
        <item f="1" x="39"/>
        <item f="1" x="40"/>
        <item f="1" x="41"/>
        <item f="1" x="42"/>
        <item f="1" x="43"/>
        <item f="1" x="44"/>
        <item f="1" x="45"/>
        <item f="1" x="46"/>
        <item f="1" x="47"/>
        <item f="1" x="48"/>
        <item f="1" x="49"/>
        <item f="1" x="50"/>
        <item f="1" x="51"/>
        <item f="1" x="52"/>
        <item f="1" x="53"/>
        <item f="1" x="54"/>
        <item f="1" x="55"/>
        <item x="16"/>
        <item x="12"/>
        <item x="1"/>
        <item x="14"/>
        <item x="2"/>
        <item x="3"/>
        <item x="7"/>
        <item x="15"/>
        <item x="5"/>
        <item x="0"/>
        <item x="10"/>
        <item x="6"/>
        <item x="4"/>
        <item x="8"/>
        <item x="9"/>
        <item x="11"/>
        <item x="23"/>
        <item x="13"/>
        <item x="21"/>
        <item x="17"/>
        <item x="22"/>
        <item x="19"/>
        <item x="25"/>
        <item x="24"/>
        <item x="28"/>
        <item x="18"/>
        <item x="20"/>
        <item x="26"/>
        <item x="29"/>
        <item x="30"/>
        <item x="27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">
        <item h="1" m="1" x="24"/>
        <item h="1" x="0"/>
        <item h="1" m="1" x="12"/>
        <item h="1" m="1" x="14"/>
        <item h="1" m="1" x="23"/>
        <item h="1" m="1" x="16"/>
        <item m="1" x="13"/>
        <item h="1" x="5"/>
        <item h="1" m="1" x="22"/>
        <item h="1" m="1" x="21"/>
        <item h="1" m="1" x="15"/>
        <item h="1" m="1" x="18"/>
        <item h="1" m="1" x="19"/>
        <item h="1" m="1" x="20"/>
        <item h="1" m="1" x="17"/>
        <item h="1" f="1" x="25"/>
        <item h="1" m="1" x="8"/>
        <item h="1" m="1" x="11"/>
        <item h="1" m="1" x="10"/>
        <item m="1" x="7"/>
        <item h="1" m="1" x="9"/>
        <item h="1" x="1"/>
        <item h="1" x="4"/>
        <item h="1" x="3"/>
        <item h="1" x="2"/>
        <item h="1"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1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A/Cs" fld="1" subtotal="count" baseField="0" baseItem="0"/>
    <dataField name="Expected Revenue" fld="7" baseField="0" baseItem="0"/>
  </dataFields>
  <formats count="1">
    <format dxfId="181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AE036-3DD3-4591-968D-A815603D3B20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Status">
  <location ref="L3:O4" firstHeaderRow="0" firstDataRow="1" firstDataCol="2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7">
        <item m="1" x="52"/>
        <item sd="0" x="18"/>
        <item x="9"/>
        <item sd="0" x="21"/>
        <item sd="0" x="8"/>
        <item sd="0" x="35"/>
        <item sd="0" x="22"/>
        <item sd="0" x="16"/>
        <item sd="0" x="4"/>
        <item sd="0" x="6"/>
        <item sd="0" m="1" x="54"/>
        <item sd="0" x="3"/>
        <item sd="0" x="37"/>
        <item sd="0" x="10"/>
        <item m="1" x="49"/>
        <item sd="0" x="23"/>
        <item sd="0" x="13"/>
        <item sd="0" x="12"/>
        <item sd="0" m="1" x="47"/>
        <item sd="0" x="0"/>
        <item m="1" x="53"/>
        <item sd="0" x="7"/>
        <item sd="0" m="1" x="44"/>
        <item sd="0" x="5"/>
        <item sd="0" m="1" x="51"/>
        <item m="1" x="48"/>
        <item sd="0" x="15"/>
        <item sd="0" x="19"/>
        <item x="11"/>
        <item sd="0" x="1"/>
        <item sd="0" x="2"/>
        <item x="41"/>
        <item x="25"/>
        <item sd="0" m="1" x="45"/>
        <item sd="0" x="24"/>
        <item sd="0" x="26"/>
        <item x="27"/>
        <item sd="0" m="1" x="42"/>
        <item sd="0" x="28"/>
        <item sd="0" x="29"/>
        <item sd="0" x="30"/>
        <item sd="0" x="17"/>
        <item sd="0" x="31"/>
        <item x="36"/>
        <item m="1" x="55"/>
        <item sd="0" m="1" x="46"/>
        <item sd="0" x="20"/>
        <item m="1" x="43"/>
        <item x="32"/>
        <item m="1" x="50"/>
        <item x="14"/>
        <item x="33"/>
        <item x="34"/>
        <item x="38"/>
        <item x="39"/>
        <item x="4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7">
        <item x="32"/>
        <item f="1" x="33"/>
        <item f="1" x="34"/>
        <item f="1" x="35"/>
        <item f="1" x="36"/>
        <item f="1" x="37"/>
        <item f="1" x="38"/>
        <item f="1" x="39"/>
        <item f="1" x="40"/>
        <item f="1" x="41"/>
        <item f="1" x="42"/>
        <item f="1" x="43"/>
        <item f="1" x="44"/>
        <item f="1" x="45"/>
        <item f="1" x="46"/>
        <item f="1" x="47"/>
        <item f="1" x="48"/>
        <item f="1" x="49"/>
        <item f="1" x="50"/>
        <item f="1" x="51"/>
        <item f="1" x="52"/>
        <item f="1" x="53"/>
        <item f="1" x="54"/>
        <item f="1" x="55"/>
        <item x="16"/>
        <item x="12"/>
        <item x="1"/>
        <item x="14"/>
        <item x="2"/>
        <item x="3"/>
        <item x="7"/>
        <item x="15"/>
        <item x="5"/>
        <item x="0"/>
        <item x="10"/>
        <item x="6"/>
        <item x="4"/>
        <item x="8"/>
        <item x="9"/>
        <item x="11"/>
        <item x="23"/>
        <item x="13"/>
        <item x="21"/>
        <item x="17"/>
        <item x="22"/>
        <item x="19"/>
        <item x="25"/>
        <item x="24"/>
        <item x="28"/>
        <item x="18"/>
        <item x="20"/>
        <item x="26"/>
        <item x="29"/>
        <item x="30"/>
        <item x="27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">
        <item h="1" m="1" x="24"/>
        <item h="1" x="0"/>
        <item m="1" x="12"/>
        <item h="1" m="1" x="14"/>
        <item h="1" m="1" x="23"/>
        <item h="1" m="1" x="16"/>
        <item h="1" m="1" x="13"/>
        <item h="1" x="5"/>
        <item h="1" m="1" x="22"/>
        <item h="1" m="1" x="21"/>
        <item h="1" m="1" x="15"/>
        <item h="1" m="1" x="18"/>
        <item h="1" m="1" x="19"/>
        <item h="1" m="1" x="20"/>
        <item h="1" m="1" x="17"/>
        <item h="1" f="1" x="25"/>
        <item h="1" m="1" x="8"/>
        <item h="1" m="1" x="11"/>
        <item m="1" x="10"/>
        <item h="1" m="1" x="7"/>
        <item h="1" m="1" x="9"/>
        <item h="1" x="1"/>
        <item h="1" x="4"/>
        <item h="1" x="3"/>
        <item h="1" x="2"/>
        <item h="1"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1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A/Cs" fld="1" subtotal="count" baseField="0" baseItem="0"/>
    <dataField name="Expected Revenue" fld="7" baseField="0" baseItem="0"/>
  </dataFields>
  <formats count="1">
    <format dxfId="180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17871-63BA-4102-B698-E060C59CF0AF}" name="PivotTable3" cacheId="1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A53:AC57" firstHeaderRow="1" firstDataRow="3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7">
        <item h="1" x="32"/>
        <item h="1" f="1" x="33"/>
        <item h="1" f="1" x="34"/>
        <item h="1" f="1" x="35"/>
        <item h="1" f="1" x="36"/>
        <item h="1" f="1" x="37"/>
        <item h="1" f="1" x="38"/>
        <item h="1" f="1" x="39"/>
        <item h="1" f="1" x="40"/>
        <item h="1" f="1" x="41"/>
        <item h="1" f="1" x="42"/>
        <item h="1" f="1" x="43"/>
        <item h="1" f="1" x="44"/>
        <item h="1" f="1" x="45"/>
        <item h="1" f="1" x="46"/>
        <item h="1" f="1" x="47"/>
        <item h="1" f="1" x="48"/>
        <item h="1" f="1" x="49"/>
        <item h="1" f="1" x="50"/>
        <item h="1" f="1" x="51"/>
        <item h="1" f="1" x="52"/>
        <item h="1" f="1" x="53"/>
        <item h="1" f="1" x="54"/>
        <item h="1" f="1" x="55"/>
        <item x="3"/>
        <item x="2"/>
        <item x="1"/>
        <item x="7"/>
        <item x="5"/>
        <item x="0"/>
        <item x="10"/>
        <item x="6"/>
        <item x="4"/>
        <item x="9"/>
        <item x="11"/>
        <item x="8"/>
        <item x="16"/>
        <item x="12"/>
        <item x="14"/>
        <item x="13"/>
        <item x="15"/>
        <item x="21"/>
        <item x="17"/>
        <item x="22"/>
        <item x="23"/>
        <item x="19"/>
        <item h="1" x="25"/>
        <item h="1" x="24"/>
        <item h="1" x="28"/>
        <item h="1" x="18"/>
        <item h="1" x="20"/>
        <item h="1" x="26"/>
        <item h="1" x="29"/>
        <item h="1" x="30"/>
        <item h="1" x="27"/>
        <item h="1" x="31"/>
        <item t="default"/>
      </items>
    </pivotField>
    <pivotField axis="axisCol" showAll="0">
      <items count="6">
        <item x="1"/>
        <item x="0"/>
        <item x="2"/>
        <item m="1" x="4"/>
        <item m="1" x="3"/>
        <item t="default"/>
      </items>
    </pivotField>
    <pivotField axis="axisRow" showAll="0">
      <items count="27">
        <item h="1" m="1" x="24"/>
        <item m="1" x="12"/>
        <item m="1" x="13"/>
        <item m="1" x="16"/>
        <item x="0"/>
        <item h="1" m="1" x="23"/>
        <item m="1" x="14"/>
        <item h="1" x="5"/>
        <item h="1" m="1" x="22"/>
        <item h="1" m="1" x="21"/>
        <item h="1" m="1" x="15"/>
        <item m="1" x="18"/>
        <item m="1" x="19"/>
        <item m="1" x="20"/>
        <item m="1" x="17"/>
        <item h="1" f="1" x="25"/>
        <item m="1" x="8"/>
        <item m="1" x="11"/>
        <item m="1" x="10"/>
        <item m="1" x="7"/>
        <item m="1" x="9"/>
        <item h="1" x="1"/>
        <item h="1" x="4"/>
        <item h="1" x="3"/>
        <item h="1" x="2"/>
        <item h="1" m="1"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 v="4"/>
    </i>
    <i t="grand">
      <x/>
    </i>
  </rowItems>
  <colFields count="2">
    <field x="10"/>
    <field x="9"/>
  </colFields>
  <colItems count="28">
    <i>
      <x/>
      <x v="26"/>
    </i>
    <i r="1">
      <x v="32"/>
    </i>
    <i r="1">
      <x v="33"/>
    </i>
    <i r="1">
      <x v="34"/>
    </i>
    <i t="default">
      <x/>
    </i>
    <i>
      <x v="1"/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t="default">
      <x v="1"/>
    </i>
    <i t="grand">
      <x/>
    </i>
  </colItems>
  <dataFields count="1">
    <dataField name="Expected sales of Haleem " fld="14" baseField="9" baseItem="1"/>
  </dataFields>
  <formats count="11">
    <format dxfId="169">
      <pivotArea outline="0" collapsedLevelsAreSubtotals="1" fieldPosition="0"/>
    </format>
    <format dxfId="170">
      <pivotArea type="origin" dataOnly="0" labelOnly="1" outline="0" offset="A1" fieldPosition="0"/>
    </format>
    <format dxfId="171">
      <pivotArea dataOnly="0" labelOnly="1" fieldPosition="0">
        <references count="2">
          <reference field="9" count="1">
            <x v="36"/>
          </reference>
          <reference field="10" count="1" selected="0">
            <x v="0"/>
          </reference>
        </references>
      </pivotArea>
    </format>
    <format dxfId="172">
      <pivotArea dataOnly="0" labelOnly="1" fieldPosition="0">
        <references count="2">
          <reference field="9" count="9">
            <x v="26"/>
            <x v="27"/>
            <x v="28"/>
            <x v="29"/>
            <x v="30"/>
            <x v="31"/>
            <x v="37"/>
            <x v="38"/>
            <x v="40"/>
          </reference>
          <reference field="10" count="1" selected="0">
            <x v="0"/>
          </reference>
        </references>
      </pivotArea>
    </format>
    <format dxfId="173">
      <pivotArea dataOnly="0" labelOnly="1" fieldPosition="0">
        <references count="2">
          <reference field="9" count="8">
            <x v="24"/>
            <x v="25"/>
            <x v="26"/>
            <x v="27"/>
            <x v="36"/>
            <x v="37"/>
            <x v="38"/>
            <x v="40"/>
          </reference>
          <reference field="10" count="1" selected="0">
            <x v="1"/>
          </reference>
        </references>
      </pivotArea>
    </format>
    <format dxfId="174">
      <pivotArea dataOnly="0" labelOnly="1" fieldPosition="0">
        <references count="2">
          <reference field="9" count="11">
            <x v="28"/>
            <x v="29"/>
            <x v="30"/>
            <x v="31"/>
            <x v="32"/>
            <x v="33"/>
            <x v="34"/>
            <x v="35"/>
            <x v="39"/>
            <x v="41"/>
            <x v="44"/>
          </reference>
          <reference field="10" count="1" selected="0">
            <x v="1"/>
          </reference>
        </references>
      </pivotArea>
    </format>
    <format dxfId="175">
      <pivotArea dataOnly="0" labelOnly="1" fieldPosition="0">
        <references count="2">
          <reference field="9" count="6">
            <x v="32"/>
            <x v="33"/>
            <x v="34"/>
            <x v="35"/>
            <x v="39"/>
            <x v="41"/>
          </reference>
          <reference field="10" count="1" selected="0">
            <x v="0"/>
          </reference>
        </references>
      </pivotArea>
    </format>
    <format dxfId="176">
      <pivotArea dataOnly="0" labelOnly="1" fieldPosition="0">
        <references count="2">
          <reference field="9" count="2">
            <x v="24"/>
            <x v="25"/>
          </reference>
          <reference field="10" count="1" selected="0">
            <x v="0"/>
          </reference>
        </references>
      </pivotArea>
    </format>
    <format dxfId="177">
      <pivotArea dataOnly="0" labelOnly="1" fieldPosition="0">
        <references count="2">
          <reference field="9" count="4">
            <x v="42"/>
            <x v="43"/>
            <x v="44"/>
            <x v="45"/>
          </reference>
          <reference field="10" count="1" selected="0">
            <x v="0"/>
          </reference>
        </references>
      </pivotArea>
    </format>
    <format dxfId="178">
      <pivotArea dataOnly="0" labelOnly="1" fieldPosition="0">
        <references count="2">
          <reference field="9" count="3">
            <x v="42"/>
            <x v="43"/>
            <x v="45"/>
          </reference>
          <reference field="10" count="1" selected="0">
            <x v="1"/>
          </reference>
        </references>
      </pivotArea>
    </format>
    <format dxfId="179">
      <pivotArea dataOnly="0" labelOnly="1" fieldPosition="0">
        <references count="2">
          <reference field="9" count="0"/>
          <reference field="10" count="1" selected="0"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6D1E1-F4BE-4DB0-AEBE-3E57A4CDFA33}" name="PivotTable4" cacheId="1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A43:F49" firstHeaderRow="1" firstDataRow="2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7">
        <item h="1" x="3"/>
        <item h="1" x="2"/>
        <item h="1" x="1"/>
        <item h="1" x="7"/>
        <item h="1" x="5"/>
        <item h="1" x="0"/>
        <item h="1" x="10"/>
        <item x="32"/>
        <item h="1" x="6"/>
        <item h="1" x="4"/>
        <item h="1" x="9"/>
        <item h="1" x="11"/>
        <item h="1" x="8"/>
        <item h="1" x="16"/>
        <item h="1" x="12"/>
        <item h="1" f="1" x="37"/>
        <item h="1" f="1" x="46"/>
        <item h="1" f="1" x="47"/>
        <item h="1" f="1" x="45"/>
        <item h="1" f="1" x="38"/>
        <item h="1" f="1" x="43"/>
        <item h="1" f="1" x="44"/>
        <item h="1" f="1" x="39"/>
        <item h="1" x="14"/>
        <item h="1" f="1" x="34"/>
        <item h="1" f="1" x="35"/>
        <item h="1" f="1" x="41"/>
        <item h="1" f="1" x="51"/>
        <item h="1" f="1" x="52"/>
        <item h="1" f="1" x="53"/>
        <item h="1" f="1" x="54"/>
        <item h="1" f="1" x="55"/>
        <item h="1" f="1" x="33"/>
        <item h="1" f="1" x="40"/>
        <item h="1" f="1" x="42"/>
        <item h="1" f="1" x="48"/>
        <item h="1" f="1" x="49"/>
        <item h="1" f="1" x="50"/>
        <item h="1" f="1" x="36"/>
        <item h="1" x="13"/>
        <item h="1" x="15"/>
        <item h="1" x="21"/>
        <item h="1" x="17"/>
        <item h="1" x="22"/>
        <item h="1" x="23"/>
        <item h="1" x="19"/>
        <item h="1" x="25"/>
        <item h="1" x="28"/>
        <item h="1" x="24"/>
        <item h="1" x="18"/>
        <item h="1" x="20"/>
        <item x="26"/>
        <item x="29"/>
        <item x="30"/>
        <item x="27"/>
        <item h="1" x="31"/>
        <item t="default"/>
      </items>
    </pivotField>
    <pivotField showAll="0"/>
    <pivotField axis="axisRow" showAll="0">
      <items count="27">
        <item h="1" m="1" x="24"/>
        <item h="1" m="1" x="17"/>
        <item h="1" m="1" x="11"/>
        <item h="1" m="1" x="8"/>
        <item h="1" m="1" x="13"/>
        <item h="1" m="1" x="14"/>
        <item h="1" m="1" x="12"/>
        <item h="1" m="1" x="16"/>
        <item h="1" m="1" x="23"/>
        <item h="1" x="5"/>
        <item h="1" m="1" x="22"/>
        <item h="1" m="1" x="21"/>
        <item h="1" m="1" x="15"/>
        <item h="1" m="1" x="19"/>
        <item h="1" m="1" x="20"/>
        <item h="1" m="1" x="18"/>
        <item h="1" f="1" x="25"/>
        <item h="1" m="1" x="7"/>
        <item h="1" m="1" x="9"/>
        <item h="1" m="1" x="10"/>
        <item h="1" x="0"/>
        <item x="1"/>
        <item x="4"/>
        <item x="3"/>
        <item x="2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 v="21"/>
    </i>
    <i>
      <x v="22"/>
    </i>
    <i>
      <x v="23"/>
    </i>
    <i>
      <x v="24"/>
    </i>
    <i t="grand">
      <x/>
    </i>
  </rowItems>
  <colFields count="1">
    <field x="9"/>
  </colFields>
  <colItems count="5">
    <i>
      <x v="51"/>
    </i>
    <i>
      <x v="52"/>
    </i>
    <i>
      <x v="53"/>
    </i>
    <i>
      <x v="54"/>
    </i>
    <i t="grand">
      <x/>
    </i>
  </colItems>
  <dataFields count="1">
    <dataField name="Sum of Expected Business" fld="7" baseField="0" baseItem="0"/>
  </dataFields>
  <formats count="15">
    <format dxfId="154">
      <pivotArea outline="0" collapsedLevelsAreSubtotals="1" fieldPosition="0"/>
    </format>
    <format dxfId="155">
      <pivotArea collapsedLevelsAreSubtotals="1" fieldPosition="0">
        <references count="1">
          <reference field="11" count="1">
            <x v="19"/>
          </reference>
        </references>
      </pivotArea>
    </format>
    <format dxfId="156">
      <pivotArea dataOnly="0" labelOnly="1" fieldPosition="0">
        <references count="1">
          <reference field="11" count="1">
            <x v="19"/>
          </reference>
        </references>
      </pivotArea>
    </format>
    <format dxfId="157">
      <pivotArea collapsedLevelsAreSubtotals="1" fieldPosition="0">
        <references count="1">
          <reference field="11" count="1">
            <x v="19"/>
          </reference>
        </references>
      </pivotArea>
    </format>
    <format dxfId="158">
      <pivotArea dataOnly="0" labelOnly="1" fieldPosition="0">
        <references count="1">
          <reference field="11" count="1">
            <x v="19"/>
          </reference>
        </references>
      </pivotArea>
    </format>
    <format dxfId="159">
      <pivotArea dataOnly="0" labelOnly="1" fieldPosition="0">
        <references count="1">
          <reference field="9" count="13">
            <x v="6"/>
            <x v="8"/>
            <x v="9"/>
            <x v="10"/>
            <x v="11"/>
            <x v="12"/>
            <x v="13"/>
            <x v="14"/>
            <x v="23"/>
            <x v="39"/>
            <x v="40"/>
            <x v="41"/>
            <x v="42"/>
          </reference>
        </references>
      </pivotArea>
    </format>
    <format dxfId="160">
      <pivotArea dataOnly="0" labelOnly="1" fieldPosition="0">
        <references count="1">
          <reference field="9" count="3">
            <x v="43"/>
            <x v="44"/>
            <x v="45"/>
          </reference>
        </references>
      </pivotArea>
    </format>
    <format dxfId="161">
      <pivotArea dataOnly="0" labelOnly="1" fieldPosition="0">
        <references count="1">
          <reference field="9" count="1">
            <x v="46"/>
          </reference>
        </references>
      </pivotArea>
    </format>
    <format dxfId="162">
      <pivotArea dataOnly="0" labelOnly="1" fieldPosition="0">
        <references count="1">
          <reference field="9" count="1">
            <x v="47"/>
          </reference>
        </references>
      </pivotArea>
    </format>
    <format dxfId="163">
      <pivotArea dataOnly="0" labelOnly="1" fieldPosition="0">
        <references count="1">
          <reference field="9" count="1">
            <x v="48"/>
          </reference>
        </references>
      </pivotArea>
    </format>
    <format dxfId="164">
      <pivotArea dataOnly="0" labelOnly="1" fieldPosition="0">
        <references count="1">
          <reference field="9" count="1">
            <x v="49"/>
          </reference>
        </references>
      </pivotArea>
    </format>
    <format dxfId="165">
      <pivotArea dataOnly="0" labelOnly="1" fieldPosition="0">
        <references count="1">
          <reference field="9" count="1">
            <x v="51"/>
          </reference>
        </references>
      </pivotArea>
    </format>
    <format dxfId="166">
      <pivotArea dataOnly="0" labelOnly="1" fieldPosition="0">
        <references count="1">
          <reference field="9" count="1">
            <x v="52"/>
          </reference>
        </references>
      </pivotArea>
    </format>
    <format dxfId="167">
      <pivotArea dataOnly="0" labelOnly="1" fieldPosition="0">
        <references count="1">
          <reference field="9" count="1">
            <x v="53"/>
          </reference>
        </references>
      </pivotArea>
    </format>
    <format dxfId="168">
      <pivotArea dataOnly="0" labelOnly="1" fieldPosition="0">
        <references count="1">
          <reference field="9" count="1">
            <x v="54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A6FC9-3129-47DE-8809-685BD2F581DA}" name="PivotTable2" cacheId="1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A22:Z26" firstHeaderRow="1" firstDataRow="2" firstDataCol="1"/>
  <pivotFields count="21"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7">
        <item x="3"/>
        <item x="2"/>
        <item x="1"/>
        <item x="7"/>
        <item x="5"/>
        <item x="0"/>
        <item x="10"/>
        <item x="32"/>
        <item x="6"/>
        <item x="4"/>
        <item x="9"/>
        <item x="11"/>
        <item x="8"/>
        <item x="16"/>
        <item x="12"/>
        <item h="1" f="1" x="37"/>
        <item h="1" f="1" x="46"/>
        <item h="1" f="1" x="47"/>
        <item h="1" f="1" x="45"/>
        <item h="1" f="1" x="38"/>
        <item h="1" f="1" x="43"/>
        <item h="1" f="1" x="44"/>
        <item h="1" f="1" x="39"/>
        <item x="14"/>
        <item h="1" f="1" x="34"/>
        <item h="1" f="1" x="35"/>
        <item h="1" f="1" x="41"/>
        <item h="1" f="1" x="51"/>
        <item h="1" f="1" x="52"/>
        <item h="1" f="1" x="53"/>
        <item h="1" f="1" x="54"/>
        <item h="1" f="1" x="55"/>
        <item h="1" f="1" x="33"/>
        <item h="1" f="1" x="40"/>
        <item h="1" f="1" x="42"/>
        <item h="1" f="1" x="48"/>
        <item h="1" f="1" x="49"/>
        <item h="1" f="1" x="50"/>
        <item h="1" f="1" x="36"/>
        <item x="13"/>
        <item x="15"/>
        <item x="21"/>
        <item x="17"/>
        <item x="22"/>
        <item x="23"/>
        <item x="19"/>
        <item x="25"/>
        <item h="1" x="24"/>
        <item x="28"/>
        <item h="1" x="18"/>
        <item h="1" x="20"/>
        <item h="1" x="26"/>
        <item h="1" x="29"/>
        <item h="1" x="30"/>
        <item h="1" x="27"/>
        <item h="1" x="31"/>
        <item t="default"/>
      </items>
    </pivotField>
    <pivotField showAll="0"/>
    <pivotField axis="axisRow" showAll="0">
      <items count="27">
        <item h="1" m="1" x="24"/>
        <item h="1" m="1" x="17"/>
        <item h="1" m="1" x="11"/>
        <item h="1" m="1" x="8"/>
        <item h="1" m="1" x="13"/>
        <item h="1" m="1" x="14"/>
        <item h="1" m="1" x="12"/>
        <item h="1" m="1" x="16"/>
        <item h="1" m="1" x="23"/>
        <item h="1" x="5"/>
        <item h="1" m="1" x="22"/>
        <item h="1" m="1" x="21"/>
        <item h="1" m="1" x="15"/>
        <item h="1" m="1" x="19"/>
        <item h="1" m="1" x="20"/>
        <item h="1" m="1" x="18"/>
        <item h="1" f="1" x="25"/>
        <item h="1" m="1" x="7"/>
        <item h="1" m="1" x="9"/>
        <item h="1" m="1" x="10"/>
        <item h="1" x="0"/>
        <item x="1"/>
        <item x="4"/>
        <item x="3"/>
        <item x="2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21"/>
    </i>
    <i>
      <x v="22"/>
    </i>
    <i t="grand">
      <x/>
    </i>
  </rowItems>
  <colFields count="1">
    <field x="9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23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 t="grand">
      <x/>
    </i>
  </colItems>
  <dataFields count="1">
    <dataField name="Count of A/C Name" fld="1" subtotal="count" baseField="0" baseItem="0"/>
  </dataFields>
  <formats count="7">
    <format dxfId="147">
      <pivotArea outline="0" collapsedLevelsAreSubtotals="1" fieldPosition="0"/>
    </format>
    <format dxfId="148">
      <pivotArea collapsedLevelsAreSubtotals="1" fieldPosition="0">
        <references count="1">
          <reference field="11" count="1">
            <x v="19"/>
          </reference>
        </references>
      </pivotArea>
    </format>
    <format dxfId="149">
      <pivotArea dataOnly="0" labelOnly="1" fieldPosition="0">
        <references count="1">
          <reference field="11" count="1">
            <x v="19"/>
          </reference>
        </references>
      </pivotArea>
    </format>
    <format dxfId="150">
      <pivotArea collapsedLevelsAreSubtotals="1" fieldPosition="0">
        <references count="1">
          <reference field="11" count="1">
            <x v="19"/>
          </reference>
        </references>
      </pivotArea>
    </format>
    <format dxfId="151">
      <pivotArea dataOnly="0" labelOnly="1" fieldPosition="0">
        <references count="1">
          <reference field="11" count="1">
            <x v="19"/>
          </reference>
        </references>
      </pivotArea>
    </format>
    <format dxfId="152">
      <pivotArea dataOnly="0" labelOnly="1" fieldPosition="0">
        <references count="1">
          <reference field="9" count="13">
            <x v="6"/>
            <x v="8"/>
            <x v="9"/>
            <x v="10"/>
            <x v="11"/>
            <x v="12"/>
            <x v="13"/>
            <x v="14"/>
            <x v="23"/>
            <x v="39"/>
            <x v="40"/>
            <x v="41"/>
            <x v="42"/>
          </reference>
        </references>
      </pivotArea>
    </format>
    <format dxfId="153">
      <pivotArea dataOnly="0" labelOnly="1" fieldPosition="0">
        <references count="1">
          <reference field="9" count="3">
            <x v="43"/>
            <x v="44"/>
            <x v="45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28F1E-3837-4D7A-8113-501CF86A40D8}" name="PivotTable7" cacheId="1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A12:BA19" firstHeaderRow="1" firstDataRow="3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 sortType="ascending">
      <items count="33">
        <item h="1" f="1" x="29"/>
        <item h="1" f="1" x="30"/>
        <item h="1" f="1" x="31"/>
        <item x="3"/>
        <item x="2"/>
        <item x="1"/>
        <item x="7"/>
        <item x="5"/>
        <item x="0"/>
        <item x="10"/>
        <item x="6"/>
        <item x="4"/>
        <item x="9"/>
        <item x="11"/>
        <item x="8"/>
        <item x="16"/>
        <item x="12"/>
        <item x="14"/>
        <item x="13"/>
        <item x="15"/>
        <item x="21"/>
        <item x="17"/>
        <item x="22"/>
        <item x="23"/>
        <item x="19"/>
        <item x="25"/>
        <item x="28"/>
        <item x="24"/>
        <item x="18"/>
        <item h="1" x="20"/>
        <item x="26"/>
        <item x="27"/>
        <item t="default"/>
      </items>
    </pivotField>
    <pivotField axis="axisCol" showAll="0">
      <items count="6">
        <item x="1"/>
        <item x="0"/>
        <item m="1" x="2"/>
        <item m="1" x="4"/>
        <item sd="0" m="1" x="3"/>
        <item t="default"/>
      </items>
    </pivotField>
    <pivotField axis="axisRow" showAll="0">
      <items count="23">
        <item h="1" m="1" x="21"/>
        <item m="1" x="11"/>
        <item m="1" x="8"/>
        <item m="1" x="13"/>
        <item m="1" x="14"/>
        <item m="1" x="15"/>
        <item m="1" x="17"/>
        <item m="1" x="19"/>
        <item m="1" x="16"/>
        <item m="1" x="20"/>
        <item m="1" x="18"/>
        <item m="1" x="12"/>
        <item m="1" x="6"/>
        <item m="1" x="7"/>
        <item m="1" x="9"/>
        <item m="1" x="10"/>
        <item h="1" x="0"/>
        <item x="1"/>
        <item x="4"/>
        <item x="3"/>
        <item x="2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 v="17"/>
    </i>
    <i>
      <x v="18"/>
    </i>
    <i>
      <x v="19"/>
    </i>
    <i>
      <x v="20"/>
    </i>
    <i t="grand">
      <x/>
    </i>
  </rowItems>
  <colFields count="2">
    <field x="10"/>
    <field x="9"/>
  </colFields>
  <colItems count="52">
    <i>
      <x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1"/>
    </i>
    <i t="default">
      <x v="1"/>
    </i>
    <i t="grand">
      <x/>
    </i>
  </colItems>
  <dataFields count="1">
    <dataField name="Expected Business " fld="7" baseField="0" baseItem="0" numFmtId="3"/>
  </dataFields>
  <formats count="60">
    <format dxfId="87">
      <pivotArea outline="0" collapsedLevelsAreSubtotals="1" fieldPosition="0"/>
    </format>
    <format dxfId="88">
      <pivotArea dataOnly="0" labelOnly="1" fieldPosition="0">
        <references count="2">
          <reference field="9" count="1">
            <x v="15"/>
          </reference>
          <reference field="10" count="1" selected="0">
            <x v="1"/>
          </reference>
        </references>
      </pivotArea>
    </format>
    <format dxfId="89">
      <pivotArea dataOnly="0" labelOnly="1" fieldPosition="0">
        <references count="2">
          <reference field="9" count="1">
            <x v="16"/>
          </reference>
          <reference field="10" count="1" selected="0">
            <x v="1"/>
          </reference>
        </references>
      </pivotArea>
    </format>
    <format dxfId="90">
      <pivotArea dataOnly="0" labelOnly="1" fieldPosition="0">
        <references count="2">
          <reference field="9" count="1">
            <x v="5"/>
          </reference>
          <reference field="10" count="1" selected="0">
            <x v="0"/>
          </reference>
        </references>
      </pivotArea>
    </format>
    <format dxfId="91">
      <pivotArea dataOnly="0" labelOnly="1" fieldPosition="0">
        <references count="2">
          <reference field="9" count="1">
            <x v="5"/>
          </reference>
          <reference field="10" count="1" selected="0">
            <x v="0"/>
          </reference>
        </references>
      </pivotArea>
    </format>
    <format dxfId="92">
      <pivotArea dataOnly="0" labelOnly="1" fieldPosition="0">
        <references count="2">
          <reference field="9" count="1">
            <x v="4"/>
          </reference>
          <reference field="10" count="1" selected="0">
            <x v="1"/>
          </reference>
        </references>
      </pivotArea>
    </format>
    <format dxfId="93">
      <pivotArea dataOnly="0" labelOnly="1" fieldPosition="0">
        <references count="2">
          <reference field="9" count="1">
            <x v="3"/>
          </reference>
          <reference field="10" count="1" selected="0">
            <x v="1"/>
          </reference>
        </references>
      </pivotArea>
    </format>
    <format dxfId="94">
      <pivotArea dataOnly="0" labelOnly="1" fieldPosition="0">
        <references count="2">
          <reference field="9" count="1">
            <x v="6"/>
          </reference>
          <reference field="10" count="1" selected="0">
            <x v="1"/>
          </reference>
        </references>
      </pivotArea>
    </format>
    <format dxfId="95">
      <pivotArea dataOnly="0" labelOnly="1" fieldPosition="0">
        <references count="2">
          <reference field="9" count="1">
            <x v="17"/>
          </reference>
          <reference field="10" count="1" selected="0">
            <x v="1"/>
          </reference>
        </references>
      </pivotArea>
    </format>
    <format dxfId="96">
      <pivotArea dataOnly="0" labelOnly="1" fieldPosition="0">
        <references count="2">
          <reference field="9" count="1">
            <x v="5"/>
          </reference>
          <reference field="10" count="1" selected="0">
            <x v="1"/>
          </reference>
        </references>
      </pivotArea>
    </format>
    <format dxfId="97">
      <pivotArea dataOnly="0" labelOnly="1" fieldPosition="0">
        <references count="2">
          <reference field="9" count="1">
            <x v="6"/>
          </reference>
          <reference field="10" count="1" selected="0">
            <x v="0"/>
          </reference>
        </references>
      </pivotArea>
    </format>
    <format dxfId="98">
      <pivotArea dataOnly="0" labelOnly="1" fieldPosition="0">
        <references count="2">
          <reference field="9" count="1">
            <x v="19"/>
          </reference>
          <reference field="10" count="1" selected="0">
            <x v="0"/>
          </reference>
        </references>
      </pivotArea>
    </format>
    <format dxfId="99">
      <pivotArea dataOnly="0" labelOnly="1" fieldPosition="0">
        <references count="2">
          <reference field="9" count="1">
            <x v="19"/>
          </reference>
          <reference field="10" count="1" selected="0">
            <x v="1"/>
          </reference>
        </references>
      </pivotArea>
    </format>
    <format dxfId="100">
      <pivotArea dataOnly="0" labelOnly="1" fieldPosition="0">
        <references count="2">
          <reference field="9" count="1">
            <x v="7"/>
          </reference>
          <reference field="10" count="1" selected="0">
            <x v="0"/>
          </reference>
        </references>
      </pivotArea>
    </format>
    <format dxfId="101">
      <pivotArea dataOnly="0" labelOnly="1" fieldPosition="0">
        <references count="2">
          <reference field="9" count="1">
            <x v="7"/>
          </reference>
          <reference field="10" count="1" selected="0">
            <x v="1"/>
          </reference>
        </references>
      </pivotArea>
    </format>
    <format dxfId="102">
      <pivotArea dataOnly="0" labelOnly="1" fieldPosition="0">
        <references count="2">
          <reference field="9" count="1">
            <x v="8"/>
          </reference>
          <reference field="10" count="1" selected="0">
            <x v="0"/>
          </reference>
        </references>
      </pivotArea>
    </format>
    <format dxfId="103">
      <pivotArea dataOnly="0" labelOnly="1" fieldPosition="0">
        <references count="2">
          <reference field="9" count="1">
            <x v="8"/>
          </reference>
          <reference field="10" count="1" selected="0">
            <x v="1"/>
          </reference>
        </references>
      </pivotArea>
    </format>
    <format dxfId="104">
      <pivotArea dataOnly="0" labelOnly="1" fieldPosition="0">
        <references count="2">
          <reference field="9" count="1">
            <x v="9"/>
          </reference>
          <reference field="10" count="1" selected="0">
            <x v="0"/>
          </reference>
        </references>
      </pivotArea>
    </format>
    <format dxfId="105">
      <pivotArea dataOnly="0" labelOnly="1" fieldPosition="0">
        <references count="2">
          <reference field="9" count="1">
            <x v="9"/>
          </reference>
          <reference field="10" count="1" selected="0">
            <x v="1"/>
          </reference>
        </references>
      </pivotArea>
    </format>
    <format dxfId="106">
      <pivotArea dataOnly="0" labelOnly="1" fieldPosition="0">
        <references count="2">
          <reference field="9" count="1">
            <x v="10"/>
          </reference>
          <reference field="10" count="1" selected="0">
            <x v="0"/>
          </reference>
        </references>
      </pivotArea>
    </format>
    <format dxfId="107">
      <pivotArea dataOnly="0" labelOnly="1" fieldPosition="0">
        <references count="2">
          <reference field="9" count="1">
            <x v="10"/>
          </reference>
          <reference field="10" count="1" selected="0">
            <x v="1"/>
          </reference>
        </references>
      </pivotArea>
    </format>
    <format dxfId="108">
      <pivotArea dataOnly="0" labelOnly="1" fieldPosition="0">
        <references count="2">
          <reference field="9" count="1">
            <x v="11"/>
          </reference>
          <reference field="10" count="1" selected="0">
            <x v="0"/>
          </reference>
        </references>
      </pivotArea>
    </format>
    <format dxfId="109">
      <pivotArea dataOnly="0" labelOnly="1" fieldPosition="0">
        <references count="2">
          <reference field="9" count="1">
            <x v="14"/>
          </reference>
          <reference field="10" count="1" selected="0">
            <x v="0"/>
          </reference>
        </references>
      </pivotArea>
    </format>
    <format dxfId="110">
      <pivotArea dataOnly="0" labelOnly="1" fieldPosition="0">
        <references count="2">
          <reference field="9" count="1">
            <x v="12"/>
          </reference>
          <reference field="10" count="1" selected="0">
            <x v="0"/>
          </reference>
        </references>
      </pivotArea>
    </format>
    <format dxfId="111">
      <pivotArea dataOnly="0" labelOnly="1" fieldPosition="0">
        <references count="2">
          <reference field="9" count="1">
            <x v="13"/>
          </reference>
          <reference field="10" count="1" selected="0">
            <x v="0"/>
          </reference>
        </references>
      </pivotArea>
    </format>
    <format dxfId="112">
      <pivotArea dataOnly="0" labelOnly="1" fieldPosition="0">
        <references count="2">
          <reference field="9" count="1">
            <x v="11"/>
          </reference>
          <reference field="10" count="1" selected="0">
            <x v="1"/>
          </reference>
        </references>
      </pivotArea>
    </format>
    <format dxfId="113">
      <pivotArea dataOnly="0" labelOnly="1" fieldPosition="0">
        <references count="2">
          <reference field="9" count="1">
            <x v="14"/>
          </reference>
          <reference field="10" count="1" selected="0">
            <x v="1"/>
          </reference>
        </references>
      </pivotArea>
    </format>
    <format dxfId="114">
      <pivotArea dataOnly="0" labelOnly="1" fieldPosition="0">
        <references count="2">
          <reference field="9" count="1">
            <x v="12"/>
          </reference>
          <reference field="10" count="1" selected="0">
            <x v="1"/>
          </reference>
        </references>
      </pivotArea>
    </format>
    <format dxfId="115">
      <pivotArea dataOnly="0" labelOnly="1" fieldPosition="0">
        <references count="2">
          <reference field="9" count="1">
            <x v="13"/>
          </reference>
          <reference field="10" count="1" selected="0">
            <x v="1"/>
          </reference>
        </references>
      </pivotArea>
    </format>
    <format dxfId="116">
      <pivotArea dataOnly="0" labelOnly="1" fieldPosition="0">
        <references count="2">
          <reference field="9" count="1">
            <x v="15"/>
          </reference>
          <reference field="10" count="1" selected="0">
            <x v="0"/>
          </reference>
        </references>
      </pivotArea>
    </format>
    <format dxfId="117">
      <pivotArea dataOnly="0" labelOnly="1" fieldPosition="0">
        <references count="2">
          <reference field="9" count="1">
            <x v="16"/>
          </reference>
          <reference field="10" count="1" selected="0">
            <x v="0"/>
          </reference>
        </references>
      </pivotArea>
    </format>
    <format dxfId="118">
      <pivotArea dataOnly="0" labelOnly="1" fieldPosition="0">
        <references count="2">
          <reference field="9" count="1">
            <x v="17"/>
          </reference>
          <reference field="10" count="1" selected="0">
            <x v="0"/>
          </reference>
        </references>
      </pivotArea>
    </format>
    <format dxfId="119">
      <pivotArea dataOnly="0" labelOnly="1" fieldPosition="0">
        <references count="2">
          <reference field="9" count="1">
            <x v="23"/>
          </reference>
          <reference field="10" count="1" selected="0">
            <x v="1"/>
          </reference>
        </references>
      </pivotArea>
    </format>
    <format dxfId="120">
      <pivotArea dataOnly="0" labelOnly="1" fieldPosition="0">
        <references count="2">
          <reference field="9" count="1">
            <x v="18"/>
          </reference>
          <reference field="10" count="1" selected="0">
            <x v="0"/>
          </reference>
        </references>
      </pivotArea>
    </format>
    <format dxfId="121">
      <pivotArea dataOnly="0" labelOnly="1" fieldPosition="0">
        <references count="2">
          <reference field="9" count="1">
            <x v="18"/>
          </reference>
          <reference field="10" count="1" selected="0">
            <x v="1"/>
          </reference>
        </references>
      </pivotArea>
    </format>
    <format dxfId="122">
      <pivotArea dataOnly="0" labelOnly="1" fieldPosition="0">
        <references count="2">
          <reference field="9" count="1">
            <x v="20"/>
          </reference>
          <reference field="10" count="1" selected="0">
            <x v="0"/>
          </reference>
        </references>
      </pivotArea>
    </format>
    <format dxfId="123">
      <pivotArea dataOnly="0" labelOnly="1" fieldPosition="0">
        <references count="2">
          <reference field="9" count="1">
            <x v="20"/>
          </reference>
          <reference field="10" count="1" selected="0">
            <x v="1"/>
          </reference>
        </references>
      </pivotArea>
    </format>
    <format dxfId="124">
      <pivotArea dataOnly="0" labelOnly="1" fieldPosition="0">
        <references count="2">
          <reference field="9" count="1">
            <x v="21"/>
          </reference>
          <reference field="10" count="1" selected="0">
            <x v="0"/>
          </reference>
        </references>
      </pivotArea>
    </format>
    <format dxfId="125">
      <pivotArea dataOnly="0" labelOnly="1" fieldPosition="0">
        <references count="2">
          <reference field="9" count="1">
            <x v="21"/>
          </reference>
          <reference field="10" count="1" selected="0">
            <x v="1"/>
          </reference>
        </references>
      </pivotArea>
    </format>
    <format dxfId="126">
      <pivotArea dataOnly="0" labelOnly="1" fieldPosition="0">
        <references count="2">
          <reference field="9" count="1">
            <x v="22"/>
          </reference>
          <reference field="10" count="1" selected="0">
            <x v="0"/>
          </reference>
        </references>
      </pivotArea>
    </format>
    <format dxfId="127">
      <pivotArea dataOnly="0" labelOnly="1" fieldPosition="0">
        <references count="2">
          <reference field="9" count="1">
            <x v="22"/>
          </reference>
          <reference field="10" count="1" selected="0">
            <x v="1"/>
          </reference>
        </references>
      </pivotArea>
    </format>
    <format dxfId="128">
      <pivotArea dataOnly="0" labelOnly="1" fieldPosition="0">
        <references count="2">
          <reference field="9" count="1">
            <x v="24"/>
          </reference>
          <reference field="10" count="1" selected="0">
            <x v="1"/>
          </reference>
        </references>
      </pivotArea>
    </format>
    <format dxfId="129">
      <pivotArea collapsedLevelsAreSubtotals="1" fieldPosition="0">
        <references count="1">
          <reference field="11" count="1">
            <x v="15"/>
          </reference>
        </references>
      </pivotArea>
    </format>
    <format dxfId="130">
      <pivotArea dataOnly="0" labelOnly="1" fieldPosition="0">
        <references count="1">
          <reference field="11" count="1">
            <x v="15"/>
          </reference>
        </references>
      </pivotArea>
    </format>
    <format dxfId="131">
      <pivotArea collapsedLevelsAreSubtotals="1" fieldPosition="0">
        <references count="1">
          <reference field="11" count="1">
            <x v="15"/>
          </reference>
        </references>
      </pivotArea>
    </format>
    <format dxfId="132">
      <pivotArea dataOnly="0" labelOnly="1" fieldPosition="0">
        <references count="1">
          <reference field="11" count="1">
            <x v="15"/>
          </reference>
        </references>
      </pivotArea>
    </format>
    <format dxfId="133">
      <pivotArea dataOnly="0" labelOnly="1" fieldPosition="0">
        <references count="2">
          <reference field="9" count="1">
            <x v="23"/>
          </reference>
          <reference field="10" count="1" selected="0">
            <x v="0"/>
          </reference>
        </references>
      </pivotArea>
    </format>
    <format dxfId="134">
      <pivotArea dataOnly="0" labelOnly="1" fieldPosition="0">
        <references count="2">
          <reference field="9" count="3">
            <x v="24"/>
            <x v="25"/>
            <x v="26"/>
          </reference>
          <reference field="10" count="1" selected="0">
            <x v="0"/>
          </reference>
        </references>
      </pivotArea>
    </format>
    <format dxfId="135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136">
      <pivotArea dataOnly="0" labelOnly="1" fieldPosition="0">
        <references count="2">
          <reference field="9" count="1">
            <x v="26"/>
          </reference>
          <reference field="10" count="1" selected="0">
            <x v="1"/>
          </reference>
        </references>
      </pivotArea>
    </format>
    <format dxfId="137">
      <pivotArea dataOnly="0" labelOnly="1" fieldPosition="0">
        <references count="2">
          <reference field="9" count="1">
            <x v="27"/>
          </reference>
          <reference field="10" count="1" selected="0">
            <x v="1"/>
          </reference>
        </references>
      </pivotArea>
    </format>
    <format dxfId="138">
      <pivotArea dataOnly="0" labelOnly="1" fieldPosition="0">
        <references count="2">
          <reference field="9" count="1">
            <x v="28"/>
          </reference>
          <reference field="10" count="1" selected="0">
            <x v="1"/>
          </reference>
        </references>
      </pivotArea>
    </format>
    <format dxfId="139">
      <pivotArea dataOnly="0" labelOnly="1" fieldPosition="0">
        <references count="2">
          <reference field="9" count="1">
            <x v="25"/>
          </reference>
          <reference field="10" count="1" selected="0">
            <x v="1"/>
          </reference>
        </references>
      </pivotArea>
    </format>
    <format dxfId="140">
      <pivotArea dataOnly="0" labelOnly="1" fieldPosition="0">
        <references count="2">
          <reference field="9" count="1">
            <x v="24"/>
          </reference>
          <reference field="10" count="1" selected="0">
            <x v="0"/>
          </reference>
        </references>
      </pivotArea>
    </format>
    <format dxfId="141">
      <pivotArea dataOnly="0" labelOnly="1" fieldPosition="0">
        <references count="2">
          <reference field="9" count="1">
            <x v="25"/>
          </reference>
          <reference field="10" count="1" selected="0">
            <x v="0"/>
          </reference>
        </references>
      </pivotArea>
    </format>
    <format dxfId="142">
      <pivotArea dataOnly="0" labelOnly="1" fieldPosition="0">
        <references count="2">
          <reference field="9" count="1">
            <x v="26"/>
          </reference>
          <reference field="10" count="1" selected="0">
            <x v="0"/>
          </reference>
        </references>
      </pivotArea>
    </format>
    <format dxfId="143">
      <pivotArea dataOnly="0" labelOnly="1" fieldPosition="0">
        <references count="2">
          <reference field="9" count="1">
            <x v="30"/>
          </reference>
          <reference field="10" count="1" selected="0">
            <x v="1"/>
          </reference>
        </references>
      </pivotArea>
    </format>
    <format dxfId="144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145">
      <pivotArea dataOnly="0" labelOnly="1" fieldPosition="0">
        <references count="1">
          <reference field="10" count="1" defaultSubtotal="1">
            <x v="0"/>
          </reference>
        </references>
      </pivotArea>
    </format>
    <format dxfId="146">
      <pivotArea dataOnly="0" labelOnly="1" fieldPosition="0">
        <references count="2">
          <reference field="9" count="1">
            <x v="31"/>
          </reference>
          <reference field="10" count="1" selected="0"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6DC86-3142-4FDF-8BFE-972E78B388A7}" name="PivotTable1" cacheId="1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A3:AZ8" firstHeaderRow="1" firstDataRow="3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 sortType="ascending">
      <items count="33">
        <item h="1" f="1" x="29"/>
        <item h="1" f="1" x="30"/>
        <item h="1" f="1" x="31"/>
        <item x="3"/>
        <item x="2"/>
        <item x="1"/>
        <item x="7"/>
        <item x="5"/>
        <item x="0"/>
        <item x="10"/>
        <item x="6"/>
        <item x="4"/>
        <item x="9"/>
        <item x="11"/>
        <item x="8"/>
        <item x="16"/>
        <item x="12"/>
        <item x="14"/>
        <item x="13"/>
        <item x="15"/>
        <item x="21"/>
        <item x="17"/>
        <item x="22"/>
        <item x="23"/>
        <item x="19"/>
        <item x="25"/>
        <item x="28"/>
        <item x="24"/>
        <item x="18"/>
        <item h="1" x="20"/>
        <item x="26"/>
        <item h="1" x="27"/>
        <item t="default"/>
      </items>
    </pivotField>
    <pivotField axis="axisCol" showAll="0">
      <items count="6">
        <item x="1"/>
        <item x="0"/>
        <item m="1" x="2"/>
        <item m="1" x="4"/>
        <item sd="0" m="1" x="3"/>
        <item t="default"/>
      </items>
    </pivotField>
    <pivotField axis="axisRow" showAll="0">
      <items count="23">
        <item h="1" m="1" x="21"/>
        <item h="1" m="1" x="11"/>
        <item h="1" m="1" x="8"/>
        <item h="1" m="1" x="13"/>
        <item h="1" m="1" x="14"/>
        <item h="1" m="1" x="15"/>
        <item h="1" m="1" x="17"/>
        <item h="1" m="1" x="19"/>
        <item h="1" m="1" x="16"/>
        <item h="1" m="1" x="20"/>
        <item h="1" m="1" x="18"/>
        <item h="1" m="1" x="12"/>
        <item h="1" m="1" x="6"/>
        <item h="1" m="1" x="7"/>
        <item h="1" m="1" x="9"/>
        <item h="1" m="1" x="10"/>
        <item h="1" x="0"/>
        <item x="1"/>
        <item x="4"/>
        <item x="3"/>
        <item x="2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7"/>
    </i>
    <i>
      <x v="18"/>
    </i>
    <i t="grand">
      <x/>
    </i>
  </rowItems>
  <colFields count="2">
    <field x="10"/>
    <field x="9"/>
  </colFields>
  <colItems count="51">
    <i>
      <x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default">
      <x v="1"/>
    </i>
    <i t="grand">
      <x/>
    </i>
  </colItems>
  <dataFields count="1">
    <dataField name="Expected Business " fld="7" baseField="0" baseItem="0" numFmtId="3"/>
  </dataFields>
  <formats count="59">
    <format dxfId="28">
      <pivotArea outline="0" collapsedLevelsAreSubtotals="1" fieldPosition="0"/>
    </format>
    <format dxfId="29">
      <pivotArea dataOnly="0" labelOnly="1" fieldPosition="0">
        <references count="2">
          <reference field="9" count="1">
            <x v="15"/>
          </reference>
          <reference field="10" count="1" selected="0">
            <x v="1"/>
          </reference>
        </references>
      </pivotArea>
    </format>
    <format dxfId="30">
      <pivotArea dataOnly="0" labelOnly="1" fieldPosition="0">
        <references count="2">
          <reference field="9" count="1">
            <x v="16"/>
          </reference>
          <reference field="10" count="1" selected="0">
            <x v="1"/>
          </reference>
        </references>
      </pivotArea>
    </format>
    <format dxfId="31">
      <pivotArea dataOnly="0" labelOnly="1" fieldPosition="0">
        <references count="2">
          <reference field="9" count="1">
            <x v="5"/>
          </reference>
          <reference field="10" count="1" selected="0">
            <x v="0"/>
          </reference>
        </references>
      </pivotArea>
    </format>
    <format dxfId="32">
      <pivotArea dataOnly="0" labelOnly="1" fieldPosition="0">
        <references count="2">
          <reference field="9" count="1">
            <x v="5"/>
          </reference>
          <reference field="10" count="1" selected="0">
            <x v="0"/>
          </reference>
        </references>
      </pivotArea>
    </format>
    <format dxfId="33">
      <pivotArea dataOnly="0" labelOnly="1" fieldPosition="0">
        <references count="2">
          <reference field="9" count="1">
            <x v="4"/>
          </reference>
          <reference field="10" count="1" selected="0">
            <x v="1"/>
          </reference>
        </references>
      </pivotArea>
    </format>
    <format dxfId="34">
      <pivotArea dataOnly="0" labelOnly="1" fieldPosition="0">
        <references count="2">
          <reference field="9" count="1">
            <x v="3"/>
          </reference>
          <reference field="10" count="1" selected="0">
            <x v="1"/>
          </reference>
        </references>
      </pivotArea>
    </format>
    <format dxfId="35">
      <pivotArea dataOnly="0" labelOnly="1" fieldPosition="0">
        <references count="2">
          <reference field="9" count="1">
            <x v="6"/>
          </reference>
          <reference field="10" count="1" selected="0">
            <x v="1"/>
          </reference>
        </references>
      </pivotArea>
    </format>
    <format dxfId="36">
      <pivotArea dataOnly="0" labelOnly="1" fieldPosition="0">
        <references count="2">
          <reference field="9" count="1">
            <x v="17"/>
          </reference>
          <reference field="10" count="1" selected="0">
            <x v="1"/>
          </reference>
        </references>
      </pivotArea>
    </format>
    <format dxfId="37">
      <pivotArea dataOnly="0" labelOnly="1" fieldPosition="0">
        <references count="2">
          <reference field="9" count="1">
            <x v="5"/>
          </reference>
          <reference field="10" count="1" selected="0">
            <x v="1"/>
          </reference>
        </references>
      </pivotArea>
    </format>
    <format dxfId="38">
      <pivotArea dataOnly="0" labelOnly="1" fieldPosition="0">
        <references count="2">
          <reference field="9" count="1">
            <x v="6"/>
          </reference>
          <reference field="10" count="1" selected="0">
            <x v="0"/>
          </reference>
        </references>
      </pivotArea>
    </format>
    <format dxfId="39">
      <pivotArea dataOnly="0" labelOnly="1" fieldPosition="0">
        <references count="2">
          <reference field="9" count="1">
            <x v="19"/>
          </reference>
          <reference field="10" count="1" selected="0">
            <x v="0"/>
          </reference>
        </references>
      </pivotArea>
    </format>
    <format dxfId="40">
      <pivotArea dataOnly="0" labelOnly="1" fieldPosition="0">
        <references count="2">
          <reference field="9" count="1">
            <x v="19"/>
          </reference>
          <reference field="10" count="1" selected="0">
            <x v="1"/>
          </reference>
        </references>
      </pivotArea>
    </format>
    <format dxfId="41">
      <pivotArea dataOnly="0" labelOnly="1" fieldPosition="0">
        <references count="2">
          <reference field="9" count="1">
            <x v="7"/>
          </reference>
          <reference field="10" count="1" selected="0">
            <x v="0"/>
          </reference>
        </references>
      </pivotArea>
    </format>
    <format dxfId="42">
      <pivotArea dataOnly="0" labelOnly="1" fieldPosition="0">
        <references count="2">
          <reference field="9" count="1">
            <x v="7"/>
          </reference>
          <reference field="10" count="1" selected="0">
            <x v="1"/>
          </reference>
        </references>
      </pivotArea>
    </format>
    <format dxfId="43">
      <pivotArea dataOnly="0" labelOnly="1" fieldPosition="0">
        <references count="2">
          <reference field="9" count="1">
            <x v="8"/>
          </reference>
          <reference field="10" count="1" selected="0">
            <x v="0"/>
          </reference>
        </references>
      </pivotArea>
    </format>
    <format dxfId="44">
      <pivotArea dataOnly="0" labelOnly="1" fieldPosition="0">
        <references count="2">
          <reference field="9" count="1">
            <x v="8"/>
          </reference>
          <reference field="10" count="1" selected="0">
            <x v="1"/>
          </reference>
        </references>
      </pivotArea>
    </format>
    <format dxfId="45">
      <pivotArea dataOnly="0" labelOnly="1" fieldPosition="0">
        <references count="2">
          <reference field="9" count="1">
            <x v="9"/>
          </reference>
          <reference field="10" count="1" selected="0">
            <x v="0"/>
          </reference>
        </references>
      </pivotArea>
    </format>
    <format dxfId="46">
      <pivotArea dataOnly="0" labelOnly="1" fieldPosition="0">
        <references count="2">
          <reference field="9" count="1">
            <x v="9"/>
          </reference>
          <reference field="10" count="1" selected="0">
            <x v="1"/>
          </reference>
        </references>
      </pivotArea>
    </format>
    <format dxfId="47">
      <pivotArea dataOnly="0" labelOnly="1" fieldPosition="0">
        <references count="2">
          <reference field="9" count="1">
            <x v="10"/>
          </reference>
          <reference field="10" count="1" selected="0">
            <x v="0"/>
          </reference>
        </references>
      </pivotArea>
    </format>
    <format dxfId="48">
      <pivotArea dataOnly="0" labelOnly="1" fieldPosition="0">
        <references count="2">
          <reference field="9" count="1">
            <x v="10"/>
          </reference>
          <reference field="10" count="1" selected="0">
            <x v="1"/>
          </reference>
        </references>
      </pivotArea>
    </format>
    <format dxfId="49">
      <pivotArea dataOnly="0" labelOnly="1" fieldPosition="0">
        <references count="2">
          <reference field="9" count="1">
            <x v="11"/>
          </reference>
          <reference field="10" count="1" selected="0">
            <x v="0"/>
          </reference>
        </references>
      </pivotArea>
    </format>
    <format dxfId="50">
      <pivotArea dataOnly="0" labelOnly="1" fieldPosition="0">
        <references count="2">
          <reference field="9" count="1">
            <x v="14"/>
          </reference>
          <reference field="10" count="1" selected="0">
            <x v="0"/>
          </reference>
        </references>
      </pivotArea>
    </format>
    <format dxfId="51">
      <pivotArea dataOnly="0" labelOnly="1" fieldPosition="0">
        <references count="2">
          <reference field="9" count="1">
            <x v="12"/>
          </reference>
          <reference field="10" count="1" selected="0">
            <x v="0"/>
          </reference>
        </references>
      </pivotArea>
    </format>
    <format dxfId="52">
      <pivotArea dataOnly="0" labelOnly="1" fieldPosition="0">
        <references count="2">
          <reference field="9" count="1">
            <x v="13"/>
          </reference>
          <reference field="10" count="1" selected="0">
            <x v="0"/>
          </reference>
        </references>
      </pivotArea>
    </format>
    <format dxfId="53">
      <pivotArea dataOnly="0" labelOnly="1" fieldPosition="0">
        <references count="2">
          <reference field="9" count="1">
            <x v="11"/>
          </reference>
          <reference field="10" count="1" selected="0">
            <x v="1"/>
          </reference>
        </references>
      </pivotArea>
    </format>
    <format dxfId="54">
      <pivotArea dataOnly="0" labelOnly="1" fieldPosition="0">
        <references count="2">
          <reference field="9" count="1">
            <x v="14"/>
          </reference>
          <reference field="10" count="1" selected="0">
            <x v="1"/>
          </reference>
        </references>
      </pivotArea>
    </format>
    <format dxfId="55">
      <pivotArea dataOnly="0" labelOnly="1" fieldPosition="0">
        <references count="2">
          <reference field="9" count="1">
            <x v="12"/>
          </reference>
          <reference field="10" count="1" selected="0">
            <x v="1"/>
          </reference>
        </references>
      </pivotArea>
    </format>
    <format dxfId="56">
      <pivotArea dataOnly="0" labelOnly="1" fieldPosition="0">
        <references count="2">
          <reference field="9" count="1">
            <x v="13"/>
          </reference>
          <reference field="10" count="1" selected="0">
            <x v="1"/>
          </reference>
        </references>
      </pivotArea>
    </format>
    <format dxfId="57">
      <pivotArea dataOnly="0" labelOnly="1" fieldPosition="0">
        <references count="2">
          <reference field="9" count="1">
            <x v="15"/>
          </reference>
          <reference field="10" count="1" selected="0">
            <x v="0"/>
          </reference>
        </references>
      </pivotArea>
    </format>
    <format dxfId="58">
      <pivotArea dataOnly="0" labelOnly="1" fieldPosition="0">
        <references count="2">
          <reference field="9" count="1">
            <x v="16"/>
          </reference>
          <reference field="10" count="1" selected="0">
            <x v="0"/>
          </reference>
        </references>
      </pivotArea>
    </format>
    <format dxfId="59">
      <pivotArea dataOnly="0" labelOnly="1" fieldPosition="0">
        <references count="2">
          <reference field="9" count="1">
            <x v="17"/>
          </reference>
          <reference field="10" count="1" selected="0">
            <x v="0"/>
          </reference>
        </references>
      </pivotArea>
    </format>
    <format dxfId="60">
      <pivotArea dataOnly="0" labelOnly="1" fieldPosition="0">
        <references count="2">
          <reference field="9" count="1">
            <x v="23"/>
          </reference>
          <reference field="10" count="1" selected="0">
            <x v="1"/>
          </reference>
        </references>
      </pivotArea>
    </format>
    <format dxfId="61">
      <pivotArea dataOnly="0" labelOnly="1" fieldPosition="0">
        <references count="2">
          <reference field="9" count="1">
            <x v="18"/>
          </reference>
          <reference field="10" count="1" selected="0">
            <x v="0"/>
          </reference>
        </references>
      </pivotArea>
    </format>
    <format dxfId="62">
      <pivotArea dataOnly="0" labelOnly="1" fieldPosition="0">
        <references count="2">
          <reference field="9" count="1">
            <x v="18"/>
          </reference>
          <reference field="10" count="1" selected="0">
            <x v="1"/>
          </reference>
        </references>
      </pivotArea>
    </format>
    <format dxfId="63">
      <pivotArea dataOnly="0" labelOnly="1" fieldPosition="0">
        <references count="2">
          <reference field="9" count="1">
            <x v="20"/>
          </reference>
          <reference field="10" count="1" selected="0">
            <x v="0"/>
          </reference>
        </references>
      </pivotArea>
    </format>
    <format dxfId="64">
      <pivotArea dataOnly="0" labelOnly="1" fieldPosition="0">
        <references count="2">
          <reference field="9" count="1">
            <x v="20"/>
          </reference>
          <reference field="10" count="1" selected="0">
            <x v="1"/>
          </reference>
        </references>
      </pivotArea>
    </format>
    <format dxfId="65">
      <pivotArea dataOnly="0" labelOnly="1" fieldPosition="0">
        <references count="2">
          <reference field="9" count="1">
            <x v="21"/>
          </reference>
          <reference field="10" count="1" selected="0">
            <x v="0"/>
          </reference>
        </references>
      </pivotArea>
    </format>
    <format dxfId="66">
      <pivotArea dataOnly="0" labelOnly="1" fieldPosition="0">
        <references count="2">
          <reference field="9" count="1">
            <x v="21"/>
          </reference>
          <reference field="10" count="1" selected="0">
            <x v="1"/>
          </reference>
        </references>
      </pivotArea>
    </format>
    <format dxfId="67">
      <pivotArea dataOnly="0" labelOnly="1" fieldPosition="0">
        <references count="2">
          <reference field="9" count="1">
            <x v="22"/>
          </reference>
          <reference field="10" count="1" selected="0">
            <x v="0"/>
          </reference>
        </references>
      </pivotArea>
    </format>
    <format dxfId="68">
      <pivotArea dataOnly="0" labelOnly="1" fieldPosition="0">
        <references count="2">
          <reference field="9" count="1">
            <x v="22"/>
          </reference>
          <reference field="10" count="1" selected="0">
            <x v="1"/>
          </reference>
        </references>
      </pivotArea>
    </format>
    <format dxfId="69">
      <pivotArea dataOnly="0" labelOnly="1" fieldPosition="0">
        <references count="2">
          <reference field="9" count="1">
            <x v="24"/>
          </reference>
          <reference field="10" count="1" selected="0">
            <x v="1"/>
          </reference>
        </references>
      </pivotArea>
    </format>
    <format dxfId="70">
      <pivotArea collapsedLevelsAreSubtotals="1" fieldPosition="0">
        <references count="1">
          <reference field="11" count="1">
            <x v="15"/>
          </reference>
        </references>
      </pivotArea>
    </format>
    <format dxfId="71">
      <pivotArea dataOnly="0" labelOnly="1" fieldPosition="0">
        <references count="1">
          <reference field="11" count="1">
            <x v="15"/>
          </reference>
        </references>
      </pivotArea>
    </format>
    <format dxfId="72">
      <pivotArea collapsedLevelsAreSubtotals="1" fieldPosition="0">
        <references count="1">
          <reference field="11" count="1">
            <x v="15"/>
          </reference>
        </references>
      </pivotArea>
    </format>
    <format dxfId="73">
      <pivotArea dataOnly="0" labelOnly="1" fieldPosition="0">
        <references count="1">
          <reference field="11" count="1">
            <x v="15"/>
          </reference>
        </references>
      </pivotArea>
    </format>
    <format dxfId="74">
      <pivotArea dataOnly="0" labelOnly="1" fieldPosition="0">
        <references count="2">
          <reference field="9" count="1">
            <x v="23"/>
          </reference>
          <reference field="10" count="1" selected="0">
            <x v="0"/>
          </reference>
        </references>
      </pivotArea>
    </format>
    <format dxfId="75">
      <pivotArea dataOnly="0" labelOnly="1" fieldPosition="0">
        <references count="2">
          <reference field="9" count="3">
            <x v="24"/>
            <x v="25"/>
            <x v="26"/>
          </reference>
          <reference field="10" count="1" selected="0">
            <x v="0"/>
          </reference>
        </references>
      </pivotArea>
    </format>
    <format dxfId="76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77">
      <pivotArea dataOnly="0" labelOnly="1" fieldPosition="0">
        <references count="2">
          <reference field="9" count="1">
            <x v="26"/>
          </reference>
          <reference field="10" count="1" selected="0">
            <x v="1"/>
          </reference>
        </references>
      </pivotArea>
    </format>
    <format dxfId="78">
      <pivotArea dataOnly="0" labelOnly="1" fieldPosition="0">
        <references count="2">
          <reference field="9" count="1">
            <x v="27"/>
          </reference>
          <reference field="10" count="1" selected="0">
            <x v="1"/>
          </reference>
        </references>
      </pivotArea>
    </format>
    <format dxfId="79">
      <pivotArea dataOnly="0" labelOnly="1" fieldPosition="0">
        <references count="2">
          <reference field="9" count="1">
            <x v="28"/>
          </reference>
          <reference field="10" count="1" selected="0">
            <x v="1"/>
          </reference>
        </references>
      </pivotArea>
    </format>
    <format dxfId="80">
      <pivotArea dataOnly="0" labelOnly="1" fieldPosition="0">
        <references count="2">
          <reference field="9" count="1">
            <x v="25"/>
          </reference>
          <reference field="10" count="1" selected="0">
            <x v="1"/>
          </reference>
        </references>
      </pivotArea>
    </format>
    <format dxfId="81">
      <pivotArea dataOnly="0" labelOnly="1" fieldPosition="0">
        <references count="2">
          <reference field="9" count="1">
            <x v="24"/>
          </reference>
          <reference field="10" count="1" selected="0">
            <x v="0"/>
          </reference>
        </references>
      </pivotArea>
    </format>
    <format dxfId="82">
      <pivotArea dataOnly="0" labelOnly="1" fieldPosition="0">
        <references count="2">
          <reference field="9" count="1">
            <x v="25"/>
          </reference>
          <reference field="10" count="1" selected="0">
            <x v="0"/>
          </reference>
        </references>
      </pivotArea>
    </format>
    <format dxfId="83">
      <pivotArea dataOnly="0" labelOnly="1" fieldPosition="0">
        <references count="2">
          <reference field="9" count="1">
            <x v="26"/>
          </reference>
          <reference field="10" count="1" selected="0">
            <x v="0"/>
          </reference>
        </references>
      </pivotArea>
    </format>
    <format dxfId="84">
      <pivotArea dataOnly="0" labelOnly="1" fieldPosition="0">
        <references count="2">
          <reference field="9" count="1">
            <x v="30"/>
          </reference>
          <reference field="10" count="1" selected="0">
            <x v="1"/>
          </reference>
        </references>
      </pivotArea>
    </format>
    <format dxfId="85">
      <pivotArea dataOnly="0" labelOnly="1" fieldPosition="0">
        <references count="1">
          <reference field="10" count="1" defaultSubtotal="1">
            <x v="1"/>
          </reference>
        </references>
      </pivotArea>
    </format>
    <format dxfId="86">
      <pivotArea dataOnly="0" labelOnly="1" fieldPosition="0">
        <references count="1">
          <reference field="10" count="1" defaultSubtotal="1">
            <x v="0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00EF1-DFA6-473C-9DF4-31924F75B2CE}" name="PivotTable5" cacheId="1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A33:AF39" firstHeaderRow="1" firstDataRow="2" firstDataCol="1"/>
  <pivotFields count="21"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7">
        <item x="3"/>
        <item x="2"/>
        <item x="1"/>
        <item x="7"/>
        <item x="5"/>
        <item x="0"/>
        <item x="10"/>
        <item x="32"/>
        <item x="6"/>
        <item x="4"/>
        <item x="9"/>
        <item x="11"/>
        <item x="8"/>
        <item x="16"/>
        <item x="12"/>
        <item h="1" f="1" x="37"/>
        <item h="1" f="1" x="46"/>
        <item h="1" f="1" x="47"/>
        <item h="1" f="1" x="45"/>
        <item h="1" f="1" x="38"/>
        <item h="1" f="1" x="43"/>
        <item h="1" f="1" x="44"/>
        <item h="1" f="1" x="39"/>
        <item x="14"/>
        <item h="1" f="1" x="34"/>
        <item h="1" f="1" x="35"/>
        <item h="1" f="1" x="41"/>
        <item h="1" f="1" x="51"/>
        <item h="1" f="1" x="52"/>
        <item h="1" f="1" x="53"/>
        <item h="1" f="1" x="54"/>
        <item h="1" f="1" x="55"/>
        <item h="1" f="1" x="33"/>
        <item h="1" f="1" x="40"/>
        <item h="1" f="1" x="42"/>
        <item h="1" f="1" x="48"/>
        <item h="1" f="1" x="49"/>
        <item h="1" f="1" x="50"/>
        <item h="1" f="1" x="36"/>
        <item x="13"/>
        <item x="15"/>
        <item x="21"/>
        <item x="17"/>
        <item x="22"/>
        <item x="23"/>
        <item x="19"/>
        <item x="25"/>
        <item x="28"/>
        <item x="24"/>
        <item x="18"/>
        <item h="1" x="20"/>
        <item x="26"/>
        <item x="29"/>
        <item x="30"/>
        <item x="27"/>
        <item h="1" x="31"/>
        <item t="default"/>
      </items>
    </pivotField>
    <pivotField showAll="0"/>
    <pivotField axis="axisRow" showAll="0">
      <items count="27">
        <item h="1" m="1" x="24"/>
        <item h="1" m="1" x="17"/>
        <item h="1" m="1" x="11"/>
        <item h="1" m="1" x="8"/>
        <item h="1" m="1" x="13"/>
        <item h="1" m="1" x="14"/>
        <item h="1" m="1" x="12"/>
        <item h="1" m="1" x="16"/>
        <item h="1" m="1" x="23"/>
        <item h="1" x="5"/>
        <item h="1" m="1" x="22"/>
        <item h="1" m="1" x="21"/>
        <item h="1" m="1" x="15"/>
        <item h="1" m="1" x="19"/>
        <item h="1" m="1" x="20"/>
        <item h="1" m="1" x="18"/>
        <item h="1" f="1" x="25"/>
        <item h="1" m="1" x="7"/>
        <item h="1" m="1" x="9"/>
        <item h="1" m="1" x="10"/>
        <item h="1" x="0"/>
        <item x="1"/>
        <item x="4"/>
        <item x="3"/>
        <item x="2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 v="21"/>
    </i>
    <i>
      <x v="22"/>
    </i>
    <i>
      <x v="23"/>
    </i>
    <i>
      <x v="24"/>
    </i>
    <i t="grand">
      <x/>
    </i>
  </rowItems>
  <colFields count="1">
    <field x="9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23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3"/>
    </i>
    <i>
      <x v="54"/>
    </i>
    <i t="grand">
      <x/>
    </i>
  </colItems>
  <dataFields count="1">
    <dataField name="Sum of Expected Business" fld="7" baseField="0" baseItem="0"/>
  </dataFields>
  <formats count="15">
    <format dxfId="13">
      <pivotArea outline="0" collapsedLevelsAreSubtotals="1" fieldPosition="0"/>
    </format>
    <format dxfId="14">
      <pivotArea collapsedLevelsAreSubtotals="1" fieldPosition="0">
        <references count="1">
          <reference field="11" count="1">
            <x v="19"/>
          </reference>
        </references>
      </pivotArea>
    </format>
    <format dxfId="15">
      <pivotArea dataOnly="0" labelOnly="1" fieldPosition="0">
        <references count="1">
          <reference field="11" count="1">
            <x v="19"/>
          </reference>
        </references>
      </pivotArea>
    </format>
    <format dxfId="16">
      <pivotArea collapsedLevelsAreSubtotals="1" fieldPosition="0">
        <references count="1">
          <reference field="11" count="1">
            <x v="19"/>
          </reference>
        </references>
      </pivotArea>
    </format>
    <format dxfId="17">
      <pivotArea dataOnly="0" labelOnly="1" fieldPosition="0">
        <references count="1">
          <reference field="11" count="1">
            <x v="19"/>
          </reference>
        </references>
      </pivotArea>
    </format>
    <format dxfId="18">
      <pivotArea dataOnly="0" labelOnly="1" fieldPosition="0">
        <references count="1">
          <reference field="9" count="13">
            <x v="6"/>
            <x v="8"/>
            <x v="9"/>
            <x v="10"/>
            <x v="11"/>
            <x v="12"/>
            <x v="13"/>
            <x v="14"/>
            <x v="23"/>
            <x v="39"/>
            <x v="40"/>
            <x v="41"/>
            <x v="42"/>
          </reference>
        </references>
      </pivotArea>
    </format>
    <format dxfId="19">
      <pivotArea dataOnly="0" labelOnly="1" fieldPosition="0">
        <references count="1">
          <reference field="9" count="3">
            <x v="43"/>
            <x v="44"/>
            <x v="45"/>
          </reference>
        </references>
      </pivotArea>
    </format>
    <format dxfId="20">
      <pivotArea dataOnly="0" labelOnly="1" fieldPosition="0">
        <references count="1">
          <reference field="9" count="1">
            <x v="46"/>
          </reference>
        </references>
      </pivotArea>
    </format>
    <format dxfId="21">
      <pivotArea dataOnly="0" labelOnly="1" fieldPosition="0">
        <references count="1">
          <reference field="9" count="6">
            <x v="0"/>
            <x v="1"/>
            <x v="2"/>
            <x v="3"/>
            <x v="4"/>
            <x v="5"/>
          </reference>
        </references>
      </pivotArea>
    </format>
    <format dxfId="22">
      <pivotArea dataOnly="0" labelOnly="1" fieldPosition="0">
        <references count="1">
          <reference field="9" count="1">
            <x v="6"/>
          </reference>
        </references>
      </pivotArea>
    </format>
    <format dxfId="23">
      <pivotArea dataOnly="0" labelOnly="1" fieldPosition="0">
        <references count="1">
          <reference field="9" count="1">
            <x v="47"/>
          </reference>
        </references>
      </pivotArea>
    </format>
    <format dxfId="24">
      <pivotArea dataOnly="0" labelOnly="1" fieldPosition="0">
        <references count="1">
          <reference field="9" count="1">
            <x v="48"/>
          </reference>
        </references>
      </pivotArea>
    </format>
    <format dxfId="25">
      <pivotArea dataOnly="0" labelOnly="1" fieldPosition="0">
        <references count="1">
          <reference field="9" count="1">
            <x v="49"/>
          </reference>
        </references>
      </pivotArea>
    </format>
    <format dxfId="26">
      <pivotArea dataOnly="0" labelOnly="1" fieldPosition="0">
        <references count="1">
          <reference field="9" count="1">
            <x v="51"/>
          </reference>
        </references>
      </pivotArea>
    </format>
    <format dxfId="27">
      <pivotArea dataOnly="0" labelOnly="1" fieldPosition="0">
        <references count="1">
          <reference field="9" count="3">
            <x v="52"/>
            <x v="53"/>
            <x v="54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F4F2D0-E709-4D7B-B1E8-929519F22D8A}" name="Table4" displayName="Table4" ref="A3:U61" totalsRowShown="0">
  <autoFilter ref="A3:U61" xr:uid="{CAF4F2D0-E709-4D7B-B1E8-929519F22D8A}"/>
  <sortState xmlns:xlrd2="http://schemas.microsoft.com/office/spreadsheetml/2017/richdata2" ref="A4:U61">
    <sortCondition descending="1" ref="I3:I61"/>
  </sortState>
  <tableColumns count="21">
    <tableColumn id="1" xr3:uid="{BFF0CC1C-AFDD-4590-A68E-B2AB9F3C0293}" name="Date" dataDxfId="12"/>
    <tableColumn id="2" xr3:uid="{68147E8C-E80C-4EB9-96D1-60D635351342}" name="A/C Name"/>
    <tableColumn id="3" xr3:uid="{30EE941D-43E4-4628-A64D-0DB7AD10B1AF}" name="Connect Status"/>
    <tableColumn id="4" xr3:uid="{41163140-F8B9-4170-BA6F-8E1B307DD91B}" name="TYPE"/>
    <tableColumn id="5" xr3:uid="{D52C5D91-405F-4857-9CB0-D254FD7C8D12}" name="Industry"/>
    <tableColumn id="6" xr3:uid="{658CC71E-E4F3-490B-AC72-4AD944F43C4C}" name="Spoc Name"/>
    <tableColumn id="7" xr3:uid="{DA62DFCD-1DED-435F-84B1-671290A16276}" name="Conversation"/>
    <tableColumn id="8" xr3:uid="{42F90BE5-0C06-4708-B3E5-F02C5DE0D092}" name="Expected Business"/>
    <tableColumn id="9" xr3:uid="{59FA25FD-30B2-482D-8477-A1BE7AF446F2}" name="Actual Closed Business"/>
    <tableColumn id="10" xr3:uid="{19FCCCA0-0B82-42DD-A829-17E507B36415}" name="Expected Business Month" dataDxfId="11"/>
    <tableColumn id="11" xr3:uid="{530DC9D5-BBFD-4675-BE16-0C749F92BC81}" name="Region"/>
    <tableColumn id="12" xr3:uid="{022661B7-272E-46C1-9B7D-68A37613B657}" name="Status"/>
    <tableColumn id="13" xr3:uid="{587943F5-5C0F-4F62-B958-483FC72C6801}" name="Lead Status"/>
    <tableColumn id="14" xr3:uid="{E5D08159-D53F-4952-9B25-96C1A09E7795}" name="Reason"/>
    <tableColumn id="15" xr3:uid="{C1BC3B8A-A133-4E4B-AF43-68E20BB546B2}" name="Expected sales of Haleem"/>
    <tableColumn id="16" xr3:uid="{989C714A-15F9-4795-B10B-951A6CB2D161}" name="Type Of Business"/>
    <tableColumn id="17" xr3:uid="{CEDE748E-45EA-4C1D-A430-3D24B2615B94}" name="Punched Date"/>
    <tableColumn id="18" xr3:uid="{C97DCCC9-7379-400F-A65C-EBD5AA5BABF2}" name="1st meeting Date"/>
    <tableColumn id="19" xr3:uid="{D8574BE0-75A5-493B-B6E9-47E6862E535A}" name="Month"/>
    <tableColumn id="20" xr3:uid="{0D52C4A5-7D51-4D8E-9211-5A54C6A38EA2}" name="Week"/>
    <tableColumn id="21" xr3:uid="{F286F5DE-972B-4E50-9412-A67868A05EE3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CD825-4B30-4B06-BB03-A7455C309E14}" name="Table2" displayName="Table2" ref="A3:U79" totalsRowShown="0">
  <autoFilter ref="A3:U79" xr:uid="{A75CD825-4B30-4B06-BB03-A7455C309E14}"/>
  <tableColumns count="21">
    <tableColumn id="1" xr3:uid="{C67A4B6E-AD9B-41D4-B33C-29EF3E6BD012}" name="Date" dataDxfId="10"/>
    <tableColumn id="2" xr3:uid="{557AE7F8-DB74-4E82-BF03-15DF073800D0}" name="A/C Name"/>
    <tableColumn id="3" xr3:uid="{264628FA-D346-4CCA-853E-2D55EAC61698}" name="Connect Status"/>
    <tableColumn id="4" xr3:uid="{E8513135-8F12-43EA-94AB-84EC995BFC13}" name="TYPE"/>
    <tableColumn id="5" xr3:uid="{601FAD01-D4A1-468D-A180-6A2CD1DA3A43}" name="Industry"/>
    <tableColumn id="6" xr3:uid="{B1D36EAE-9206-4F8D-BDBE-CD8F751B695A}" name="Spoc Name"/>
    <tableColumn id="7" xr3:uid="{B87CA4DE-F5D0-4B64-B19A-5B7680004CF8}" name="Conversation"/>
    <tableColumn id="8" xr3:uid="{3D90B790-1F1D-4EBF-BA64-34CF9011012A}" name="Expected Business"/>
    <tableColumn id="9" xr3:uid="{364230CA-D581-472C-904D-1F72D6E09C08}" name="Actual Closed Business"/>
    <tableColumn id="10" xr3:uid="{21926283-CC0B-4AAB-A375-D12364FA7FDC}" name="Expected Business Month" dataDxfId="9"/>
    <tableColumn id="11" xr3:uid="{59D0678F-F902-4661-9472-277E2CC0B612}" name="Region"/>
    <tableColumn id="12" xr3:uid="{A0E37F06-415B-49A1-8BE6-96D674487FF0}" name="Status"/>
    <tableColumn id="13" xr3:uid="{9EC3E6C5-5ED3-459C-87FC-B2C815F41F1C}" name="Lead Status"/>
    <tableColumn id="14" xr3:uid="{FCB349B5-9E0C-40C8-A288-A5959140A43C}" name="Reason"/>
    <tableColumn id="15" xr3:uid="{2A4717B9-934C-4389-A575-CF85BD5A9C88}" name="Expected sales of Haleem"/>
    <tableColumn id="16" xr3:uid="{039BCBC1-9354-4436-9410-2D94E8E9EC60}" name="Type Of Business"/>
    <tableColumn id="17" xr3:uid="{405E71C3-A05D-43E1-AF70-9B8653C22DE0}" name="Punched Date"/>
    <tableColumn id="18" xr3:uid="{19B5C344-3D30-4C6D-837D-24B65E55BCBA}" name="1st meeting Date"/>
    <tableColumn id="19" xr3:uid="{5658C826-F40E-4779-99D1-968F286A8B1B}" name="Month"/>
    <tableColumn id="20" xr3:uid="{7AF85890-8C05-4C43-99B5-F2FDECB4669B}" name="Week"/>
    <tableColumn id="21" xr3:uid="{00839BFE-6DB2-45D2-AACB-465939964CE0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E2FF3E-5AA5-4EB0-A7CF-0272926406E6}" name="Table3" displayName="Table3" ref="A3:U47" totalsRowShown="0">
  <autoFilter ref="A3:U47" xr:uid="{B1E2FF3E-5AA5-4EB0-A7CF-0272926406E6}"/>
  <tableColumns count="21">
    <tableColumn id="1" xr3:uid="{64104025-3F90-4115-9595-DD47693BFED5}" name="Date" dataDxfId="8"/>
    <tableColumn id="2" xr3:uid="{2BB11456-7D1F-407D-98B3-E9739C6D13F3}" name="A/C Name"/>
    <tableColumn id="3" xr3:uid="{A713D924-F43F-4766-975D-03AE074B78F9}" name="Connect Status"/>
    <tableColumn id="4" xr3:uid="{C8F42D57-A848-4A33-B49D-386706E72BEC}" name="TYPE"/>
    <tableColumn id="5" xr3:uid="{A62BE426-57C9-4AB2-A64C-C35F43D59736}" name="Industry"/>
    <tableColumn id="6" xr3:uid="{580A71B4-674C-4F18-B32A-A585534ABF7F}" name="Spoc Name"/>
    <tableColumn id="7" xr3:uid="{CBEB3FD8-6F75-4BD1-84C4-A7EE8604F0EF}" name="Conversation"/>
    <tableColumn id="8" xr3:uid="{75C1E61B-20BB-4E66-AE92-77910BDC7CFF}" name="Expected Business"/>
    <tableColumn id="9" xr3:uid="{A9F4C7E9-3491-4190-B012-978DAD944767}" name="Actual Closed Business"/>
    <tableColumn id="10" xr3:uid="{F75D4E44-7C4E-4628-9F14-18FDE1AF12D4}" name="Expected Business Month" dataDxfId="7"/>
    <tableColumn id="11" xr3:uid="{CFCD0BD1-D8B2-4C33-8083-05EA330871B7}" name="Region"/>
    <tableColumn id="12" xr3:uid="{04FA8C9F-A98C-4926-B842-6A15C9B62398}" name="Status"/>
    <tableColumn id="13" xr3:uid="{A7F2D15F-2EB5-44DC-A57F-242C8036BA41}" name="Lead Status"/>
    <tableColumn id="14" xr3:uid="{6EB45043-F216-4BEF-9F1B-2DD8929451FA}" name="Reason"/>
    <tableColumn id="15" xr3:uid="{50FDCA98-9E6A-4E95-A692-40E61819D417}" name="Expected sales of Haleem"/>
    <tableColumn id="16" xr3:uid="{1F7AF96C-B8D9-454A-8801-73900F9D0EC0}" name="Type Of Business"/>
    <tableColumn id="17" xr3:uid="{87D3EA13-0FD3-4FC0-B977-0DB6A1C7105E}" name="Punched Date"/>
    <tableColumn id="18" xr3:uid="{15FD8FEE-9882-44DE-A333-355D4DC032CF}" name="1st meeting Date"/>
    <tableColumn id="19" xr3:uid="{3EC6A8F2-323E-46EB-9405-AD6B5668AB6B}" name="Month"/>
    <tableColumn id="20" xr3:uid="{F91C744B-6A9D-4D6B-B9D1-8AC3F0BA754A}" name="Week"/>
    <tableColumn id="21" xr3:uid="{D38106FD-BE41-4F2E-85CA-83D3DDCC5A43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B17C24-F223-469D-9865-DC9D66565DAC}" name="Table5" displayName="Table5" ref="A3:U125" totalsRowShown="0">
  <autoFilter ref="A3:U125" xr:uid="{33B17C24-F223-469D-9865-DC9D66565DAC}">
    <filterColumn colId="1">
      <filters>
        <filter val="Accenture HDC4 Smart Q"/>
        <filter val="Accenture HDC5 Smart Q"/>
      </filters>
    </filterColumn>
    <filterColumn colId="6">
      <filters>
        <filter val="Haleem popup  05-03-2026 BHEL"/>
        <filter val="Haleem popup  06-03-2026 BHEL"/>
        <filter val="Haleem popup  11-03-2026 BHEL"/>
        <filter val="Haleem popup  12-03-2026 BHEL"/>
        <filter val="Haleem popup  13-03-2026 BHEL"/>
        <filter val="Haleem popup  16-03-2026 BHEL"/>
        <filter val="Haleem popup  17-03-2026 BHEL"/>
        <filter val="Haleem popup  18-03-2026 BHEL"/>
        <filter val="Haleem popup  19-03-2026 BHEL"/>
        <filter val="Haleem popup  23-03-2026 BHEL"/>
        <filter val="Haleem popup  24-03-2026 BHEL"/>
        <filter val="Haleem popup  25-03-2026 BHEL"/>
        <filter val="Haleem popup  26-03-2026 BHEL"/>
        <filter val="Popup from BHEL on 12-3-2026"/>
        <filter val="Popup from BHEL on 13-3-2026"/>
        <filter val="Popup from BHEL on 16-3-2026"/>
        <filter val="Popup from BHEL on 17-3-2026"/>
        <filter val="Popup from BHEL on 18-3-2026"/>
        <filter val="Popup from BHEL on 20-3-2026"/>
        <filter val="Popup from BHEL on 23-3-2026"/>
        <filter val="Popup from BHEL on 24-3-2026"/>
        <filter val="Popup from BHEL on 25-3-2026"/>
        <filter val="Popup from BHEL on 26-3-2026"/>
        <filter val="Popup from BHEL on 27-3-2026"/>
        <filter val="Popup from BHEL on 30-3-2026"/>
      </filters>
    </filterColumn>
  </autoFilter>
  <tableColumns count="21">
    <tableColumn id="1" xr3:uid="{82999223-8F4D-427A-A660-3133B8E94B8D}" name="Date" dataDxfId="6"/>
    <tableColumn id="2" xr3:uid="{15606D85-5EDE-4649-8DD3-789B347A2D50}" name="A/C Name"/>
    <tableColumn id="3" xr3:uid="{6E15B5B1-3A05-438D-84B7-DB22C7A4184B}" name="Connect Status"/>
    <tableColumn id="4" xr3:uid="{6976EE9C-9DF8-4660-B65B-43A13B023C7F}" name="TYPE"/>
    <tableColumn id="5" xr3:uid="{D60B8C08-BA5E-4FBF-B7BA-5A97FBCB7F33}" name="Industry"/>
    <tableColumn id="6" xr3:uid="{2399F698-A76C-44C7-8F5B-616F0A6F7935}" name="Spoc Name"/>
    <tableColumn id="7" xr3:uid="{FED01973-709F-4B5D-8624-6E8A7F5D229A}" name="Conversation"/>
    <tableColumn id="8" xr3:uid="{54C1FC77-C788-4A71-B41B-22C6E5AE557F}" name="Expected Business"/>
    <tableColumn id="9" xr3:uid="{57BF0F05-55BD-4715-90A0-E7CF2F728ED6}" name="Actual Closed Business"/>
    <tableColumn id="10" xr3:uid="{79E17A93-8B87-43C9-8C8C-139C4E755C7B}" name="Expected Business Month" dataDxfId="5"/>
    <tableColumn id="11" xr3:uid="{A1272558-F600-46BC-952B-58A70A206B8C}" name="Region"/>
    <tableColumn id="12" xr3:uid="{B2689677-DECA-4394-BE9D-0B75291541EB}" name="Status"/>
    <tableColumn id="13" xr3:uid="{5A27458A-90A8-420E-88F5-D555099F82C5}" name="Lead Status"/>
    <tableColumn id="14" xr3:uid="{3EA63E99-2EA8-4E9B-927F-F79329236A1F}" name="Reason"/>
    <tableColumn id="15" xr3:uid="{99E47042-7AB4-4D51-8F27-9BB9C4F2A115}" name="Expected sales of Haleem"/>
    <tableColumn id="16" xr3:uid="{C6E16803-38C6-4A62-854A-345AAFDC8218}" name="Type Of Business"/>
    <tableColumn id="17" xr3:uid="{3AB4472E-CE58-4770-9EBF-BB8B7B0559F7}" name="Punched Date"/>
    <tableColumn id="18" xr3:uid="{C59CB190-7045-4ECE-840C-8B91EBAC392B}" name="1st meeting Date"/>
    <tableColumn id="19" xr3:uid="{C81DA021-49B4-4531-A84B-2A9A85A387BA}" name="Month"/>
    <tableColumn id="20" xr3:uid="{675EF7A3-CC86-4E8A-878A-88356FB072C1}" name="Week"/>
    <tableColumn id="21" xr3:uid="{DE51DF6F-AF55-49B4-A33A-3B9DFBF47405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A9417-6E1D-4DF5-BCC2-22820E11E7E4}" name="Table1" displayName="Table1" ref="A1:U4361" totalsRowShown="0">
  <autoFilter ref="A1:U4361" xr:uid="{C6AA9417-6E1D-4DF5-BCC2-22820E11E7E4}">
    <filterColumn colId="0">
      <filters>
        <dateGroupItem year="2026" month="1" dateTimeGrouping="month"/>
        <dateGroupItem year="2026" month="2" dateTimeGrouping="month"/>
        <dateGroupItem year="2026" month="3" dateTimeGrouping="month"/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  <dateGroupItem year="2025" month="12" dateTimeGrouping="month"/>
      </filters>
    </filterColumn>
    <filterColumn colId="1">
      <filters>
        <filter val="ADP (compass)"/>
        <filter val="BMS (Compass)"/>
        <filter val="Compass Group"/>
        <filter val="Compass Group Freshwork Bangalore"/>
        <filter val="Delivery at Compass Group Bangalore"/>
        <filter val="Delivery at SEBLR Banglore (Compass)"/>
        <filter val="EA Sports (Compass)"/>
        <filter val="Gachibowli Stadium Karate compitition"/>
        <filter val="MGEN (Compass)"/>
        <filter val="Novartis (Compass)"/>
        <filter val="Novartis Genom Valley (compass)"/>
        <filter val="Novartis Hitec City (Compass)"/>
        <filter val="Novartis, Compass"/>
        <filter val="S&amp;P Global  (Compass)"/>
        <filter val="Sanofi (Compass)"/>
        <filter val="Vishal Computers"/>
      </filters>
    </filterColumn>
  </autoFilter>
  <tableColumns count="21">
    <tableColumn id="1" xr3:uid="{8B55C09F-81E2-4FD0-B79F-7FAA48DC7172}" name="Date" dataDxfId="4"/>
    <tableColumn id="2" xr3:uid="{5F735C93-500A-4E50-BDB6-BD242EF9D872}" name="A/C Name"/>
    <tableColumn id="3" xr3:uid="{7DA571E3-E422-4449-A7EE-3808AE10B16E}" name="Connect Status"/>
    <tableColumn id="4" xr3:uid="{1B85CD18-B336-465B-B36E-FB775BCB59CC}" name="TYPE"/>
    <tableColumn id="5" xr3:uid="{721F9644-8780-4FD7-8BDF-55D8616C1A84}" name="Industry"/>
    <tableColumn id="6" xr3:uid="{06842065-CA50-454F-8D90-152129CB52C5}" name="Spoc Name"/>
    <tableColumn id="7" xr3:uid="{3ECDFB47-A747-464E-AA7A-C22E9272FB71}" name="Conversation" dataDxfId="3"/>
    <tableColumn id="8" xr3:uid="{9D9871E6-EC53-4ED6-9800-2E5EFB177E79}" name="Expected Business"/>
    <tableColumn id="22" xr3:uid="{707C7DD0-3470-4602-802D-2E2DAA38B2B9}" name="Actual Closed Business"/>
    <tableColumn id="9" xr3:uid="{67009729-0E9C-4BFE-8716-280CD0FECCC0}" name="Expected Business Month"/>
    <tableColumn id="20" xr3:uid="{5B26F0E9-FE41-430F-8A17-2EF3E16FA905}" name="Region"/>
    <tableColumn id="10" xr3:uid="{7DF00E7C-BFA7-463D-92F3-208AEFDCC380}" name="Status"/>
    <tableColumn id="11" xr3:uid="{FAAB5E5E-8A86-43D6-8180-D511037BC442}" name="Lead Status"/>
    <tableColumn id="12" xr3:uid="{DB651602-CB8D-4514-A5F4-AEE9E29FA024}" name="Reason"/>
    <tableColumn id="13" xr3:uid="{F14963E5-BF1E-4BA5-B9FB-A716EF6BC95D}" name="Expected sales of Haleem"/>
    <tableColumn id="14" xr3:uid="{F42B0751-E193-46A5-B766-E01A00BA4EE4}" name="Type Of Business" dataDxfId="2"/>
    <tableColumn id="15" xr3:uid="{445C6523-FCD9-49BE-979F-4CD1191712E7}" name="Punched Date"/>
    <tableColumn id="16" xr3:uid="{BDFDB10A-D58E-405C-B8F7-8DCE63C2CC6C}" name="1st meeting Date"/>
    <tableColumn id="17" xr3:uid="{35316630-13EF-4A4B-A751-39B500E24527}" name="Month" dataDxfId="1">
      <calculatedColumnFormula>TEXT(Table1[[#This Row],[Date]],"MMM-YY")</calculatedColumnFormula>
    </tableColumn>
    <tableColumn id="18" xr3:uid="{3D1B9BC7-0B0C-4434-B868-6F29C9DA18A6}" name="Week" dataDxfId="0">
      <calculatedColumnFormula>_xlfn.ISOWEEKNUM(Table1[[#This Row],[Date]])</calculatedColumnFormula>
    </tableColumn>
    <tableColumn id="19" xr3:uid="{9DC264E1-0FDF-4721-B2E2-FE5DEA0528D4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E24A-9F1D-47AC-8009-1CD4339EEB79}">
  <dimension ref="A2:X34"/>
  <sheetViews>
    <sheetView workbookViewId="0">
      <selection activeCell="D35" sqref="D35"/>
    </sheetView>
  </sheetViews>
  <sheetFormatPr defaultRowHeight="14.45"/>
  <cols>
    <col min="1" max="1" width="11.42578125" bestFit="1" customWidth="1"/>
    <col min="2" max="2" width="5.42578125" bestFit="1" customWidth="1"/>
    <col min="3" max="3" width="17.5703125" bestFit="1" customWidth="1"/>
    <col min="6" max="6" width="28.7109375" bestFit="1" customWidth="1"/>
    <col min="7" max="7" width="10" bestFit="1" customWidth="1"/>
    <col min="8" max="8" width="5.42578125" bestFit="1" customWidth="1"/>
    <col min="9" max="9" width="17.5703125" bestFit="1" customWidth="1"/>
    <col min="12" max="12" width="32" bestFit="1" customWidth="1"/>
    <col min="13" max="13" width="10" bestFit="1" customWidth="1"/>
    <col min="14" max="14" width="5.42578125" bestFit="1" customWidth="1"/>
    <col min="15" max="15" width="17.7109375" bestFit="1" customWidth="1"/>
    <col min="18" max="18" width="32" bestFit="1" customWidth="1"/>
    <col min="19" max="19" width="10" bestFit="1" customWidth="1"/>
    <col min="20" max="20" width="5.42578125" bestFit="1" customWidth="1"/>
    <col min="21" max="21" width="17.7109375" bestFit="1" customWidth="1"/>
  </cols>
  <sheetData>
    <row r="2" spans="1:24">
      <c r="A2" s="14" t="s">
        <v>0</v>
      </c>
      <c r="F2" s="14" t="s">
        <v>1</v>
      </c>
      <c r="L2" s="14" t="s">
        <v>2</v>
      </c>
      <c r="R2" s="14" t="s">
        <v>3</v>
      </c>
    </row>
    <row r="3" spans="1:24">
      <c r="A3" s="2" t="s">
        <v>4</v>
      </c>
      <c r="B3" t="s">
        <v>5</v>
      </c>
      <c r="C3" t="s">
        <v>6</v>
      </c>
      <c r="F3" s="2" t="s">
        <v>7</v>
      </c>
      <c r="G3" s="2" t="s">
        <v>4</v>
      </c>
      <c r="H3" t="s">
        <v>5</v>
      </c>
      <c r="I3" t="s">
        <v>6</v>
      </c>
      <c r="L3" s="2" t="s">
        <v>7</v>
      </c>
      <c r="M3" s="2" t="s">
        <v>4</v>
      </c>
      <c r="N3" t="s">
        <v>5</v>
      </c>
      <c r="O3" t="s">
        <v>8</v>
      </c>
      <c r="R3" s="2" t="s">
        <v>7</v>
      </c>
      <c r="S3" s="2" t="s">
        <v>4</v>
      </c>
      <c r="T3" t="s">
        <v>5</v>
      </c>
      <c r="U3" t="s">
        <v>8</v>
      </c>
    </row>
    <row r="4" spans="1:24">
      <c r="A4" s="3" t="s">
        <v>9</v>
      </c>
      <c r="B4" s="13">
        <v>983</v>
      </c>
      <c r="C4" s="13">
        <v>50034494</v>
      </c>
      <c r="F4" t="s">
        <v>10</v>
      </c>
      <c r="H4" s="13">
        <v>14</v>
      </c>
      <c r="I4" s="13">
        <v>333000</v>
      </c>
      <c r="L4" t="s">
        <v>11</v>
      </c>
      <c r="N4" s="13"/>
      <c r="O4" s="13"/>
      <c r="R4" t="s">
        <v>11</v>
      </c>
      <c r="T4" s="13"/>
      <c r="U4" s="13"/>
      <c r="X4" t="s">
        <v>12</v>
      </c>
    </row>
    <row r="5" spans="1:24">
      <c r="A5" s="3" t="s">
        <v>11</v>
      </c>
      <c r="B5" s="13">
        <v>983</v>
      </c>
      <c r="C5" s="13">
        <v>50034494</v>
      </c>
      <c r="F5" t="s">
        <v>13</v>
      </c>
      <c r="H5" s="13">
        <v>18</v>
      </c>
      <c r="I5" s="13">
        <v>283000</v>
      </c>
    </row>
    <row r="6" spans="1:24">
      <c r="F6" t="s">
        <v>14</v>
      </c>
      <c r="H6" s="13">
        <v>53</v>
      </c>
      <c r="I6" s="13">
        <v>2006000</v>
      </c>
    </row>
    <row r="7" spans="1:24">
      <c r="F7" t="s">
        <v>15</v>
      </c>
      <c r="H7" s="13">
        <v>19</v>
      </c>
      <c r="I7" s="13">
        <v>1627000</v>
      </c>
    </row>
    <row r="8" spans="1:24">
      <c r="F8" t="s">
        <v>16</v>
      </c>
      <c r="H8" s="13">
        <v>8</v>
      </c>
      <c r="I8" s="13">
        <v>1323000</v>
      </c>
    </row>
    <row r="9" spans="1:24">
      <c r="F9" t="s">
        <v>17</v>
      </c>
      <c r="H9" s="13">
        <v>11</v>
      </c>
      <c r="I9" s="13">
        <v>309000</v>
      </c>
    </row>
    <row r="10" spans="1:24">
      <c r="F10" t="s">
        <v>18</v>
      </c>
      <c r="H10" s="13">
        <v>173</v>
      </c>
      <c r="I10" s="13">
        <v>4758009</v>
      </c>
    </row>
    <row r="11" spans="1:24">
      <c r="F11" t="s">
        <v>19</v>
      </c>
      <c r="H11" s="13">
        <v>7</v>
      </c>
      <c r="I11" s="13">
        <v>950000</v>
      </c>
    </row>
    <row r="12" spans="1:24">
      <c r="F12" t="s">
        <v>20</v>
      </c>
      <c r="H12" s="13">
        <v>35</v>
      </c>
      <c r="I12" s="13">
        <v>1594000</v>
      </c>
    </row>
    <row r="13" spans="1:24">
      <c r="F13" t="s">
        <v>21</v>
      </c>
      <c r="G13" t="s">
        <v>9</v>
      </c>
      <c r="H13" s="13">
        <v>2</v>
      </c>
      <c r="I13" s="13">
        <v>98000</v>
      </c>
    </row>
    <row r="14" spans="1:24">
      <c r="F14" t="s">
        <v>22</v>
      </c>
      <c r="H14" s="13">
        <v>2</v>
      </c>
      <c r="I14" s="13">
        <v>98000</v>
      </c>
    </row>
    <row r="15" spans="1:24">
      <c r="F15" t="s">
        <v>23</v>
      </c>
      <c r="H15" s="13">
        <v>83</v>
      </c>
      <c r="I15" s="13">
        <v>3856363</v>
      </c>
    </row>
    <row r="16" spans="1:24">
      <c r="F16" t="s">
        <v>24</v>
      </c>
      <c r="H16" s="13">
        <v>14</v>
      </c>
      <c r="I16" s="13">
        <v>1745000</v>
      </c>
    </row>
    <row r="17" spans="6:9">
      <c r="F17" t="s">
        <v>25</v>
      </c>
      <c r="H17" s="13">
        <v>26</v>
      </c>
      <c r="I17" s="13">
        <v>447000</v>
      </c>
    </row>
    <row r="18" spans="6:9">
      <c r="F18" t="s">
        <v>26</v>
      </c>
      <c r="H18" s="13">
        <v>250</v>
      </c>
      <c r="I18" s="13">
        <v>7546392</v>
      </c>
    </row>
    <row r="19" spans="6:9">
      <c r="F19" t="s">
        <v>27</v>
      </c>
      <c r="H19" s="13">
        <v>35</v>
      </c>
      <c r="I19" s="13">
        <v>1233800</v>
      </c>
    </row>
    <row r="20" spans="6:9">
      <c r="F20" t="s">
        <v>28</v>
      </c>
      <c r="H20" s="13">
        <v>51</v>
      </c>
      <c r="I20" s="13">
        <v>1555000</v>
      </c>
    </row>
    <row r="21" spans="6:9">
      <c r="F21" t="s">
        <v>29</v>
      </c>
      <c r="H21" s="13">
        <v>23</v>
      </c>
      <c r="I21" s="13">
        <v>1098000</v>
      </c>
    </row>
    <row r="22" spans="6:9">
      <c r="F22" t="s">
        <v>30</v>
      </c>
      <c r="H22" s="13">
        <v>26</v>
      </c>
      <c r="I22" s="13">
        <v>1337000</v>
      </c>
    </row>
    <row r="23" spans="6:9">
      <c r="F23" t="s">
        <v>31</v>
      </c>
      <c r="H23" s="13">
        <v>7</v>
      </c>
      <c r="I23" s="13">
        <v>950000</v>
      </c>
    </row>
    <row r="24" spans="6:9">
      <c r="F24" t="s">
        <v>32</v>
      </c>
      <c r="H24" s="13">
        <v>44</v>
      </c>
      <c r="I24" s="13">
        <v>1144950</v>
      </c>
    </row>
    <row r="25" spans="6:9">
      <c r="F25" t="s">
        <v>33</v>
      </c>
      <c r="H25" s="13">
        <v>7</v>
      </c>
      <c r="I25" s="13">
        <v>170000</v>
      </c>
    </row>
    <row r="26" spans="6:9">
      <c r="F26" t="s">
        <v>34</v>
      </c>
      <c r="H26" s="13">
        <v>1</v>
      </c>
      <c r="I26" s="13">
        <v>10000</v>
      </c>
    </row>
    <row r="27" spans="6:9">
      <c r="F27" t="s">
        <v>35</v>
      </c>
      <c r="H27" s="13">
        <v>2</v>
      </c>
      <c r="I27" s="13">
        <v>440000</v>
      </c>
    </row>
    <row r="28" spans="6:9">
      <c r="F28" t="s">
        <v>36</v>
      </c>
      <c r="H28" s="13">
        <v>1</v>
      </c>
      <c r="I28" s="13">
        <v>40000</v>
      </c>
    </row>
    <row r="29" spans="6:9">
      <c r="F29" t="s">
        <v>37</v>
      </c>
      <c r="H29" s="13">
        <v>3</v>
      </c>
      <c r="I29" s="13">
        <v>2141000</v>
      </c>
    </row>
    <row r="30" spans="6:9">
      <c r="F30" t="s">
        <v>38</v>
      </c>
      <c r="H30" s="13">
        <v>53</v>
      </c>
      <c r="I30" s="13">
        <v>11251000</v>
      </c>
    </row>
    <row r="31" spans="6:9">
      <c r="F31" t="s">
        <v>39</v>
      </c>
      <c r="H31" s="13">
        <v>5</v>
      </c>
      <c r="I31" s="13">
        <v>364500</v>
      </c>
    </row>
    <row r="32" spans="6:9">
      <c r="F32" t="s">
        <v>40</v>
      </c>
      <c r="H32" s="13">
        <v>1</v>
      </c>
      <c r="I32" s="13">
        <v>30000</v>
      </c>
    </row>
    <row r="33" spans="6:9">
      <c r="F33" t="s">
        <v>41</v>
      </c>
      <c r="H33" s="13">
        <v>4</v>
      </c>
      <c r="I33" s="13">
        <v>63480</v>
      </c>
    </row>
    <row r="34" spans="6:9">
      <c r="F34" t="s">
        <v>11</v>
      </c>
      <c r="H34" s="13">
        <v>976</v>
      </c>
      <c r="I34" s="13">
        <v>48704494</v>
      </c>
    </row>
  </sheetData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A38A-9BDA-4D05-974B-C4587ABC947C}">
  <dimension ref="A1:U61"/>
  <sheetViews>
    <sheetView topLeftCell="A52" workbookViewId="0">
      <selection activeCell="B68" sqref="B68"/>
    </sheetView>
  </sheetViews>
  <sheetFormatPr defaultRowHeight="14.45"/>
  <cols>
    <col min="1" max="1" width="11.140625" bestFit="1" customWidth="1"/>
    <col min="2" max="2" width="34.85546875" bestFit="1" customWidth="1"/>
    <col min="3" max="3" width="17.140625" bestFit="1" customWidth="1"/>
    <col min="4" max="4" width="9.85546875" bestFit="1" customWidth="1"/>
    <col min="5" max="5" width="13.7109375" bestFit="1" customWidth="1"/>
    <col min="6" max="6" width="15.42578125" bestFit="1" customWidth="1"/>
    <col min="7" max="7" width="50.7109375" bestFit="1" customWidth="1"/>
    <col min="8" max="8" width="20.42578125" bestFit="1" customWidth="1"/>
    <col min="9" max="9" width="24.5703125" bestFit="1" customWidth="1"/>
    <col min="10" max="10" width="26.5703125" bestFit="1" customWidth="1"/>
    <col min="11" max="11" width="10.5703125" bestFit="1" customWidth="1"/>
    <col min="12" max="12" width="11" bestFit="1" customWidth="1"/>
    <col min="13" max="13" width="13.85546875" bestFit="1" customWidth="1"/>
    <col min="14" max="14" width="10" bestFit="1" customWidth="1"/>
    <col min="15" max="15" width="26.7109375" bestFit="1" customWidth="1"/>
    <col min="16" max="16" width="18.5703125" bestFit="1" customWidth="1"/>
    <col min="17" max="17" width="16" bestFit="1" customWidth="1"/>
    <col min="18" max="18" width="18.5703125" bestFit="1" customWidth="1"/>
  </cols>
  <sheetData>
    <row r="1" spans="1:21">
      <c r="A1" s="36" t="s">
        <v>42</v>
      </c>
    </row>
    <row r="3" spans="1:21">
      <c r="A3" t="s">
        <v>43</v>
      </c>
      <c r="B3" t="s">
        <v>44</v>
      </c>
      <c r="C3" t="s">
        <v>45</v>
      </c>
      <c r="D3" t="s">
        <v>46</v>
      </c>
      <c r="E3" t="s">
        <v>7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4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</row>
    <row r="4" spans="1:21">
      <c r="A4" s="66">
        <v>45912</v>
      </c>
      <c r="B4" t="s">
        <v>62</v>
      </c>
      <c r="C4" t="s">
        <v>63</v>
      </c>
      <c r="D4" t="s">
        <v>64</v>
      </c>
      <c r="E4" t="s">
        <v>27</v>
      </c>
      <c r="F4" t="s">
        <v>65</v>
      </c>
      <c r="G4" t="s">
        <v>66</v>
      </c>
      <c r="H4">
        <v>2150000</v>
      </c>
      <c r="I4">
        <v>2150000</v>
      </c>
      <c r="J4" s="66">
        <v>45931</v>
      </c>
      <c r="K4" t="s">
        <v>67</v>
      </c>
      <c r="L4" t="s">
        <v>68</v>
      </c>
      <c r="M4" t="s">
        <v>69</v>
      </c>
      <c r="O4">
        <v>0</v>
      </c>
      <c r="P4" t="s">
        <v>70</v>
      </c>
      <c r="S4" t="s">
        <v>71</v>
      </c>
      <c r="T4">
        <v>37</v>
      </c>
    </row>
    <row r="5" spans="1:21">
      <c r="A5" s="66">
        <v>45939</v>
      </c>
      <c r="B5" t="s">
        <v>72</v>
      </c>
      <c r="C5" t="s">
        <v>63</v>
      </c>
      <c r="D5" t="s">
        <v>64</v>
      </c>
      <c r="E5" t="s">
        <v>32</v>
      </c>
      <c r="F5" t="s">
        <v>73</v>
      </c>
      <c r="G5" t="s">
        <v>74</v>
      </c>
      <c r="H5">
        <v>216348</v>
      </c>
      <c r="I5">
        <v>216348</v>
      </c>
      <c r="J5" s="66">
        <v>45931</v>
      </c>
      <c r="K5" t="s">
        <v>67</v>
      </c>
      <c r="L5" t="s">
        <v>68</v>
      </c>
      <c r="M5" t="s">
        <v>69</v>
      </c>
      <c r="O5">
        <v>0</v>
      </c>
      <c r="P5" t="s">
        <v>70</v>
      </c>
      <c r="S5" t="s">
        <v>75</v>
      </c>
      <c r="T5">
        <v>41</v>
      </c>
    </row>
    <row r="6" spans="1:21">
      <c r="A6" s="66">
        <v>45939</v>
      </c>
      <c r="B6" t="s">
        <v>76</v>
      </c>
      <c r="C6" t="s">
        <v>63</v>
      </c>
      <c r="D6" t="s">
        <v>64</v>
      </c>
      <c r="E6" t="s">
        <v>29</v>
      </c>
      <c r="F6" t="s">
        <v>77</v>
      </c>
      <c r="G6" t="s">
        <v>78</v>
      </c>
      <c r="H6">
        <v>161700</v>
      </c>
      <c r="I6">
        <v>161700</v>
      </c>
      <c r="J6" s="66">
        <v>45931</v>
      </c>
      <c r="K6" t="s">
        <v>67</v>
      </c>
      <c r="L6" t="s">
        <v>68</v>
      </c>
      <c r="M6" t="s">
        <v>69</v>
      </c>
      <c r="O6">
        <v>0</v>
      </c>
      <c r="P6" t="s">
        <v>70</v>
      </c>
      <c r="S6" t="s">
        <v>75</v>
      </c>
      <c r="T6">
        <v>41</v>
      </c>
    </row>
    <row r="7" spans="1:21">
      <c r="A7" s="66">
        <v>45929</v>
      </c>
      <c r="B7" t="s">
        <v>79</v>
      </c>
      <c r="C7" t="s">
        <v>63</v>
      </c>
      <c r="D7" t="s">
        <v>64</v>
      </c>
      <c r="E7" t="s">
        <v>26</v>
      </c>
      <c r="F7" t="s">
        <v>80</v>
      </c>
      <c r="G7" t="s">
        <v>81</v>
      </c>
      <c r="H7">
        <v>63000</v>
      </c>
      <c r="I7">
        <v>63000</v>
      </c>
      <c r="J7" s="66">
        <v>45931</v>
      </c>
      <c r="K7" t="s">
        <v>67</v>
      </c>
      <c r="L7" t="s">
        <v>68</v>
      </c>
      <c r="M7" t="s">
        <v>69</v>
      </c>
      <c r="O7">
        <v>0</v>
      </c>
      <c r="P7" t="s">
        <v>70</v>
      </c>
      <c r="S7" t="s">
        <v>71</v>
      </c>
      <c r="T7">
        <v>40</v>
      </c>
    </row>
    <row r="8" spans="1:21">
      <c r="A8" s="66">
        <v>45944</v>
      </c>
      <c r="B8" t="s">
        <v>82</v>
      </c>
      <c r="C8" t="s">
        <v>63</v>
      </c>
      <c r="D8" t="s">
        <v>64</v>
      </c>
      <c r="E8" t="s">
        <v>38</v>
      </c>
      <c r="F8" t="s">
        <v>83</v>
      </c>
      <c r="G8" t="s">
        <v>84</v>
      </c>
      <c r="H8">
        <v>58185</v>
      </c>
      <c r="I8">
        <v>58185</v>
      </c>
      <c r="J8" s="66">
        <v>45931</v>
      </c>
      <c r="K8" t="s">
        <v>67</v>
      </c>
      <c r="L8" t="s">
        <v>68</v>
      </c>
      <c r="M8" t="s">
        <v>69</v>
      </c>
      <c r="O8">
        <v>0</v>
      </c>
      <c r="P8" t="s">
        <v>70</v>
      </c>
      <c r="S8" t="s">
        <v>75</v>
      </c>
      <c r="T8">
        <v>42</v>
      </c>
    </row>
    <row r="9" spans="1:21">
      <c r="A9" s="66">
        <v>45937</v>
      </c>
      <c r="B9" t="s">
        <v>85</v>
      </c>
      <c r="C9" t="s">
        <v>63</v>
      </c>
      <c r="D9" t="s">
        <v>64</v>
      </c>
      <c r="E9" t="s">
        <v>26</v>
      </c>
      <c r="F9" t="s">
        <v>86</v>
      </c>
      <c r="G9" t="s">
        <v>87</v>
      </c>
      <c r="H9">
        <v>47590</v>
      </c>
      <c r="I9">
        <v>47590</v>
      </c>
      <c r="J9" s="66">
        <v>45931</v>
      </c>
      <c r="K9" t="s">
        <v>67</v>
      </c>
      <c r="L9" t="s">
        <v>68</v>
      </c>
      <c r="M9" t="s">
        <v>69</v>
      </c>
      <c r="O9">
        <v>0</v>
      </c>
      <c r="P9" t="s">
        <v>70</v>
      </c>
      <c r="S9" t="s">
        <v>75</v>
      </c>
      <c r="T9">
        <v>41</v>
      </c>
    </row>
    <row r="10" spans="1:21">
      <c r="A10" s="66">
        <v>45961</v>
      </c>
      <c r="B10" t="s">
        <v>88</v>
      </c>
      <c r="C10" t="s">
        <v>63</v>
      </c>
      <c r="D10" t="s">
        <v>64</v>
      </c>
      <c r="E10" t="s">
        <v>28</v>
      </c>
      <c r="F10" t="s">
        <v>89</v>
      </c>
      <c r="G10" t="s">
        <v>90</v>
      </c>
      <c r="H10">
        <v>44825</v>
      </c>
      <c r="I10">
        <v>44825</v>
      </c>
      <c r="J10" s="66">
        <v>45931</v>
      </c>
      <c r="K10" t="s">
        <v>67</v>
      </c>
      <c r="L10" t="s">
        <v>68</v>
      </c>
      <c r="M10" t="s">
        <v>69</v>
      </c>
      <c r="O10">
        <v>0</v>
      </c>
      <c r="P10" t="s">
        <v>70</v>
      </c>
      <c r="S10" t="s">
        <v>75</v>
      </c>
      <c r="T10">
        <v>44</v>
      </c>
    </row>
    <row r="11" spans="1:21">
      <c r="A11" s="66">
        <v>45945</v>
      </c>
      <c r="B11" t="s">
        <v>82</v>
      </c>
      <c r="C11" t="s">
        <v>63</v>
      </c>
      <c r="D11" t="s">
        <v>64</v>
      </c>
      <c r="E11" t="s">
        <v>38</v>
      </c>
      <c r="F11" t="s">
        <v>83</v>
      </c>
      <c r="G11" t="s">
        <v>91</v>
      </c>
      <c r="H11">
        <v>43200</v>
      </c>
      <c r="I11">
        <v>43200</v>
      </c>
      <c r="J11" s="66">
        <v>45931</v>
      </c>
      <c r="K11" t="s">
        <v>67</v>
      </c>
      <c r="L11" t="s">
        <v>68</v>
      </c>
      <c r="M11" t="s">
        <v>69</v>
      </c>
      <c r="O11">
        <v>0</v>
      </c>
      <c r="P11" t="s">
        <v>70</v>
      </c>
      <c r="S11" t="s">
        <v>75</v>
      </c>
      <c r="T11">
        <v>42</v>
      </c>
    </row>
    <row r="12" spans="1:21">
      <c r="A12" s="66">
        <v>45946</v>
      </c>
      <c r="B12" t="s">
        <v>82</v>
      </c>
      <c r="C12" t="s">
        <v>63</v>
      </c>
      <c r="D12" t="s">
        <v>64</v>
      </c>
      <c r="E12" t="s">
        <v>38</v>
      </c>
      <c r="F12" t="s">
        <v>83</v>
      </c>
      <c r="G12" t="s">
        <v>92</v>
      </c>
      <c r="H12">
        <v>40905</v>
      </c>
      <c r="I12">
        <v>40905</v>
      </c>
      <c r="J12" s="66">
        <v>45931</v>
      </c>
      <c r="K12" t="s">
        <v>67</v>
      </c>
      <c r="L12" t="s">
        <v>68</v>
      </c>
      <c r="M12" t="s">
        <v>69</v>
      </c>
      <c r="O12">
        <v>0</v>
      </c>
      <c r="P12" t="s">
        <v>70</v>
      </c>
      <c r="S12" t="s">
        <v>75</v>
      </c>
      <c r="T12">
        <v>42</v>
      </c>
    </row>
    <row r="13" spans="1:21">
      <c r="A13" s="66">
        <v>45943</v>
      </c>
      <c r="B13" t="s">
        <v>82</v>
      </c>
      <c r="C13" t="s">
        <v>63</v>
      </c>
      <c r="D13" t="s">
        <v>64</v>
      </c>
      <c r="E13" t="s">
        <v>38</v>
      </c>
      <c r="F13" t="s">
        <v>93</v>
      </c>
      <c r="G13" t="s">
        <v>94</v>
      </c>
      <c r="H13">
        <v>39555</v>
      </c>
      <c r="I13">
        <v>39555</v>
      </c>
      <c r="J13" s="66">
        <v>45931</v>
      </c>
      <c r="K13" t="s">
        <v>67</v>
      </c>
      <c r="L13" t="s">
        <v>68</v>
      </c>
      <c r="M13" t="s">
        <v>69</v>
      </c>
      <c r="O13">
        <v>0</v>
      </c>
      <c r="P13" t="s">
        <v>70</v>
      </c>
      <c r="S13" t="s">
        <v>75</v>
      </c>
      <c r="T13">
        <v>42</v>
      </c>
    </row>
    <row r="14" spans="1:21">
      <c r="A14" s="66">
        <v>45952</v>
      </c>
      <c r="B14" t="s">
        <v>95</v>
      </c>
      <c r="C14" t="s">
        <v>96</v>
      </c>
      <c r="D14" t="s">
        <v>64</v>
      </c>
      <c r="E14" t="s">
        <v>38</v>
      </c>
      <c r="F14" t="s">
        <v>97</v>
      </c>
      <c r="G14" t="s">
        <v>98</v>
      </c>
      <c r="H14">
        <v>39416</v>
      </c>
      <c r="I14">
        <v>39416</v>
      </c>
      <c r="J14" s="66">
        <v>45931</v>
      </c>
      <c r="K14" t="s">
        <v>99</v>
      </c>
      <c r="L14" t="s">
        <v>68</v>
      </c>
      <c r="M14" t="s">
        <v>69</v>
      </c>
      <c r="O14">
        <v>0</v>
      </c>
      <c r="P14" t="s">
        <v>70</v>
      </c>
      <c r="S14" t="s">
        <v>75</v>
      </c>
      <c r="T14">
        <v>43</v>
      </c>
    </row>
    <row r="15" spans="1:21">
      <c r="A15" s="66">
        <v>45959</v>
      </c>
      <c r="B15" t="s">
        <v>95</v>
      </c>
      <c r="C15" t="s">
        <v>96</v>
      </c>
      <c r="D15" t="s">
        <v>64</v>
      </c>
      <c r="E15" t="s">
        <v>38</v>
      </c>
      <c r="F15" t="s">
        <v>97</v>
      </c>
      <c r="G15" t="s">
        <v>100</v>
      </c>
      <c r="H15">
        <v>38040</v>
      </c>
      <c r="I15">
        <v>38040</v>
      </c>
      <c r="J15" s="66">
        <v>45931</v>
      </c>
      <c r="K15" t="s">
        <v>99</v>
      </c>
      <c r="L15" t="s">
        <v>68</v>
      </c>
      <c r="M15" t="s">
        <v>69</v>
      </c>
      <c r="O15">
        <v>0</v>
      </c>
      <c r="P15" t="s">
        <v>70</v>
      </c>
      <c r="S15" t="s">
        <v>75</v>
      </c>
      <c r="T15">
        <v>44</v>
      </c>
    </row>
    <row r="16" spans="1:21">
      <c r="A16" s="66">
        <v>45945</v>
      </c>
      <c r="B16" t="s">
        <v>95</v>
      </c>
      <c r="C16" t="s">
        <v>96</v>
      </c>
      <c r="D16" t="s">
        <v>64</v>
      </c>
      <c r="E16" t="s">
        <v>38</v>
      </c>
      <c r="F16" t="s">
        <v>97</v>
      </c>
      <c r="G16" t="s">
        <v>101</v>
      </c>
      <c r="H16">
        <v>36208</v>
      </c>
      <c r="I16">
        <v>36208</v>
      </c>
      <c r="J16" s="66">
        <v>45931</v>
      </c>
      <c r="K16" t="s">
        <v>99</v>
      </c>
      <c r="L16" t="s">
        <v>68</v>
      </c>
      <c r="M16" t="s">
        <v>69</v>
      </c>
      <c r="O16">
        <v>0</v>
      </c>
      <c r="P16" t="s">
        <v>70</v>
      </c>
      <c r="S16" t="s">
        <v>75</v>
      </c>
      <c r="T16">
        <v>42</v>
      </c>
    </row>
    <row r="17" spans="1:20">
      <c r="A17" s="66">
        <v>45938</v>
      </c>
      <c r="B17" t="s">
        <v>85</v>
      </c>
      <c r="C17" t="s">
        <v>63</v>
      </c>
      <c r="D17" t="s">
        <v>64</v>
      </c>
      <c r="E17" t="s">
        <v>26</v>
      </c>
      <c r="F17" t="s">
        <v>86</v>
      </c>
      <c r="G17" t="s">
        <v>102</v>
      </c>
      <c r="H17">
        <v>35700</v>
      </c>
      <c r="I17">
        <v>35700</v>
      </c>
      <c r="J17" s="66">
        <v>45931</v>
      </c>
      <c r="K17" t="s">
        <v>67</v>
      </c>
      <c r="L17" t="s">
        <v>68</v>
      </c>
      <c r="M17" t="s">
        <v>69</v>
      </c>
      <c r="O17">
        <v>0</v>
      </c>
      <c r="P17" t="s">
        <v>70</v>
      </c>
      <c r="S17" t="s">
        <v>75</v>
      </c>
      <c r="T17">
        <v>41</v>
      </c>
    </row>
    <row r="18" spans="1:20">
      <c r="A18" s="66">
        <v>45938</v>
      </c>
      <c r="B18" t="s">
        <v>95</v>
      </c>
      <c r="C18" t="s">
        <v>96</v>
      </c>
      <c r="D18" t="s">
        <v>64</v>
      </c>
      <c r="E18" t="s">
        <v>38</v>
      </c>
      <c r="F18" t="s">
        <v>97</v>
      </c>
      <c r="G18" t="s">
        <v>103</v>
      </c>
      <c r="H18">
        <v>29333</v>
      </c>
      <c r="I18">
        <v>29333</v>
      </c>
      <c r="J18" s="66">
        <v>45931</v>
      </c>
      <c r="K18" t="s">
        <v>99</v>
      </c>
      <c r="L18" t="s">
        <v>68</v>
      </c>
      <c r="M18" t="s">
        <v>69</v>
      </c>
      <c r="O18">
        <v>0</v>
      </c>
      <c r="P18" t="s">
        <v>70</v>
      </c>
      <c r="S18" t="s">
        <v>75</v>
      </c>
      <c r="T18">
        <v>41</v>
      </c>
    </row>
    <row r="19" spans="1:20">
      <c r="A19" s="66">
        <v>45941</v>
      </c>
      <c r="B19" t="s">
        <v>104</v>
      </c>
      <c r="C19" t="s">
        <v>96</v>
      </c>
      <c r="D19" t="s">
        <v>105</v>
      </c>
      <c r="E19" t="s">
        <v>18</v>
      </c>
      <c r="F19" t="s">
        <v>106</v>
      </c>
      <c r="G19" t="s">
        <v>107</v>
      </c>
      <c r="H19">
        <v>25600</v>
      </c>
      <c r="I19">
        <v>25600</v>
      </c>
      <c r="J19" s="66">
        <v>45931</v>
      </c>
      <c r="K19" t="s">
        <v>67</v>
      </c>
      <c r="L19" t="s">
        <v>68</v>
      </c>
      <c r="M19" t="s">
        <v>69</v>
      </c>
      <c r="O19">
        <v>0</v>
      </c>
      <c r="P19" t="s">
        <v>108</v>
      </c>
      <c r="S19" t="s">
        <v>75</v>
      </c>
      <c r="T19">
        <v>41</v>
      </c>
    </row>
    <row r="20" spans="1:20">
      <c r="A20" s="66">
        <v>45931</v>
      </c>
      <c r="B20" t="s">
        <v>95</v>
      </c>
      <c r="C20" t="s">
        <v>96</v>
      </c>
      <c r="D20" t="s">
        <v>64</v>
      </c>
      <c r="E20" t="s">
        <v>38</v>
      </c>
      <c r="F20" t="s">
        <v>97</v>
      </c>
      <c r="G20" t="s">
        <v>109</v>
      </c>
      <c r="H20">
        <v>25279</v>
      </c>
      <c r="I20">
        <v>25279</v>
      </c>
      <c r="J20" s="66">
        <v>45931</v>
      </c>
      <c r="K20" t="s">
        <v>99</v>
      </c>
      <c r="L20" t="s">
        <v>68</v>
      </c>
      <c r="M20" t="s">
        <v>69</v>
      </c>
      <c r="O20">
        <v>0</v>
      </c>
      <c r="P20" t="s">
        <v>70</v>
      </c>
      <c r="S20" t="s">
        <v>75</v>
      </c>
      <c r="T20">
        <v>40</v>
      </c>
    </row>
    <row r="21" spans="1:20">
      <c r="A21" s="66">
        <v>45939</v>
      </c>
      <c r="B21" t="s">
        <v>110</v>
      </c>
      <c r="C21" t="s">
        <v>63</v>
      </c>
      <c r="D21" t="s">
        <v>64</v>
      </c>
      <c r="E21" t="s">
        <v>26</v>
      </c>
      <c r="F21" t="s">
        <v>86</v>
      </c>
      <c r="G21" t="s">
        <v>111</v>
      </c>
      <c r="H21">
        <v>23500</v>
      </c>
      <c r="I21">
        <v>23500</v>
      </c>
      <c r="J21" s="66">
        <v>45931</v>
      </c>
      <c r="K21" t="s">
        <v>67</v>
      </c>
      <c r="L21" t="s">
        <v>68</v>
      </c>
      <c r="M21" t="s">
        <v>69</v>
      </c>
      <c r="O21">
        <v>0</v>
      </c>
      <c r="P21" t="s">
        <v>70</v>
      </c>
      <c r="S21" t="s">
        <v>75</v>
      </c>
      <c r="T21">
        <v>41</v>
      </c>
    </row>
    <row r="22" spans="1:20">
      <c r="A22" s="66">
        <v>45945</v>
      </c>
      <c r="B22" t="s">
        <v>112</v>
      </c>
      <c r="C22" t="s">
        <v>96</v>
      </c>
      <c r="D22" t="s">
        <v>64</v>
      </c>
      <c r="E22" t="s">
        <v>38</v>
      </c>
      <c r="F22" t="s">
        <v>113</v>
      </c>
      <c r="G22" t="s">
        <v>114</v>
      </c>
      <c r="H22">
        <v>21680</v>
      </c>
      <c r="I22">
        <v>21680</v>
      </c>
      <c r="J22" s="66">
        <v>45931</v>
      </c>
      <c r="K22" t="s">
        <v>67</v>
      </c>
      <c r="L22" t="s">
        <v>68</v>
      </c>
      <c r="M22" t="s">
        <v>69</v>
      </c>
      <c r="O22">
        <v>0</v>
      </c>
      <c r="P22" t="s">
        <v>108</v>
      </c>
      <c r="S22" t="s">
        <v>75</v>
      </c>
      <c r="T22">
        <v>42</v>
      </c>
    </row>
    <row r="23" spans="1:20">
      <c r="A23" s="66">
        <v>45940</v>
      </c>
      <c r="B23" t="s">
        <v>115</v>
      </c>
      <c r="C23" t="s">
        <v>63</v>
      </c>
      <c r="D23" t="s">
        <v>64</v>
      </c>
      <c r="E23" t="s">
        <v>39</v>
      </c>
      <c r="F23" t="s">
        <v>116</v>
      </c>
      <c r="G23" t="s">
        <v>117</v>
      </c>
      <c r="H23">
        <v>18080</v>
      </c>
      <c r="I23">
        <v>18080</v>
      </c>
      <c r="J23" s="66">
        <v>45931</v>
      </c>
      <c r="K23" t="s">
        <v>67</v>
      </c>
      <c r="L23" t="s">
        <v>68</v>
      </c>
      <c r="M23" t="s">
        <v>69</v>
      </c>
      <c r="O23">
        <v>0</v>
      </c>
      <c r="P23" t="s">
        <v>108</v>
      </c>
      <c r="S23" t="s">
        <v>75</v>
      </c>
      <c r="T23">
        <v>41</v>
      </c>
    </row>
    <row r="24" spans="1:20">
      <c r="A24" s="66">
        <v>45946</v>
      </c>
      <c r="B24" t="s">
        <v>112</v>
      </c>
      <c r="C24" t="s">
        <v>96</v>
      </c>
      <c r="D24" t="s">
        <v>64</v>
      </c>
      <c r="E24" t="s">
        <v>38</v>
      </c>
      <c r="F24" t="s">
        <v>113</v>
      </c>
      <c r="G24" t="s">
        <v>118</v>
      </c>
      <c r="H24">
        <v>17576</v>
      </c>
      <c r="I24">
        <v>17576</v>
      </c>
      <c r="J24" s="66">
        <v>45931</v>
      </c>
      <c r="K24" t="s">
        <v>67</v>
      </c>
      <c r="L24" t="s">
        <v>68</v>
      </c>
      <c r="M24" t="s">
        <v>69</v>
      </c>
      <c r="O24">
        <v>0</v>
      </c>
      <c r="P24" t="s">
        <v>108</v>
      </c>
      <c r="S24" t="s">
        <v>75</v>
      </c>
      <c r="T24">
        <v>42</v>
      </c>
    </row>
    <row r="25" spans="1:20">
      <c r="A25" s="66">
        <v>45947</v>
      </c>
      <c r="B25" t="s">
        <v>119</v>
      </c>
      <c r="C25" t="s">
        <v>96</v>
      </c>
      <c r="D25" t="s">
        <v>105</v>
      </c>
      <c r="E25" t="s">
        <v>18</v>
      </c>
      <c r="F25" t="s">
        <v>120</v>
      </c>
      <c r="G25" t="s">
        <v>121</v>
      </c>
      <c r="H25">
        <v>12000</v>
      </c>
      <c r="I25">
        <v>16100</v>
      </c>
      <c r="J25" s="66">
        <v>45931</v>
      </c>
      <c r="K25" t="s">
        <v>67</v>
      </c>
      <c r="L25" t="s">
        <v>68</v>
      </c>
      <c r="M25" t="s">
        <v>69</v>
      </c>
      <c r="O25">
        <v>0</v>
      </c>
      <c r="P25" t="s">
        <v>108</v>
      </c>
      <c r="S25" t="s">
        <v>75</v>
      </c>
      <c r="T25">
        <v>42</v>
      </c>
    </row>
    <row r="26" spans="1:20">
      <c r="A26" s="66">
        <v>45946</v>
      </c>
      <c r="B26" t="s">
        <v>119</v>
      </c>
      <c r="C26" t="s">
        <v>96</v>
      </c>
      <c r="D26" t="s">
        <v>105</v>
      </c>
      <c r="E26" t="s">
        <v>18</v>
      </c>
      <c r="F26" t="s">
        <v>120</v>
      </c>
      <c r="G26" t="s">
        <v>122</v>
      </c>
      <c r="H26">
        <v>15000</v>
      </c>
      <c r="I26">
        <v>16100</v>
      </c>
      <c r="J26" s="66">
        <v>45931</v>
      </c>
      <c r="K26" t="s">
        <v>67</v>
      </c>
      <c r="L26" t="s">
        <v>68</v>
      </c>
      <c r="M26" t="s">
        <v>69</v>
      </c>
      <c r="O26">
        <v>0</v>
      </c>
      <c r="P26" t="s">
        <v>108</v>
      </c>
      <c r="S26" t="s">
        <v>75</v>
      </c>
      <c r="T26">
        <v>42</v>
      </c>
    </row>
    <row r="27" spans="1:20">
      <c r="A27" s="66">
        <v>45945</v>
      </c>
      <c r="B27" t="s">
        <v>119</v>
      </c>
      <c r="C27" t="s">
        <v>96</v>
      </c>
      <c r="D27" t="s">
        <v>105</v>
      </c>
      <c r="E27" t="s">
        <v>18</v>
      </c>
      <c r="F27" t="s">
        <v>120</v>
      </c>
      <c r="G27" t="s">
        <v>123</v>
      </c>
      <c r="H27">
        <v>16100</v>
      </c>
      <c r="I27">
        <v>16100</v>
      </c>
      <c r="J27" s="66">
        <v>45931</v>
      </c>
      <c r="K27" t="s">
        <v>67</v>
      </c>
      <c r="L27" t="s">
        <v>68</v>
      </c>
      <c r="M27" t="s">
        <v>69</v>
      </c>
      <c r="O27">
        <v>0</v>
      </c>
      <c r="P27" t="s">
        <v>108</v>
      </c>
      <c r="S27" t="s">
        <v>75</v>
      </c>
      <c r="T27">
        <v>42</v>
      </c>
    </row>
    <row r="28" spans="1:20">
      <c r="A28" s="66">
        <v>45943</v>
      </c>
      <c r="B28" t="s">
        <v>119</v>
      </c>
      <c r="C28" t="s">
        <v>96</v>
      </c>
      <c r="D28" t="s">
        <v>105</v>
      </c>
      <c r="E28" t="s">
        <v>18</v>
      </c>
      <c r="F28" t="s">
        <v>120</v>
      </c>
      <c r="G28" t="s">
        <v>124</v>
      </c>
      <c r="H28">
        <v>15500</v>
      </c>
      <c r="I28">
        <v>15500</v>
      </c>
      <c r="J28" s="66">
        <v>45931</v>
      </c>
      <c r="K28" t="s">
        <v>67</v>
      </c>
      <c r="L28" t="s">
        <v>68</v>
      </c>
      <c r="M28" t="s">
        <v>69</v>
      </c>
      <c r="O28">
        <v>0</v>
      </c>
      <c r="P28" t="s">
        <v>108</v>
      </c>
      <c r="S28" t="s">
        <v>75</v>
      </c>
      <c r="T28">
        <v>42</v>
      </c>
    </row>
    <row r="29" spans="1:20">
      <c r="A29" s="66">
        <v>45938</v>
      </c>
      <c r="B29" t="s">
        <v>119</v>
      </c>
      <c r="C29" t="s">
        <v>96</v>
      </c>
      <c r="D29" t="s">
        <v>105</v>
      </c>
      <c r="E29" t="s">
        <v>18</v>
      </c>
      <c r="F29" t="s">
        <v>120</v>
      </c>
      <c r="G29" t="s">
        <v>125</v>
      </c>
      <c r="H29">
        <v>15500</v>
      </c>
      <c r="I29">
        <v>15500</v>
      </c>
      <c r="J29" s="66">
        <v>45931</v>
      </c>
      <c r="K29" t="s">
        <v>67</v>
      </c>
      <c r="L29" t="s">
        <v>68</v>
      </c>
      <c r="M29" t="s">
        <v>69</v>
      </c>
      <c r="O29">
        <v>0</v>
      </c>
      <c r="P29" t="s">
        <v>108</v>
      </c>
      <c r="S29" t="s">
        <v>75</v>
      </c>
      <c r="T29">
        <v>41</v>
      </c>
    </row>
    <row r="30" spans="1:20">
      <c r="A30" s="66">
        <v>45942</v>
      </c>
      <c r="B30" t="s">
        <v>126</v>
      </c>
      <c r="C30" t="s">
        <v>96</v>
      </c>
      <c r="D30" t="s">
        <v>64</v>
      </c>
      <c r="E30" t="s">
        <v>25</v>
      </c>
      <c r="F30" t="s">
        <v>127</v>
      </c>
      <c r="G30" t="s">
        <v>128</v>
      </c>
      <c r="H30">
        <v>15044</v>
      </c>
      <c r="I30">
        <v>15044</v>
      </c>
      <c r="J30" s="66">
        <v>45931</v>
      </c>
      <c r="K30" t="s">
        <v>67</v>
      </c>
      <c r="L30" t="s">
        <v>68</v>
      </c>
      <c r="M30" t="s">
        <v>69</v>
      </c>
      <c r="O30">
        <v>0</v>
      </c>
      <c r="P30" t="s">
        <v>108</v>
      </c>
      <c r="S30" t="s">
        <v>75</v>
      </c>
      <c r="T30">
        <v>41</v>
      </c>
    </row>
    <row r="31" spans="1:20">
      <c r="A31" s="66">
        <v>45958</v>
      </c>
      <c r="B31" t="s">
        <v>112</v>
      </c>
      <c r="C31" t="s">
        <v>96</v>
      </c>
      <c r="D31" t="s">
        <v>64</v>
      </c>
      <c r="E31" t="s">
        <v>38</v>
      </c>
      <c r="F31" t="s">
        <v>113</v>
      </c>
      <c r="G31" t="s">
        <v>129</v>
      </c>
      <c r="H31">
        <v>15000</v>
      </c>
      <c r="I31">
        <v>15000</v>
      </c>
      <c r="J31" s="66">
        <v>45931</v>
      </c>
      <c r="K31" t="s">
        <v>67</v>
      </c>
      <c r="L31" t="s">
        <v>68</v>
      </c>
      <c r="M31" t="s">
        <v>69</v>
      </c>
      <c r="O31">
        <v>0</v>
      </c>
      <c r="P31" t="s">
        <v>130</v>
      </c>
      <c r="S31" t="s">
        <v>75</v>
      </c>
      <c r="T31">
        <v>44</v>
      </c>
    </row>
    <row r="32" spans="1:20">
      <c r="A32" s="66">
        <v>45939</v>
      </c>
      <c r="B32" t="s">
        <v>112</v>
      </c>
      <c r="C32" t="s">
        <v>96</v>
      </c>
      <c r="D32" t="s">
        <v>64</v>
      </c>
      <c r="E32" t="s">
        <v>38</v>
      </c>
      <c r="F32" t="s">
        <v>113</v>
      </c>
      <c r="G32" t="s">
        <v>131</v>
      </c>
      <c r="H32">
        <v>14500</v>
      </c>
      <c r="I32">
        <v>14500</v>
      </c>
      <c r="J32" s="66">
        <v>45931</v>
      </c>
      <c r="K32" t="s">
        <v>67</v>
      </c>
      <c r="L32" t="s">
        <v>68</v>
      </c>
      <c r="M32" t="s">
        <v>69</v>
      </c>
      <c r="O32">
        <v>0</v>
      </c>
      <c r="P32" t="s">
        <v>108</v>
      </c>
      <c r="S32" t="s">
        <v>75</v>
      </c>
      <c r="T32">
        <v>41</v>
      </c>
    </row>
    <row r="33" spans="1:20">
      <c r="A33" s="66">
        <v>45943</v>
      </c>
      <c r="B33" t="s">
        <v>132</v>
      </c>
      <c r="C33" t="s">
        <v>96</v>
      </c>
      <c r="D33" t="s">
        <v>20</v>
      </c>
      <c r="E33" t="s">
        <v>23</v>
      </c>
      <c r="F33" t="s">
        <v>133</v>
      </c>
      <c r="G33" t="s">
        <v>134</v>
      </c>
      <c r="H33">
        <v>13979</v>
      </c>
      <c r="I33">
        <v>13979</v>
      </c>
      <c r="J33" s="66">
        <v>45931</v>
      </c>
      <c r="K33" t="s">
        <v>67</v>
      </c>
      <c r="L33" t="s">
        <v>68</v>
      </c>
      <c r="M33" t="s">
        <v>69</v>
      </c>
      <c r="O33">
        <v>0</v>
      </c>
      <c r="P33" t="s">
        <v>135</v>
      </c>
      <c r="S33" t="s">
        <v>75</v>
      </c>
      <c r="T33">
        <v>42</v>
      </c>
    </row>
    <row r="34" spans="1:20">
      <c r="A34" s="66">
        <v>45940</v>
      </c>
      <c r="B34" t="s">
        <v>112</v>
      </c>
      <c r="C34" t="s">
        <v>96</v>
      </c>
      <c r="D34" t="s">
        <v>64</v>
      </c>
      <c r="E34" t="s">
        <v>38</v>
      </c>
      <c r="F34" t="s">
        <v>113</v>
      </c>
      <c r="G34" t="s">
        <v>136</v>
      </c>
      <c r="H34">
        <v>13850</v>
      </c>
      <c r="I34">
        <v>13850</v>
      </c>
      <c r="J34" s="66">
        <v>45931</v>
      </c>
      <c r="K34" t="s">
        <v>67</v>
      </c>
      <c r="L34" t="s">
        <v>68</v>
      </c>
      <c r="M34" t="s">
        <v>69</v>
      </c>
      <c r="O34">
        <v>0</v>
      </c>
      <c r="P34" t="s">
        <v>108</v>
      </c>
      <c r="S34" t="s">
        <v>75</v>
      </c>
      <c r="T34">
        <v>41</v>
      </c>
    </row>
    <row r="35" spans="1:20">
      <c r="A35" s="66">
        <v>45937</v>
      </c>
      <c r="B35" t="s">
        <v>112</v>
      </c>
      <c r="C35" t="s">
        <v>96</v>
      </c>
      <c r="D35" t="s">
        <v>64</v>
      </c>
      <c r="E35" t="s">
        <v>38</v>
      </c>
      <c r="F35" t="s">
        <v>113</v>
      </c>
      <c r="G35" t="s">
        <v>137</v>
      </c>
      <c r="H35">
        <v>13657</v>
      </c>
      <c r="I35">
        <v>13657</v>
      </c>
      <c r="J35" s="66">
        <v>45931</v>
      </c>
      <c r="K35" t="s">
        <v>67</v>
      </c>
      <c r="L35" t="s">
        <v>68</v>
      </c>
      <c r="M35" t="s">
        <v>69</v>
      </c>
      <c r="O35">
        <v>0</v>
      </c>
      <c r="P35" t="s">
        <v>108</v>
      </c>
      <c r="S35" t="s">
        <v>75</v>
      </c>
      <c r="T35">
        <v>41</v>
      </c>
    </row>
    <row r="36" spans="1:20">
      <c r="A36" s="66">
        <v>45960</v>
      </c>
      <c r="B36" t="s">
        <v>138</v>
      </c>
      <c r="C36" t="s">
        <v>96</v>
      </c>
      <c r="D36" t="s">
        <v>64</v>
      </c>
      <c r="E36" t="s">
        <v>18</v>
      </c>
      <c r="F36" t="s">
        <v>139</v>
      </c>
      <c r="G36" t="s">
        <v>140</v>
      </c>
      <c r="H36">
        <v>13500</v>
      </c>
      <c r="I36">
        <v>13500</v>
      </c>
      <c r="J36" s="66">
        <v>45931</v>
      </c>
      <c r="K36" t="s">
        <v>67</v>
      </c>
      <c r="L36" t="s">
        <v>68</v>
      </c>
      <c r="M36" t="s">
        <v>69</v>
      </c>
      <c r="O36">
        <v>0</v>
      </c>
      <c r="P36" t="s">
        <v>108</v>
      </c>
      <c r="S36" t="s">
        <v>75</v>
      </c>
      <c r="T36">
        <v>44</v>
      </c>
    </row>
    <row r="37" spans="1:20">
      <c r="A37" s="66">
        <v>45941</v>
      </c>
      <c r="B37" t="s">
        <v>141</v>
      </c>
      <c r="C37" t="s">
        <v>96</v>
      </c>
      <c r="D37" t="s">
        <v>64</v>
      </c>
      <c r="E37" t="s">
        <v>142</v>
      </c>
      <c r="F37" t="s">
        <v>143</v>
      </c>
      <c r="G37" t="s">
        <v>144</v>
      </c>
      <c r="H37">
        <v>13500</v>
      </c>
      <c r="I37">
        <v>13500</v>
      </c>
      <c r="J37" s="66">
        <v>45931</v>
      </c>
      <c r="K37" t="s">
        <v>67</v>
      </c>
      <c r="L37" t="s">
        <v>68</v>
      </c>
      <c r="M37" t="s">
        <v>69</v>
      </c>
      <c r="O37">
        <v>0</v>
      </c>
      <c r="P37" t="s">
        <v>108</v>
      </c>
      <c r="S37" t="s">
        <v>75</v>
      </c>
      <c r="T37">
        <v>41</v>
      </c>
    </row>
    <row r="38" spans="1:20">
      <c r="A38" s="66">
        <v>45960</v>
      </c>
      <c r="B38" t="s">
        <v>112</v>
      </c>
      <c r="C38" t="s">
        <v>96</v>
      </c>
      <c r="D38" t="s">
        <v>64</v>
      </c>
      <c r="E38" t="s">
        <v>38</v>
      </c>
      <c r="F38" t="s">
        <v>113</v>
      </c>
      <c r="G38" t="s">
        <v>145</v>
      </c>
      <c r="H38">
        <v>12662</v>
      </c>
      <c r="I38">
        <v>12662</v>
      </c>
      <c r="J38" s="66">
        <v>45931</v>
      </c>
      <c r="K38" t="s">
        <v>67</v>
      </c>
      <c r="L38" t="s">
        <v>68</v>
      </c>
      <c r="M38" t="s">
        <v>69</v>
      </c>
      <c r="O38">
        <v>0</v>
      </c>
      <c r="P38" t="s">
        <v>130</v>
      </c>
      <c r="S38" t="s">
        <v>75</v>
      </c>
      <c r="T38">
        <v>44</v>
      </c>
    </row>
    <row r="39" spans="1:20">
      <c r="A39" s="66">
        <v>45938</v>
      </c>
      <c r="B39" t="s">
        <v>112</v>
      </c>
      <c r="C39" t="s">
        <v>96</v>
      </c>
      <c r="D39" t="s">
        <v>64</v>
      </c>
      <c r="E39" t="s">
        <v>38</v>
      </c>
      <c r="F39" t="s">
        <v>113</v>
      </c>
      <c r="G39" t="s">
        <v>146</v>
      </c>
      <c r="H39">
        <v>12634</v>
      </c>
      <c r="I39">
        <v>12634</v>
      </c>
      <c r="J39" s="66">
        <v>45931</v>
      </c>
      <c r="K39" t="s">
        <v>67</v>
      </c>
      <c r="L39" t="s">
        <v>68</v>
      </c>
      <c r="M39" t="s">
        <v>69</v>
      </c>
      <c r="O39">
        <v>0</v>
      </c>
      <c r="P39" t="s">
        <v>108</v>
      </c>
      <c r="S39" t="s">
        <v>75</v>
      </c>
      <c r="T39">
        <v>41</v>
      </c>
    </row>
    <row r="40" spans="1:20">
      <c r="A40" s="66">
        <v>45959</v>
      </c>
      <c r="B40" t="s">
        <v>112</v>
      </c>
      <c r="C40" t="s">
        <v>96</v>
      </c>
      <c r="D40" t="s">
        <v>64</v>
      </c>
      <c r="E40" t="s">
        <v>38</v>
      </c>
      <c r="F40" t="s">
        <v>113</v>
      </c>
      <c r="G40" t="s">
        <v>147</v>
      </c>
      <c r="H40">
        <v>12500</v>
      </c>
      <c r="I40">
        <v>12500</v>
      </c>
      <c r="J40" s="66">
        <v>45931</v>
      </c>
      <c r="K40" t="s">
        <v>67</v>
      </c>
      <c r="L40" t="s">
        <v>68</v>
      </c>
      <c r="M40" t="s">
        <v>69</v>
      </c>
      <c r="O40">
        <v>0</v>
      </c>
      <c r="P40" t="s">
        <v>130</v>
      </c>
      <c r="S40" t="s">
        <v>75</v>
      </c>
      <c r="T40">
        <v>44</v>
      </c>
    </row>
    <row r="41" spans="1:20">
      <c r="A41" s="66">
        <v>45957</v>
      </c>
      <c r="B41" t="s">
        <v>112</v>
      </c>
      <c r="C41" t="s">
        <v>96</v>
      </c>
      <c r="D41" t="s">
        <v>64</v>
      </c>
      <c r="E41" t="s">
        <v>38</v>
      </c>
      <c r="F41" t="s">
        <v>113</v>
      </c>
      <c r="G41" t="s">
        <v>148</v>
      </c>
      <c r="H41">
        <v>12500</v>
      </c>
      <c r="I41">
        <v>12500</v>
      </c>
      <c r="J41" s="66">
        <v>45931</v>
      </c>
      <c r="K41" t="s">
        <v>67</v>
      </c>
      <c r="L41" t="s">
        <v>68</v>
      </c>
      <c r="M41" t="s">
        <v>69</v>
      </c>
      <c r="O41">
        <v>0</v>
      </c>
      <c r="P41" t="s">
        <v>130</v>
      </c>
      <c r="S41" t="s">
        <v>75</v>
      </c>
      <c r="T41">
        <v>44</v>
      </c>
    </row>
    <row r="42" spans="1:20">
      <c r="A42" s="66">
        <v>45947</v>
      </c>
      <c r="B42" t="s">
        <v>112</v>
      </c>
      <c r="C42" t="s">
        <v>96</v>
      </c>
      <c r="D42" t="s">
        <v>64</v>
      </c>
      <c r="E42" t="s">
        <v>38</v>
      </c>
      <c r="F42" t="s">
        <v>113</v>
      </c>
      <c r="G42" t="s">
        <v>149</v>
      </c>
      <c r="H42">
        <v>12297</v>
      </c>
      <c r="I42">
        <v>12297</v>
      </c>
      <c r="J42" s="66">
        <v>45931</v>
      </c>
      <c r="K42" t="s">
        <v>67</v>
      </c>
      <c r="L42" t="s">
        <v>68</v>
      </c>
      <c r="M42" t="s">
        <v>69</v>
      </c>
      <c r="O42">
        <v>0</v>
      </c>
      <c r="P42" t="s">
        <v>108</v>
      </c>
      <c r="S42" t="s">
        <v>75</v>
      </c>
      <c r="T42">
        <v>42</v>
      </c>
    </row>
    <row r="43" spans="1:20">
      <c r="A43" s="66">
        <v>45937</v>
      </c>
      <c r="B43" t="s">
        <v>119</v>
      </c>
      <c r="C43" t="s">
        <v>96</v>
      </c>
      <c r="D43" t="s">
        <v>105</v>
      </c>
      <c r="E43" t="s">
        <v>18</v>
      </c>
      <c r="F43" t="s">
        <v>120</v>
      </c>
      <c r="G43" t="s">
        <v>150</v>
      </c>
      <c r="H43">
        <v>12000</v>
      </c>
      <c r="I43">
        <v>12000</v>
      </c>
      <c r="J43" s="66">
        <v>45931</v>
      </c>
      <c r="K43" t="s">
        <v>67</v>
      </c>
      <c r="L43" t="s">
        <v>68</v>
      </c>
      <c r="M43" t="s">
        <v>69</v>
      </c>
      <c r="O43">
        <v>0</v>
      </c>
      <c r="P43" t="s">
        <v>108</v>
      </c>
      <c r="S43" t="s">
        <v>75</v>
      </c>
      <c r="T43">
        <v>41</v>
      </c>
    </row>
    <row r="44" spans="1:20">
      <c r="A44" s="66">
        <v>45943</v>
      </c>
      <c r="B44" t="s">
        <v>112</v>
      </c>
      <c r="C44" t="s">
        <v>96</v>
      </c>
      <c r="D44" t="s">
        <v>64</v>
      </c>
      <c r="E44" t="s">
        <v>38</v>
      </c>
      <c r="F44" t="s">
        <v>113</v>
      </c>
      <c r="G44" t="s">
        <v>151</v>
      </c>
      <c r="H44">
        <v>11830</v>
      </c>
      <c r="I44">
        <v>11830</v>
      </c>
      <c r="J44" s="66">
        <v>45931</v>
      </c>
      <c r="K44" t="s">
        <v>67</v>
      </c>
      <c r="L44" t="s">
        <v>68</v>
      </c>
      <c r="M44" t="s">
        <v>69</v>
      </c>
      <c r="O44">
        <v>0</v>
      </c>
      <c r="P44" t="s">
        <v>108</v>
      </c>
      <c r="S44" t="s">
        <v>75</v>
      </c>
      <c r="T44">
        <v>42</v>
      </c>
    </row>
    <row r="45" spans="1:20">
      <c r="A45" s="66">
        <v>45935</v>
      </c>
      <c r="B45" t="s">
        <v>152</v>
      </c>
      <c r="C45" t="s">
        <v>96</v>
      </c>
      <c r="D45" t="s">
        <v>20</v>
      </c>
      <c r="E45" t="s">
        <v>23</v>
      </c>
      <c r="F45" t="s">
        <v>153</v>
      </c>
      <c r="G45" t="s">
        <v>154</v>
      </c>
      <c r="H45">
        <v>11569</v>
      </c>
      <c r="I45">
        <v>11569</v>
      </c>
      <c r="J45" s="66">
        <v>45931</v>
      </c>
      <c r="K45" t="s">
        <v>67</v>
      </c>
      <c r="L45" t="s">
        <v>68</v>
      </c>
      <c r="M45" t="s">
        <v>69</v>
      </c>
      <c r="O45">
        <v>0</v>
      </c>
      <c r="P45" t="s">
        <v>108</v>
      </c>
      <c r="S45" t="s">
        <v>75</v>
      </c>
      <c r="T45">
        <v>40</v>
      </c>
    </row>
    <row r="46" spans="1:20">
      <c r="A46" s="66">
        <v>45954</v>
      </c>
      <c r="B46" t="s">
        <v>112</v>
      </c>
      <c r="C46" t="s">
        <v>96</v>
      </c>
      <c r="D46" t="s">
        <v>64</v>
      </c>
      <c r="E46" t="s">
        <v>38</v>
      </c>
      <c r="F46" t="s">
        <v>113</v>
      </c>
      <c r="G46" t="s">
        <v>155</v>
      </c>
      <c r="H46">
        <v>11371</v>
      </c>
      <c r="I46">
        <v>11371</v>
      </c>
      <c r="J46" s="66">
        <v>45931</v>
      </c>
      <c r="K46" t="s">
        <v>67</v>
      </c>
      <c r="L46" t="s">
        <v>68</v>
      </c>
      <c r="M46" t="s">
        <v>69</v>
      </c>
      <c r="O46">
        <v>0</v>
      </c>
      <c r="P46" t="s">
        <v>108</v>
      </c>
      <c r="S46" t="s">
        <v>75</v>
      </c>
      <c r="T46">
        <v>43</v>
      </c>
    </row>
    <row r="47" spans="1:20">
      <c r="A47" s="66">
        <v>45961</v>
      </c>
      <c r="B47" t="s">
        <v>112</v>
      </c>
      <c r="C47" t="s">
        <v>96</v>
      </c>
      <c r="D47" t="s">
        <v>64</v>
      </c>
      <c r="E47" t="s">
        <v>38</v>
      </c>
      <c r="F47" t="s">
        <v>113</v>
      </c>
      <c r="G47" t="s">
        <v>156</v>
      </c>
      <c r="H47">
        <v>11115</v>
      </c>
      <c r="I47">
        <v>11115</v>
      </c>
      <c r="J47" s="66">
        <v>45931</v>
      </c>
      <c r="K47" t="s">
        <v>67</v>
      </c>
      <c r="L47" t="s">
        <v>68</v>
      </c>
      <c r="M47" t="s">
        <v>69</v>
      </c>
      <c r="O47">
        <v>0</v>
      </c>
      <c r="P47" t="s">
        <v>130</v>
      </c>
      <c r="S47" t="s">
        <v>75</v>
      </c>
      <c r="T47">
        <v>44</v>
      </c>
    </row>
    <row r="48" spans="1:20">
      <c r="A48" s="66">
        <v>45944</v>
      </c>
      <c r="B48" t="s">
        <v>112</v>
      </c>
      <c r="C48" t="s">
        <v>96</v>
      </c>
      <c r="D48" t="s">
        <v>64</v>
      </c>
      <c r="E48" t="s">
        <v>38</v>
      </c>
      <c r="F48" t="s">
        <v>113</v>
      </c>
      <c r="G48" t="s">
        <v>157</v>
      </c>
      <c r="H48">
        <v>10240</v>
      </c>
      <c r="I48">
        <v>10240</v>
      </c>
      <c r="J48" s="66">
        <v>45931</v>
      </c>
      <c r="K48" t="s">
        <v>67</v>
      </c>
      <c r="L48" t="s">
        <v>68</v>
      </c>
      <c r="M48" t="s">
        <v>69</v>
      </c>
      <c r="O48">
        <v>0</v>
      </c>
      <c r="P48" t="s">
        <v>108</v>
      </c>
      <c r="S48" t="s">
        <v>75</v>
      </c>
      <c r="T48">
        <v>42</v>
      </c>
    </row>
    <row r="49" spans="1:20">
      <c r="A49" s="66">
        <v>45953</v>
      </c>
      <c r="B49" t="s">
        <v>112</v>
      </c>
      <c r="C49" t="s">
        <v>96</v>
      </c>
      <c r="D49" t="s">
        <v>64</v>
      </c>
      <c r="E49" t="s">
        <v>38</v>
      </c>
      <c r="F49" t="s">
        <v>113</v>
      </c>
      <c r="G49" t="s">
        <v>158</v>
      </c>
      <c r="H49">
        <v>10215</v>
      </c>
      <c r="I49">
        <v>10215</v>
      </c>
      <c r="J49" s="66">
        <v>45931</v>
      </c>
      <c r="K49" t="s">
        <v>67</v>
      </c>
      <c r="L49" t="s">
        <v>68</v>
      </c>
      <c r="M49" t="s">
        <v>69</v>
      </c>
      <c r="O49">
        <v>0</v>
      </c>
      <c r="P49" t="s">
        <v>108</v>
      </c>
      <c r="S49" t="s">
        <v>75</v>
      </c>
      <c r="T49">
        <v>43</v>
      </c>
    </row>
    <row r="50" spans="1:20">
      <c r="A50" s="66">
        <v>45952</v>
      </c>
      <c r="B50" t="s">
        <v>112</v>
      </c>
      <c r="C50" t="s">
        <v>96</v>
      </c>
      <c r="D50" t="s">
        <v>64</v>
      </c>
      <c r="E50" t="s">
        <v>38</v>
      </c>
      <c r="F50" t="s">
        <v>113</v>
      </c>
      <c r="G50" t="s">
        <v>159</v>
      </c>
      <c r="H50">
        <v>10215</v>
      </c>
      <c r="I50">
        <v>10215</v>
      </c>
      <c r="J50" s="66">
        <v>45931</v>
      </c>
      <c r="K50" t="s">
        <v>67</v>
      </c>
      <c r="L50" t="s">
        <v>68</v>
      </c>
      <c r="M50" t="s">
        <v>69</v>
      </c>
      <c r="O50">
        <v>0</v>
      </c>
      <c r="P50" t="s">
        <v>108</v>
      </c>
      <c r="S50" t="s">
        <v>75</v>
      </c>
      <c r="T50">
        <v>43</v>
      </c>
    </row>
    <row r="51" spans="1:20">
      <c r="A51" s="66">
        <v>45936</v>
      </c>
      <c r="B51" t="s">
        <v>112</v>
      </c>
      <c r="C51" t="s">
        <v>96</v>
      </c>
      <c r="D51" t="s">
        <v>64</v>
      </c>
      <c r="E51" t="s">
        <v>38</v>
      </c>
      <c r="F51" t="s">
        <v>113</v>
      </c>
      <c r="G51" t="s">
        <v>160</v>
      </c>
      <c r="H51">
        <v>9500</v>
      </c>
      <c r="I51">
        <v>9500</v>
      </c>
      <c r="J51" s="66">
        <v>45931</v>
      </c>
      <c r="K51" t="s">
        <v>67</v>
      </c>
      <c r="L51" t="s">
        <v>68</v>
      </c>
      <c r="M51" t="s">
        <v>69</v>
      </c>
      <c r="O51">
        <v>0</v>
      </c>
      <c r="P51" t="s">
        <v>108</v>
      </c>
      <c r="S51" t="s">
        <v>75</v>
      </c>
      <c r="T51">
        <v>41</v>
      </c>
    </row>
    <row r="52" spans="1:20">
      <c r="A52" s="66">
        <v>45933</v>
      </c>
      <c r="B52" t="s">
        <v>119</v>
      </c>
      <c r="C52" t="s">
        <v>96</v>
      </c>
      <c r="D52" t="s">
        <v>105</v>
      </c>
      <c r="E52" t="s">
        <v>18</v>
      </c>
      <c r="F52" t="s">
        <v>120</v>
      </c>
      <c r="G52" t="s">
        <v>161</v>
      </c>
      <c r="H52">
        <v>8000</v>
      </c>
      <c r="I52">
        <v>8000</v>
      </c>
      <c r="J52" s="66">
        <v>45931</v>
      </c>
      <c r="K52" t="s">
        <v>67</v>
      </c>
      <c r="L52" t="s">
        <v>68</v>
      </c>
      <c r="M52" t="s">
        <v>69</v>
      </c>
      <c r="O52">
        <v>0</v>
      </c>
      <c r="P52" t="s">
        <v>108</v>
      </c>
      <c r="S52" t="s">
        <v>75</v>
      </c>
      <c r="T52">
        <v>40</v>
      </c>
    </row>
    <row r="53" spans="1:20">
      <c r="A53" s="66">
        <v>45944</v>
      </c>
      <c r="B53" t="s">
        <v>162</v>
      </c>
      <c r="C53" t="s">
        <v>163</v>
      </c>
      <c r="D53" t="s">
        <v>64</v>
      </c>
      <c r="E53" t="s">
        <v>26</v>
      </c>
      <c r="F53" t="s">
        <v>164</v>
      </c>
      <c r="G53" t="s">
        <v>165</v>
      </c>
      <c r="H53">
        <v>6640</v>
      </c>
      <c r="I53">
        <v>6640</v>
      </c>
      <c r="J53" s="66">
        <v>45931</v>
      </c>
      <c r="K53" t="s">
        <v>67</v>
      </c>
      <c r="L53" t="s">
        <v>68</v>
      </c>
      <c r="M53" t="s">
        <v>69</v>
      </c>
      <c r="O53">
        <v>0</v>
      </c>
      <c r="P53" t="s">
        <v>108</v>
      </c>
      <c r="S53" t="s">
        <v>75</v>
      </c>
      <c r="T53">
        <v>42</v>
      </c>
    </row>
    <row r="54" spans="1:20">
      <c r="A54" s="66">
        <v>45931</v>
      </c>
      <c r="B54" t="s">
        <v>112</v>
      </c>
      <c r="C54" t="s">
        <v>96</v>
      </c>
      <c r="D54" t="s">
        <v>64</v>
      </c>
      <c r="E54" t="s">
        <v>38</v>
      </c>
      <c r="F54" t="s">
        <v>113</v>
      </c>
      <c r="G54" t="s">
        <v>166</v>
      </c>
      <c r="H54">
        <v>6355</v>
      </c>
      <c r="I54">
        <v>6355</v>
      </c>
      <c r="J54" s="66">
        <v>45931</v>
      </c>
      <c r="K54" t="s">
        <v>67</v>
      </c>
      <c r="L54" t="s">
        <v>68</v>
      </c>
      <c r="M54" t="s">
        <v>69</v>
      </c>
      <c r="O54">
        <v>0</v>
      </c>
      <c r="P54" t="s">
        <v>108</v>
      </c>
      <c r="S54" t="s">
        <v>75</v>
      </c>
      <c r="T54">
        <v>40</v>
      </c>
    </row>
    <row r="55" spans="1:20">
      <c r="A55" s="66">
        <v>45948</v>
      </c>
      <c r="B55" t="s">
        <v>119</v>
      </c>
      <c r="C55" t="s">
        <v>96</v>
      </c>
      <c r="D55" t="s">
        <v>105</v>
      </c>
      <c r="E55" t="s">
        <v>18</v>
      </c>
      <c r="F55" t="s">
        <v>120</v>
      </c>
      <c r="G55" t="s">
        <v>167</v>
      </c>
      <c r="H55">
        <v>5500</v>
      </c>
      <c r="I55">
        <v>5500</v>
      </c>
      <c r="J55" s="66">
        <v>45931</v>
      </c>
      <c r="K55" t="s">
        <v>67</v>
      </c>
      <c r="L55" t="s">
        <v>68</v>
      </c>
      <c r="M55" t="s">
        <v>69</v>
      </c>
      <c r="O55">
        <v>0</v>
      </c>
      <c r="P55" t="s">
        <v>108</v>
      </c>
      <c r="S55" t="s">
        <v>75</v>
      </c>
      <c r="T55">
        <v>42</v>
      </c>
    </row>
    <row r="56" spans="1:20">
      <c r="A56" s="66">
        <v>45932</v>
      </c>
      <c r="B56" t="s">
        <v>168</v>
      </c>
      <c r="C56" t="s">
        <v>63</v>
      </c>
      <c r="D56" t="s">
        <v>64</v>
      </c>
      <c r="E56" t="s">
        <v>38</v>
      </c>
      <c r="F56" t="s">
        <v>169</v>
      </c>
      <c r="G56" t="s">
        <v>170</v>
      </c>
      <c r="H56">
        <v>5500</v>
      </c>
      <c r="I56">
        <v>5500</v>
      </c>
      <c r="J56" s="66">
        <v>45931</v>
      </c>
      <c r="K56" t="s">
        <v>67</v>
      </c>
      <c r="L56" t="s">
        <v>68</v>
      </c>
      <c r="M56" t="s">
        <v>69</v>
      </c>
      <c r="O56">
        <v>0</v>
      </c>
      <c r="P56" t="s">
        <v>108</v>
      </c>
      <c r="S56" t="s">
        <v>75</v>
      </c>
      <c r="T56">
        <v>40</v>
      </c>
    </row>
    <row r="57" spans="1:20">
      <c r="A57" s="66">
        <v>45933</v>
      </c>
      <c r="B57" t="s">
        <v>112</v>
      </c>
      <c r="C57" t="s">
        <v>96</v>
      </c>
      <c r="D57" t="s">
        <v>64</v>
      </c>
      <c r="E57" t="s">
        <v>38</v>
      </c>
      <c r="F57" t="s">
        <v>113</v>
      </c>
      <c r="G57" t="s">
        <v>171</v>
      </c>
      <c r="H57">
        <v>4935</v>
      </c>
      <c r="I57">
        <v>4935</v>
      </c>
      <c r="J57" s="66">
        <v>45931</v>
      </c>
      <c r="K57" t="s">
        <v>67</v>
      </c>
      <c r="L57" t="s">
        <v>68</v>
      </c>
      <c r="M57" t="s">
        <v>69</v>
      </c>
      <c r="O57">
        <v>0</v>
      </c>
      <c r="P57" t="s">
        <v>108</v>
      </c>
      <c r="S57" t="s">
        <v>75</v>
      </c>
      <c r="T57">
        <v>40</v>
      </c>
    </row>
    <row r="58" spans="1:20">
      <c r="A58" s="66">
        <v>45951</v>
      </c>
      <c r="B58" t="s">
        <v>112</v>
      </c>
      <c r="C58" t="s">
        <v>96</v>
      </c>
      <c r="D58" t="s">
        <v>64</v>
      </c>
      <c r="E58" t="s">
        <v>38</v>
      </c>
      <c r="F58" t="s">
        <v>113</v>
      </c>
      <c r="G58" t="s">
        <v>172</v>
      </c>
      <c r="H58">
        <v>3160</v>
      </c>
      <c r="I58">
        <v>3160</v>
      </c>
      <c r="J58" s="66">
        <v>45931</v>
      </c>
      <c r="K58" t="s">
        <v>67</v>
      </c>
      <c r="L58" t="s">
        <v>68</v>
      </c>
      <c r="M58" t="s">
        <v>69</v>
      </c>
      <c r="O58">
        <v>0</v>
      </c>
      <c r="P58" t="s">
        <v>108</v>
      </c>
      <c r="S58" t="s">
        <v>75</v>
      </c>
      <c r="T58">
        <v>43</v>
      </c>
    </row>
    <row r="59" spans="1:20">
      <c r="A59" s="66">
        <v>45951</v>
      </c>
      <c r="B59" t="s">
        <v>119</v>
      </c>
      <c r="C59" t="s">
        <v>96</v>
      </c>
      <c r="D59" t="s">
        <v>105</v>
      </c>
      <c r="E59" t="s">
        <v>18</v>
      </c>
      <c r="F59" t="s">
        <v>120</v>
      </c>
      <c r="G59" t="s">
        <v>167</v>
      </c>
      <c r="H59">
        <v>2500</v>
      </c>
      <c r="I59">
        <v>2500</v>
      </c>
      <c r="J59" s="66">
        <v>45931</v>
      </c>
      <c r="K59" t="s">
        <v>67</v>
      </c>
      <c r="L59" t="s">
        <v>68</v>
      </c>
      <c r="M59" t="s">
        <v>69</v>
      </c>
      <c r="O59">
        <v>0</v>
      </c>
      <c r="P59" t="s">
        <v>108</v>
      </c>
      <c r="S59" t="s">
        <v>75</v>
      </c>
      <c r="T59">
        <v>43</v>
      </c>
    </row>
    <row r="60" spans="1:20">
      <c r="A60" s="66">
        <v>45930</v>
      </c>
      <c r="B60" t="s">
        <v>79</v>
      </c>
      <c r="C60" t="s">
        <v>63</v>
      </c>
      <c r="D60" t="s">
        <v>64</v>
      </c>
      <c r="E60" t="s">
        <v>26</v>
      </c>
      <c r="F60" t="s">
        <v>80</v>
      </c>
      <c r="G60" t="s">
        <v>173</v>
      </c>
      <c r="H60">
        <v>0</v>
      </c>
      <c r="I60">
        <v>0</v>
      </c>
      <c r="J60" s="66">
        <v>45931</v>
      </c>
      <c r="K60" t="s">
        <v>67</v>
      </c>
      <c r="L60" t="s">
        <v>68</v>
      </c>
      <c r="M60" t="s">
        <v>69</v>
      </c>
      <c r="O60">
        <v>0</v>
      </c>
      <c r="P60" t="s">
        <v>70</v>
      </c>
      <c r="S60" t="s">
        <v>71</v>
      </c>
      <c r="T60">
        <v>40</v>
      </c>
    </row>
    <row r="61" spans="1:20">
      <c r="A61" s="66">
        <v>45925</v>
      </c>
      <c r="B61" t="s">
        <v>85</v>
      </c>
      <c r="C61" t="s">
        <v>63</v>
      </c>
      <c r="D61" t="s">
        <v>64</v>
      </c>
      <c r="E61" t="s">
        <v>26</v>
      </c>
      <c r="F61" t="s">
        <v>174</v>
      </c>
      <c r="G61" t="s">
        <v>175</v>
      </c>
      <c r="H61">
        <v>0</v>
      </c>
      <c r="J61" s="66">
        <v>45931</v>
      </c>
      <c r="K61" t="s">
        <v>67</v>
      </c>
      <c r="L61" t="s">
        <v>68</v>
      </c>
      <c r="M61" t="s">
        <v>69</v>
      </c>
      <c r="O61">
        <v>0</v>
      </c>
      <c r="P61" t="s">
        <v>108</v>
      </c>
      <c r="S61" t="s">
        <v>71</v>
      </c>
      <c r="T61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FE1F-569E-4BE3-98DD-1778F37F82B5}">
  <dimension ref="A1:U79"/>
  <sheetViews>
    <sheetView topLeftCell="A16" workbookViewId="0">
      <selection activeCell="B30" sqref="B30"/>
    </sheetView>
  </sheetViews>
  <sheetFormatPr defaultRowHeight="14.45"/>
  <cols>
    <col min="1" max="1" width="10.140625" bestFit="1" customWidth="1"/>
    <col min="2" max="2" width="34.85546875" bestFit="1" customWidth="1"/>
    <col min="3" max="3" width="17.140625" bestFit="1" customWidth="1"/>
    <col min="4" max="4" width="9.85546875" bestFit="1" customWidth="1"/>
    <col min="5" max="5" width="26.28515625" bestFit="1" customWidth="1"/>
    <col min="6" max="6" width="13.5703125" bestFit="1" customWidth="1"/>
    <col min="7" max="7" width="63.140625" bestFit="1" customWidth="1"/>
    <col min="8" max="8" width="20.42578125" bestFit="1" customWidth="1"/>
    <col min="9" max="9" width="24.5703125" bestFit="1" customWidth="1"/>
    <col min="10" max="10" width="26.5703125" bestFit="1" customWidth="1"/>
    <col min="11" max="11" width="10.5703125" bestFit="1" customWidth="1"/>
    <col min="12" max="12" width="15" bestFit="1" customWidth="1"/>
    <col min="13" max="13" width="13.85546875" bestFit="1" customWidth="1"/>
    <col min="14" max="14" width="10" bestFit="1" customWidth="1"/>
    <col min="15" max="15" width="26.7109375" bestFit="1" customWidth="1"/>
    <col min="16" max="16" width="18.5703125" bestFit="1" customWidth="1"/>
    <col min="17" max="17" width="16" bestFit="1" customWidth="1"/>
    <col min="18" max="18" width="18.5703125" bestFit="1" customWidth="1"/>
  </cols>
  <sheetData>
    <row r="1" spans="1:21">
      <c r="A1" s="36" t="s">
        <v>176</v>
      </c>
    </row>
    <row r="3" spans="1:21">
      <c r="A3" t="s">
        <v>43</v>
      </c>
      <c r="B3" t="s">
        <v>44</v>
      </c>
      <c r="C3" t="s">
        <v>45</v>
      </c>
      <c r="D3" t="s">
        <v>46</v>
      </c>
      <c r="E3" t="s">
        <v>7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4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</row>
    <row r="4" spans="1:21">
      <c r="A4" s="66">
        <v>45930</v>
      </c>
      <c r="B4" t="s">
        <v>112</v>
      </c>
      <c r="C4" t="s">
        <v>96</v>
      </c>
      <c r="D4" t="s">
        <v>64</v>
      </c>
      <c r="E4" t="s">
        <v>38</v>
      </c>
      <c r="F4" t="s">
        <v>113</v>
      </c>
      <c r="G4" t="s">
        <v>177</v>
      </c>
      <c r="H4">
        <v>9550</v>
      </c>
      <c r="I4">
        <v>9550</v>
      </c>
      <c r="J4" s="66">
        <v>45901</v>
      </c>
      <c r="K4" t="s">
        <v>67</v>
      </c>
      <c r="L4" t="s">
        <v>68</v>
      </c>
      <c r="M4" t="s">
        <v>69</v>
      </c>
      <c r="O4">
        <v>0</v>
      </c>
      <c r="P4" t="s">
        <v>108</v>
      </c>
      <c r="S4" t="s">
        <v>71</v>
      </c>
      <c r="T4">
        <v>40</v>
      </c>
    </row>
    <row r="5" spans="1:21">
      <c r="A5" s="66">
        <v>45930</v>
      </c>
      <c r="B5" t="s">
        <v>119</v>
      </c>
      <c r="C5" t="s">
        <v>96</v>
      </c>
      <c r="D5" t="s">
        <v>105</v>
      </c>
      <c r="E5" t="s">
        <v>18</v>
      </c>
      <c r="F5" t="s">
        <v>120</v>
      </c>
      <c r="G5" t="s">
        <v>178</v>
      </c>
      <c r="H5">
        <v>12500</v>
      </c>
      <c r="I5">
        <v>12500</v>
      </c>
      <c r="J5" s="66">
        <v>45901</v>
      </c>
      <c r="K5" t="s">
        <v>67</v>
      </c>
      <c r="L5" t="s">
        <v>68</v>
      </c>
      <c r="M5" t="s">
        <v>69</v>
      </c>
      <c r="O5">
        <v>0</v>
      </c>
      <c r="P5" t="s">
        <v>108</v>
      </c>
      <c r="S5" t="s">
        <v>71</v>
      </c>
      <c r="T5">
        <v>40</v>
      </c>
    </row>
    <row r="6" spans="1:21">
      <c r="A6" s="66">
        <v>45929</v>
      </c>
      <c r="B6" t="s">
        <v>88</v>
      </c>
      <c r="C6" t="s">
        <v>63</v>
      </c>
      <c r="D6" t="s">
        <v>64</v>
      </c>
      <c r="E6" t="s">
        <v>28</v>
      </c>
      <c r="F6" t="s">
        <v>89</v>
      </c>
      <c r="G6" t="s">
        <v>179</v>
      </c>
      <c r="H6">
        <v>20500</v>
      </c>
      <c r="I6">
        <v>20500</v>
      </c>
      <c r="J6" s="66">
        <v>45901</v>
      </c>
      <c r="K6" t="s">
        <v>67</v>
      </c>
      <c r="L6" t="s">
        <v>68</v>
      </c>
      <c r="M6" t="s">
        <v>69</v>
      </c>
      <c r="O6">
        <v>0</v>
      </c>
      <c r="P6" t="s">
        <v>108</v>
      </c>
      <c r="S6" t="s">
        <v>71</v>
      </c>
      <c r="T6">
        <v>40</v>
      </c>
    </row>
    <row r="7" spans="1:21">
      <c r="A7" s="66">
        <v>45929</v>
      </c>
      <c r="B7" t="s">
        <v>112</v>
      </c>
      <c r="C7" t="s">
        <v>96</v>
      </c>
      <c r="D7" t="s">
        <v>64</v>
      </c>
      <c r="E7" t="s">
        <v>38</v>
      </c>
      <c r="F7" t="s">
        <v>113</v>
      </c>
      <c r="G7" t="s">
        <v>177</v>
      </c>
      <c r="H7">
        <v>10267</v>
      </c>
      <c r="I7">
        <v>10267</v>
      </c>
      <c r="J7" s="66">
        <v>45901</v>
      </c>
      <c r="K7" t="s">
        <v>67</v>
      </c>
      <c r="L7" t="s">
        <v>68</v>
      </c>
      <c r="M7" t="s">
        <v>69</v>
      </c>
      <c r="O7">
        <v>0</v>
      </c>
      <c r="P7" t="s">
        <v>108</v>
      </c>
      <c r="S7" t="s">
        <v>71</v>
      </c>
      <c r="T7">
        <v>40</v>
      </c>
    </row>
    <row r="8" spans="1:21">
      <c r="A8" s="66">
        <v>45929</v>
      </c>
      <c r="B8" t="s">
        <v>119</v>
      </c>
      <c r="C8" t="s">
        <v>96</v>
      </c>
      <c r="D8" t="s">
        <v>105</v>
      </c>
      <c r="E8" t="s">
        <v>18</v>
      </c>
      <c r="F8" t="s">
        <v>120</v>
      </c>
      <c r="G8" t="s">
        <v>180</v>
      </c>
      <c r="H8">
        <v>16500</v>
      </c>
      <c r="I8">
        <v>16500</v>
      </c>
      <c r="J8" s="66">
        <v>45901</v>
      </c>
      <c r="K8" t="s">
        <v>67</v>
      </c>
      <c r="L8" t="s">
        <v>68</v>
      </c>
      <c r="M8" t="s">
        <v>69</v>
      </c>
      <c r="O8">
        <v>0</v>
      </c>
      <c r="P8" t="s">
        <v>108</v>
      </c>
      <c r="S8" t="s">
        <v>71</v>
      </c>
      <c r="T8">
        <v>40</v>
      </c>
    </row>
    <row r="9" spans="1:21">
      <c r="A9" s="66">
        <v>45928</v>
      </c>
      <c r="B9" t="s">
        <v>79</v>
      </c>
      <c r="C9" t="s">
        <v>63</v>
      </c>
      <c r="D9" t="s">
        <v>64</v>
      </c>
      <c r="E9" t="s">
        <v>26</v>
      </c>
      <c r="F9" t="s">
        <v>80</v>
      </c>
      <c r="G9" t="s">
        <v>181</v>
      </c>
      <c r="H9">
        <v>199120</v>
      </c>
      <c r="I9">
        <v>199120</v>
      </c>
      <c r="J9" s="66">
        <v>45901</v>
      </c>
      <c r="K9" t="s">
        <v>67</v>
      </c>
      <c r="L9" t="s">
        <v>68</v>
      </c>
      <c r="M9" t="s">
        <v>69</v>
      </c>
      <c r="O9">
        <v>0</v>
      </c>
      <c r="P9" t="s">
        <v>70</v>
      </c>
      <c r="S9" t="s">
        <v>71</v>
      </c>
      <c r="T9">
        <v>39</v>
      </c>
    </row>
    <row r="10" spans="1:21">
      <c r="A10" s="66">
        <v>45928</v>
      </c>
      <c r="B10" t="s">
        <v>119</v>
      </c>
      <c r="C10" t="s">
        <v>96</v>
      </c>
      <c r="D10" t="s">
        <v>105</v>
      </c>
      <c r="E10" t="s">
        <v>18</v>
      </c>
      <c r="F10" t="s">
        <v>120</v>
      </c>
      <c r="G10" t="s">
        <v>182</v>
      </c>
      <c r="H10">
        <v>6500</v>
      </c>
      <c r="I10">
        <v>6500</v>
      </c>
      <c r="J10" s="66">
        <v>45901</v>
      </c>
      <c r="K10" t="s">
        <v>67</v>
      </c>
      <c r="L10" t="s">
        <v>68</v>
      </c>
      <c r="M10" t="s">
        <v>69</v>
      </c>
      <c r="O10">
        <v>0</v>
      </c>
      <c r="P10" t="s">
        <v>108</v>
      </c>
      <c r="S10" t="s">
        <v>71</v>
      </c>
      <c r="T10">
        <v>39</v>
      </c>
    </row>
    <row r="11" spans="1:21">
      <c r="A11" s="66">
        <v>45927</v>
      </c>
      <c r="B11" t="s">
        <v>119</v>
      </c>
      <c r="C11" t="s">
        <v>96</v>
      </c>
      <c r="D11" t="s">
        <v>105</v>
      </c>
      <c r="E11" t="s">
        <v>18</v>
      </c>
      <c r="F11" t="s">
        <v>120</v>
      </c>
      <c r="G11" t="s">
        <v>182</v>
      </c>
      <c r="H11">
        <v>14000</v>
      </c>
      <c r="I11">
        <v>14000</v>
      </c>
      <c r="J11" s="66">
        <v>45901</v>
      </c>
      <c r="K11" t="s">
        <v>67</v>
      </c>
      <c r="L11" t="s">
        <v>68</v>
      </c>
      <c r="M11" t="s">
        <v>69</v>
      </c>
      <c r="O11">
        <v>0</v>
      </c>
      <c r="P11" t="s">
        <v>108</v>
      </c>
      <c r="S11" t="s">
        <v>71</v>
      </c>
      <c r="T11">
        <v>39</v>
      </c>
    </row>
    <row r="12" spans="1:21">
      <c r="A12" s="66">
        <v>45926</v>
      </c>
      <c r="B12" t="s">
        <v>183</v>
      </c>
      <c r="C12" t="s">
        <v>63</v>
      </c>
      <c r="D12" t="s">
        <v>64</v>
      </c>
      <c r="E12" t="s">
        <v>14</v>
      </c>
      <c r="F12" t="s">
        <v>184</v>
      </c>
      <c r="G12" t="s">
        <v>185</v>
      </c>
      <c r="H12">
        <v>11200</v>
      </c>
      <c r="I12">
        <v>11200</v>
      </c>
      <c r="J12" s="66">
        <v>45901</v>
      </c>
      <c r="K12" t="s">
        <v>67</v>
      </c>
      <c r="L12" t="s">
        <v>68</v>
      </c>
      <c r="M12" t="s">
        <v>69</v>
      </c>
      <c r="O12">
        <v>0</v>
      </c>
      <c r="P12" t="s">
        <v>108</v>
      </c>
      <c r="S12" t="s">
        <v>71</v>
      </c>
      <c r="T12">
        <v>39</v>
      </c>
    </row>
    <row r="13" spans="1:21">
      <c r="A13" s="66">
        <v>45926</v>
      </c>
      <c r="B13" t="s">
        <v>112</v>
      </c>
      <c r="C13" t="s">
        <v>63</v>
      </c>
      <c r="D13" t="s">
        <v>64</v>
      </c>
      <c r="E13" t="s">
        <v>38</v>
      </c>
      <c r="F13" t="s">
        <v>113</v>
      </c>
      <c r="G13" t="s">
        <v>186</v>
      </c>
      <c r="H13">
        <v>18330</v>
      </c>
      <c r="I13">
        <v>18330</v>
      </c>
      <c r="J13" s="66">
        <v>45901</v>
      </c>
      <c r="K13" t="s">
        <v>67</v>
      </c>
      <c r="L13" t="s">
        <v>68</v>
      </c>
      <c r="M13" t="s">
        <v>69</v>
      </c>
      <c r="O13">
        <v>0</v>
      </c>
      <c r="P13" t="s">
        <v>108</v>
      </c>
      <c r="S13" t="s">
        <v>71</v>
      </c>
      <c r="T13">
        <v>39</v>
      </c>
    </row>
    <row r="14" spans="1:21">
      <c r="A14" s="66">
        <v>45926</v>
      </c>
      <c r="B14" t="s">
        <v>119</v>
      </c>
      <c r="C14" t="s">
        <v>96</v>
      </c>
      <c r="D14" t="s">
        <v>105</v>
      </c>
      <c r="E14" t="s">
        <v>18</v>
      </c>
      <c r="F14" t="s">
        <v>120</v>
      </c>
      <c r="G14" t="s">
        <v>187</v>
      </c>
      <c r="H14">
        <v>15000</v>
      </c>
      <c r="I14">
        <v>15000</v>
      </c>
      <c r="J14" s="66">
        <v>45901</v>
      </c>
      <c r="K14" t="s">
        <v>67</v>
      </c>
      <c r="L14" t="s">
        <v>68</v>
      </c>
      <c r="M14" t="s">
        <v>69</v>
      </c>
      <c r="O14">
        <v>0</v>
      </c>
      <c r="P14" t="s">
        <v>108</v>
      </c>
      <c r="S14" t="s">
        <v>71</v>
      </c>
      <c r="T14">
        <v>39</v>
      </c>
    </row>
    <row r="15" spans="1:21">
      <c r="A15" s="66">
        <v>45925</v>
      </c>
      <c r="B15" t="s">
        <v>112</v>
      </c>
      <c r="C15" t="s">
        <v>63</v>
      </c>
      <c r="D15" t="s">
        <v>64</v>
      </c>
      <c r="E15" t="s">
        <v>38</v>
      </c>
      <c r="F15" t="s">
        <v>113</v>
      </c>
      <c r="G15" t="s">
        <v>188</v>
      </c>
      <c r="H15">
        <v>18330</v>
      </c>
      <c r="I15">
        <v>18330</v>
      </c>
      <c r="J15" s="66">
        <v>45901</v>
      </c>
      <c r="K15" t="s">
        <v>67</v>
      </c>
      <c r="L15" t="s">
        <v>68</v>
      </c>
      <c r="M15" t="s">
        <v>69</v>
      </c>
      <c r="O15">
        <v>0</v>
      </c>
      <c r="P15" t="s">
        <v>108</v>
      </c>
      <c r="S15" t="s">
        <v>71</v>
      </c>
      <c r="T15">
        <v>39</v>
      </c>
    </row>
    <row r="16" spans="1:21">
      <c r="A16" s="66">
        <v>45925</v>
      </c>
      <c r="B16" t="s">
        <v>119</v>
      </c>
      <c r="C16" t="s">
        <v>96</v>
      </c>
      <c r="D16" t="s">
        <v>105</v>
      </c>
      <c r="E16" t="s">
        <v>18</v>
      </c>
      <c r="F16" t="s">
        <v>120</v>
      </c>
      <c r="G16" t="s">
        <v>189</v>
      </c>
      <c r="H16">
        <v>19500</v>
      </c>
      <c r="I16">
        <v>19500</v>
      </c>
      <c r="J16" s="66">
        <v>45901</v>
      </c>
      <c r="K16" t="s">
        <v>67</v>
      </c>
      <c r="L16" t="s">
        <v>68</v>
      </c>
      <c r="M16" t="s">
        <v>69</v>
      </c>
      <c r="O16">
        <v>0</v>
      </c>
      <c r="P16" t="s">
        <v>108</v>
      </c>
      <c r="S16" t="s">
        <v>71</v>
      </c>
      <c r="T16">
        <v>39</v>
      </c>
    </row>
    <row r="17" spans="1:20">
      <c r="A17" s="66">
        <v>45924</v>
      </c>
      <c r="B17" t="s">
        <v>79</v>
      </c>
      <c r="C17" t="s">
        <v>63</v>
      </c>
      <c r="D17" t="s">
        <v>64</v>
      </c>
      <c r="E17" t="s">
        <v>26</v>
      </c>
      <c r="F17" t="s">
        <v>80</v>
      </c>
      <c r="G17" t="s">
        <v>181</v>
      </c>
      <c r="H17">
        <v>0</v>
      </c>
      <c r="I17">
        <v>0</v>
      </c>
      <c r="J17" s="66">
        <v>45901</v>
      </c>
      <c r="K17" t="s">
        <v>67</v>
      </c>
      <c r="L17" t="s">
        <v>68</v>
      </c>
      <c r="M17" t="s">
        <v>69</v>
      </c>
      <c r="O17">
        <v>0</v>
      </c>
      <c r="P17" t="s">
        <v>70</v>
      </c>
      <c r="S17" t="s">
        <v>71</v>
      </c>
      <c r="T17">
        <v>39</v>
      </c>
    </row>
    <row r="18" spans="1:20">
      <c r="A18" s="66">
        <v>45924</v>
      </c>
      <c r="B18" t="s">
        <v>95</v>
      </c>
      <c r="C18" t="s">
        <v>96</v>
      </c>
      <c r="D18" t="s">
        <v>64</v>
      </c>
      <c r="E18" t="s">
        <v>38</v>
      </c>
      <c r="F18" t="s">
        <v>97</v>
      </c>
      <c r="G18" t="s">
        <v>190</v>
      </c>
      <c r="H18">
        <v>39940</v>
      </c>
      <c r="I18">
        <v>39940</v>
      </c>
      <c r="J18" s="66">
        <v>45901</v>
      </c>
      <c r="K18" t="s">
        <v>99</v>
      </c>
      <c r="L18" t="s">
        <v>68</v>
      </c>
      <c r="M18" t="s">
        <v>69</v>
      </c>
      <c r="O18">
        <v>0</v>
      </c>
      <c r="P18" t="s">
        <v>70</v>
      </c>
      <c r="S18" t="s">
        <v>71</v>
      </c>
      <c r="T18">
        <v>39</v>
      </c>
    </row>
    <row r="19" spans="1:20">
      <c r="A19" s="66">
        <v>45924</v>
      </c>
      <c r="B19" t="s">
        <v>112</v>
      </c>
      <c r="C19" t="s">
        <v>63</v>
      </c>
      <c r="D19" t="s">
        <v>64</v>
      </c>
      <c r="E19" t="s">
        <v>38</v>
      </c>
      <c r="F19" t="s">
        <v>113</v>
      </c>
      <c r="G19" t="s">
        <v>191</v>
      </c>
      <c r="H19">
        <v>16330</v>
      </c>
      <c r="I19">
        <v>16330</v>
      </c>
      <c r="J19" s="66">
        <v>45901</v>
      </c>
      <c r="K19" t="s">
        <v>67</v>
      </c>
      <c r="L19" t="s">
        <v>68</v>
      </c>
      <c r="M19" t="s">
        <v>69</v>
      </c>
      <c r="O19">
        <v>0</v>
      </c>
      <c r="P19" t="s">
        <v>108</v>
      </c>
      <c r="S19" t="s">
        <v>71</v>
      </c>
      <c r="T19">
        <v>39</v>
      </c>
    </row>
    <row r="20" spans="1:20">
      <c r="A20" s="66">
        <v>45924</v>
      </c>
      <c r="B20" t="s">
        <v>119</v>
      </c>
      <c r="C20" t="s">
        <v>96</v>
      </c>
      <c r="D20" t="s">
        <v>105</v>
      </c>
      <c r="E20" t="s">
        <v>18</v>
      </c>
      <c r="F20" t="s">
        <v>120</v>
      </c>
      <c r="G20" t="s">
        <v>189</v>
      </c>
      <c r="H20">
        <v>19500</v>
      </c>
      <c r="I20">
        <v>19500</v>
      </c>
      <c r="J20" s="66">
        <v>45901</v>
      </c>
      <c r="K20" t="s">
        <v>67</v>
      </c>
      <c r="L20" t="s">
        <v>68</v>
      </c>
      <c r="M20" t="s">
        <v>69</v>
      </c>
      <c r="O20">
        <v>0</v>
      </c>
      <c r="P20" t="s">
        <v>108</v>
      </c>
      <c r="S20" t="s">
        <v>71</v>
      </c>
      <c r="T20">
        <v>39</v>
      </c>
    </row>
    <row r="21" spans="1:20">
      <c r="A21" s="66">
        <v>45923</v>
      </c>
      <c r="B21" t="s">
        <v>79</v>
      </c>
      <c r="C21" t="s">
        <v>63</v>
      </c>
      <c r="D21" t="s">
        <v>64</v>
      </c>
      <c r="E21" t="s">
        <v>26</v>
      </c>
      <c r="F21" t="s">
        <v>80</v>
      </c>
      <c r="G21" t="s">
        <v>192</v>
      </c>
      <c r="H21">
        <v>0</v>
      </c>
      <c r="I21">
        <v>0</v>
      </c>
      <c r="J21" s="66">
        <v>45901</v>
      </c>
      <c r="K21" t="s">
        <v>67</v>
      </c>
      <c r="L21" t="s">
        <v>68</v>
      </c>
      <c r="M21" t="s">
        <v>69</v>
      </c>
      <c r="O21">
        <v>0</v>
      </c>
      <c r="P21" t="s">
        <v>70</v>
      </c>
      <c r="S21" t="s">
        <v>71</v>
      </c>
      <c r="T21">
        <v>39</v>
      </c>
    </row>
    <row r="22" spans="1:20">
      <c r="A22" s="66">
        <v>45923</v>
      </c>
      <c r="B22" t="s">
        <v>112</v>
      </c>
      <c r="C22" t="s">
        <v>63</v>
      </c>
      <c r="D22" t="s">
        <v>64</v>
      </c>
      <c r="E22" t="s">
        <v>38</v>
      </c>
      <c r="F22" t="s">
        <v>113</v>
      </c>
      <c r="G22" t="s">
        <v>193</v>
      </c>
      <c r="H22">
        <v>16500</v>
      </c>
      <c r="I22">
        <v>16500</v>
      </c>
      <c r="J22" s="66">
        <v>45901</v>
      </c>
      <c r="K22" t="s">
        <v>67</v>
      </c>
      <c r="L22" t="s">
        <v>68</v>
      </c>
      <c r="M22" t="s">
        <v>69</v>
      </c>
      <c r="O22">
        <v>0</v>
      </c>
      <c r="P22" t="s">
        <v>108</v>
      </c>
      <c r="S22" t="s">
        <v>71</v>
      </c>
      <c r="T22">
        <v>39</v>
      </c>
    </row>
    <row r="23" spans="1:20">
      <c r="A23" s="66">
        <v>45923</v>
      </c>
      <c r="B23" t="s">
        <v>119</v>
      </c>
      <c r="C23" t="s">
        <v>96</v>
      </c>
      <c r="D23" t="s">
        <v>105</v>
      </c>
      <c r="E23" t="s">
        <v>18</v>
      </c>
      <c r="F23" t="s">
        <v>120</v>
      </c>
      <c r="G23" t="s">
        <v>194</v>
      </c>
      <c r="H23">
        <v>22500</v>
      </c>
      <c r="I23">
        <v>22500</v>
      </c>
      <c r="J23" s="66">
        <v>45901</v>
      </c>
      <c r="K23" t="s">
        <v>67</v>
      </c>
      <c r="L23" t="s">
        <v>68</v>
      </c>
      <c r="M23" t="s">
        <v>69</v>
      </c>
      <c r="O23">
        <v>0</v>
      </c>
      <c r="P23" t="s">
        <v>108</v>
      </c>
      <c r="S23" t="s">
        <v>71</v>
      </c>
      <c r="T23">
        <v>39</v>
      </c>
    </row>
    <row r="24" spans="1:20">
      <c r="A24" s="66">
        <v>45922</v>
      </c>
      <c r="B24" t="s">
        <v>195</v>
      </c>
      <c r="C24" t="s">
        <v>96</v>
      </c>
      <c r="D24" t="s">
        <v>64</v>
      </c>
      <c r="E24" t="s">
        <v>28</v>
      </c>
      <c r="F24" t="s">
        <v>196</v>
      </c>
      <c r="G24" t="s">
        <v>197</v>
      </c>
      <c r="H24">
        <v>12275</v>
      </c>
      <c r="I24">
        <v>12275</v>
      </c>
      <c r="J24" s="66">
        <v>45901</v>
      </c>
      <c r="K24" t="s">
        <v>67</v>
      </c>
      <c r="L24" t="s">
        <v>68</v>
      </c>
      <c r="M24" t="s">
        <v>69</v>
      </c>
      <c r="O24">
        <v>0</v>
      </c>
      <c r="P24" t="s">
        <v>108</v>
      </c>
      <c r="S24" t="s">
        <v>71</v>
      </c>
      <c r="T24">
        <v>39</v>
      </c>
    </row>
    <row r="25" spans="1:20">
      <c r="A25" s="66">
        <v>45922</v>
      </c>
      <c r="B25" t="s">
        <v>112</v>
      </c>
      <c r="C25" t="s">
        <v>96</v>
      </c>
      <c r="D25" t="s">
        <v>64</v>
      </c>
      <c r="E25" t="s">
        <v>38</v>
      </c>
      <c r="F25" t="s">
        <v>113</v>
      </c>
      <c r="G25" t="s">
        <v>198</v>
      </c>
      <c r="H25">
        <v>19200</v>
      </c>
      <c r="I25">
        <v>19200</v>
      </c>
      <c r="J25" s="66">
        <v>45901</v>
      </c>
      <c r="K25" t="s">
        <v>67</v>
      </c>
      <c r="L25" t="s">
        <v>68</v>
      </c>
      <c r="M25" t="s">
        <v>69</v>
      </c>
      <c r="O25">
        <v>0</v>
      </c>
      <c r="P25" t="s">
        <v>108</v>
      </c>
      <c r="S25" t="s">
        <v>71</v>
      </c>
      <c r="T25">
        <v>39</v>
      </c>
    </row>
    <row r="26" spans="1:20">
      <c r="A26" s="66">
        <v>45922</v>
      </c>
      <c r="B26" t="s">
        <v>119</v>
      </c>
      <c r="C26" t="s">
        <v>63</v>
      </c>
      <c r="D26" t="s">
        <v>105</v>
      </c>
      <c r="E26" t="s">
        <v>18</v>
      </c>
      <c r="F26" t="s">
        <v>120</v>
      </c>
      <c r="G26" t="s">
        <v>199</v>
      </c>
      <c r="H26">
        <v>18500</v>
      </c>
      <c r="I26">
        <v>18500</v>
      </c>
      <c r="J26" s="66">
        <v>45901</v>
      </c>
      <c r="K26" t="s">
        <v>67</v>
      </c>
      <c r="L26" t="s">
        <v>68</v>
      </c>
      <c r="M26" t="s">
        <v>69</v>
      </c>
      <c r="O26">
        <v>0</v>
      </c>
      <c r="P26" t="s">
        <v>108</v>
      </c>
      <c r="S26" t="s">
        <v>71</v>
      </c>
      <c r="T26">
        <v>39</v>
      </c>
    </row>
    <row r="27" spans="1:20">
      <c r="A27" s="66">
        <v>45921</v>
      </c>
      <c r="B27" t="s">
        <v>200</v>
      </c>
      <c r="C27" t="s">
        <v>96</v>
      </c>
      <c r="D27" t="s">
        <v>20</v>
      </c>
      <c r="E27" t="s">
        <v>23</v>
      </c>
      <c r="F27" t="s">
        <v>201</v>
      </c>
      <c r="G27" t="s">
        <v>202</v>
      </c>
      <c r="H27">
        <v>9500</v>
      </c>
      <c r="I27">
        <v>9500</v>
      </c>
      <c r="J27" s="66">
        <v>45901</v>
      </c>
      <c r="K27" t="s">
        <v>67</v>
      </c>
      <c r="L27" t="s">
        <v>68</v>
      </c>
      <c r="M27" t="s">
        <v>69</v>
      </c>
      <c r="O27">
        <v>0</v>
      </c>
      <c r="P27" t="s">
        <v>108</v>
      </c>
      <c r="S27" t="s">
        <v>71</v>
      </c>
      <c r="T27">
        <v>38</v>
      </c>
    </row>
    <row r="28" spans="1:20">
      <c r="A28" s="66">
        <v>45921</v>
      </c>
      <c r="B28" t="s">
        <v>119</v>
      </c>
      <c r="C28" t="s">
        <v>96</v>
      </c>
      <c r="D28" t="s">
        <v>105</v>
      </c>
      <c r="E28" t="s">
        <v>18</v>
      </c>
      <c r="F28" t="s">
        <v>120</v>
      </c>
      <c r="G28" t="s">
        <v>203</v>
      </c>
      <c r="H28">
        <v>23200</v>
      </c>
      <c r="I28">
        <v>23200</v>
      </c>
      <c r="J28" s="66">
        <v>45901</v>
      </c>
      <c r="K28" t="s">
        <v>67</v>
      </c>
      <c r="L28" t="s">
        <v>68</v>
      </c>
      <c r="M28" t="s">
        <v>69</v>
      </c>
      <c r="O28">
        <v>0</v>
      </c>
      <c r="P28" t="s">
        <v>108</v>
      </c>
      <c r="S28" t="s">
        <v>71</v>
      </c>
      <c r="T28">
        <v>38</v>
      </c>
    </row>
    <row r="29" spans="1:20">
      <c r="A29" s="66">
        <v>45920</v>
      </c>
      <c r="B29" t="s">
        <v>119</v>
      </c>
      <c r="C29" t="s">
        <v>96</v>
      </c>
      <c r="D29" t="s">
        <v>105</v>
      </c>
      <c r="E29" t="s">
        <v>18</v>
      </c>
      <c r="F29" t="s">
        <v>120</v>
      </c>
      <c r="G29" t="s">
        <v>204</v>
      </c>
      <c r="H29">
        <v>22500</v>
      </c>
      <c r="I29">
        <v>22500</v>
      </c>
      <c r="J29" s="66">
        <v>45901</v>
      </c>
      <c r="K29" t="s">
        <v>67</v>
      </c>
      <c r="L29" t="s">
        <v>68</v>
      </c>
      <c r="M29" t="s">
        <v>69</v>
      </c>
      <c r="O29">
        <v>0</v>
      </c>
      <c r="P29" t="s">
        <v>108</v>
      </c>
      <c r="S29" t="s">
        <v>71</v>
      </c>
      <c r="T29">
        <v>38</v>
      </c>
    </row>
    <row r="30" spans="1:20">
      <c r="A30" s="66">
        <v>45920</v>
      </c>
      <c r="B30" t="s">
        <v>205</v>
      </c>
      <c r="C30" t="s">
        <v>63</v>
      </c>
      <c r="D30" t="s">
        <v>105</v>
      </c>
      <c r="E30" t="s">
        <v>18</v>
      </c>
      <c r="F30" t="s">
        <v>206</v>
      </c>
      <c r="G30" t="s">
        <v>207</v>
      </c>
      <c r="H30">
        <v>180700</v>
      </c>
      <c r="I30">
        <v>180700</v>
      </c>
      <c r="J30" s="66">
        <v>45901</v>
      </c>
      <c r="K30" t="s">
        <v>67</v>
      </c>
      <c r="L30" t="s">
        <v>68</v>
      </c>
      <c r="M30" t="s">
        <v>69</v>
      </c>
      <c r="O30">
        <v>0</v>
      </c>
      <c r="P30" t="s">
        <v>108</v>
      </c>
      <c r="S30" t="s">
        <v>71</v>
      </c>
      <c r="T30">
        <v>38</v>
      </c>
    </row>
    <row r="31" spans="1:20">
      <c r="A31" s="66">
        <v>45919</v>
      </c>
      <c r="B31" t="s">
        <v>208</v>
      </c>
      <c r="C31" t="s">
        <v>96</v>
      </c>
      <c r="D31" t="s">
        <v>64</v>
      </c>
      <c r="E31" t="s">
        <v>39</v>
      </c>
      <c r="F31" t="s">
        <v>209</v>
      </c>
      <c r="G31" t="s">
        <v>210</v>
      </c>
      <c r="H31">
        <v>217000</v>
      </c>
      <c r="I31">
        <v>217000</v>
      </c>
      <c r="J31" s="66">
        <v>45901</v>
      </c>
      <c r="K31" t="s">
        <v>67</v>
      </c>
      <c r="L31" t="s">
        <v>68</v>
      </c>
      <c r="M31" t="s">
        <v>69</v>
      </c>
      <c r="O31">
        <v>0</v>
      </c>
      <c r="P31" t="s">
        <v>108</v>
      </c>
      <c r="S31" t="s">
        <v>71</v>
      </c>
      <c r="T31">
        <v>38</v>
      </c>
    </row>
    <row r="32" spans="1:20">
      <c r="A32" s="66">
        <v>45919</v>
      </c>
      <c r="B32" t="s">
        <v>112</v>
      </c>
      <c r="C32" t="s">
        <v>96</v>
      </c>
      <c r="D32" t="s">
        <v>64</v>
      </c>
      <c r="E32" t="s">
        <v>38</v>
      </c>
      <c r="F32" t="s">
        <v>113</v>
      </c>
      <c r="G32" t="s">
        <v>211</v>
      </c>
      <c r="H32">
        <v>22000</v>
      </c>
      <c r="I32">
        <v>22000</v>
      </c>
      <c r="J32" s="66">
        <v>45901</v>
      </c>
      <c r="K32" t="s">
        <v>67</v>
      </c>
      <c r="L32" t="s">
        <v>68</v>
      </c>
      <c r="M32" t="s">
        <v>69</v>
      </c>
      <c r="O32">
        <v>0</v>
      </c>
      <c r="P32" t="s">
        <v>108</v>
      </c>
      <c r="S32" t="s">
        <v>71</v>
      </c>
      <c r="T32">
        <v>38</v>
      </c>
    </row>
    <row r="33" spans="1:20">
      <c r="A33" s="66">
        <v>45919</v>
      </c>
      <c r="B33" t="s">
        <v>119</v>
      </c>
      <c r="C33" t="s">
        <v>63</v>
      </c>
      <c r="D33" t="s">
        <v>105</v>
      </c>
      <c r="E33" t="s">
        <v>18</v>
      </c>
      <c r="F33" t="s">
        <v>120</v>
      </c>
      <c r="G33" t="s">
        <v>212</v>
      </c>
      <c r="H33">
        <v>20500</v>
      </c>
      <c r="I33">
        <v>20500</v>
      </c>
      <c r="J33" s="66">
        <v>45901</v>
      </c>
      <c r="K33" t="s">
        <v>67</v>
      </c>
      <c r="L33" t="s">
        <v>68</v>
      </c>
      <c r="M33" t="s">
        <v>69</v>
      </c>
      <c r="O33">
        <v>0</v>
      </c>
      <c r="P33" t="s">
        <v>108</v>
      </c>
      <c r="S33" t="s">
        <v>71</v>
      </c>
      <c r="T33">
        <v>38</v>
      </c>
    </row>
    <row r="34" spans="1:20">
      <c r="A34" s="66">
        <v>45918</v>
      </c>
      <c r="B34" t="s">
        <v>213</v>
      </c>
      <c r="C34" t="s">
        <v>96</v>
      </c>
      <c r="D34" t="s">
        <v>64</v>
      </c>
      <c r="E34" t="s">
        <v>32</v>
      </c>
      <c r="F34" t="s">
        <v>214</v>
      </c>
      <c r="G34" t="s">
        <v>215</v>
      </c>
      <c r="H34">
        <v>19248</v>
      </c>
      <c r="I34">
        <v>19248</v>
      </c>
      <c r="J34" s="66">
        <v>45901</v>
      </c>
      <c r="K34" t="s">
        <v>67</v>
      </c>
      <c r="L34" t="s">
        <v>68</v>
      </c>
      <c r="M34" t="s">
        <v>69</v>
      </c>
      <c r="O34">
        <v>0</v>
      </c>
      <c r="P34" t="s">
        <v>108</v>
      </c>
      <c r="S34" t="s">
        <v>71</v>
      </c>
      <c r="T34">
        <v>38</v>
      </c>
    </row>
    <row r="35" spans="1:20">
      <c r="A35" s="66">
        <v>45918</v>
      </c>
      <c r="B35" t="s">
        <v>112</v>
      </c>
      <c r="C35" t="s">
        <v>96</v>
      </c>
      <c r="D35" t="s">
        <v>64</v>
      </c>
      <c r="E35" t="s">
        <v>38</v>
      </c>
      <c r="F35" t="s">
        <v>113</v>
      </c>
      <c r="G35" t="s">
        <v>211</v>
      </c>
      <c r="H35">
        <v>14850</v>
      </c>
      <c r="I35">
        <v>14850</v>
      </c>
      <c r="J35" s="66">
        <v>45901</v>
      </c>
      <c r="K35" t="s">
        <v>67</v>
      </c>
      <c r="L35" t="s">
        <v>68</v>
      </c>
      <c r="M35" t="s">
        <v>69</v>
      </c>
      <c r="O35">
        <v>0</v>
      </c>
      <c r="P35" t="s">
        <v>108</v>
      </c>
      <c r="S35" t="s">
        <v>71</v>
      </c>
      <c r="T35">
        <v>38</v>
      </c>
    </row>
    <row r="36" spans="1:20">
      <c r="A36" s="66">
        <v>45918</v>
      </c>
      <c r="B36" t="s">
        <v>119</v>
      </c>
      <c r="C36" t="s">
        <v>63</v>
      </c>
      <c r="D36" t="s">
        <v>105</v>
      </c>
      <c r="E36" t="s">
        <v>18</v>
      </c>
      <c r="F36" t="s">
        <v>120</v>
      </c>
      <c r="G36" t="s">
        <v>216</v>
      </c>
      <c r="H36">
        <v>19859</v>
      </c>
      <c r="I36">
        <v>19859</v>
      </c>
      <c r="J36" s="66">
        <v>45901</v>
      </c>
      <c r="K36" t="s">
        <v>67</v>
      </c>
      <c r="L36" t="s">
        <v>68</v>
      </c>
      <c r="M36" t="s">
        <v>69</v>
      </c>
      <c r="O36">
        <v>0</v>
      </c>
      <c r="P36" t="s">
        <v>108</v>
      </c>
      <c r="S36" t="s">
        <v>71</v>
      </c>
      <c r="T36">
        <v>38</v>
      </c>
    </row>
    <row r="37" spans="1:20">
      <c r="A37" s="66">
        <v>45917</v>
      </c>
      <c r="B37" t="s">
        <v>112</v>
      </c>
      <c r="C37" t="s">
        <v>96</v>
      </c>
      <c r="D37" t="s">
        <v>64</v>
      </c>
      <c r="E37" t="s">
        <v>38</v>
      </c>
      <c r="F37" t="s">
        <v>113</v>
      </c>
      <c r="G37" t="s">
        <v>217</v>
      </c>
      <c r="H37">
        <v>22000</v>
      </c>
      <c r="I37">
        <v>22000</v>
      </c>
      <c r="J37" s="66">
        <v>45901</v>
      </c>
      <c r="K37" t="s">
        <v>67</v>
      </c>
      <c r="L37" t="s">
        <v>68</v>
      </c>
      <c r="M37" t="s">
        <v>69</v>
      </c>
      <c r="O37">
        <v>0</v>
      </c>
      <c r="P37" t="s">
        <v>108</v>
      </c>
      <c r="S37" t="s">
        <v>71</v>
      </c>
      <c r="T37">
        <v>38</v>
      </c>
    </row>
    <row r="38" spans="1:20">
      <c r="A38" s="66">
        <v>45917</v>
      </c>
      <c r="B38" t="s">
        <v>218</v>
      </c>
      <c r="C38" t="s">
        <v>96</v>
      </c>
      <c r="D38" t="s">
        <v>64</v>
      </c>
      <c r="E38" t="s">
        <v>26</v>
      </c>
      <c r="F38" t="s">
        <v>219</v>
      </c>
      <c r="G38" t="s">
        <v>220</v>
      </c>
      <c r="H38">
        <v>0</v>
      </c>
      <c r="I38">
        <v>0</v>
      </c>
      <c r="J38" s="66">
        <v>45901</v>
      </c>
      <c r="K38" t="s">
        <v>67</v>
      </c>
      <c r="L38" t="s">
        <v>68</v>
      </c>
      <c r="M38" t="s">
        <v>69</v>
      </c>
      <c r="O38">
        <v>0</v>
      </c>
      <c r="P38" t="s">
        <v>108</v>
      </c>
      <c r="S38" t="s">
        <v>71</v>
      </c>
      <c r="T38">
        <v>38</v>
      </c>
    </row>
    <row r="39" spans="1:20">
      <c r="A39" s="66">
        <v>45917</v>
      </c>
      <c r="B39" t="s">
        <v>119</v>
      </c>
      <c r="C39" t="s">
        <v>63</v>
      </c>
      <c r="D39" t="s">
        <v>105</v>
      </c>
      <c r="E39" t="s">
        <v>18</v>
      </c>
      <c r="F39" t="s">
        <v>120</v>
      </c>
      <c r="G39" t="s">
        <v>221</v>
      </c>
      <c r="H39">
        <v>19859</v>
      </c>
      <c r="I39">
        <v>19859</v>
      </c>
      <c r="J39" s="66">
        <v>45901</v>
      </c>
      <c r="K39" t="s">
        <v>67</v>
      </c>
      <c r="L39" t="s">
        <v>68</v>
      </c>
      <c r="M39" t="s">
        <v>69</v>
      </c>
      <c r="O39">
        <v>0</v>
      </c>
      <c r="P39" t="s">
        <v>108</v>
      </c>
      <c r="S39" t="s">
        <v>71</v>
      </c>
      <c r="T39">
        <v>38</v>
      </c>
    </row>
    <row r="40" spans="1:20">
      <c r="A40" s="66">
        <v>45917</v>
      </c>
      <c r="B40" t="s">
        <v>95</v>
      </c>
      <c r="C40" t="s">
        <v>96</v>
      </c>
      <c r="D40" t="s">
        <v>64</v>
      </c>
      <c r="E40" t="s">
        <v>38</v>
      </c>
      <c r="F40" t="s">
        <v>97</v>
      </c>
      <c r="G40" t="s">
        <v>222</v>
      </c>
      <c r="H40">
        <v>39940</v>
      </c>
      <c r="I40">
        <v>39940</v>
      </c>
      <c r="J40" s="66">
        <v>45901</v>
      </c>
      <c r="K40" t="s">
        <v>99</v>
      </c>
      <c r="L40" t="s">
        <v>68</v>
      </c>
      <c r="M40" t="s">
        <v>69</v>
      </c>
      <c r="O40">
        <v>0</v>
      </c>
      <c r="P40" t="s">
        <v>108</v>
      </c>
      <c r="S40" t="s">
        <v>71</v>
      </c>
      <c r="T40">
        <v>38</v>
      </c>
    </row>
    <row r="41" spans="1:20">
      <c r="A41" s="66">
        <v>45916</v>
      </c>
      <c r="B41" t="s">
        <v>223</v>
      </c>
      <c r="C41" t="s">
        <v>96</v>
      </c>
      <c r="D41" t="s">
        <v>64</v>
      </c>
      <c r="E41" t="s">
        <v>26</v>
      </c>
      <c r="F41" t="s">
        <v>219</v>
      </c>
      <c r="G41" t="s">
        <v>224</v>
      </c>
      <c r="H41">
        <v>43500</v>
      </c>
      <c r="I41">
        <v>43500</v>
      </c>
      <c r="J41" s="66">
        <v>45901</v>
      </c>
      <c r="K41" t="s">
        <v>67</v>
      </c>
      <c r="L41" t="s">
        <v>68</v>
      </c>
      <c r="M41" t="s">
        <v>69</v>
      </c>
      <c r="O41">
        <v>0</v>
      </c>
      <c r="P41" t="s">
        <v>108</v>
      </c>
      <c r="S41" t="s">
        <v>71</v>
      </c>
      <c r="T41">
        <v>38</v>
      </c>
    </row>
    <row r="42" spans="1:20">
      <c r="A42" s="66">
        <v>45916</v>
      </c>
      <c r="B42" t="s">
        <v>225</v>
      </c>
      <c r="C42" t="s">
        <v>63</v>
      </c>
      <c r="D42" t="s">
        <v>64</v>
      </c>
      <c r="E42" t="s">
        <v>32</v>
      </c>
      <c r="F42" t="s">
        <v>226</v>
      </c>
      <c r="G42" t="s">
        <v>227</v>
      </c>
      <c r="H42">
        <v>83500</v>
      </c>
      <c r="I42">
        <v>83500</v>
      </c>
      <c r="J42" s="66">
        <v>45901</v>
      </c>
      <c r="K42" t="s">
        <v>67</v>
      </c>
      <c r="L42" t="s">
        <v>68</v>
      </c>
      <c r="M42" t="s">
        <v>69</v>
      </c>
      <c r="O42">
        <v>0</v>
      </c>
      <c r="P42" t="s">
        <v>70</v>
      </c>
      <c r="S42" t="s">
        <v>71</v>
      </c>
      <c r="T42">
        <v>38</v>
      </c>
    </row>
    <row r="43" spans="1:20">
      <c r="A43" s="66">
        <v>45916</v>
      </c>
      <c r="B43" t="s">
        <v>119</v>
      </c>
      <c r="C43" t="s">
        <v>63</v>
      </c>
      <c r="D43" t="s">
        <v>105</v>
      </c>
      <c r="E43" t="s">
        <v>18</v>
      </c>
      <c r="F43" t="s">
        <v>120</v>
      </c>
      <c r="G43" t="s">
        <v>228</v>
      </c>
      <c r="H43">
        <v>18859</v>
      </c>
      <c r="I43">
        <v>18859</v>
      </c>
      <c r="J43" s="66">
        <v>45901</v>
      </c>
      <c r="K43" t="s">
        <v>67</v>
      </c>
      <c r="L43" t="s">
        <v>68</v>
      </c>
      <c r="M43" t="s">
        <v>69</v>
      </c>
      <c r="O43">
        <v>0</v>
      </c>
      <c r="P43" t="s">
        <v>108</v>
      </c>
      <c r="S43" t="s">
        <v>71</v>
      </c>
      <c r="T43">
        <v>38</v>
      </c>
    </row>
    <row r="44" spans="1:20">
      <c r="A44" s="66">
        <v>45915</v>
      </c>
      <c r="B44" t="s">
        <v>229</v>
      </c>
      <c r="C44" t="s">
        <v>96</v>
      </c>
      <c r="D44" t="s">
        <v>230</v>
      </c>
      <c r="E44" t="s">
        <v>23</v>
      </c>
      <c r="F44" t="s">
        <v>214</v>
      </c>
      <c r="G44" t="s">
        <v>231</v>
      </c>
      <c r="H44">
        <v>10099</v>
      </c>
      <c r="I44">
        <v>10099</v>
      </c>
      <c r="J44" s="66">
        <v>45901</v>
      </c>
      <c r="K44" t="s">
        <v>67</v>
      </c>
      <c r="L44" t="s">
        <v>68</v>
      </c>
      <c r="M44" t="s">
        <v>69</v>
      </c>
      <c r="O44">
        <v>0</v>
      </c>
      <c r="P44" t="s">
        <v>108</v>
      </c>
      <c r="S44" t="s">
        <v>71</v>
      </c>
      <c r="T44">
        <v>38</v>
      </c>
    </row>
    <row r="45" spans="1:20">
      <c r="A45" s="66">
        <v>45915</v>
      </c>
      <c r="B45" t="s">
        <v>232</v>
      </c>
      <c r="C45" t="s">
        <v>63</v>
      </c>
      <c r="D45" t="s">
        <v>64</v>
      </c>
      <c r="E45" t="s">
        <v>26</v>
      </c>
      <c r="F45" t="s">
        <v>233</v>
      </c>
      <c r="G45" t="s">
        <v>234</v>
      </c>
      <c r="H45">
        <v>34500</v>
      </c>
      <c r="I45">
        <v>34500</v>
      </c>
      <c r="J45" s="66">
        <v>45901</v>
      </c>
      <c r="K45" t="s">
        <v>67</v>
      </c>
      <c r="L45" t="s">
        <v>68</v>
      </c>
      <c r="M45" t="s">
        <v>69</v>
      </c>
      <c r="O45">
        <v>0</v>
      </c>
      <c r="P45" t="s">
        <v>108</v>
      </c>
      <c r="S45" t="s">
        <v>71</v>
      </c>
      <c r="T45">
        <v>38</v>
      </c>
    </row>
    <row r="46" spans="1:20">
      <c r="A46" s="66">
        <v>45915</v>
      </c>
      <c r="B46" t="s">
        <v>119</v>
      </c>
      <c r="C46" t="s">
        <v>63</v>
      </c>
      <c r="D46" t="s">
        <v>105</v>
      </c>
      <c r="E46" t="s">
        <v>18</v>
      </c>
      <c r="F46" t="s">
        <v>120</v>
      </c>
      <c r="G46" t="s">
        <v>235</v>
      </c>
      <c r="H46">
        <v>22500</v>
      </c>
      <c r="I46">
        <v>22500</v>
      </c>
      <c r="J46" s="66">
        <v>45901</v>
      </c>
      <c r="K46" t="s">
        <v>67</v>
      </c>
      <c r="L46" t="s">
        <v>68</v>
      </c>
      <c r="M46" t="s">
        <v>69</v>
      </c>
      <c r="O46">
        <v>0</v>
      </c>
      <c r="P46" t="s">
        <v>108</v>
      </c>
      <c r="S46" t="s">
        <v>71</v>
      </c>
      <c r="T46">
        <v>38</v>
      </c>
    </row>
    <row r="47" spans="1:20">
      <c r="A47" s="66">
        <v>45914</v>
      </c>
      <c r="B47" t="s">
        <v>236</v>
      </c>
      <c r="C47" t="s">
        <v>96</v>
      </c>
      <c r="D47" t="s">
        <v>64</v>
      </c>
      <c r="E47" t="s">
        <v>237</v>
      </c>
      <c r="F47" t="s">
        <v>238</v>
      </c>
      <c r="G47" t="s">
        <v>239</v>
      </c>
      <c r="H47">
        <v>50467</v>
      </c>
      <c r="I47">
        <v>50467</v>
      </c>
      <c r="J47" s="66">
        <v>45901</v>
      </c>
      <c r="K47" t="s">
        <v>67</v>
      </c>
      <c r="L47" t="s">
        <v>68</v>
      </c>
      <c r="M47" t="s">
        <v>69</v>
      </c>
      <c r="O47">
        <v>0</v>
      </c>
      <c r="P47" t="s">
        <v>108</v>
      </c>
      <c r="S47" t="s">
        <v>71</v>
      </c>
      <c r="T47">
        <v>37</v>
      </c>
    </row>
    <row r="48" spans="1:20">
      <c r="A48" s="66">
        <v>45914</v>
      </c>
      <c r="B48" t="s">
        <v>119</v>
      </c>
      <c r="C48" t="s">
        <v>63</v>
      </c>
      <c r="D48" t="s">
        <v>105</v>
      </c>
      <c r="E48" t="s">
        <v>18</v>
      </c>
      <c r="F48" t="s">
        <v>120</v>
      </c>
      <c r="G48" t="s">
        <v>240</v>
      </c>
      <c r="H48">
        <v>19700</v>
      </c>
      <c r="I48">
        <v>19700</v>
      </c>
      <c r="J48" s="66">
        <v>45901</v>
      </c>
      <c r="K48" t="s">
        <v>67</v>
      </c>
      <c r="L48" t="s">
        <v>68</v>
      </c>
      <c r="M48" t="s">
        <v>69</v>
      </c>
      <c r="O48">
        <v>0</v>
      </c>
      <c r="P48" t="s">
        <v>108</v>
      </c>
      <c r="S48" t="s">
        <v>71</v>
      </c>
      <c r="T48">
        <v>37</v>
      </c>
    </row>
    <row r="49" spans="1:20">
      <c r="A49" s="66">
        <v>45913</v>
      </c>
      <c r="B49" t="s">
        <v>241</v>
      </c>
      <c r="C49" t="s">
        <v>96</v>
      </c>
      <c r="D49" t="s">
        <v>230</v>
      </c>
      <c r="E49" t="s">
        <v>23</v>
      </c>
      <c r="F49" t="s">
        <v>242</v>
      </c>
      <c r="G49" t="s">
        <v>243</v>
      </c>
      <c r="H49">
        <v>65025</v>
      </c>
      <c r="I49">
        <v>65025</v>
      </c>
      <c r="J49" s="66">
        <v>45901</v>
      </c>
      <c r="K49" t="s">
        <v>67</v>
      </c>
      <c r="L49" t="s">
        <v>68</v>
      </c>
      <c r="M49" t="s">
        <v>69</v>
      </c>
      <c r="O49">
        <v>0</v>
      </c>
      <c r="P49" t="s">
        <v>108</v>
      </c>
      <c r="S49" t="s">
        <v>71</v>
      </c>
      <c r="T49">
        <v>37</v>
      </c>
    </row>
    <row r="50" spans="1:20">
      <c r="A50" s="66">
        <v>45913</v>
      </c>
      <c r="B50" t="s">
        <v>119</v>
      </c>
      <c r="C50" t="s">
        <v>63</v>
      </c>
      <c r="D50" t="s">
        <v>105</v>
      </c>
      <c r="E50" t="s">
        <v>18</v>
      </c>
      <c r="F50" t="s">
        <v>120</v>
      </c>
      <c r="G50" t="s">
        <v>244</v>
      </c>
      <c r="H50">
        <v>40456</v>
      </c>
      <c r="I50">
        <v>40456</v>
      </c>
      <c r="J50" s="66">
        <v>45901</v>
      </c>
      <c r="K50" t="s">
        <v>67</v>
      </c>
      <c r="L50" t="s">
        <v>68</v>
      </c>
      <c r="M50" t="s">
        <v>69</v>
      </c>
      <c r="O50">
        <v>0</v>
      </c>
      <c r="P50" t="s">
        <v>108</v>
      </c>
      <c r="S50" t="s">
        <v>71</v>
      </c>
      <c r="T50">
        <v>37</v>
      </c>
    </row>
    <row r="51" spans="1:20">
      <c r="A51" s="66">
        <v>45912</v>
      </c>
      <c r="B51" t="s">
        <v>245</v>
      </c>
      <c r="C51" t="s">
        <v>96</v>
      </c>
      <c r="D51" t="s">
        <v>20</v>
      </c>
      <c r="E51" t="s">
        <v>23</v>
      </c>
      <c r="F51" t="s">
        <v>246</v>
      </c>
      <c r="G51" t="s">
        <v>247</v>
      </c>
      <c r="H51">
        <v>10360</v>
      </c>
      <c r="I51">
        <v>10360</v>
      </c>
      <c r="J51" s="66">
        <v>45901</v>
      </c>
      <c r="K51" t="s">
        <v>67</v>
      </c>
      <c r="L51" t="s">
        <v>68</v>
      </c>
      <c r="M51" t="s">
        <v>69</v>
      </c>
      <c r="O51">
        <v>0</v>
      </c>
      <c r="P51" t="s">
        <v>108</v>
      </c>
      <c r="S51" t="s">
        <v>71</v>
      </c>
      <c r="T51">
        <v>37</v>
      </c>
    </row>
    <row r="52" spans="1:20">
      <c r="A52" s="66">
        <v>45912</v>
      </c>
      <c r="B52" t="s">
        <v>232</v>
      </c>
      <c r="C52" t="s">
        <v>63</v>
      </c>
      <c r="D52" t="s">
        <v>64</v>
      </c>
      <c r="E52" t="s">
        <v>26</v>
      </c>
      <c r="F52" t="s">
        <v>233</v>
      </c>
      <c r="G52" t="s">
        <v>248</v>
      </c>
      <c r="H52">
        <v>74531</v>
      </c>
      <c r="I52">
        <v>74531</v>
      </c>
      <c r="J52" s="66">
        <v>45901</v>
      </c>
      <c r="K52" t="s">
        <v>67</v>
      </c>
      <c r="L52" t="s">
        <v>68</v>
      </c>
      <c r="M52" t="s">
        <v>69</v>
      </c>
      <c r="O52">
        <v>0</v>
      </c>
      <c r="P52" t="s">
        <v>108</v>
      </c>
      <c r="S52" t="s">
        <v>71</v>
      </c>
      <c r="T52">
        <v>37</v>
      </c>
    </row>
    <row r="53" spans="1:20">
      <c r="A53" s="66">
        <v>45911</v>
      </c>
      <c r="B53" t="s">
        <v>249</v>
      </c>
      <c r="C53" t="s">
        <v>96</v>
      </c>
      <c r="D53" t="s">
        <v>64</v>
      </c>
      <c r="E53" t="s">
        <v>26</v>
      </c>
      <c r="F53" t="s">
        <v>250</v>
      </c>
      <c r="G53" t="s">
        <v>251</v>
      </c>
      <c r="H53">
        <v>44050</v>
      </c>
      <c r="I53">
        <v>44050</v>
      </c>
      <c r="J53" s="66">
        <v>45901</v>
      </c>
      <c r="K53" t="s">
        <v>67</v>
      </c>
      <c r="L53" t="s">
        <v>68</v>
      </c>
      <c r="M53" t="s">
        <v>69</v>
      </c>
      <c r="O53">
        <v>0</v>
      </c>
      <c r="P53" t="s">
        <v>108</v>
      </c>
      <c r="S53" t="s">
        <v>71</v>
      </c>
      <c r="T53">
        <v>37</v>
      </c>
    </row>
    <row r="54" spans="1:20">
      <c r="A54" s="66">
        <v>45910</v>
      </c>
      <c r="B54" t="s">
        <v>249</v>
      </c>
      <c r="C54" t="s">
        <v>63</v>
      </c>
      <c r="D54" t="s">
        <v>64</v>
      </c>
      <c r="E54" t="s">
        <v>26</v>
      </c>
      <c r="F54" t="s">
        <v>250</v>
      </c>
      <c r="G54" t="s">
        <v>252</v>
      </c>
      <c r="H54">
        <v>52210</v>
      </c>
      <c r="I54">
        <v>52210</v>
      </c>
      <c r="J54" s="66">
        <v>45901</v>
      </c>
      <c r="K54" t="s">
        <v>67</v>
      </c>
      <c r="L54" t="s">
        <v>68</v>
      </c>
      <c r="M54" t="s">
        <v>69</v>
      </c>
      <c r="O54">
        <v>0</v>
      </c>
      <c r="P54" t="s">
        <v>108</v>
      </c>
      <c r="S54" t="s">
        <v>71</v>
      </c>
      <c r="T54">
        <v>37</v>
      </c>
    </row>
    <row r="55" spans="1:20">
      <c r="A55" s="66">
        <v>45910</v>
      </c>
      <c r="B55" t="s">
        <v>112</v>
      </c>
      <c r="C55" t="s">
        <v>96</v>
      </c>
      <c r="D55" t="s">
        <v>64</v>
      </c>
      <c r="E55" t="s">
        <v>38</v>
      </c>
      <c r="F55" t="s">
        <v>113</v>
      </c>
      <c r="G55" t="s">
        <v>253</v>
      </c>
      <c r="H55">
        <v>15500</v>
      </c>
      <c r="I55">
        <v>15500</v>
      </c>
      <c r="J55" s="66">
        <v>45901</v>
      </c>
      <c r="K55" t="s">
        <v>67</v>
      </c>
      <c r="L55" t="s">
        <v>68</v>
      </c>
      <c r="M55" t="s">
        <v>69</v>
      </c>
      <c r="O55">
        <v>0</v>
      </c>
      <c r="P55" t="s">
        <v>108</v>
      </c>
      <c r="S55" t="s">
        <v>71</v>
      </c>
      <c r="T55">
        <v>37</v>
      </c>
    </row>
    <row r="56" spans="1:20">
      <c r="A56" s="66">
        <v>45910</v>
      </c>
      <c r="B56" t="s">
        <v>254</v>
      </c>
      <c r="C56" t="s">
        <v>96</v>
      </c>
      <c r="D56" t="s">
        <v>64</v>
      </c>
      <c r="E56" t="s">
        <v>32</v>
      </c>
      <c r="F56" t="s">
        <v>255</v>
      </c>
      <c r="G56" t="s">
        <v>256</v>
      </c>
      <c r="H56">
        <v>12500</v>
      </c>
      <c r="I56">
        <v>12500</v>
      </c>
      <c r="J56" s="66">
        <v>45901</v>
      </c>
      <c r="K56" t="s">
        <v>67</v>
      </c>
      <c r="L56" t="s">
        <v>68</v>
      </c>
      <c r="M56" t="s">
        <v>69</v>
      </c>
      <c r="O56">
        <v>0</v>
      </c>
      <c r="P56" t="s">
        <v>108</v>
      </c>
      <c r="S56" t="s">
        <v>71</v>
      </c>
      <c r="T56">
        <v>37</v>
      </c>
    </row>
    <row r="57" spans="1:20">
      <c r="A57" s="66">
        <v>45910</v>
      </c>
      <c r="B57" t="s">
        <v>95</v>
      </c>
      <c r="C57" t="s">
        <v>96</v>
      </c>
      <c r="D57" t="s">
        <v>64</v>
      </c>
      <c r="E57" t="s">
        <v>38</v>
      </c>
      <c r="F57" t="s">
        <v>97</v>
      </c>
      <c r="G57" t="s">
        <v>257</v>
      </c>
      <c r="H57">
        <v>53085</v>
      </c>
      <c r="I57">
        <v>53085</v>
      </c>
      <c r="J57" s="66">
        <v>45901</v>
      </c>
      <c r="K57" t="s">
        <v>99</v>
      </c>
      <c r="L57" t="s">
        <v>68</v>
      </c>
      <c r="M57" t="s">
        <v>69</v>
      </c>
      <c r="O57">
        <v>0</v>
      </c>
      <c r="P57" t="s">
        <v>108</v>
      </c>
      <c r="S57" t="s">
        <v>71</v>
      </c>
      <c r="T57">
        <v>37</v>
      </c>
    </row>
    <row r="58" spans="1:20">
      <c r="A58" s="66">
        <v>45910</v>
      </c>
      <c r="B58" t="s">
        <v>258</v>
      </c>
      <c r="C58" t="s">
        <v>63</v>
      </c>
      <c r="D58" t="s">
        <v>64</v>
      </c>
      <c r="E58" t="s">
        <v>26</v>
      </c>
      <c r="F58" t="s">
        <v>259</v>
      </c>
      <c r="G58" t="s">
        <v>260</v>
      </c>
      <c r="H58">
        <v>5600</v>
      </c>
      <c r="I58">
        <v>5600</v>
      </c>
      <c r="J58" s="66">
        <v>45901</v>
      </c>
      <c r="K58" t="s">
        <v>67</v>
      </c>
      <c r="L58" t="s">
        <v>68</v>
      </c>
      <c r="M58" t="s">
        <v>69</v>
      </c>
      <c r="O58">
        <v>0</v>
      </c>
      <c r="P58" t="s">
        <v>108</v>
      </c>
      <c r="S58" t="s">
        <v>71</v>
      </c>
      <c r="T58">
        <v>37</v>
      </c>
    </row>
    <row r="59" spans="1:20">
      <c r="A59" s="66">
        <v>45909</v>
      </c>
      <c r="B59" t="s">
        <v>112</v>
      </c>
      <c r="C59" t="s">
        <v>96</v>
      </c>
      <c r="D59" t="s">
        <v>64</v>
      </c>
      <c r="E59" t="s">
        <v>38</v>
      </c>
      <c r="F59" t="s">
        <v>113</v>
      </c>
      <c r="G59" t="s">
        <v>261</v>
      </c>
      <c r="H59">
        <v>15200</v>
      </c>
      <c r="I59">
        <v>15200</v>
      </c>
      <c r="J59" s="66">
        <v>45901</v>
      </c>
      <c r="K59" t="s">
        <v>67</v>
      </c>
      <c r="L59" t="s">
        <v>68</v>
      </c>
      <c r="M59" t="s">
        <v>69</v>
      </c>
      <c r="O59">
        <v>0</v>
      </c>
      <c r="P59" t="s">
        <v>108</v>
      </c>
      <c r="S59" t="s">
        <v>71</v>
      </c>
      <c r="T59">
        <v>37</v>
      </c>
    </row>
    <row r="60" spans="1:20">
      <c r="A60" s="66">
        <v>45909</v>
      </c>
      <c r="B60" t="s">
        <v>262</v>
      </c>
      <c r="C60" t="s">
        <v>63</v>
      </c>
      <c r="D60" t="s">
        <v>105</v>
      </c>
      <c r="E60" t="s">
        <v>18</v>
      </c>
      <c r="F60" t="s">
        <v>206</v>
      </c>
      <c r="G60" t="s">
        <v>207</v>
      </c>
      <c r="H60">
        <v>0</v>
      </c>
      <c r="I60">
        <v>0</v>
      </c>
      <c r="J60" s="66">
        <v>45901</v>
      </c>
      <c r="K60" t="s">
        <v>67</v>
      </c>
      <c r="L60" t="s">
        <v>68</v>
      </c>
      <c r="M60" t="s">
        <v>69</v>
      </c>
      <c r="O60">
        <v>0</v>
      </c>
      <c r="P60" t="s">
        <v>108</v>
      </c>
      <c r="S60" t="s">
        <v>71</v>
      </c>
      <c r="T60">
        <v>37</v>
      </c>
    </row>
    <row r="61" spans="1:20">
      <c r="A61" s="66">
        <v>45909</v>
      </c>
      <c r="B61" t="s">
        <v>225</v>
      </c>
      <c r="C61" t="s">
        <v>63</v>
      </c>
      <c r="D61" t="s">
        <v>64</v>
      </c>
      <c r="E61" t="s">
        <v>32</v>
      </c>
      <c r="F61" t="s">
        <v>226</v>
      </c>
      <c r="G61" t="s">
        <v>227</v>
      </c>
      <c r="H61">
        <v>0</v>
      </c>
      <c r="I61">
        <v>0</v>
      </c>
      <c r="J61" s="66">
        <v>45901</v>
      </c>
      <c r="K61" t="s">
        <v>67</v>
      </c>
      <c r="L61" t="s">
        <v>68</v>
      </c>
      <c r="M61" t="s">
        <v>69</v>
      </c>
      <c r="O61">
        <v>0</v>
      </c>
      <c r="P61" t="s">
        <v>108</v>
      </c>
      <c r="S61" t="s">
        <v>71</v>
      </c>
      <c r="T61">
        <v>37</v>
      </c>
    </row>
    <row r="62" spans="1:20">
      <c r="A62" s="66">
        <v>45909</v>
      </c>
      <c r="B62" t="s">
        <v>85</v>
      </c>
      <c r="C62" t="s">
        <v>63</v>
      </c>
      <c r="D62" t="s">
        <v>64</v>
      </c>
      <c r="E62" t="s">
        <v>26</v>
      </c>
      <c r="F62" t="s">
        <v>233</v>
      </c>
      <c r="G62" t="s">
        <v>263</v>
      </c>
      <c r="H62">
        <v>0</v>
      </c>
      <c r="I62">
        <v>0</v>
      </c>
      <c r="J62" s="66">
        <v>45901</v>
      </c>
      <c r="K62" t="s">
        <v>67</v>
      </c>
      <c r="L62" t="s">
        <v>68</v>
      </c>
      <c r="M62" t="s">
        <v>69</v>
      </c>
      <c r="O62">
        <v>0</v>
      </c>
      <c r="P62" t="s">
        <v>108</v>
      </c>
      <c r="S62" t="s">
        <v>71</v>
      </c>
      <c r="T62">
        <v>37</v>
      </c>
    </row>
    <row r="63" spans="1:20">
      <c r="A63" s="66">
        <v>45909</v>
      </c>
      <c r="B63" t="s">
        <v>119</v>
      </c>
      <c r="C63" t="s">
        <v>63</v>
      </c>
      <c r="D63" t="s">
        <v>105</v>
      </c>
      <c r="E63" t="s">
        <v>18</v>
      </c>
      <c r="F63" t="s">
        <v>264</v>
      </c>
      <c r="G63" t="s">
        <v>265</v>
      </c>
      <c r="H63">
        <v>0</v>
      </c>
      <c r="I63">
        <v>0</v>
      </c>
      <c r="J63" s="66">
        <v>45901</v>
      </c>
      <c r="K63" t="s">
        <v>67</v>
      </c>
      <c r="L63" t="s">
        <v>68</v>
      </c>
      <c r="M63" t="s">
        <v>69</v>
      </c>
      <c r="O63">
        <v>0</v>
      </c>
      <c r="P63" t="s">
        <v>108</v>
      </c>
      <c r="S63" t="s">
        <v>71</v>
      </c>
      <c r="T63">
        <v>37</v>
      </c>
    </row>
    <row r="64" spans="1:20">
      <c r="A64" s="66">
        <v>45908</v>
      </c>
      <c r="B64" t="s">
        <v>249</v>
      </c>
      <c r="C64" t="s">
        <v>63</v>
      </c>
      <c r="D64" t="s">
        <v>64</v>
      </c>
      <c r="E64" t="s">
        <v>26</v>
      </c>
      <c r="F64" t="s">
        <v>250</v>
      </c>
      <c r="G64" t="s">
        <v>266</v>
      </c>
      <c r="H64">
        <v>34500</v>
      </c>
      <c r="I64">
        <v>34500</v>
      </c>
      <c r="J64" s="66">
        <v>45901</v>
      </c>
      <c r="K64" t="s">
        <v>67</v>
      </c>
      <c r="L64" t="s">
        <v>68</v>
      </c>
      <c r="M64" t="s">
        <v>69</v>
      </c>
      <c r="O64">
        <v>0</v>
      </c>
      <c r="P64" t="s">
        <v>108</v>
      </c>
      <c r="S64" t="s">
        <v>71</v>
      </c>
      <c r="T64">
        <v>37</v>
      </c>
    </row>
    <row r="65" spans="1:21">
      <c r="A65" s="66">
        <v>45908</v>
      </c>
      <c r="B65" t="s">
        <v>112</v>
      </c>
      <c r="C65" t="s">
        <v>96</v>
      </c>
      <c r="D65" t="s">
        <v>64</v>
      </c>
      <c r="E65" t="s">
        <v>38</v>
      </c>
      <c r="F65" t="s">
        <v>113</v>
      </c>
      <c r="G65" t="s">
        <v>267</v>
      </c>
      <c r="H65">
        <v>18500</v>
      </c>
      <c r="I65">
        <v>18500</v>
      </c>
      <c r="J65" s="66">
        <v>45901</v>
      </c>
      <c r="K65" t="s">
        <v>67</v>
      </c>
      <c r="L65" t="s">
        <v>68</v>
      </c>
      <c r="M65" t="s">
        <v>69</v>
      </c>
      <c r="O65">
        <v>0</v>
      </c>
      <c r="P65" t="s">
        <v>108</v>
      </c>
      <c r="S65" t="s">
        <v>71</v>
      </c>
      <c r="T65">
        <v>37</v>
      </c>
    </row>
    <row r="66" spans="1:21">
      <c r="A66" s="66">
        <v>45907</v>
      </c>
      <c r="B66" t="s">
        <v>268</v>
      </c>
      <c r="C66" t="s">
        <v>96</v>
      </c>
      <c r="D66" t="s">
        <v>64</v>
      </c>
      <c r="E66" t="s">
        <v>38</v>
      </c>
      <c r="F66" t="s">
        <v>269</v>
      </c>
      <c r="G66" t="s">
        <v>270</v>
      </c>
      <c r="H66">
        <v>32500</v>
      </c>
      <c r="I66">
        <v>32500</v>
      </c>
      <c r="J66" s="66">
        <v>45901</v>
      </c>
      <c r="K66" t="s">
        <v>67</v>
      </c>
      <c r="L66" t="s">
        <v>68</v>
      </c>
      <c r="M66" t="s">
        <v>69</v>
      </c>
      <c r="O66">
        <v>0</v>
      </c>
      <c r="P66" t="s">
        <v>108</v>
      </c>
      <c r="S66" t="s">
        <v>71</v>
      </c>
      <c r="T66">
        <v>36</v>
      </c>
    </row>
    <row r="67" spans="1:21">
      <c r="A67" s="66">
        <v>45906</v>
      </c>
      <c r="B67" t="s">
        <v>271</v>
      </c>
      <c r="C67" t="s">
        <v>96</v>
      </c>
      <c r="D67" t="s">
        <v>64</v>
      </c>
      <c r="E67" t="s">
        <v>39</v>
      </c>
      <c r="F67" t="s">
        <v>272</v>
      </c>
      <c r="G67" t="s">
        <v>273</v>
      </c>
      <c r="H67">
        <v>29500</v>
      </c>
      <c r="I67">
        <v>29500</v>
      </c>
      <c r="J67" s="66">
        <v>45901</v>
      </c>
      <c r="K67" t="s">
        <v>67</v>
      </c>
      <c r="L67" t="s">
        <v>68</v>
      </c>
      <c r="M67" t="s">
        <v>69</v>
      </c>
      <c r="O67">
        <v>0</v>
      </c>
      <c r="P67" t="s">
        <v>108</v>
      </c>
      <c r="S67" t="s">
        <v>71</v>
      </c>
      <c r="T67">
        <v>36</v>
      </c>
    </row>
    <row r="68" spans="1:21">
      <c r="A68" s="66">
        <v>45906</v>
      </c>
      <c r="B68" t="s">
        <v>274</v>
      </c>
      <c r="C68" t="s">
        <v>96</v>
      </c>
      <c r="D68" t="s">
        <v>20</v>
      </c>
      <c r="E68" t="s">
        <v>23</v>
      </c>
      <c r="F68" t="s">
        <v>275</v>
      </c>
      <c r="G68" t="s">
        <v>276</v>
      </c>
      <c r="H68">
        <v>9500</v>
      </c>
      <c r="I68">
        <v>9500</v>
      </c>
      <c r="J68" s="66">
        <v>45901</v>
      </c>
      <c r="K68" t="s">
        <v>67</v>
      </c>
      <c r="L68" t="s">
        <v>68</v>
      </c>
      <c r="M68" t="s">
        <v>69</v>
      </c>
      <c r="O68">
        <v>0</v>
      </c>
      <c r="P68" t="s">
        <v>108</v>
      </c>
      <c r="S68" t="s">
        <v>71</v>
      </c>
      <c r="T68">
        <v>36</v>
      </c>
    </row>
    <row r="69" spans="1:21">
      <c r="A69" s="66">
        <v>45905</v>
      </c>
      <c r="B69" t="s">
        <v>112</v>
      </c>
      <c r="C69" t="s">
        <v>96</v>
      </c>
      <c r="D69" t="s">
        <v>64</v>
      </c>
      <c r="E69" t="s">
        <v>38</v>
      </c>
      <c r="F69" t="s">
        <v>113</v>
      </c>
      <c r="G69" t="s">
        <v>277</v>
      </c>
      <c r="H69">
        <v>10500</v>
      </c>
      <c r="I69">
        <v>10500</v>
      </c>
      <c r="J69" s="66">
        <v>45901</v>
      </c>
      <c r="K69" t="s">
        <v>67</v>
      </c>
      <c r="L69" t="s">
        <v>68</v>
      </c>
      <c r="M69" t="s">
        <v>69</v>
      </c>
      <c r="O69">
        <v>0</v>
      </c>
      <c r="P69" t="s">
        <v>108</v>
      </c>
      <c r="S69" t="s">
        <v>71</v>
      </c>
      <c r="T69">
        <v>36</v>
      </c>
    </row>
    <row r="70" spans="1:21">
      <c r="A70" s="66">
        <v>45904</v>
      </c>
      <c r="B70" t="s">
        <v>112</v>
      </c>
      <c r="C70" t="s">
        <v>96</v>
      </c>
      <c r="D70" t="s">
        <v>64</v>
      </c>
      <c r="E70" t="s">
        <v>38</v>
      </c>
      <c r="F70" t="s">
        <v>113</v>
      </c>
      <c r="G70" t="s">
        <v>278</v>
      </c>
      <c r="H70">
        <v>15200</v>
      </c>
      <c r="I70">
        <v>15200</v>
      </c>
      <c r="J70" s="66">
        <v>45901</v>
      </c>
      <c r="K70" t="s">
        <v>67</v>
      </c>
      <c r="L70" t="s">
        <v>68</v>
      </c>
      <c r="M70" t="s">
        <v>69</v>
      </c>
      <c r="O70">
        <v>0</v>
      </c>
      <c r="P70" t="s">
        <v>108</v>
      </c>
      <c r="S70" t="s">
        <v>71</v>
      </c>
      <c r="T70">
        <v>36</v>
      </c>
    </row>
    <row r="71" spans="1:21">
      <c r="A71" s="66">
        <v>45903</v>
      </c>
      <c r="B71" t="s">
        <v>112</v>
      </c>
      <c r="C71" t="s">
        <v>96</v>
      </c>
      <c r="D71" t="s">
        <v>64</v>
      </c>
      <c r="E71" t="s">
        <v>38</v>
      </c>
      <c r="F71" t="s">
        <v>113</v>
      </c>
      <c r="G71" t="s">
        <v>279</v>
      </c>
      <c r="H71">
        <v>24398</v>
      </c>
      <c r="I71">
        <v>24398</v>
      </c>
      <c r="J71" s="66">
        <v>45901</v>
      </c>
      <c r="K71" t="s">
        <v>67</v>
      </c>
      <c r="L71" t="s">
        <v>68</v>
      </c>
      <c r="M71" t="s">
        <v>69</v>
      </c>
      <c r="O71">
        <v>0</v>
      </c>
      <c r="P71" t="s">
        <v>108</v>
      </c>
      <c r="S71" t="s">
        <v>71</v>
      </c>
      <c r="T71">
        <v>36</v>
      </c>
    </row>
    <row r="72" spans="1:21">
      <c r="A72" s="66">
        <v>45902</v>
      </c>
      <c r="B72" t="s">
        <v>112</v>
      </c>
      <c r="C72" t="s">
        <v>96</v>
      </c>
      <c r="D72" t="s">
        <v>64</v>
      </c>
      <c r="E72" t="s">
        <v>38</v>
      </c>
      <c r="F72" t="s">
        <v>113</v>
      </c>
      <c r="G72" t="s">
        <v>280</v>
      </c>
      <c r="H72">
        <v>18211</v>
      </c>
      <c r="I72">
        <v>18211</v>
      </c>
      <c r="J72" s="66">
        <v>45901</v>
      </c>
      <c r="K72" t="s">
        <v>67</v>
      </c>
      <c r="L72" t="s">
        <v>68</v>
      </c>
      <c r="M72" t="s">
        <v>69</v>
      </c>
      <c r="O72">
        <v>0</v>
      </c>
      <c r="P72" t="s">
        <v>108</v>
      </c>
      <c r="S72" t="s">
        <v>71</v>
      </c>
      <c r="T72">
        <v>36</v>
      </c>
    </row>
    <row r="73" spans="1:21">
      <c r="A73" s="66">
        <v>45901</v>
      </c>
      <c r="B73" t="s">
        <v>281</v>
      </c>
      <c r="C73" t="s">
        <v>63</v>
      </c>
      <c r="D73" t="s">
        <v>64</v>
      </c>
      <c r="E73" t="s">
        <v>26</v>
      </c>
      <c r="F73" t="s">
        <v>282</v>
      </c>
      <c r="G73" t="s">
        <v>283</v>
      </c>
      <c r="H73">
        <v>14500</v>
      </c>
      <c r="I73">
        <v>14500</v>
      </c>
      <c r="J73" s="66">
        <v>45901</v>
      </c>
      <c r="K73" t="s">
        <v>67</v>
      </c>
      <c r="L73" t="s">
        <v>68</v>
      </c>
      <c r="M73" t="s">
        <v>69</v>
      </c>
      <c r="O73">
        <v>0</v>
      </c>
      <c r="P73" t="s">
        <v>108</v>
      </c>
      <c r="S73" t="s">
        <v>71</v>
      </c>
      <c r="T73">
        <v>36</v>
      </c>
    </row>
    <row r="74" spans="1:21">
      <c r="A74" s="66">
        <v>45901</v>
      </c>
      <c r="B74" t="s">
        <v>112</v>
      </c>
      <c r="C74" t="s">
        <v>96</v>
      </c>
      <c r="D74" t="s">
        <v>64</v>
      </c>
      <c r="E74" t="s">
        <v>38</v>
      </c>
      <c r="F74" t="s">
        <v>113</v>
      </c>
      <c r="G74" t="s">
        <v>284</v>
      </c>
      <c r="H74">
        <v>16200</v>
      </c>
      <c r="I74">
        <v>16200</v>
      </c>
      <c r="J74" s="66">
        <v>45901</v>
      </c>
      <c r="K74" t="s">
        <v>67</v>
      </c>
      <c r="L74" t="s">
        <v>68</v>
      </c>
      <c r="M74" t="s">
        <v>69</v>
      </c>
      <c r="O74">
        <v>0</v>
      </c>
      <c r="P74" t="s">
        <v>108</v>
      </c>
      <c r="S74" t="s">
        <v>71</v>
      </c>
      <c r="T74">
        <v>36</v>
      </c>
    </row>
    <row r="75" spans="1:21">
      <c r="A75" s="66">
        <v>45895</v>
      </c>
      <c r="B75" t="s">
        <v>285</v>
      </c>
      <c r="C75" t="s">
        <v>96</v>
      </c>
      <c r="D75" t="s">
        <v>64</v>
      </c>
      <c r="E75" t="s">
        <v>27</v>
      </c>
      <c r="F75" t="s">
        <v>255</v>
      </c>
      <c r="G75" t="s">
        <v>286</v>
      </c>
      <c r="H75">
        <v>0</v>
      </c>
      <c r="I75">
        <v>0</v>
      </c>
      <c r="J75" s="66">
        <v>45901</v>
      </c>
      <c r="K75" t="s">
        <v>67</v>
      </c>
      <c r="L75" t="s">
        <v>68</v>
      </c>
      <c r="M75" t="s">
        <v>69</v>
      </c>
      <c r="O75">
        <v>0</v>
      </c>
      <c r="P75" t="s">
        <v>108</v>
      </c>
      <c r="S75" t="s">
        <v>287</v>
      </c>
      <c r="T75">
        <v>35</v>
      </c>
    </row>
    <row r="76" spans="1:21">
      <c r="A76" s="66">
        <v>45824</v>
      </c>
      <c r="B76" t="s">
        <v>288</v>
      </c>
      <c r="C76" t="s">
        <v>63</v>
      </c>
      <c r="D76" t="s">
        <v>64</v>
      </c>
      <c r="E76" t="s">
        <v>26</v>
      </c>
      <c r="F76" t="s">
        <v>80</v>
      </c>
      <c r="G76" t="s">
        <v>289</v>
      </c>
      <c r="H76">
        <v>0</v>
      </c>
      <c r="I76">
        <v>0</v>
      </c>
      <c r="J76" s="66">
        <v>45901</v>
      </c>
      <c r="K76" t="s">
        <v>67</v>
      </c>
      <c r="L76" t="s">
        <v>68</v>
      </c>
      <c r="M76" t="s">
        <v>69</v>
      </c>
      <c r="O76">
        <v>0</v>
      </c>
      <c r="P76" t="s">
        <v>108</v>
      </c>
      <c r="S76" t="s">
        <v>290</v>
      </c>
      <c r="T76">
        <v>25</v>
      </c>
      <c r="U76" t="s">
        <v>291</v>
      </c>
    </row>
    <row r="77" spans="1:21">
      <c r="A77" s="66">
        <v>45817</v>
      </c>
      <c r="B77" t="s">
        <v>119</v>
      </c>
      <c r="C77" t="s">
        <v>96</v>
      </c>
      <c r="D77" t="s">
        <v>105</v>
      </c>
      <c r="E77" t="s">
        <v>18</v>
      </c>
      <c r="F77" t="s">
        <v>292</v>
      </c>
      <c r="G77" t="s">
        <v>293</v>
      </c>
      <c r="H77">
        <v>0</v>
      </c>
      <c r="J77" s="66">
        <v>45901</v>
      </c>
      <c r="K77" t="s">
        <v>67</v>
      </c>
      <c r="L77" t="s">
        <v>68</v>
      </c>
      <c r="M77" t="s">
        <v>69</v>
      </c>
      <c r="O77">
        <v>0</v>
      </c>
      <c r="P77" t="s">
        <v>108</v>
      </c>
      <c r="S77" t="s">
        <v>290</v>
      </c>
      <c r="T77">
        <v>24</v>
      </c>
      <c r="U77" t="s">
        <v>291</v>
      </c>
    </row>
    <row r="78" spans="1:21">
      <c r="A78" s="66">
        <v>45894</v>
      </c>
      <c r="B78" t="s">
        <v>88</v>
      </c>
      <c r="C78" t="s">
        <v>63</v>
      </c>
      <c r="D78" t="s">
        <v>64</v>
      </c>
      <c r="E78" t="s">
        <v>28</v>
      </c>
      <c r="F78" t="s">
        <v>89</v>
      </c>
      <c r="G78" t="s">
        <v>294</v>
      </c>
      <c r="H78">
        <v>0</v>
      </c>
      <c r="I78">
        <v>0</v>
      </c>
      <c r="J78" s="66">
        <v>45901</v>
      </c>
      <c r="K78" t="s">
        <v>67</v>
      </c>
      <c r="L78" t="s">
        <v>295</v>
      </c>
      <c r="M78" t="s">
        <v>296</v>
      </c>
      <c r="O78">
        <v>0</v>
      </c>
      <c r="P78" t="s">
        <v>108</v>
      </c>
      <c r="S78" t="s">
        <v>287</v>
      </c>
      <c r="T78">
        <v>35</v>
      </c>
    </row>
    <row r="79" spans="1:21">
      <c r="A79" s="66">
        <v>45867</v>
      </c>
      <c r="B79" t="s">
        <v>297</v>
      </c>
      <c r="C79" t="s">
        <v>96</v>
      </c>
      <c r="D79" t="s">
        <v>64</v>
      </c>
      <c r="E79" t="s">
        <v>298</v>
      </c>
      <c r="F79" t="s">
        <v>299</v>
      </c>
      <c r="G79" t="s">
        <v>300</v>
      </c>
      <c r="J79" s="66">
        <v>45901</v>
      </c>
      <c r="K79" t="s">
        <v>67</v>
      </c>
      <c r="L79" t="s">
        <v>295</v>
      </c>
      <c r="M79" t="s">
        <v>296</v>
      </c>
      <c r="O79">
        <v>0</v>
      </c>
      <c r="P79" t="s">
        <v>108</v>
      </c>
      <c r="S79" t="s">
        <v>301</v>
      </c>
      <c r="T79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1427-8883-467D-901A-684F283423AE}">
  <dimension ref="A1:U73"/>
  <sheetViews>
    <sheetView topLeftCell="A60" workbookViewId="0">
      <selection activeCell="C69" sqref="C69"/>
    </sheetView>
  </sheetViews>
  <sheetFormatPr defaultRowHeight="14.45"/>
  <cols>
    <col min="1" max="1" width="10.140625" bestFit="1" customWidth="1"/>
    <col min="2" max="2" width="34.85546875" bestFit="1" customWidth="1"/>
    <col min="3" max="3" width="17.140625" bestFit="1" customWidth="1"/>
    <col min="4" max="4" width="10.140625" bestFit="1" customWidth="1"/>
    <col min="5" max="5" width="13.7109375" bestFit="1" customWidth="1"/>
    <col min="6" max="6" width="15.85546875" bestFit="1" customWidth="1"/>
    <col min="7" max="7" width="48.5703125" bestFit="1" customWidth="1"/>
    <col min="8" max="8" width="20.42578125" bestFit="1" customWidth="1"/>
    <col min="9" max="9" width="24.5703125" bestFit="1" customWidth="1"/>
    <col min="10" max="10" width="26.5703125" bestFit="1" customWidth="1"/>
    <col min="11" max="11" width="10.5703125" bestFit="1" customWidth="1"/>
    <col min="12" max="12" width="11" bestFit="1" customWidth="1"/>
    <col min="13" max="13" width="13.85546875" bestFit="1" customWidth="1"/>
    <col min="14" max="14" width="10" bestFit="1" customWidth="1"/>
    <col min="15" max="15" width="26.7109375" bestFit="1" customWidth="1"/>
    <col min="16" max="16" width="18.5703125" bestFit="1" customWidth="1"/>
    <col min="17" max="17" width="16" bestFit="1" customWidth="1"/>
    <col min="18" max="18" width="18.5703125" bestFit="1" customWidth="1"/>
  </cols>
  <sheetData>
    <row r="1" spans="1:21">
      <c r="A1" s="36" t="s">
        <v>302</v>
      </c>
    </row>
    <row r="3" spans="1:21">
      <c r="A3" t="s">
        <v>43</v>
      </c>
      <c r="B3" t="s">
        <v>44</v>
      </c>
      <c r="C3" t="s">
        <v>45</v>
      </c>
      <c r="D3" t="s">
        <v>46</v>
      </c>
      <c r="E3" t="s">
        <v>7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4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</row>
    <row r="4" spans="1:21">
      <c r="A4" s="66">
        <v>45898</v>
      </c>
      <c r="B4" t="s">
        <v>112</v>
      </c>
      <c r="C4" t="s">
        <v>96</v>
      </c>
      <c r="D4" t="s">
        <v>64</v>
      </c>
      <c r="E4" t="s">
        <v>38</v>
      </c>
      <c r="F4" t="s">
        <v>113</v>
      </c>
      <c r="G4" t="s">
        <v>303</v>
      </c>
      <c r="H4">
        <v>19200</v>
      </c>
      <c r="I4">
        <v>19200</v>
      </c>
      <c r="J4" s="66">
        <v>45870</v>
      </c>
      <c r="K4" t="s">
        <v>67</v>
      </c>
      <c r="L4" t="s">
        <v>68</v>
      </c>
      <c r="M4" t="s">
        <v>69</v>
      </c>
      <c r="O4">
        <v>0</v>
      </c>
      <c r="S4" t="s">
        <v>287</v>
      </c>
      <c r="T4">
        <v>35</v>
      </c>
    </row>
    <row r="5" spans="1:21">
      <c r="A5" s="66">
        <v>45897</v>
      </c>
      <c r="B5" t="s">
        <v>304</v>
      </c>
      <c r="C5" t="s">
        <v>63</v>
      </c>
      <c r="D5" t="s">
        <v>230</v>
      </c>
      <c r="E5" t="s">
        <v>23</v>
      </c>
      <c r="F5" t="s">
        <v>305</v>
      </c>
      <c r="G5" t="s">
        <v>306</v>
      </c>
      <c r="H5">
        <v>12000</v>
      </c>
      <c r="J5" s="66">
        <v>45870</v>
      </c>
      <c r="K5" t="s">
        <v>67</v>
      </c>
      <c r="L5" t="s">
        <v>68</v>
      </c>
      <c r="M5" t="s">
        <v>69</v>
      </c>
      <c r="O5">
        <v>0</v>
      </c>
      <c r="S5" t="s">
        <v>287</v>
      </c>
      <c r="T5">
        <v>35</v>
      </c>
    </row>
    <row r="6" spans="1:21">
      <c r="A6" s="66">
        <v>45897</v>
      </c>
      <c r="B6" t="s">
        <v>112</v>
      </c>
      <c r="C6" t="s">
        <v>96</v>
      </c>
      <c r="D6" t="s">
        <v>64</v>
      </c>
      <c r="E6" t="s">
        <v>38</v>
      </c>
      <c r="F6" t="s">
        <v>113</v>
      </c>
      <c r="G6" t="s">
        <v>307</v>
      </c>
      <c r="H6">
        <v>18552</v>
      </c>
      <c r="I6">
        <v>18552</v>
      </c>
      <c r="J6" s="66">
        <v>45870</v>
      </c>
      <c r="K6" t="s">
        <v>67</v>
      </c>
      <c r="L6" t="s">
        <v>68</v>
      </c>
      <c r="M6" t="s">
        <v>69</v>
      </c>
      <c r="O6">
        <v>0</v>
      </c>
      <c r="S6" t="s">
        <v>287</v>
      </c>
      <c r="T6">
        <v>35</v>
      </c>
    </row>
    <row r="7" spans="1:21">
      <c r="A7" s="66">
        <v>45895</v>
      </c>
      <c r="B7" t="s">
        <v>112</v>
      </c>
      <c r="C7" t="s">
        <v>96</v>
      </c>
      <c r="D7" t="s">
        <v>64</v>
      </c>
      <c r="E7" t="s">
        <v>38</v>
      </c>
      <c r="F7" t="s">
        <v>113</v>
      </c>
      <c r="G7" t="s">
        <v>308</v>
      </c>
      <c r="H7">
        <v>19461</v>
      </c>
      <c r="I7">
        <v>19461</v>
      </c>
      <c r="J7" s="66">
        <v>45870</v>
      </c>
      <c r="K7" t="s">
        <v>67</v>
      </c>
      <c r="L7" t="s">
        <v>68</v>
      </c>
      <c r="M7" t="s">
        <v>69</v>
      </c>
      <c r="O7">
        <v>0</v>
      </c>
      <c r="S7" t="s">
        <v>287</v>
      </c>
      <c r="T7">
        <v>35</v>
      </c>
    </row>
    <row r="8" spans="1:21">
      <c r="A8" s="66">
        <v>45894</v>
      </c>
      <c r="B8" t="s">
        <v>309</v>
      </c>
      <c r="C8" t="s">
        <v>63</v>
      </c>
      <c r="D8" t="s">
        <v>64</v>
      </c>
      <c r="E8" t="s">
        <v>28</v>
      </c>
      <c r="F8" t="s">
        <v>310</v>
      </c>
      <c r="G8" t="s">
        <v>311</v>
      </c>
      <c r="H8">
        <v>30000</v>
      </c>
      <c r="J8" s="66">
        <v>45870</v>
      </c>
      <c r="K8" t="s">
        <v>67</v>
      </c>
      <c r="L8" t="s">
        <v>68</v>
      </c>
      <c r="M8" t="s">
        <v>69</v>
      </c>
      <c r="O8">
        <v>0</v>
      </c>
      <c r="S8" t="s">
        <v>287</v>
      </c>
      <c r="T8">
        <v>35</v>
      </c>
    </row>
    <row r="9" spans="1:21">
      <c r="A9" s="66">
        <v>45894</v>
      </c>
      <c r="B9" t="s">
        <v>95</v>
      </c>
      <c r="C9" t="s">
        <v>96</v>
      </c>
      <c r="D9" t="s">
        <v>64</v>
      </c>
      <c r="E9" t="s">
        <v>38</v>
      </c>
      <c r="F9" t="s">
        <v>97</v>
      </c>
      <c r="G9" t="s">
        <v>312</v>
      </c>
      <c r="H9">
        <v>51569</v>
      </c>
      <c r="I9">
        <v>51569</v>
      </c>
      <c r="J9" s="66">
        <v>45870</v>
      </c>
      <c r="K9" t="s">
        <v>99</v>
      </c>
      <c r="L9" t="s">
        <v>68</v>
      </c>
      <c r="M9" t="s">
        <v>69</v>
      </c>
      <c r="O9">
        <v>0</v>
      </c>
      <c r="S9" t="s">
        <v>287</v>
      </c>
      <c r="T9">
        <v>35</v>
      </c>
    </row>
    <row r="10" spans="1:21">
      <c r="A10" s="66">
        <v>45894</v>
      </c>
      <c r="B10" t="s">
        <v>112</v>
      </c>
      <c r="C10" t="s">
        <v>96</v>
      </c>
      <c r="D10" t="s">
        <v>64</v>
      </c>
      <c r="E10" t="s">
        <v>38</v>
      </c>
      <c r="F10" t="s">
        <v>113</v>
      </c>
      <c r="G10" t="s">
        <v>313</v>
      </c>
      <c r="H10">
        <v>17487</v>
      </c>
      <c r="I10">
        <v>17487</v>
      </c>
      <c r="J10" s="66">
        <v>45870</v>
      </c>
      <c r="K10" t="s">
        <v>67</v>
      </c>
      <c r="L10" t="s">
        <v>68</v>
      </c>
      <c r="M10" t="s">
        <v>69</v>
      </c>
      <c r="O10">
        <v>0</v>
      </c>
      <c r="S10" t="s">
        <v>287</v>
      </c>
      <c r="T10">
        <v>35</v>
      </c>
    </row>
    <row r="11" spans="1:21">
      <c r="A11" s="66">
        <v>45891</v>
      </c>
      <c r="B11" t="s">
        <v>314</v>
      </c>
      <c r="C11" t="s">
        <v>63</v>
      </c>
      <c r="D11" t="s">
        <v>64</v>
      </c>
      <c r="E11" t="s">
        <v>32</v>
      </c>
      <c r="F11" t="s">
        <v>315</v>
      </c>
      <c r="G11" t="s">
        <v>316</v>
      </c>
      <c r="H11">
        <v>35000</v>
      </c>
      <c r="I11">
        <v>35000</v>
      </c>
      <c r="J11" s="66">
        <v>45870</v>
      </c>
      <c r="K11" t="s">
        <v>67</v>
      </c>
      <c r="L11" t="s">
        <v>68</v>
      </c>
      <c r="M11" t="s">
        <v>69</v>
      </c>
      <c r="O11">
        <v>0</v>
      </c>
      <c r="S11" t="s">
        <v>287</v>
      </c>
      <c r="T11">
        <v>34</v>
      </c>
    </row>
    <row r="12" spans="1:21">
      <c r="A12" s="66">
        <v>45891</v>
      </c>
      <c r="B12" t="s">
        <v>112</v>
      </c>
      <c r="C12" t="s">
        <v>96</v>
      </c>
      <c r="D12" t="s">
        <v>64</v>
      </c>
      <c r="E12" t="s">
        <v>38</v>
      </c>
      <c r="F12" t="s">
        <v>113</v>
      </c>
      <c r="G12" t="s">
        <v>317</v>
      </c>
      <c r="H12">
        <v>13546</v>
      </c>
      <c r="I12">
        <v>13546</v>
      </c>
      <c r="J12" s="66">
        <v>45870</v>
      </c>
      <c r="K12" t="s">
        <v>67</v>
      </c>
      <c r="L12" t="s">
        <v>68</v>
      </c>
      <c r="M12" t="s">
        <v>69</v>
      </c>
      <c r="O12">
        <v>0</v>
      </c>
      <c r="S12" t="s">
        <v>287</v>
      </c>
      <c r="T12">
        <v>34</v>
      </c>
    </row>
    <row r="13" spans="1:21">
      <c r="A13" s="66">
        <v>45890</v>
      </c>
      <c r="B13" t="s">
        <v>112</v>
      </c>
      <c r="C13" t="s">
        <v>96</v>
      </c>
      <c r="D13" t="s">
        <v>64</v>
      </c>
      <c r="E13" t="s">
        <v>38</v>
      </c>
      <c r="F13" t="s">
        <v>113</v>
      </c>
      <c r="G13" t="s">
        <v>318</v>
      </c>
      <c r="H13">
        <v>20650</v>
      </c>
      <c r="I13">
        <v>20650</v>
      </c>
      <c r="J13" s="66">
        <v>45870</v>
      </c>
      <c r="K13" t="s">
        <v>67</v>
      </c>
      <c r="L13" t="s">
        <v>68</v>
      </c>
      <c r="M13" t="s">
        <v>69</v>
      </c>
      <c r="O13">
        <v>0</v>
      </c>
      <c r="S13" t="s">
        <v>287</v>
      </c>
      <c r="T13">
        <v>34</v>
      </c>
    </row>
    <row r="14" spans="1:21">
      <c r="A14" s="66">
        <v>45889</v>
      </c>
      <c r="B14" t="s">
        <v>319</v>
      </c>
      <c r="C14" t="s">
        <v>96</v>
      </c>
      <c r="D14" t="s">
        <v>320</v>
      </c>
      <c r="E14" t="s">
        <v>39</v>
      </c>
      <c r="F14" t="s">
        <v>321</v>
      </c>
      <c r="G14" t="s">
        <v>322</v>
      </c>
      <c r="H14">
        <v>22352</v>
      </c>
      <c r="I14">
        <v>22352</v>
      </c>
      <c r="J14" s="66">
        <v>45870</v>
      </c>
      <c r="K14" t="s">
        <v>67</v>
      </c>
      <c r="L14" t="s">
        <v>68</v>
      </c>
      <c r="M14" t="s">
        <v>69</v>
      </c>
      <c r="O14">
        <v>0</v>
      </c>
      <c r="S14" t="s">
        <v>287</v>
      </c>
      <c r="T14">
        <v>34</v>
      </c>
    </row>
    <row r="15" spans="1:21">
      <c r="A15" s="66">
        <v>45889</v>
      </c>
      <c r="B15" t="s">
        <v>95</v>
      </c>
      <c r="C15" t="s">
        <v>96</v>
      </c>
      <c r="D15" t="s">
        <v>64</v>
      </c>
      <c r="E15" t="s">
        <v>38</v>
      </c>
      <c r="F15" t="s">
        <v>97</v>
      </c>
      <c r="G15" t="s">
        <v>323</v>
      </c>
      <c r="H15">
        <v>65725</v>
      </c>
      <c r="I15">
        <v>65725</v>
      </c>
      <c r="J15" s="66">
        <v>45870</v>
      </c>
      <c r="K15" t="s">
        <v>99</v>
      </c>
      <c r="L15" t="s">
        <v>68</v>
      </c>
      <c r="M15" t="s">
        <v>69</v>
      </c>
      <c r="O15">
        <v>0</v>
      </c>
      <c r="S15" t="s">
        <v>287</v>
      </c>
      <c r="T15">
        <v>34</v>
      </c>
    </row>
    <row r="16" spans="1:21">
      <c r="A16" s="66">
        <v>45889</v>
      </c>
      <c r="B16" t="s">
        <v>324</v>
      </c>
      <c r="C16" t="s">
        <v>96</v>
      </c>
      <c r="D16" t="s">
        <v>64</v>
      </c>
      <c r="E16" t="s">
        <v>38</v>
      </c>
      <c r="F16" t="s">
        <v>325</v>
      </c>
      <c r="G16" t="s">
        <v>326</v>
      </c>
      <c r="H16">
        <v>59544</v>
      </c>
      <c r="I16">
        <v>59544</v>
      </c>
      <c r="J16" s="66">
        <v>45870</v>
      </c>
      <c r="K16" t="s">
        <v>99</v>
      </c>
      <c r="L16" t="s">
        <v>68</v>
      </c>
      <c r="M16" t="s">
        <v>69</v>
      </c>
      <c r="O16">
        <v>0</v>
      </c>
      <c r="S16" t="s">
        <v>287</v>
      </c>
      <c r="T16">
        <v>34</v>
      </c>
    </row>
    <row r="17" spans="1:20">
      <c r="A17" s="66">
        <v>45889</v>
      </c>
      <c r="B17" t="s">
        <v>327</v>
      </c>
      <c r="C17" t="s">
        <v>63</v>
      </c>
      <c r="D17" t="s">
        <v>64</v>
      </c>
      <c r="E17" t="s">
        <v>328</v>
      </c>
      <c r="F17" t="s">
        <v>269</v>
      </c>
      <c r="G17" t="s">
        <v>329</v>
      </c>
      <c r="H17">
        <v>0</v>
      </c>
      <c r="I17">
        <v>0</v>
      </c>
      <c r="J17" s="66">
        <v>45870</v>
      </c>
      <c r="K17" t="s">
        <v>67</v>
      </c>
      <c r="L17" t="s">
        <v>68</v>
      </c>
      <c r="M17" t="s">
        <v>69</v>
      </c>
      <c r="O17">
        <v>0</v>
      </c>
      <c r="S17" t="s">
        <v>287</v>
      </c>
      <c r="T17">
        <v>34</v>
      </c>
    </row>
    <row r="18" spans="1:20">
      <c r="A18" s="66">
        <v>45886</v>
      </c>
      <c r="B18" t="s">
        <v>330</v>
      </c>
      <c r="C18" t="s">
        <v>96</v>
      </c>
      <c r="D18" t="s">
        <v>20</v>
      </c>
      <c r="E18" t="s">
        <v>23</v>
      </c>
      <c r="F18" t="s">
        <v>331</v>
      </c>
      <c r="G18" t="s">
        <v>332</v>
      </c>
      <c r="H18">
        <v>9500</v>
      </c>
      <c r="I18">
        <v>9500</v>
      </c>
      <c r="J18" s="66">
        <v>45870</v>
      </c>
      <c r="K18" t="s">
        <v>67</v>
      </c>
      <c r="L18" t="s">
        <v>68</v>
      </c>
      <c r="M18" t="s">
        <v>69</v>
      </c>
      <c r="O18">
        <v>0</v>
      </c>
      <c r="S18" t="s">
        <v>287</v>
      </c>
      <c r="T18">
        <v>33</v>
      </c>
    </row>
    <row r="19" spans="1:20">
      <c r="A19" s="66">
        <v>45886</v>
      </c>
      <c r="B19" t="s">
        <v>333</v>
      </c>
      <c r="C19" t="s">
        <v>96</v>
      </c>
      <c r="D19" t="s">
        <v>20</v>
      </c>
      <c r="E19" t="s">
        <v>23</v>
      </c>
      <c r="F19" t="s">
        <v>334</v>
      </c>
      <c r="G19" t="s">
        <v>335</v>
      </c>
      <c r="H19">
        <v>4344</v>
      </c>
      <c r="I19">
        <v>4344</v>
      </c>
      <c r="J19" s="66">
        <v>45870</v>
      </c>
      <c r="K19" t="s">
        <v>67</v>
      </c>
      <c r="L19" t="s">
        <v>68</v>
      </c>
      <c r="M19" t="s">
        <v>69</v>
      </c>
      <c r="O19">
        <v>0</v>
      </c>
      <c r="S19" t="s">
        <v>287</v>
      </c>
      <c r="T19">
        <v>33</v>
      </c>
    </row>
    <row r="20" spans="1:20">
      <c r="A20" s="66">
        <v>45884</v>
      </c>
      <c r="B20" t="s">
        <v>152</v>
      </c>
      <c r="C20" t="s">
        <v>96</v>
      </c>
      <c r="D20" t="s">
        <v>64</v>
      </c>
      <c r="E20" t="s">
        <v>27</v>
      </c>
      <c r="F20" t="s">
        <v>238</v>
      </c>
      <c r="G20" t="s">
        <v>336</v>
      </c>
      <c r="H20">
        <v>21795</v>
      </c>
      <c r="I20">
        <v>21795</v>
      </c>
      <c r="J20" s="66">
        <v>45870</v>
      </c>
      <c r="K20" t="s">
        <v>67</v>
      </c>
      <c r="L20" t="s">
        <v>68</v>
      </c>
      <c r="M20" t="s">
        <v>69</v>
      </c>
      <c r="O20">
        <v>0</v>
      </c>
      <c r="S20" t="s">
        <v>287</v>
      </c>
      <c r="T20">
        <v>33</v>
      </c>
    </row>
    <row r="21" spans="1:20">
      <c r="A21" s="66">
        <v>45883</v>
      </c>
      <c r="B21" t="s">
        <v>337</v>
      </c>
      <c r="C21" t="s">
        <v>63</v>
      </c>
      <c r="D21" t="s">
        <v>64</v>
      </c>
      <c r="E21" t="s">
        <v>32</v>
      </c>
      <c r="F21" t="s">
        <v>338</v>
      </c>
      <c r="G21" t="s">
        <v>339</v>
      </c>
      <c r="H21">
        <v>12000</v>
      </c>
      <c r="I21">
        <v>12000</v>
      </c>
      <c r="J21" s="66">
        <v>45870</v>
      </c>
      <c r="K21" t="s">
        <v>67</v>
      </c>
      <c r="L21" t="s">
        <v>68</v>
      </c>
      <c r="M21" t="s">
        <v>69</v>
      </c>
      <c r="O21">
        <v>0</v>
      </c>
      <c r="S21" t="s">
        <v>287</v>
      </c>
      <c r="T21">
        <v>33</v>
      </c>
    </row>
    <row r="22" spans="1:20">
      <c r="A22" s="66">
        <v>45883</v>
      </c>
      <c r="B22" t="s">
        <v>112</v>
      </c>
      <c r="C22" t="s">
        <v>96</v>
      </c>
      <c r="D22" t="s">
        <v>64</v>
      </c>
      <c r="E22" t="s">
        <v>38</v>
      </c>
      <c r="F22" t="s">
        <v>113</v>
      </c>
      <c r="G22" t="s">
        <v>340</v>
      </c>
      <c r="H22">
        <v>22000</v>
      </c>
      <c r="I22">
        <v>22000</v>
      </c>
      <c r="J22" s="66">
        <v>45870</v>
      </c>
      <c r="K22" t="s">
        <v>67</v>
      </c>
      <c r="L22" t="s">
        <v>68</v>
      </c>
      <c r="M22" t="s">
        <v>69</v>
      </c>
      <c r="O22">
        <v>0</v>
      </c>
      <c r="S22" t="s">
        <v>287</v>
      </c>
      <c r="T22">
        <v>33</v>
      </c>
    </row>
    <row r="23" spans="1:20">
      <c r="A23" s="66">
        <v>45882</v>
      </c>
      <c r="B23" t="s">
        <v>341</v>
      </c>
      <c r="C23" t="s">
        <v>63</v>
      </c>
      <c r="D23" t="s">
        <v>20</v>
      </c>
      <c r="E23" t="s">
        <v>23</v>
      </c>
      <c r="F23" t="s">
        <v>342</v>
      </c>
      <c r="G23" t="s">
        <v>343</v>
      </c>
      <c r="H23">
        <v>12000</v>
      </c>
      <c r="I23">
        <v>12000</v>
      </c>
      <c r="J23" s="66">
        <v>45870</v>
      </c>
      <c r="K23" t="s">
        <v>67</v>
      </c>
      <c r="L23" t="s">
        <v>68</v>
      </c>
      <c r="M23" t="s">
        <v>69</v>
      </c>
      <c r="O23">
        <v>0</v>
      </c>
      <c r="S23" t="s">
        <v>287</v>
      </c>
      <c r="T23">
        <v>33</v>
      </c>
    </row>
    <row r="24" spans="1:20">
      <c r="A24" s="66">
        <v>45882</v>
      </c>
      <c r="B24" t="s">
        <v>344</v>
      </c>
      <c r="C24" t="s">
        <v>96</v>
      </c>
      <c r="D24" t="s">
        <v>64</v>
      </c>
      <c r="E24" t="s">
        <v>26</v>
      </c>
      <c r="F24" t="s">
        <v>133</v>
      </c>
      <c r="G24" t="s">
        <v>345</v>
      </c>
      <c r="H24">
        <v>4800</v>
      </c>
      <c r="I24">
        <v>4800</v>
      </c>
      <c r="J24" s="66">
        <v>45870</v>
      </c>
      <c r="K24" t="s">
        <v>67</v>
      </c>
      <c r="L24" t="s">
        <v>68</v>
      </c>
      <c r="M24" t="s">
        <v>69</v>
      </c>
      <c r="O24">
        <v>0</v>
      </c>
      <c r="S24" t="s">
        <v>287</v>
      </c>
      <c r="T24">
        <v>33</v>
      </c>
    </row>
    <row r="25" spans="1:20">
      <c r="A25" s="66">
        <v>45882</v>
      </c>
      <c r="B25" t="s">
        <v>346</v>
      </c>
      <c r="C25" t="s">
        <v>63</v>
      </c>
      <c r="D25" t="s">
        <v>20</v>
      </c>
      <c r="E25" t="s">
        <v>23</v>
      </c>
      <c r="F25" t="s">
        <v>347</v>
      </c>
      <c r="G25" t="s">
        <v>348</v>
      </c>
      <c r="H25">
        <v>0</v>
      </c>
      <c r="I25">
        <v>0</v>
      </c>
      <c r="J25" s="66">
        <v>45870</v>
      </c>
      <c r="K25" t="s">
        <v>67</v>
      </c>
      <c r="L25" t="s">
        <v>68</v>
      </c>
      <c r="M25" t="s">
        <v>69</v>
      </c>
      <c r="O25">
        <v>0</v>
      </c>
      <c r="S25" t="s">
        <v>287</v>
      </c>
      <c r="T25">
        <v>33</v>
      </c>
    </row>
    <row r="26" spans="1:20">
      <c r="A26" s="66">
        <v>45882</v>
      </c>
      <c r="B26" t="s">
        <v>112</v>
      </c>
      <c r="C26" t="s">
        <v>96</v>
      </c>
      <c r="D26" t="s">
        <v>64</v>
      </c>
      <c r="E26" t="s">
        <v>38</v>
      </c>
      <c r="F26" t="s">
        <v>349</v>
      </c>
      <c r="G26" t="s">
        <v>350</v>
      </c>
      <c r="H26">
        <v>19058</v>
      </c>
      <c r="I26">
        <v>19058</v>
      </c>
      <c r="J26" s="66">
        <v>45870</v>
      </c>
      <c r="K26" t="s">
        <v>67</v>
      </c>
      <c r="L26" t="s">
        <v>68</v>
      </c>
      <c r="M26" t="s">
        <v>69</v>
      </c>
      <c r="O26">
        <v>0</v>
      </c>
      <c r="S26" t="s">
        <v>287</v>
      </c>
      <c r="T26">
        <v>33</v>
      </c>
    </row>
    <row r="27" spans="1:20">
      <c r="A27" s="66">
        <v>45882</v>
      </c>
      <c r="B27" t="s">
        <v>95</v>
      </c>
      <c r="C27" t="s">
        <v>96</v>
      </c>
      <c r="D27" t="s">
        <v>64</v>
      </c>
      <c r="E27" t="s">
        <v>38</v>
      </c>
      <c r="F27" t="s">
        <v>97</v>
      </c>
      <c r="G27" t="s">
        <v>351</v>
      </c>
      <c r="H27">
        <v>65725</v>
      </c>
      <c r="I27">
        <v>65725</v>
      </c>
      <c r="J27" s="66">
        <v>45870</v>
      </c>
      <c r="K27" t="s">
        <v>99</v>
      </c>
      <c r="L27" t="s">
        <v>68</v>
      </c>
      <c r="M27" t="s">
        <v>69</v>
      </c>
      <c r="O27">
        <v>0</v>
      </c>
      <c r="S27" t="s">
        <v>287</v>
      </c>
      <c r="T27">
        <v>33</v>
      </c>
    </row>
    <row r="28" spans="1:20">
      <c r="A28" s="66">
        <v>45882</v>
      </c>
      <c r="B28" t="s">
        <v>324</v>
      </c>
      <c r="C28" t="s">
        <v>96</v>
      </c>
      <c r="D28" t="s">
        <v>64</v>
      </c>
      <c r="E28" t="s">
        <v>38</v>
      </c>
      <c r="F28" t="s">
        <v>325</v>
      </c>
      <c r="G28" t="s">
        <v>352</v>
      </c>
      <c r="H28">
        <v>67549</v>
      </c>
      <c r="I28">
        <v>67549</v>
      </c>
      <c r="J28" s="66">
        <v>45870</v>
      </c>
      <c r="K28" t="s">
        <v>99</v>
      </c>
      <c r="L28" t="s">
        <v>68</v>
      </c>
      <c r="M28" t="s">
        <v>69</v>
      </c>
      <c r="O28">
        <v>0</v>
      </c>
      <c r="S28" t="s">
        <v>287</v>
      </c>
      <c r="T28">
        <v>33</v>
      </c>
    </row>
    <row r="29" spans="1:20">
      <c r="A29" s="66">
        <v>45881</v>
      </c>
      <c r="B29" t="s">
        <v>112</v>
      </c>
      <c r="C29" t="s">
        <v>96</v>
      </c>
      <c r="D29" t="s">
        <v>64</v>
      </c>
      <c r="E29" t="s">
        <v>38</v>
      </c>
      <c r="F29" t="s">
        <v>349</v>
      </c>
      <c r="G29" t="s">
        <v>353</v>
      </c>
      <c r="H29">
        <v>20800</v>
      </c>
      <c r="I29">
        <v>20800</v>
      </c>
      <c r="J29" s="66">
        <v>45870</v>
      </c>
      <c r="K29" t="s">
        <v>67</v>
      </c>
      <c r="L29" t="s">
        <v>68</v>
      </c>
      <c r="M29" t="s">
        <v>69</v>
      </c>
      <c r="O29">
        <v>0</v>
      </c>
      <c r="S29" t="s">
        <v>287</v>
      </c>
      <c r="T29">
        <v>33</v>
      </c>
    </row>
    <row r="30" spans="1:20">
      <c r="A30" s="66">
        <v>45880</v>
      </c>
      <c r="B30" t="s">
        <v>112</v>
      </c>
      <c r="C30" t="s">
        <v>96</v>
      </c>
      <c r="D30" t="s">
        <v>64</v>
      </c>
      <c r="E30" t="s">
        <v>38</v>
      </c>
      <c r="F30" t="s">
        <v>349</v>
      </c>
      <c r="G30" t="s">
        <v>354</v>
      </c>
      <c r="H30">
        <v>13405</v>
      </c>
      <c r="I30">
        <v>13405</v>
      </c>
      <c r="J30" s="66">
        <v>45870</v>
      </c>
      <c r="K30" t="s">
        <v>67</v>
      </c>
      <c r="L30" t="s">
        <v>68</v>
      </c>
      <c r="M30" t="s">
        <v>69</v>
      </c>
      <c r="O30">
        <v>0</v>
      </c>
      <c r="S30" t="s">
        <v>287</v>
      </c>
      <c r="T30">
        <v>33</v>
      </c>
    </row>
    <row r="31" spans="1:20">
      <c r="A31" s="66">
        <v>45877</v>
      </c>
      <c r="B31" t="s">
        <v>355</v>
      </c>
      <c r="C31" t="s">
        <v>63</v>
      </c>
      <c r="D31" t="s">
        <v>20</v>
      </c>
      <c r="E31" t="s">
        <v>23</v>
      </c>
      <c r="F31" t="s">
        <v>356</v>
      </c>
      <c r="G31" t="s">
        <v>357</v>
      </c>
      <c r="H31">
        <v>12500</v>
      </c>
      <c r="I31">
        <v>12500</v>
      </c>
      <c r="J31" s="66">
        <v>45870</v>
      </c>
      <c r="K31" t="s">
        <v>67</v>
      </c>
      <c r="L31" t="s">
        <v>68</v>
      </c>
      <c r="M31" t="s">
        <v>69</v>
      </c>
      <c r="O31">
        <v>0</v>
      </c>
      <c r="S31" t="s">
        <v>287</v>
      </c>
      <c r="T31">
        <v>32</v>
      </c>
    </row>
    <row r="32" spans="1:20">
      <c r="A32" s="66">
        <v>45877</v>
      </c>
      <c r="B32" t="s">
        <v>112</v>
      </c>
      <c r="C32" t="s">
        <v>96</v>
      </c>
      <c r="D32" t="s">
        <v>64</v>
      </c>
      <c r="E32" t="s">
        <v>38</v>
      </c>
      <c r="F32" t="s">
        <v>349</v>
      </c>
      <c r="G32" t="s">
        <v>358</v>
      </c>
      <c r="H32">
        <v>11495</v>
      </c>
      <c r="I32">
        <v>11495</v>
      </c>
      <c r="J32" s="66">
        <v>45870</v>
      </c>
      <c r="K32" t="s">
        <v>67</v>
      </c>
      <c r="L32" t="s">
        <v>68</v>
      </c>
      <c r="M32" t="s">
        <v>69</v>
      </c>
      <c r="O32">
        <v>0</v>
      </c>
      <c r="S32" t="s">
        <v>287</v>
      </c>
      <c r="T32">
        <v>32</v>
      </c>
    </row>
    <row r="33" spans="1:21">
      <c r="A33" s="66">
        <v>45876</v>
      </c>
      <c r="B33" t="s">
        <v>359</v>
      </c>
      <c r="C33" t="s">
        <v>96</v>
      </c>
      <c r="D33" t="s">
        <v>64</v>
      </c>
      <c r="E33" t="s">
        <v>328</v>
      </c>
      <c r="F33" t="s">
        <v>269</v>
      </c>
      <c r="G33" t="s">
        <v>360</v>
      </c>
      <c r="H33">
        <v>58809</v>
      </c>
      <c r="I33">
        <v>58809</v>
      </c>
      <c r="J33" s="66">
        <v>45870</v>
      </c>
      <c r="K33" t="s">
        <v>67</v>
      </c>
      <c r="L33" t="s">
        <v>68</v>
      </c>
      <c r="M33" t="s">
        <v>69</v>
      </c>
      <c r="O33">
        <v>0</v>
      </c>
      <c r="S33" t="s">
        <v>287</v>
      </c>
      <c r="T33">
        <v>32</v>
      </c>
    </row>
    <row r="34" spans="1:21">
      <c r="A34" s="66">
        <v>45876</v>
      </c>
      <c r="B34" t="s">
        <v>112</v>
      </c>
      <c r="C34" t="s">
        <v>96</v>
      </c>
      <c r="D34" t="s">
        <v>64</v>
      </c>
      <c r="E34" t="s">
        <v>38</v>
      </c>
      <c r="F34" t="s">
        <v>349</v>
      </c>
      <c r="G34" t="s">
        <v>361</v>
      </c>
      <c r="H34">
        <v>26050</v>
      </c>
      <c r="I34">
        <v>26050</v>
      </c>
      <c r="J34" s="66">
        <v>45870</v>
      </c>
      <c r="K34" t="s">
        <v>67</v>
      </c>
      <c r="L34" t="s">
        <v>68</v>
      </c>
      <c r="M34" t="s">
        <v>69</v>
      </c>
      <c r="O34">
        <v>0</v>
      </c>
      <c r="S34" t="s">
        <v>287</v>
      </c>
      <c r="T34">
        <v>32</v>
      </c>
    </row>
    <row r="35" spans="1:21">
      <c r="A35" s="66">
        <v>45875</v>
      </c>
      <c r="B35" t="s">
        <v>95</v>
      </c>
      <c r="C35" t="s">
        <v>96</v>
      </c>
      <c r="D35" t="s">
        <v>64</v>
      </c>
      <c r="E35" t="s">
        <v>38</v>
      </c>
      <c r="F35" t="s">
        <v>97</v>
      </c>
      <c r="G35" t="s">
        <v>362</v>
      </c>
      <c r="H35">
        <v>49546</v>
      </c>
      <c r="I35">
        <v>49546</v>
      </c>
      <c r="J35" s="66">
        <v>45870</v>
      </c>
      <c r="K35" t="s">
        <v>99</v>
      </c>
      <c r="L35" t="s">
        <v>68</v>
      </c>
      <c r="M35" t="s">
        <v>69</v>
      </c>
      <c r="O35">
        <v>0</v>
      </c>
      <c r="S35" t="s">
        <v>287</v>
      </c>
      <c r="T35">
        <v>32</v>
      </c>
    </row>
    <row r="36" spans="1:21">
      <c r="A36" s="66">
        <v>45875</v>
      </c>
      <c r="B36" t="s">
        <v>324</v>
      </c>
      <c r="C36" t="s">
        <v>96</v>
      </c>
      <c r="D36" t="s">
        <v>64</v>
      </c>
      <c r="E36" t="s">
        <v>38</v>
      </c>
      <c r="F36" t="s">
        <v>325</v>
      </c>
      <c r="G36" t="s">
        <v>363</v>
      </c>
      <c r="H36">
        <v>70568</v>
      </c>
      <c r="I36">
        <v>70568</v>
      </c>
      <c r="J36" s="66">
        <v>45870</v>
      </c>
      <c r="K36" t="s">
        <v>99</v>
      </c>
      <c r="L36" t="s">
        <v>68</v>
      </c>
      <c r="M36" t="s">
        <v>69</v>
      </c>
      <c r="O36">
        <v>0</v>
      </c>
      <c r="S36" t="s">
        <v>287</v>
      </c>
      <c r="T36">
        <v>32</v>
      </c>
    </row>
    <row r="37" spans="1:21">
      <c r="A37" s="66">
        <v>45875</v>
      </c>
      <c r="B37" t="s">
        <v>364</v>
      </c>
      <c r="C37" t="s">
        <v>96</v>
      </c>
      <c r="D37" t="s">
        <v>64</v>
      </c>
      <c r="E37" t="s">
        <v>26</v>
      </c>
      <c r="F37" t="s">
        <v>365</v>
      </c>
      <c r="G37" t="s">
        <v>366</v>
      </c>
      <c r="H37">
        <v>13500</v>
      </c>
      <c r="I37">
        <v>13500</v>
      </c>
      <c r="J37" s="66">
        <v>45870</v>
      </c>
      <c r="K37" t="s">
        <v>67</v>
      </c>
      <c r="L37" t="s">
        <v>68</v>
      </c>
      <c r="M37" t="s">
        <v>69</v>
      </c>
      <c r="O37">
        <v>0</v>
      </c>
      <c r="S37" t="s">
        <v>287</v>
      </c>
      <c r="T37">
        <v>32</v>
      </c>
    </row>
    <row r="38" spans="1:21">
      <c r="A38" s="66">
        <v>45875</v>
      </c>
      <c r="B38" t="s">
        <v>112</v>
      </c>
      <c r="C38" t="s">
        <v>63</v>
      </c>
      <c r="D38" t="s">
        <v>64</v>
      </c>
      <c r="E38" t="s">
        <v>38</v>
      </c>
      <c r="F38" t="s">
        <v>349</v>
      </c>
      <c r="G38" t="s">
        <v>367</v>
      </c>
      <c r="H38">
        <v>29751</v>
      </c>
      <c r="I38">
        <v>29751</v>
      </c>
      <c r="J38" s="66">
        <v>45870</v>
      </c>
      <c r="K38" t="s">
        <v>67</v>
      </c>
      <c r="L38" t="s">
        <v>68</v>
      </c>
      <c r="M38" t="s">
        <v>69</v>
      </c>
      <c r="O38">
        <v>0</v>
      </c>
      <c r="S38" t="s">
        <v>287</v>
      </c>
      <c r="T38">
        <v>32</v>
      </c>
    </row>
    <row r="39" spans="1:21">
      <c r="A39" s="66">
        <v>45874</v>
      </c>
      <c r="B39" t="s">
        <v>364</v>
      </c>
      <c r="C39" t="s">
        <v>96</v>
      </c>
      <c r="D39" t="s">
        <v>64</v>
      </c>
      <c r="E39" t="s">
        <v>26</v>
      </c>
      <c r="F39" t="s">
        <v>365</v>
      </c>
      <c r="G39" t="s">
        <v>368</v>
      </c>
      <c r="H39">
        <v>11551</v>
      </c>
      <c r="I39">
        <v>11551</v>
      </c>
      <c r="J39" s="66">
        <v>45870</v>
      </c>
      <c r="K39" t="s">
        <v>67</v>
      </c>
      <c r="L39" t="s">
        <v>68</v>
      </c>
      <c r="M39" t="s">
        <v>69</v>
      </c>
      <c r="O39">
        <v>0</v>
      </c>
      <c r="S39" t="s">
        <v>287</v>
      </c>
      <c r="T39">
        <v>32</v>
      </c>
    </row>
    <row r="40" spans="1:21">
      <c r="A40" s="66">
        <v>45874</v>
      </c>
      <c r="B40" t="s">
        <v>112</v>
      </c>
      <c r="C40" t="s">
        <v>63</v>
      </c>
      <c r="D40" t="s">
        <v>64</v>
      </c>
      <c r="E40" t="s">
        <v>38</v>
      </c>
      <c r="F40" t="s">
        <v>349</v>
      </c>
      <c r="G40" t="s">
        <v>369</v>
      </c>
      <c r="H40">
        <v>17800</v>
      </c>
      <c r="I40">
        <v>17800</v>
      </c>
      <c r="J40" s="66">
        <v>45870</v>
      </c>
      <c r="K40" t="s">
        <v>67</v>
      </c>
      <c r="L40" t="s">
        <v>68</v>
      </c>
      <c r="M40" t="s">
        <v>69</v>
      </c>
      <c r="O40">
        <v>0</v>
      </c>
      <c r="S40" t="s">
        <v>287</v>
      </c>
      <c r="T40">
        <v>32</v>
      </c>
    </row>
    <row r="41" spans="1:21">
      <c r="A41" s="66">
        <v>45873</v>
      </c>
      <c r="B41" t="s">
        <v>370</v>
      </c>
      <c r="C41" t="s">
        <v>96</v>
      </c>
      <c r="D41" t="s">
        <v>64</v>
      </c>
      <c r="E41" t="s">
        <v>26</v>
      </c>
      <c r="F41" t="s">
        <v>371</v>
      </c>
      <c r="G41" t="s">
        <v>372</v>
      </c>
      <c r="H41">
        <v>0</v>
      </c>
      <c r="I41">
        <v>0</v>
      </c>
      <c r="J41" s="66">
        <v>45870</v>
      </c>
      <c r="K41" t="s">
        <v>67</v>
      </c>
      <c r="L41" t="s">
        <v>68</v>
      </c>
      <c r="M41" t="s">
        <v>69</v>
      </c>
      <c r="O41">
        <v>0</v>
      </c>
      <c r="S41" t="s">
        <v>287</v>
      </c>
      <c r="T41">
        <v>32</v>
      </c>
    </row>
    <row r="42" spans="1:21">
      <c r="A42" s="66">
        <v>45873</v>
      </c>
      <c r="B42" t="s">
        <v>112</v>
      </c>
      <c r="C42" t="s">
        <v>63</v>
      </c>
      <c r="D42" t="s">
        <v>64</v>
      </c>
      <c r="E42" t="s">
        <v>38</v>
      </c>
      <c r="F42" t="s">
        <v>349</v>
      </c>
      <c r="G42" t="s">
        <v>373</v>
      </c>
      <c r="H42">
        <v>13000</v>
      </c>
      <c r="I42">
        <v>13000</v>
      </c>
      <c r="J42" s="66">
        <v>45870</v>
      </c>
      <c r="K42" t="s">
        <v>67</v>
      </c>
      <c r="L42" t="s">
        <v>68</v>
      </c>
      <c r="M42" t="s">
        <v>69</v>
      </c>
      <c r="O42">
        <v>0</v>
      </c>
      <c r="S42" t="s">
        <v>287</v>
      </c>
      <c r="T42">
        <v>32</v>
      </c>
    </row>
    <row r="43" spans="1:21">
      <c r="A43" s="66">
        <v>45873</v>
      </c>
      <c r="B43" t="s">
        <v>374</v>
      </c>
      <c r="C43" t="s">
        <v>63</v>
      </c>
      <c r="D43" t="s">
        <v>64</v>
      </c>
      <c r="E43" t="s">
        <v>28</v>
      </c>
      <c r="F43" t="s">
        <v>375</v>
      </c>
      <c r="G43" t="s">
        <v>376</v>
      </c>
      <c r="H43">
        <v>9782</v>
      </c>
      <c r="I43">
        <v>9782</v>
      </c>
      <c r="J43" s="66">
        <v>45870</v>
      </c>
      <c r="K43" t="s">
        <v>67</v>
      </c>
      <c r="L43" t="s">
        <v>68</v>
      </c>
      <c r="M43" t="s">
        <v>69</v>
      </c>
      <c r="O43">
        <v>0</v>
      </c>
      <c r="S43" t="s">
        <v>287</v>
      </c>
      <c r="T43">
        <v>32</v>
      </c>
    </row>
    <row r="44" spans="1:21">
      <c r="A44" s="66">
        <v>45870</v>
      </c>
      <c r="B44" t="s">
        <v>152</v>
      </c>
      <c r="C44" t="s">
        <v>96</v>
      </c>
      <c r="D44" t="s">
        <v>20</v>
      </c>
      <c r="E44" t="s">
        <v>23</v>
      </c>
      <c r="F44" t="s">
        <v>377</v>
      </c>
      <c r="G44" t="s">
        <v>378</v>
      </c>
      <c r="H44">
        <v>8119</v>
      </c>
      <c r="I44">
        <v>8119</v>
      </c>
      <c r="J44" s="66">
        <v>45870</v>
      </c>
      <c r="K44" t="s">
        <v>67</v>
      </c>
      <c r="L44" t="s">
        <v>68</v>
      </c>
      <c r="M44" t="s">
        <v>69</v>
      </c>
      <c r="O44">
        <v>0</v>
      </c>
      <c r="S44" t="s">
        <v>287</v>
      </c>
      <c r="T44">
        <v>31</v>
      </c>
    </row>
    <row r="45" spans="1:21">
      <c r="A45" s="66">
        <v>45868</v>
      </c>
      <c r="B45" t="s">
        <v>379</v>
      </c>
      <c r="C45" t="s">
        <v>96</v>
      </c>
      <c r="D45" t="s">
        <v>20</v>
      </c>
      <c r="E45" t="s">
        <v>23</v>
      </c>
      <c r="F45" t="s">
        <v>153</v>
      </c>
      <c r="G45" t="s">
        <v>380</v>
      </c>
      <c r="H45">
        <v>9000</v>
      </c>
      <c r="J45" s="66">
        <v>45870</v>
      </c>
      <c r="K45" t="s">
        <v>67</v>
      </c>
      <c r="L45" t="s">
        <v>68</v>
      </c>
      <c r="M45" t="s">
        <v>296</v>
      </c>
      <c r="O45">
        <v>0</v>
      </c>
      <c r="S45" t="s">
        <v>301</v>
      </c>
      <c r="T45">
        <v>31</v>
      </c>
    </row>
    <row r="46" spans="1:21">
      <c r="A46" s="66">
        <v>45867</v>
      </c>
      <c r="B46" t="s">
        <v>346</v>
      </c>
      <c r="C46" t="s">
        <v>63</v>
      </c>
      <c r="D46" t="s">
        <v>20</v>
      </c>
      <c r="E46" t="s">
        <v>23</v>
      </c>
      <c r="F46" t="s">
        <v>347</v>
      </c>
      <c r="G46" t="s">
        <v>381</v>
      </c>
      <c r="H46">
        <v>28000</v>
      </c>
      <c r="I46">
        <v>28000</v>
      </c>
      <c r="J46" s="66">
        <v>45870</v>
      </c>
      <c r="K46" t="s">
        <v>67</v>
      </c>
      <c r="L46" t="s">
        <v>68</v>
      </c>
      <c r="M46" t="s">
        <v>69</v>
      </c>
      <c r="O46">
        <v>0</v>
      </c>
      <c r="S46" t="s">
        <v>301</v>
      </c>
      <c r="T46">
        <v>31</v>
      </c>
    </row>
    <row r="47" spans="1:21">
      <c r="A47" s="66">
        <v>45845</v>
      </c>
      <c r="B47" t="s">
        <v>382</v>
      </c>
      <c r="C47" t="s">
        <v>63</v>
      </c>
      <c r="D47" t="s">
        <v>64</v>
      </c>
      <c r="E47" t="s">
        <v>28</v>
      </c>
      <c r="F47" t="s">
        <v>196</v>
      </c>
      <c r="G47" t="s">
        <v>383</v>
      </c>
      <c r="H47">
        <v>0</v>
      </c>
      <c r="I47">
        <v>0</v>
      </c>
      <c r="J47" s="66">
        <v>45870</v>
      </c>
      <c r="K47" t="s">
        <v>67</v>
      </c>
      <c r="L47" t="s">
        <v>68</v>
      </c>
      <c r="M47" t="s">
        <v>69</v>
      </c>
      <c r="O47">
        <v>0</v>
      </c>
      <c r="S47" t="s">
        <v>301</v>
      </c>
      <c r="T47">
        <v>28</v>
      </c>
      <c r="U47" t="s">
        <v>291</v>
      </c>
    </row>
    <row r="69" spans="2:3">
      <c r="B69" s="87">
        <v>45785</v>
      </c>
      <c r="C69" s="86">
        <v>4207000</v>
      </c>
    </row>
    <row r="70" spans="2:3">
      <c r="B70" s="87">
        <v>45798</v>
      </c>
      <c r="C70" s="86">
        <v>4207000</v>
      </c>
    </row>
    <row r="71" spans="2:3">
      <c r="B71" s="87">
        <v>45958</v>
      </c>
      <c r="C71" s="88">
        <v>7599375</v>
      </c>
    </row>
    <row r="72" spans="2:3">
      <c r="B72" s="87">
        <v>45989</v>
      </c>
      <c r="C72" s="88">
        <v>2086875</v>
      </c>
    </row>
    <row r="73" spans="2:3">
      <c r="B73" s="8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A138-0F66-456B-83BF-D517B4F8D78B}">
  <dimension ref="A1:U125"/>
  <sheetViews>
    <sheetView workbookViewId="0">
      <selection activeCell="I79" sqref="I79:I117"/>
    </sheetView>
  </sheetViews>
  <sheetFormatPr defaultRowHeight="14.45"/>
  <cols>
    <col min="1" max="1" width="10.140625" bestFit="1" customWidth="1"/>
    <col min="2" max="2" width="36.28515625" bestFit="1" customWidth="1"/>
    <col min="3" max="3" width="17.140625" bestFit="1" customWidth="1"/>
    <col min="4" max="4" width="10.140625" bestFit="1" customWidth="1"/>
    <col min="5" max="5" width="26.28515625" bestFit="1" customWidth="1"/>
    <col min="6" max="6" width="13.5703125" bestFit="1" customWidth="1"/>
    <col min="7" max="7" width="39.140625" bestFit="1" customWidth="1"/>
    <col min="8" max="8" width="20.42578125" bestFit="1" customWidth="1"/>
    <col min="9" max="9" width="24.5703125" bestFit="1" customWidth="1"/>
    <col min="10" max="10" width="26.5703125" bestFit="1" customWidth="1"/>
    <col min="11" max="11" width="10.5703125" bestFit="1" customWidth="1"/>
    <col min="12" max="12" width="11" bestFit="1" customWidth="1"/>
    <col min="13" max="13" width="13.85546875" bestFit="1" customWidth="1"/>
    <col min="14" max="14" width="10" bestFit="1" customWidth="1"/>
    <col min="15" max="15" width="26.7109375" bestFit="1" customWidth="1"/>
    <col min="16" max="16" width="18.5703125" bestFit="1" customWidth="1"/>
    <col min="17" max="17" width="16" bestFit="1" customWidth="1"/>
    <col min="18" max="18" width="18.5703125" bestFit="1" customWidth="1"/>
  </cols>
  <sheetData>
    <row r="1" spans="1:21">
      <c r="A1" s="36" t="s">
        <v>384</v>
      </c>
    </row>
    <row r="3" spans="1:21">
      <c r="A3" t="s">
        <v>43</v>
      </c>
      <c r="B3" t="s">
        <v>44</v>
      </c>
      <c r="C3" t="s">
        <v>45</v>
      </c>
      <c r="D3" t="s">
        <v>46</v>
      </c>
      <c r="E3" t="s">
        <v>7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4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</row>
    <row r="4" spans="1:21" hidden="1">
      <c r="A4" s="66">
        <v>46112</v>
      </c>
      <c r="B4" t="s">
        <v>385</v>
      </c>
      <c r="C4" t="s">
        <v>63</v>
      </c>
      <c r="D4" t="s">
        <v>64</v>
      </c>
      <c r="E4" t="s">
        <v>26</v>
      </c>
      <c r="F4" t="s">
        <v>386</v>
      </c>
      <c r="G4" t="s">
        <v>387</v>
      </c>
      <c r="H4">
        <v>39800</v>
      </c>
      <c r="I4">
        <v>39800</v>
      </c>
      <c r="J4" s="66">
        <v>46082</v>
      </c>
      <c r="K4" t="s">
        <v>67</v>
      </c>
      <c r="L4" t="s">
        <v>68</v>
      </c>
      <c r="M4" t="s">
        <v>69</v>
      </c>
      <c r="O4">
        <v>0</v>
      </c>
      <c r="P4" t="s">
        <v>388</v>
      </c>
      <c r="S4" t="s">
        <v>389</v>
      </c>
      <c r="T4">
        <v>14</v>
      </c>
    </row>
    <row r="5" spans="1:21" hidden="1">
      <c r="A5" s="66">
        <v>46112</v>
      </c>
      <c r="B5" t="s">
        <v>390</v>
      </c>
      <c r="C5" t="s">
        <v>63</v>
      </c>
      <c r="D5" t="s">
        <v>64</v>
      </c>
      <c r="E5" t="s">
        <v>26</v>
      </c>
      <c r="F5" t="s">
        <v>196</v>
      </c>
      <c r="G5" t="s">
        <v>391</v>
      </c>
      <c r="H5">
        <v>115000</v>
      </c>
      <c r="I5">
        <v>115000</v>
      </c>
      <c r="J5" s="66">
        <v>46082</v>
      </c>
      <c r="K5" t="s">
        <v>67</v>
      </c>
      <c r="L5" t="s">
        <v>68</v>
      </c>
      <c r="M5" t="s">
        <v>69</v>
      </c>
      <c r="O5">
        <v>0</v>
      </c>
      <c r="P5" t="s">
        <v>388</v>
      </c>
      <c r="S5" t="s">
        <v>389</v>
      </c>
      <c r="T5">
        <v>14</v>
      </c>
    </row>
    <row r="6" spans="1:21" hidden="1">
      <c r="A6" s="66">
        <v>46112</v>
      </c>
      <c r="B6" t="s">
        <v>392</v>
      </c>
      <c r="C6" t="s">
        <v>63</v>
      </c>
      <c r="D6" t="s">
        <v>320</v>
      </c>
      <c r="E6" t="s">
        <v>26</v>
      </c>
      <c r="F6" t="s">
        <v>393</v>
      </c>
      <c r="G6" t="s">
        <v>394</v>
      </c>
      <c r="H6">
        <v>66650</v>
      </c>
      <c r="I6">
        <v>66650</v>
      </c>
      <c r="J6" s="66">
        <v>46082</v>
      </c>
      <c r="K6" t="s">
        <v>67</v>
      </c>
      <c r="L6" t="s">
        <v>68</v>
      </c>
      <c r="M6" t="s">
        <v>69</v>
      </c>
      <c r="O6">
        <v>0</v>
      </c>
      <c r="P6" t="s">
        <v>388</v>
      </c>
      <c r="S6" t="s">
        <v>389</v>
      </c>
      <c r="T6">
        <v>14</v>
      </c>
    </row>
    <row r="7" spans="1:21" hidden="1">
      <c r="A7" s="66">
        <v>46112</v>
      </c>
      <c r="B7" t="s">
        <v>395</v>
      </c>
      <c r="C7" t="s">
        <v>96</v>
      </c>
      <c r="D7" t="s">
        <v>64</v>
      </c>
      <c r="E7" t="s">
        <v>26</v>
      </c>
      <c r="F7" t="s">
        <v>396</v>
      </c>
      <c r="G7" t="s">
        <v>397</v>
      </c>
      <c r="H7">
        <v>10200</v>
      </c>
      <c r="I7">
        <v>10200</v>
      </c>
      <c r="J7" s="66">
        <v>46082</v>
      </c>
      <c r="K7" t="s">
        <v>67</v>
      </c>
      <c r="L7" t="s">
        <v>68</v>
      </c>
      <c r="M7" t="s">
        <v>69</v>
      </c>
      <c r="O7">
        <v>0</v>
      </c>
      <c r="P7" t="s">
        <v>388</v>
      </c>
      <c r="S7" t="s">
        <v>389</v>
      </c>
      <c r="T7">
        <v>14</v>
      </c>
    </row>
    <row r="8" spans="1:21" hidden="1">
      <c r="A8" s="66">
        <v>46111</v>
      </c>
      <c r="B8" t="s">
        <v>392</v>
      </c>
      <c r="C8" t="s">
        <v>63</v>
      </c>
      <c r="D8" t="s">
        <v>320</v>
      </c>
      <c r="E8" t="s">
        <v>26</v>
      </c>
      <c r="F8" t="s">
        <v>393</v>
      </c>
      <c r="G8" t="s">
        <v>394</v>
      </c>
      <c r="H8">
        <v>42780</v>
      </c>
      <c r="I8">
        <v>42780</v>
      </c>
      <c r="J8" s="66">
        <v>46082</v>
      </c>
      <c r="K8" t="s">
        <v>67</v>
      </c>
      <c r="L8" t="s">
        <v>68</v>
      </c>
      <c r="M8" t="s">
        <v>69</v>
      </c>
      <c r="O8">
        <v>0</v>
      </c>
      <c r="P8" t="s">
        <v>388</v>
      </c>
      <c r="S8" t="s">
        <v>389</v>
      </c>
      <c r="T8">
        <v>14</v>
      </c>
    </row>
    <row r="9" spans="1:21" hidden="1">
      <c r="A9" s="66">
        <v>46111</v>
      </c>
      <c r="B9" t="s">
        <v>395</v>
      </c>
      <c r="C9" t="s">
        <v>96</v>
      </c>
      <c r="D9" t="s">
        <v>64</v>
      </c>
      <c r="E9" t="s">
        <v>26</v>
      </c>
      <c r="F9" t="s">
        <v>396</v>
      </c>
      <c r="G9" t="s">
        <v>398</v>
      </c>
      <c r="H9">
        <v>8700</v>
      </c>
      <c r="I9">
        <v>8700</v>
      </c>
      <c r="J9" s="66">
        <v>46082</v>
      </c>
      <c r="K9" t="s">
        <v>67</v>
      </c>
      <c r="L9" t="s">
        <v>68</v>
      </c>
      <c r="M9" t="s">
        <v>69</v>
      </c>
      <c r="O9">
        <v>8700</v>
      </c>
      <c r="P9" t="s">
        <v>388</v>
      </c>
      <c r="S9" t="s">
        <v>389</v>
      </c>
      <c r="T9">
        <v>14</v>
      </c>
    </row>
    <row r="10" spans="1:21" hidden="1">
      <c r="A10" s="66">
        <v>46110</v>
      </c>
      <c r="B10" t="s">
        <v>399</v>
      </c>
      <c r="C10" t="s">
        <v>96</v>
      </c>
      <c r="D10" t="s">
        <v>20</v>
      </c>
      <c r="E10" t="s">
        <v>23</v>
      </c>
      <c r="F10" t="s">
        <v>334</v>
      </c>
      <c r="G10" t="s">
        <v>400</v>
      </c>
      <c r="H10">
        <v>18500</v>
      </c>
      <c r="I10">
        <v>18500</v>
      </c>
      <c r="J10" s="66">
        <v>46082</v>
      </c>
      <c r="K10" t="s">
        <v>67</v>
      </c>
      <c r="L10" t="s">
        <v>68</v>
      </c>
      <c r="M10" t="s">
        <v>69</v>
      </c>
      <c r="O10">
        <v>0</v>
      </c>
      <c r="P10" t="s">
        <v>70</v>
      </c>
      <c r="S10" t="s">
        <v>389</v>
      </c>
      <c r="T10">
        <v>13</v>
      </c>
    </row>
    <row r="11" spans="1:21" hidden="1">
      <c r="A11" s="66">
        <v>46109</v>
      </c>
      <c r="B11" t="s">
        <v>401</v>
      </c>
      <c r="C11" t="s">
        <v>96</v>
      </c>
      <c r="D11" t="s">
        <v>20</v>
      </c>
      <c r="E11" t="s">
        <v>23</v>
      </c>
      <c r="F11" t="s">
        <v>402</v>
      </c>
      <c r="G11" t="s">
        <v>403</v>
      </c>
      <c r="H11">
        <v>6500</v>
      </c>
      <c r="I11">
        <v>6500</v>
      </c>
      <c r="J11" s="66">
        <v>46082</v>
      </c>
      <c r="K11" t="s">
        <v>67</v>
      </c>
      <c r="L11" t="s">
        <v>68</v>
      </c>
      <c r="M11" t="s">
        <v>69</v>
      </c>
      <c r="O11">
        <v>0</v>
      </c>
      <c r="P11" t="s">
        <v>70</v>
      </c>
      <c r="S11" t="s">
        <v>389</v>
      </c>
      <c r="T11">
        <v>13</v>
      </c>
    </row>
    <row r="12" spans="1:21" hidden="1">
      <c r="A12" s="66">
        <v>46108</v>
      </c>
      <c r="B12" t="s">
        <v>404</v>
      </c>
      <c r="C12" t="s">
        <v>96</v>
      </c>
      <c r="D12" t="s">
        <v>64</v>
      </c>
      <c r="E12" t="s">
        <v>26</v>
      </c>
      <c r="F12" t="s">
        <v>120</v>
      </c>
      <c r="G12" t="s">
        <v>405</v>
      </c>
      <c r="H12">
        <v>9175</v>
      </c>
      <c r="I12">
        <v>9175</v>
      </c>
      <c r="J12" s="66">
        <v>46082</v>
      </c>
      <c r="K12" t="s">
        <v>67</v>
      </c>
      <c r="L12" t="s">
        <v>68</v>
      </c>
      <c r="M12" t="s">
        <v>69</v>
      </c>
      <c r="O12">
        <v>9175</v>
      </c>
      <c r="P12" t="s">
        <v>388</v>
      </c>
      <c r="S12" t="s">
        <v>389</v>
      </c>
      <c r="T12">
        <v>13</v>
      </c>
    </row>
    <row r="13" spans="1:21" hidden="1">
      <c r="A13" s="66">
        <v>46108</v>
      </c>
      <c r="B13" t="s">
        <v>406</v>
      </c>
      <c r="C13" t="s">
        <v>96</v>
      </c>
      <c r="D13" t="s">
        <v>64</v>
      </c>
      <c r="E13" t="s">
        <v>26</v>
      </c>
      <c r="F13" t="s">
        <v>120</v>
      </c>
      <c r="G13" t="s">
        <v>405</v>
      </c>
      <c r="H13">
        <v>21413</v>
      </c>
      <c r="I13">
        <v>21413</v>
      </c>
      <c r="J13" s="66">
        <v>46082</v>
      </c>
      <c r="K13" t="s">
        <v>67</v>
      </c>
      <c r="L13" t="s">
        <v>68</v>
      </c>
      <c r="M13" t="s">
        <v>69</v>
      </c>
      <c r="O13">
        <v>21413</v>
      </c>
      <c r="P13" t="s">
        <v>388</v>
      </c>
      <c r="S13" t="s">
        <v>389</v>
      </c>
      <c r="T13">
        <v>13</v>
      </c>
    </row>
    <row r="14" spans="1:21" hidden="1">
      <c r="A14" s="66">
        <v>46108</v>
      </c>
      <c r="B14" t="s">
        <v>407</v>
      </c>
      <c r="C14" t="s">
        <v>96</v>
      </c>
      <c r="D14" t="s">
        <v>64</v>
      </c>
      <c r="E14" t="s">
        <v>26</v>
      </c>
      <c r="F14" t="s">
        <v>408</v>
      </c>
      <c r="G14" t="s">
        <v>409</v>
      </c>
      <c r="H14">
        <v>16430</v>
      </c>
      <c r="I14">
        <v>16430</v>
      </c>
      <c r="J14" s="66">
        <v>46082</v>
      </c>
      <c r="K14" t="s">
        <v>67</v>
      </c>
      <c r="L14" t="s">
        <v>68</v>
      </c>
      <c r="M14" t="s">
        <v>69</v>
      </c>
      <c r="O14">
        <v>16430</v>
      </c>
      <c r="P14" t="s">
        <v>388</v>
      </c>
      <c r="S14" t="s">
        <v>389</v>
      </c>
      <c r="T14">
        <v>13</v>
      </c>
    </row>
    <row r="15" spans="1:21" hidden="1">
      <c r="A15" s="66">
        <v>46108</v>
      </c>
      <c r="B15" t="s">
        <v>410</v>
      </c>
      <c r="C15" t="s">
        <v>96</v>
      </c>
      <c r="D15" t="s">
        <v>64</v>
      </c>
      <c r="E15" t="s">
        <v>26</v>
      </c>
      <c r="F15" t="s">
        <v>411</v>
      </c>
      <c r="G15" t="s">
        <v>412</v>
      </c>
      <c r="H15">
        <v>48160</v>
      </c>
      <c r="I15">
        <v>48160</v>
      </c>
      <c r="J15" s="66">
        <v>46082</v>
      </c>
      <c r="K15" t="s">
        <v>67</v>
      </c>
      <c r="L15" t="s">
        <v>68</v>
      </c>
      <c r="M15" t="s">
        <v>69</v>
      </c>
      <c r="O15">
        <v>48160</v>
      </c>
      <c r="P15" t="s">
        <v>388</v>
      </c>
      <c r="S15" t="s">
        <v>389</v>
      </c>
      <c r="T15">
        <v>13</v>
      </c>
    </row>
    <row r="16" spans="1:21" hidden="1">
      <c r="A16" s="66">
        <v>46108</v>
      </c>
      <c r="B16" t="s">
        <v>392</v>
      </c>
      <c r="C16" t="s">
        <v>63</v>
      </c>
      <c r="D16" t="s">
        <v>320</v>
      </c>
      <c r="E16" t="s">
        <v>26</v>
      </c>
      <c r="F16" t="s">
        <v>393</v>
      </c>
      <c r="G16" t="s">
        <v>413</v>
      </c>
      <c r="H16">
        <v>38100</v>
      </c>
      <c r="I16">
        <v>38100</v>
      </c>
      <c r="J16" s="66">
        <v>46082</v>
      </c>
      <c r="K16" t="s">
        <v>67</v>
      </c>
      <c r="L16" t="s">
        <v>68</v>
      </c>
      <c r="M16" t="s">
        <v>69</v>
      </c>
      <c r="O16">
        <v>0</v>
      </c>
      <c r="P16" t="s">
        <v>388</v>
      </c>
      <c r="S16" t="s">
        <v>389</v>
      </c>
      <c r="T16">
        <v>13</v>
      </c>
    </row>
    <row r="17" spans="1:20" hidden="1">
      <c r="A17" s="66">
        <v>46108</v>
      </c>
      <c r="B17" t="s">
        <v>414</v>
      </c>
      <c r="C17" t="s">
        <v>96</v>
      </c>
      <c r="D17" t="s">
        <v>64</v>
      </c>
      <c r="E17" t="s">
        <v>26</v>
      </c>
      <c r="F17" t="s">
        <v>415</v>
      </c>
      <c r="G17" t="s">
        <v>416</v>
      </c>
      <c r="H17">
        <v>16510</v>
      </c>
      <c r="I17">
        <v>16510</v>
      </c>
      <c r="J17" s="66">
        <v>46082</v>
      </c>
      <c r="K17" t="s">
        <v>67</v>
      </c>
      <c r="L17" t="s">
        <v>68</v>
      </c>
      <c r="M17" t="s">
        <v>69</v>
      </c>
      <c r="O17">
        <v>16510</v>
      </c>
      <c r="P17" t="s">
        <v>388</v>
      </c>
      <c r="S17" t="s">
        <v>389</v>
      </c>
      <c r="T17">
        <v>13</v>
      </c>
    </row>
    <row r="18" spans="1:20" hidden="1">
      <c r="A18" s="66">
        <v>46107</v>
      </c>
      <c r="B18" t="s">
        <v>404</v>
      </c>
      <c r="C18" t="s">
        <v>96</v>
      </c>
      <c r="D18" t="s">
        <v>64</v>
      </c>
      <c r="E18" t="s">
        <v>26</v>
      </c>
      <c r="F18" t="s">
        <v>120</v>
      </c>
      <c r="G18" t="s">
        <v>417</v>
      </c>
      <c r="H18">
        <v>30273</v>
      </c>
      <c r="I18">
        <v>30273</v>
      </c>
      <c r="J18" s="66">
        <v>46082</v>
      </c>
      <c r="K18" t="s">
        <v>67</v>
      </c>
      <c r="L18" t="s">
        <v>68</v>
      </c>
      <c r="M18" t="s">
        <v>69</v>
      </c>
      <c r="O18">
        <v>30273</v>
      </c>
      <c r="P18" t="s">
        <v>388</v>
      </c>
      <c r="S18" t="s">
        <v>389</v>
      </c>
      <c r="T18">
        <v>13</v>
      </c>
    </row>
    <row r="19" spans="1:20" hidden="1">
      <c r="A19" s="66">
        <v>46107</v>
      </c>
      <c r="B19" t="s">
        <v>406</v>
      </c>
      <c r="C19" t="s">
        <v>96</v>
      </c>
      <c r="D19" t="s">
        <v>64</v>
      </c>
      <c r="E19" t="s">
        <v>26</v>
      </c>
      <c r="F19" t="s">
        <v>120</v>
      </c>
      <c r="G19" t="s">
        <v>417</v>
      </c>
      <c r="H19">
        <v>70635</v>
      </c>
      <c r="I19">
        <v>70635</v>
      </c>
      <c r="J19" s="66">
        <v>46082</v>
      </c>
      <c r="K19" t="s">
        <v>67</v>
      </c>
      <c r="L19" t="s">
        <v>68</v>
      </c>
      <c r="M19" t="s">
        <v>69</v>
      </c>
      <c r="O19">
        <v>70635</v>
      </c>
      <c r="P19" t="s">
        <v>388</v>
      </c>
      <c r="S19" t="s">
        <v>389</v>
      </c>
      <c r="T19">
        <v>13</v>
      </c>
    </row>
    <row r="20" spans="1:20" hidden="1">
      <c r="A20" s="66">
        <v>46107</v>
      </c>
      <c r="B20" t="s">
        <v>407</v>
      </c>
      <c r="C20" t="s">
        <v>96</v>
      </c>
      <c r="D20" t="s">
        <v>64</v>
      </c>
      <c r="E20" t="s">
        <v>26</v>
      </c>
      <c r="F20" t="s">
        <v>408</v>
      </c>
      <c r="G20" t="s">
        <v>418</v>
      </c>
      <c r="H20">
        <v>39400</v>
      </c>
      <c r="I20">
        <v>39400</v>
      </c>
      <c r="J20" s="66">
        <v>46082</v>
      </c>
      <c r="K20" t="s">
        <v>67</v>
      </c>
      <c r="L20" t="s">
        <v>68</v>
      </c>
      <c r="M20" t="s">
        <v>69</v>
      </c>
      <c r="O20">
        <v>39400</v>
      </c>
      <c r="P20" t="s">
        <v>388</v>
      </c>
      <c r="S20" t="s">
        <v>389</v>
      </c>
      <c r="T20">
        <v>13</v>
      </c>
    </row>
    <row r="21" spans="1:20" hidden="1">
      <c r="A21" s="66">
        <v>46107</v>
      </c>
      <c r="B21" t="s">
        <v>410</v>
      </c>
      <c r="C21" t="s">
        <v>96</v>
      </c>
      <c r="D21" t="s">
        <v>64</v>
      </c>
      <c r="E21" t="s">
        <v>26</v>
      </c>
      <c r="F21" t="s">
        <v>411</v>
      </c>
      <c r="G21" t="s">
        <v>412</v>
      </c>
      <c r="H21">
        <v>87500</v>
      </c>
      <c r="I21">
        <v>87500</v>
      </c>
      <c r="J21" s="66">
        <v>46082</v>
      </c>
      <c r="K21" t="s">
        <v>67</v>
      </c>
      <c r="L21" t="s">
        <v>68</v>
      </c>
      <c r="M21" t="s">
        <v>69</v>
      </c>
      <c r="O21">
        <v>87500</v>
      </c>
      <c r="P21" t="s">
        <v>388</v>
      </c>
      <c r="S21" t="s">
        <v>389</v>
      </c>
      <c r="T21">
        <v>13</v>
      </c>
    </row>
    <row r="22" spans="1:20" hidden="1">
      <c r="A22" s="66">
        <v>46107</v>
      </c>
      <c r="B22" t="s">
        <v>392</v>
      </c>
      <c r="C22" t="s">
        <v>63</v>
      </c>
      <c r="D22" t="s">
        <v>320</v>
      </c>
      <c r="E22" t="s">
        <v>26</v>
      </c>
      <c r="F22" t="s">
        <v>393</v>
      </c>
      <c r="G22" t="s">
        <v>419</v>
      </c>
      <c r="H22">
        <v>65930</v>
      </c>
      <c r="I22">
        <v>65930</v>
      </c>
      <c r="J22" s="66">
        <v>46082</v>
      </c>
      <c r="K22" t="s">
        <v>67</v>
      </c>
      <c r="L22" t="s">
        <v>68</v>
      </c>
      <c r="M22" t="s">
        <v>69</v>
      </c>
      <c r="O22">
        <v>0</v>
      </c>
      <c r="P22" t="s">
        <v>388</v>
      </c>
      <c r="S22" t="s">
        <v>389</v>
      </c>
      <c r="T22">
        <v>13</v>
      </c>
    </row>
    <row r="23" spans="1:20" hidden="1">
      <c r="A23" s="66">
        <v>46107</v>
      </c>
      <c r="B23" t="s">
        <v>414</v>
      </c>
      <c r="C23" t="s">
        <v>96</v>
      </c>
      <c r="D23" t="s">
        <v>64</v>
      </c>
      <c r="E23" t="s">
        <v>26</v>
      </c>
      <c r="F23" t="s">
        <v>415</v>
      </c>
      <c r="G23" t="s">
        <v>420</v>
      </c>
      <c r="H23">
        <v>22750</v>
      </c>
      <c r="I23">
        <v>22750</v>
      </c>
      <c r="J23" s="66">
        <v>46082</v>
      </c>
      <c r="K23" t="s">
        <v>67</v>
      </c>
      <c r="L23" t="s">
        <v>68</v>
      </c>
      <c r="M23" t="s">
        <v>69</v>
      </c>
      <c r="O23">
        <v>22750</v>
      </c>
      <c r="P23" t="s">
        <v>388</v>
      </c>
      <c r="S23" t="s">
        <v>389</v>
      </c>
      <c r="T23">
        <v>13</v>
      </c>
    </row>
    <row r="24" spans="1:20" hidden="1">
      <c r="A24" s="66">
        <v>46106</v>
      </c>
      <c r="B24" t="s">
        <v>95</v>
      </c>
      <c r="C24" t="s">
        <v>96</v>
      </c>
      <c r="D24" t="s">
        <v>64</v>
      </c>
      <c r="E24" t="s">
        <v>38</v>
      </c>
      <c r="F24" t="s">
        <v>97</v>
      </c>
      <c r="G24" t="s">
        <v>421</v>
      </c>
      <c r="H24">
        <v>22456</v>
      </c>
      <c r="I24">
        <v>22456</v>
      </c>
      <c r="J24" s="66">
        <v>46082</v>
      </c>
      <c r="K24" t="s">
        <v>99</v>
      </c>
      <c r="L24" t="s">
        <v>68</v>
      </c>
      <c r="M24" t="s">
        <v>69</v>
      </c>
      <c r="O24">
        <v>0</v>
      </c>
      <c r="P24" t="s">
        <v>70</v>
      </c>
      <c r="S24" t="s">
        <v>389</v>
      </c>
      <c r="T24">
        <v>13</v>
      </c>
    </row>
    <row r="25" spans="1:20" hidden="1">
      <c r="A25" s="66">
        <v>46106</v>
      </c>
      <c r="B25" t="s">
        <v>422</v>
      </c>
      <c r="C25" t="s">
        <v>63</v>
      </c>
      <c r="D25" t="s">
        <v>64</v>
      </c>
      <c r="E25" t="s">
        <v>26</v>
      </c>
      <c r="F25" t="s">
        <v>423</v>
      </c>
      <c r="G25" t="s">
        <v>424</v>
      </c>
      <c r="H25">
        <v>219195</v>
      </c>
      <c r="I25">
        <v>219195</v>
      </c>
      <c r="J25" s="66">
        <v>46082</v>
      </c>
      <c r="K25" t="s">
        <v>67</v>
      </c>
      <c r="L25" t="s">
        <v>68</v>
      </c>
      <c r="M25" t="s">
        <v>69</v>
      </c>
      <c r="O25">
        <v>219195</v>
      </c>
      <c r="P25" t="s">
        <v>70</v>
      </c>
      <c r="S25" t="s">
        <v>389</v>
      </c>
      <c r="T25">
        <v>13</v>
      </c>
    </row>
    <row r="26" spans="1:20" hidden="1">
      <c r="A26" s="66">
        <v>46106</v>
      </c>
      <c r="B26" t="s">
        <v>404</v>
      </c>
      <c r="C26" t="s">
        <v>96</v>
      </c>
      <c r="D26" t="s">
        <v>64</v>
      </c>
      <c r="E26" t="s">
        <v>26</v>
      </c>
      <c r="F26" t="s">
        <v>120</v>
      </c>
      <c r="G26" t="s">
        <v>425</v>
      </c>
      <c r="H26">
        <v>13200</v>
      </c>
      <c r="I26">
        <v>13200</v>
      </c>
      <c r="J26" s="66">
        <v>46082</v>
      </c>
      <c r="K26" t="s">
        <v>67</v>
      </c>
      <c r="L26" t="s">
        <v>68</v>
      </c>
      <c r="M26" t="s">
        <v>69</v>
      </c>
      <c r="O26">
        <v>13200</v>
      </c>
      <c r="P26" t="s">
        <v>388</v>
      </c>
      <c r="S26" t="s">
        <v>389</v>
      </c>
      <c r="T26">
        <v>13</v>
      </c>
    </row>
    <row r="27" spans="1:20" hidden="1">
      <c r="A27" s="66">
        <v>46106</v>
      </c>
      <c r="B27" t="s">
        <v>426</v>
      </c>
      <c r="C27" t="s">
        <v>63</v>
      </c>
      <c r="D27" t="s">
        <v>320</v>
      </c>
      <c r="E27" t="s">
        <v>26</v>
      </c>
      <c r="F27" t="s">
        <v>427</v>
      </c>
      <c r="G27" t="s">
        <v>428</v>
      </c>
      <c r="H27">
        <v>61900</v>
      </c>
      <c r="I27">
        <v>61900</v>
      </c>
      <c r="J27" s="66">
        <v>46082</v>
      </c>
      <c r="K27" t="s">
        <v>67</v>
      </c>
      <c r="L27" t="s">
        <v>68</v>
      </c>
      <c r="M27" t="s">
        <v>69</v>
      </c>
      <c r="O27">
        <v>0</v>
      </c>
      <c r="P27" t="s">
        <v>70</v>
      </c>
      <c r="S27" t="s">
        <v>389</v>
      </c>
      <c r="T27">
        <v>13</v>
      </c>
    </row>
    <row r="28" spans="1:20" hidden="1">
      <c r="A28" s="66">
        <v>46106</v>
      </c>
      <c r="B28" t="s">
        <v>406</v>
      </c>
      <c r="C28" t="s">
        <v>96</v>
      </c>
      <c r="D28" t="s">
        <v>64</v>
      </c>
      <c r="E28" t="s">
        <v>26</v>
      </c>
      <c r="F28" t="s">
        <v>120</v>
      </c>
      <c r="G28" t="s">
        <v>425</v>
      </c>
      <c r="H28">
        <v>44950</v>
      </c>
      <c r="I28">
        <v>44950</v>
      </c>
      <c r="J28" s="66">
        <v>46082</v>
      </c>
      <c r="K28" t="s">
        <v>67</v>
      </c>
      <c r="L28" t="s">
        <v>68</v>
      </c>
      <c r="M28" t="s">
        <v>69</v>
      </c>
      <c r="O28">
        <v>44950</v>
      </c>
      <c r="P28" t="s">
        <v>388</v>
      </c>
      <c r="S28" t="s">
        <v>389</v>
      </c>
      <c r="T28">
        <v>13</v>
      </c>
    </row>
    <row r="29" spans="1:20" hidden="1">
      <c r="A29" s="66">
        <v>46106</v>
      </c>
      <c r="B29" t="s">
        <v>407</v>
      </c>
      <c r="C29" t="s">
        <v>96</v>
      </c>
      <c r="D29" t="s">
        <v>64</v>
      </c>
      <c r="E29" t="s">
        <v>26</v>
      </c>
      <c r="F29" t="s">
        <v>408</v>
      </c>
      <c r="G29" t="s">
        <v>429</v>
      </c>
      <c r="H29">
        <v>43490</v>
      </c>
      <c r="I29">
        <v>43490</v>
      </c>
      <c r="J29" s="66">
        <v>46082</v>
      </c>
      <c r="K29" t="s">
        <v>67</v>
      </c>
      <c r="L29" t="s">
        <v>68</v>
      </c>
      <c r="M29" t="s">
        <v>69</v>
      </c>
      <c r="O29">
        <v>43490</v>
      </c>
      <c r="P29" t="s">
        <v>388</v>
      </c>
      <c r="S29" t="s">
        <v>389</v>
      </c>
      <c r="T29">
        <v>13</v>
      </c>
    </row>
    <row r="30" spans="1:20" hidden="1">
      <c r="A30" s="66">
        <v>46106</v>
      </c>
      <c r="B30" t="s">
        <v>395</v>
      </c>
      <c r="C30" t="s">
        <v>96</v>
      </c>
      <c r="D30" t="s">
        <v>64</v>
      </c>
      <c r="E30" t="s">
        <v>26</v>
      </c>
      <c r="F30" t="s">
        <v>396</v>
      </c>
      <c r="G30" t="s">
        <v>430</v>
      </c>
      <c r="H30">
        <v>13200</v>
      </c>
      <c r="I30">
        <v>13200</v>
      </c>
      <c r="J30" s="66">
        <v>46082</v>
      </c>
      <c r="K30" t="s">
        <v>67</v>
      </c>
      <c r="L30" t="s">
        <v>68</v>
      </c>
      <c r="M30" t="s">
        <v>69</v>
      </c>
      <c r="O30">
        <v>13200</v>
      </c>
      <c r="P30" t="s">
        <v>388</v>
      </c>
      <c r="S30" t="s">
        <v>389</v>
      </c>
      <c r="T30">
        <v>13</v>
      </c>
    </row>
    <row r="31" spans="1:20" hidden="1">
      <c r="A31" s="66">
        <v>46106</v>
      </c>
      <c r="B31" t="s">
        <v>410</v>
      </c>
      <c r="C31" t="s">
        <v>96</v>
      </c>
      <c r="D31" t="s">
        <v>64</v>
      </c>
      <c r="E31" t="s">
        <v>26</v>
      </c>
      <c r="F31" t="s">
        <v>411</v>
      </c>
      <c r="G31" t="s">
        <v>431</v>
      </c>
      <c r="H31">
        <v>63370</v>
      </c>
      <c r="I31">
        <v>63370</v>
      </c>
      <c r="J31" s="66">
        <v>46082</v>
      </c>
      <c r="K31" t="s">
        <v>67</v>
      </c>
      <c r="L31" t="s">
        <v>68</v>
      </c>
      <c r="M31" t="s">
        <v>69</v>
      </c>
      <c r="O31">
        <v>63370</v>
      </c>
      <c r="P31" t="s">
        <v>388</v>
      </c>
      <c r="S31" t="s">
        <v>389</v>
      </c>
      <c r="T31">
        <v>13</v>
      </c>
    </row>
    <row r="32" spans="1:20" hidden="1">
      <c r="A32" s="66">
        <v>46106</v>
      </c>
      <c r="B32" t="s">
        <v>392</v>
      </c>
      <c r="C32" t="s">
        <v>63</v>
      </c>
      <c r="D32" t="s">
        <v>320</v>
      </c>
      <c r="E32" t="s">
        <v>26</v>
      </c>
      <c r="F32" t="s">
        <v>393</v>
      </c>
      <c r="G32" t="s">
        <v>432</v>
      </c>
      <c r="H32">
        <v>66500</v>
      </c>
      <c r="I32">
        <v>66500</v>
      </c>
      <c r="J32" s="66">
        <v>46082</v>
      </c>
      <c r="K32" t="s">
        <v>67</v>
      </c>
      <c r="L32" t="s">
        <v>68</v>
      </c>
      <c r="M32" t="s">
        <v>69</v>
      </c>
      <c r="O32">
        <v>0</v>
      </c>
      <c r="P32" t="s">
        <v>388</v>
      </c>
      <c r="S32" t="s">
        <v>389</v>
      </c>
      <c r="T32">
        <v>13</v>
      </c>
    </row>
    <row r="33" spans="1:20" hidden="1">
      <c r="A33" s="66">
        <v>46106</v>
      </c>
      <c r="B33" t="s">
        <v>414</v>
      </c>
      <c r="C33" t="s">
        <v>96</v>
      </c>
      <c r="D33" t="s">
        <v>64</v>
      </c>
      <c r="E33" t="s">
        <v>26</v>
      </c>
      <c r="F33" t="s">
        <v>415</v>
      </c>
      <c r="G33" t="s">
        <v>433</v>
      </c>
      <c r="H33">
        <v>36200</v>
      </c>
      <c r="I33">
        <v>36200</v>
      </c>
      <c r="J33" s="66">
        <v>46082</v>
      </c>
      <c r="K33" t="s">
        <v>67</v>
      </c>
      <c r="L33" t="s">
        <v>68</v>
      </c>
      <c r="M33" t="s">
        <v>69</v>
      </c>
      <c r="O33">
        <v>36200</v>
      </c>
      <c r="P33" t="s">
        <v>388</v>
      </c>
      <c r="S33" t="s">
        <v>389</v>
      </c>
      <c r="T33">
        <v>13</v>
      </c>
    </row>
    <row r="34" spans="1:20" hidden="1">
      <c r="A34" s="66">
        <v>46105</v>
      </c>
      <c r="B34" t="s">
        <v>410</v>
      </c>
      <c r="C34" t="s">
        <v>96</v>
      </c>
      <c r="D34" t="s">
        <v>64</v>
      </c>
      <c r="E34" t="s">
        <v>26</v>
      </c>
      <c r="F34" t="s">
        <v>411</v>
      </c>
      <c r="G34" t="s">
        <v>434</v>
      </c>
      <c r="H34">
        <v>56330</v>
      </c>
      <c r="I34">
        <v>56330</v>
      </c>
      <c r="J34" s="66">
        <v>46082</v>
      </c>
      <c r="K34" t="s">
        <v>67</v>
      </c>
      <c r="L34" t="s">
        <v>68</v>
      </c>
      <c r="M34" t="s">
        <v>69</v>
      </c>
      <c r="O34">
        <v>56330</v>
      </c>
      <c r="P34" t="s">
        <v>388</v>
      </c>
      <c r="S34" t="s">
        <v>389</v>
      </c>
      <c r="T34">
        <v>13</v>
      </c>
    </row>
    <row r="35" spans="1:20" hidden="1">
      <c r="A35" s="66">
        <v>46105</v>
      </c>
      <c r="B35" t="s">
        <v>392</v>
      </c>
      <c r="C35" t="s">
        <v>63</v>
      </c>
      <c r="D35" t="s">
        <v>320</v>
      </c>
      <c r="E35" t="s">
        <v>26</v>
      </c>
      <c r="F35" t="s">
        <v>393</v>
      </c>
      <c r="G35" t="s">
        <v>435</v>
      </c>
      <c r="H35">
        <v>64900</v>
      </c>
      <c r="I35">
        <v>64900</v>
      </c>
      <c r="J35" s="66">
        <v>46082</v>
      </c>
      <c r="K35" t="s">
        <v>67</v>
      </c>
      <c r="L35" t="s">
        <v>68</v>
      </c>
      <c r="M35" t="s">
        <v>69</v>
      </c>
      <c r="O35">
        <v>0</v>
      </c>
      <c r="P35" t="s">
        <v>388</v>
      </c>
      <c r="S35" t="s">
        <v>389</v>
      </c>
      <c r="T35">
        <v>13</v>
      </c>
    </row>
    <row r="36" spans="1:20" hidden="1">
      <c r="A36" s="66">
        <v>46105</v>
      </c>
      <c r="B36" t="s">
        <v>414</v>
      </c>
      <c r="C36" t="s">
        <v>96</v>
      </c>
      <c r="D36" t="s">
        <v>64</v>
      </c>
      <c r="E36" t="s">
        <v>26</v>
      </c>
      <c r="F36" t="s">
        <v>415</v>
      </c>
      <c r="G36" t="s">
        <v>436</v>
      </c>
      <c r="H36">
        <v>40100</v>
      </c>
      <c r="I36">
        <v>40100</v>
      </c>
      <c r="J36" s="66">
        <v>46082</v>
      </c>
      <c r="K36" t="s">
        <v>67</v>
      </c>
      <c r="L36" t="s">
        <v>68</v>
      </c>
      <c r="M36" t="s">
        <v>69</v>
      </c>
      <c r="O36">
        <v>40100</v>
      </c>
      <c r="P36" t="s">
        <v>388</v>
      </c>
      <c r="S36" t="s">
        <v>389</v>
      </c>
      <c r="T36">
        <v>13</v>
      </c>
    </row>
    <row r="37" spans="1:20" hidden="1">
      <c r="A37" s="66">
        <v>46104</v>
      </c>
      <c r="B37" t="s">
        <v>410</v>
      </c>
      <c r="C37" t="s">
        <v>96</v>
      </c>
      <c r="D37" t="s">
        <v>64</v>
      </c>
      <c r="E37" t="s">
        <v>26</v>
      </c>
      <c r="F37" t="s">
        <v>411</v>
      </c>
      <c r="G37" t="s">
        <v>437</v>
      </c>
      <c r="H37">
        <v>29940</v>
      </c>
      <c r="I37">
        <v>29940</v>
      </c>
      <c r="J37" s="66">
        <v>46082</v>
      </c>
      <c r="K37" t="s">
        <v>67</v>
      </c>
      <c r="L37" t="s">
        <v>68</v>
      </c>
      <c r="M37" t="s">
        <v>69</v>
      </c>
      <c r="O37">
        <v>0</v>
      </c>
      <c r="P37" t="s">
        <v>388</v>
      </c>
      <c r="S37" t="s">
        <v>389</v>
      </c>
      <c r="T37">
        <v>13</v>
      </c>
    </row>
    <row r="38" spans="1:20" hidden="1">
      <c r="A38" s="66">
        <v>46104</v>
      </c>
      <c r="B38" t="s">
        <v>392</v>
      </c>
      <c r="C38" t="s">
        <v>63</v>
      </c>
      <c r="D38" t="s">
        <v>320</v>
      </c>
      <c r="E38" t="s">
        <v>26</v>
      </c>
      <c r="F38" t="s">
        <v>393</v>
      </c>
      <c r="G38" t="s">
        <v>438</v>
      </c>
      <c r="H38">
        <v>41600</v>
      </c>
      <c r="I38">
        <v>41600</v>
      </c>
      <c r="J38" s="66">
        <v>46082</v>
      </c>
      <c r="K38" t="s">
        <v>67</v>
      </c>
      <c r="L38" t="s">
        <v>68</v>
      </c>
      <c r="M38" t="s">
        <v>69</v>
      </c>
      <c r="O38">
        <v>41600</v>
      </c>
      <c r="P38" t="s">
        <v>388</v>
      </c>
      <c r="S38" t="s">
        <v>389</v>
      </c>
      <c r="T38">
        <v>13</v>
      </c>
    </row>
    <row r="39" spans="1:20" hidden="1">
      <c r="A39" s="66">
        <v>46104</v>
      </c>
      <c r="B39" t="s">
        <v>414</v>
      </c>
      <c r="C39" t="s">
        <v>96</v>
      </c>
      <c r="D39" t="s">
        <v>64</v>
      </c>
      <c r="E39" t="s">
        <v>26</v>
      </c>
      <c r="F39" t="s">
        <v>415</v>
      </c>
      <c r="G39" t="s">
        <v>439</v>
      </c>
      <c r="H39">
        <v>14000</v>
      </c>
      <c r="I39">
        <v>14000</v>
      </c>
      <c r="J39" s="66">
        <v>46082</v>
      </c>
      <c r="K39" t="s">
        <v>67</v>
      </c>
      <c r="L39" t="s">
        <v>68</v>
      </c>
      <c r="M39" t="s">
        <v>69</v>
      </c>
      <c r="O39">
        <v>14000</v>
      </c>
      <c r="P39" t="s">
        <v>388</v>
      </c>
      <c r="S39" t="s">
        <v>389</v>
      </c>
      <c r="T39">
        <v>13</v>
      </c>
    </row>
    <row r="40" spans="1:20" hidden="1">
      <c r="A40" s="66">
        <v>46104</v>
      </c>
      <c r="B40" t="s">
        <v>440</v>
      </c>
      <c r="C40" t="s">
        <v>96</v>
      </c>
      <c r="D40" t="s">
        <v>64</v>
      </c>
      <c r="E40" t="s">
        <v>38</v>
      </c>
      <c r="F40" t="s">
        <v>441</v>
      </c>
      <c r="G40" t="s">
        <v>442</v>
      </c>
      <c r="H40">
        <v>21000</v>
      </c>
      <c r="I40">
        <v>21000</v>
      </c>
      <c r="J40" s="66">
        <v>46082</v>
      </c>
      <c r="K40" t="s">
        <v>67</v>
      </c>
      <c r="L40" t="s">
        <v>68</v>
      </c>
      <c r="M40" t="s">
        <v>69</v>
      </c>
      <c r="O40">
        <v>21000</v>
      </c>
      <c r="P40" t="s">
        <v>388</v>
      </c>
      <c r="S40" t="s">
        <v>389</v>
      </c>
      <c r="T40">
        <v>13</v>
      </c>
    </row>
    <row r="41" spans="1:20" hidden="1">
      <c r="A41" s="66">
        <v>46104</v>
      </c>
      <c r="B41" t="s">
        <v>443</v>
      </c>
      <c r="C41" t="s">
        <v>96</v>
      </c>
      <c r="D41" t="s">
        <v>64</v>
      </c>
      <c r="E41" t="s">
        <v>26</v>
      </c>
      <c r="F41" t="s">
        <v>444</v>
      </c>
      <c r="G41" t="s">
        <v>445</v>
      </c>
      <c r="H41">
        <v>16500</v>
      </c>
      <c r="I41">
        <v>16500</v>
      </c>
      <c r="J41" s="66">
        <v>46082</v>
      </c>
      <c r="K41" t="s">
        <v>67</v>
      </c>
      <c r="L41" t="s">
        <v>68</v>
      </c>
      <c r="M41" t="s">
        <v>69</v>
      </c>
      <c r="O41">
        <v>16500</v>
      </c>
      <c r="P41" t="s">
        <v>70</v>
      </c>
      <c r="S41" t="s">
        <v>389</v>
      </c>
      <c r="T41">
        <v>13</v>
      </c>
    </row>
    <row r="42" spans="1:20" hidden="1">
      <c r="A42" s="66">
        <v>46103</v>
      </c>
      <c r="B42" t="s">
        <v>446</v>
      </c>
      <c r="C42" t="s">
        <v>163</v>
      </c>
      <c r="D42" t="s">
        <v>64</v>
      </c>
      <c r="E42" t="s">
        <v>237</v>
      </c>
      <c r="F42" t="s">
        <v>447</v>
      </c>
      <c r="G42" t="s">
        <v>448</v>
      </c>
      <c r="H42">
        <v>19000</v>
      </c>
      <c r="I42">
        <v>19000</v>
      </c>
      <c r="J42" s="66">
        <v>46082</v>
      </c>
      <c r="K42" t="s">
        <v>67</v>
      </c>
      <c r="L42" t="s">
        <v>68</v>
      </c>
      <c r="M42" t="s">
        <v>69</v>
      </c>
      <c r="O42">
        <v>0</v>
      </c>
      <c r="P42" t="s">
        <v>70</v>
      </c>
      <c r="S42" t="s">
        <v>389</v>
      </c>
      <c r="T42">
        <v>12</v>
      </c>
    </row>
    <row r="43" spans="1:20" hidden="1">
      <c r="A43" s="66">
        <v>46103</v>
      </c>
      <c r="B43" t="s">
        <v>449</v>
      </c>
      <c r="C43" t="s">
        <v>96</v>
      </c>
      <c r="D43" t="s">
        <v>20</v>
      </c>
      <c r="E43" t="s">
        <v>37</v>
      </c>
      <c r="F43" t="s">
        <v>219</v>
      </c>
      <c r="G43" t="s">
        <v>450</v>
      </c>
      <c r="H43">
        <v>6000</v>
      </c>
      <c r="I43">
        <v>6000</v>
      </c>
      <c r="J43" s="66">
        <v>46082</v>
      </c>
      <c r="K43" t="s">
        <v>67</v>
      </c>
      <c r="L43" t="s">
        <v>68</v>
      </c>
      <c r="M43" t="s">
        <v>69</v>
      </c>
      <c r="O43">
        <v>4000</v>
      </c>
      <c r="P43" t="s">
        <v>388</v>
      </c>
      <c r="S43" t="s">
        <v>389</v>
      </c>
      <c r="T43">
        <v>12</v>
      </c>
    </row>
    <row r="44" spans="1:20" hidden="1">
      <c r="A44" s="66">
        <v>46102</v>
      </c>
      <c r="B44" t="s">
        <v>451</v>
      </c>
      <c r="C44" t="s">
        <v>163</v>
      </c>
      <c r="D44" t="s">
        <v>20</v>
      </c>
      <c r="E44" t="s">
        <v>23</v>
      </c>
      <c r="F44" t="s">
        <v>444</v>
      </c>
      <c r="G44" t="s">
        <v>452</v>
      </c>
      <c r="H44">
        <v>7500</v>
      </c>
      <c r="I44">
        <v>7500</v>
      </c>
      <c r="J44" s="66">
        <v>46082</v>
      </c>
      <c r="K44" t="s">
        <v>67</v>
      </c>
      <c r="L44" t="s">
        <v>68</v>
      </c>
      <c r="M44" t="s">
        <v>69</v>
      </c>
      <c r="O44">
        <v>7500</v>
      </c>
      <c r="P44" t="s">
        <v>70</v>
      </c>
      <c r="S44" t="s">
        <v>389</v>
      </c>
      <c r="T44">
        <v>12</v>
      </c>
    </row>
    <row r="45" spans="1:20" hidden="1">
      <c r="A45" s="66">
        <v>46101</v>
      </c>
      <c r="B45" t="s">
        <v>183</v>
      </c>
      <c r="C45" t="s">
        <v>96</v>
      </c>
      <c r="D45" t="s">
        <v>64</v>
      </c>
      <c r="E45" t="s">
        <v>14</v>
      </c>
      <c r="F45" t="s">
        <v>184</v>
      </c>
      <c r="G45" t="s">
        <v>453</v>
      </c>
      <c r="H45">
        <v>6500</v>
      </c>
      <c r="I45">
        <v>6500</v>
      </c>
      <c r="J45" s="66">
        <v>46082</v>
      </c>
      <c r="K45" t="s">
        <v>67</v>
      </c>
      <c r="L45" t="s">
        <v>68</v>
      </c>
      <c r="M45" t="s">
        <v>69</v>
      </c>
      <c r="O45">
        <v>0</v>
      </c>
      <c r="P45" t="s">
        <v>70</v>
      </c>
      <c r="S45" t="s">
        <v>389</v>
      </c>
      <c r="T45">
        <v>12</v>
      </c>
    </row>
    <row r="46" spans="1:20" hidden="1">
      <c r="A46" s="66">
        <v>46101</v>
      </c>
      <c r="B46" t="s">
        <v>392</v>
      </c>
      <c r="C46" t="s">
        <v>63</v>
      </c>
      <c r="D46" t="s">
        <v>320</v>
      </c>
      <c r="E46" t="s">
        <v>26</v>
      </c>
      <c r="F46" t="s">
        <v>393</v>
      </c>
      <c r="G46" t="s">
        <v>454</v>
      </c>
      <c r="H46">
        <v>36500</v>
      </c>
      <c r="I46">
        <v>36500</v>
      </c>
      <c r="J46" s="66">
        <v>46082</v>
      </c>
      <c r="K46" t="s">
        <v>67</v>
      </c>
      <c r="L46" t="s">
        <v>68</v>
      </c>
      <c r="M46" t="s">
        <v>69</v>
      </c>
      <c r="O46">
        <v>0</v>
      </c>
      <c r="P46" t="s">
        <v>388</v>
      </c>
      <c r="S46" t="s">
        <v>389</v>
      </c>
      <c r="T46">
        <v>12</v>
      </c>
    </row>
    <row r="47" spans="1:20" hidden="1">
      <c r="A47" s="66">
        <v>46100</v>
      </c>
      <c r="B47" t="s">
        <v>410</v>
      </c>
      <c r="C47" t="s">
        <v>96</v>
      </c>
      <c r="D47" t="s">
        <v>64</v>
      </c>
      <c r="E47" t="s">
        <v>26</v>
      </c>
      <c r="F47" t="s">
        <v>411</v>
      </c>
      <c r="G47" t="s">
        <v>455</v>
      </c>
      <c r="H47">
        <v>32100</v>
      </c>
      <c r="I47">
        <v>32100</v>
      </c>
      <c r="J47" s="66">
        <v>46082</v>
      </c>
      <c r="K47" t="s">
        <v>67</v>
      </c>
      <c r="L47" t="s">
        <v>68</v>
      </c>
      <c r="M47" t="s">
        <v>69</v>
      </c>
      <c r="O47">
        <v>32100</v>
      </c>
      <c r="P47" t="s">
        <v>388</v>
      </c>
      <c r="S47" t="s">
        <v>389</v>
      </c>
      <c r="T47">
        <v>12</v>
      </c>
    </row>
    <row r="48" spans="1:20" hidden="1">
      <c r="A48" s="66">
        <v>46099</v>
      </c>
      <c r="B48" t="s">
        <v>456</v>
      </c>
      <c r="C48" t="s">
        <v>163</v>
      </c>
      <c r="D48" t="s">
        <v>20</v>
      </c>
      <c r="E48" t="s">
        <v>23</v>
      </c>
      <c r="F48" t="s">
        <v>457</v>
      </c>
      <c r="G48" t="s">
        <v>458</v>
      </c>
      <c r="H48">
        <v>34553</v>
      </c>
      <c r="I48">
        <v>34553</v>
      </c>
      <c r="J48" s="66">
        <v>46082</v>
      </c>
      <c r="K48" t="s">
        <v>99</v>
      </c>
      <c r="L48" t="s">
        <v>68</v>
      </c>
      <c r="M48" t="s">
        <v>69</v>
      </c>
      <c r="O48">
        <v>30000</v>
      </c>
      <c r="P48" t="s">
        <v>70</v>
      </c>
      <c r="S48" t="s">
        <v>389</v>
      </c>
      <c r="T48">
        <v>12</v>
      </c>
    </row>
    <row r="49" spans="1:20" hidden="1">
      <c r="A49" s="66">
        <v>46099</v>
      </c>
      <c r="B49" t="s">
        <v>95</v>
      </c>
      <c r="C49" t="s">
        <v>96</v>
      </c>
      <c r="D49" t="s">
        <v>64</v>
      </c>
      <c r="E49" t="s">
        <v>38</v>
      </c>
      <c r="F49" t="s">
        <v>97</v>
      </c>
      <c r="G49" t="s">
        <v>459</v>
      </c>
      <c r="H49">
        <v>16729</v>
      </c>
      <c r="I49">
        <v>16729</v>
      </c>
      <c r="J49" s="66">
        <v>46082</v>
      </c>
      <c r="K49" t="s">
        <v>99</v>
      </c>
      <c r="L49" t="s">
        <v>68</v>
      </c>
      <c r="M49" t="s">
        <v>69</v>
      </c>
      <c r="O49">
        <v>0</v>
      </c>
      <c r="P49" t="s">
        <v>70</v>
      </c>
      <c r="S49" t="s">
        <v>389</v>
      </c>
      <c r="T49">
        <v>12</v>
      </c>
    </row>
    <row r="50" spans="1:20" hidden="1">
      <c r="A50" s="66">
        <v>46099</v>
      </c>
      <c r="B50" t="s">
        <v>460</v>
      </c>
      <c r="C50" t="s">
        <v>96</v>
      </c>
      <c r="D50" t="s">
        <v>64</v>
      </c>
      <c r="E50" t="s">
        <v>26</v>
      </c>
      <c r="F50" t="s">
        <v>461</v>
      </c>
      <c r="G50" t="s">
        <v>462</v>
      </c>
      <c r="H50">
        <v>59500</v>
      </c>
      <c r="I50">
        <v>59500</v>
      </c>
      <c r="J50" s="66">
        <v>46082</v>
      </c>
      <c r="K50" t="s">
        <v>67</v>
      </c>
      <c r="L50" t="s">
        <v>68</v>
      </c>
      <c r="M50" t="s">
        <v>69</v>
      </c>
      <c r="O50">
        <v>59500</v>
      </c>
      <c r="P50" t="s">
        <v>70</v>
      </c>
      <c r="S50" t="s">
        <v>389</v>
      </c>
      <c r="T50">
        <v>12</v>
      </c>
    </row>
    <row r="51" spans="1:20" hidden="1">
      <c r="A51" s="66">
        <v>46099</v>
      </c>
      <c r="B51" t="s">
        <v>463</v>
      </c>
      <c r="C51" t="s">
        <v>96</v>
      </c>
      <c r="D51" t="s">
        <v>320</v>
      </c>
      <c r="E51" t="s">
        <v>26</v>
      </c>
      <c r="F51" t="s">
        <v>464</v>
      </c>
      <c r="G51" t="s">
        <v>465</v>
      </c>
      <c r="H51">
        <v>34200</v>
      </c>
      <c r="I51">
        <v>34200</v>
      </c>
      <c r="J51" s="66">
        <v>46082</v>
      </c>
      <c r="K51" t="s">
        <v>67</v>
      </c>
      <c r="L51" t="s">
        <v>68</v>
      </c>
      <c r="M51" t="s">
        <v>69</v>
      </c>
      <c r="O51">
        <v>34200</v>
      </c>
      <c r="P51" t="s">
        <v>388</v>
      </c>
      <c r="S51" t="s">
        <v>389</v>
      </c>
      <c r="T51">
        <v>12</v>
      </c>
    </row>
    <row r="52" spans="1:20" hidden="1">
      <c r="A52" s="66">
        <v>46099</v>
      </c>
      <c r="B52" t="s">
        <v>466</v>
      </c>
      <c r="C52" t="s">
        <v>96</v>
      </c>
      <c r="D52" t="s">
        <v>64</v>
      </c>
      <c r="E52" t="s">
        <v>26</v>
      </c>
      <c r="F52" t="s">
        <v>334</v>
      </c>
      <c r="G52" t="s">
        <v>467</v>
      </c>
      <c r="H52">
        <v>56650</v>
      </c>
      <c r="I52">
        <v>56650</v>
      </c>
      <c r="J52" s="66">
        <v>46082</v>
      </c>
      <c r="K52" t="s">
        <v>67</v>
      </c>
      <c r="L52" t="s">
        <v>68</v>
      </c>
      <c r="M52" t="s">
        <v>69</v>
      </c>
      <c r="O52">
        <v>56650</v>
      </c>
      <c r="P52" t="s">
        <v>468</v>
      </c>
      <c r="S52" t="s">
        <v>389</v>
      </c>
      <c r="T52">
        <v>12</v>
      </c>
    </row>
    <row r="53" spans="1:20" hidden="1">
      <c r="A53" s="66">
        <v>46099</v>
      </c>
      <c r="B53" t="s">
        <v>410</v>
      </c>
      <c r="C53" t="s">
        <v>96</v>
      </c>
      <c r="D53" t="s">
        <v>64</v>
      </c>
      <c r="E53" t="s">
        <v>26</v>
      </c>
      <c r="F53" t="s">
        <v>411</v>
      </c>
      <c r="G53" t="s">
        <v>469</v>
      </c>
      <c r="H53">
        <v>52500</v>
      </c>
      <c r="I53">
        <v>52500</v>
      </c>
      <c r="J53" s="66">
        <v>46082</v>
      </c>
      <c r="K53" t="s">
        <v>67</v>
      </c>
      <c r="L53" t="s">
        <v>68</v>
      </c>
      <c r="M53" t="s">
        <v>69</v>
      </c>
      <c r="O53">
        <v>52500</v>
      </c>
      <c r="P53" t="s">
        <v>388</v>
      </c>
      <c r="S53" t="s">
        <v>389</v>
      </c>
      <c r="T53">
        <v>12</v>
      </c>
    </row>
    <row r="54" spans="1:20" hidden="1">
      <c r="A54" s="66">
        <v>46099</v>
      </c>
      <c r="B54" t="s">
        <v>392</v>
      </c>
      <c r="C54" t="s">
        <v>63</v>
      </c>
      <c r="D54" t="s">
        <v>320</v>
      </c>
      <c r="E54" t="s">
        <v>26</v>
      </c>
      <c r="F54" t="s">
        <v>393</v>
      </c>
      <c r="G54" t="s">
        <v>470</v>
      </c>
      <c r="H54">
        <v>56500</v>
      </c>
      <c r="I54">
        <v>56500</v>
      </c>
      <c r="J54" s="66">
        <v>46082</v>
      </c>
      <c r="K54" t="s">
        <v>67</v>
      </c>
      <c r="L54" t="s">
        <v>68</v>
      </c>
      <c r="M54" t="s">
        <v>69</v>
      </c>
      <c r="O54">
        <v>0</v>
      </c>
      <c r="P54" t="s">
        <v>388</v>
      </c>
      <c r="S54" t="s">
        <v>389</v>
      </c>
      <c r="T54">
        <v>12</v>
      </c>
    </row>
    <row r="55" spans="1:20" hidden="1">
      <c r="A55" s="66">
        <v>46099</v>
      </c>
      <c r="B55" t="s">
        <v>414</v>
      </c>
      <c r="C55" t="s">
        <v>96</v>
      </c>
      <c r="D55" t="s">
        <v>64</v>
      </c>
      <c r="E55" t="s">
        <v>26</v>
      </c>
      <c r="F55" t="s">
        <v>415</v>
      </c>
      <c r="G55" t="s">
        <v>467</v>
      </c>
      <c r="H55">
        <v>54200</v>
      </c>
      <c r="I55">
        <v>54200</v>
      </c>
      <c r="J55" s="66">
        <v>46082</v>
      </c>
      <c r="K55" t="s">
        <v>67</v>
      </c>
      <c r="L55" t="s">
        <v>68</v>
      </c>
      <c r="M55" t="s">
        <v>69</v>
      </c>
      <c r="O55">
        <v>54200</v>
      </c>
      <c r="P55" t="s">
        <v>388</v>
      </c>
      <c r="S55" t="s">
        <v>389</v>
      </c>
      <c r="T55">
        <v>12</v>
      </c>
    </row>
    <row r="56" spans="1:20" hidden="1">
      <c r="A56" s="66">
        <v>46099</v>
      </c>
      <c r="B56" t="s">
        <v>471</v>
      </c>
      <c r="C56" t="s">
        <v>96</v>
      </c>
      <c r="D56" t="s">
        <v>64</v>
      </c>
      <c r="E56" t="s">
        <v>26</v>
      </c>
      <c r="F56" t="s">
        <v>472</v>
      </c>
      <c r="G56" t="s">
        <v>473</v>
      </c>
      <c r="H56">
        <v>8500</v>
      </c>
      <c r="I56">
        <v>8500</v>
      </c>
      <c r="J56" s="66">
        <v>46082</v>
      </c>
      <c r="K56" t="s">
        <v>67</v>
      </c>
      <c r="L56" t="s">
        <v>68</v>
      </c>
      <c r="M56" t="s">
        <v>69</v>
      </c>
      <c r="O56">
        <v>8500</v>
      </c>
      <c r="P56" t="s">
        <v>388</v>
      </c>
      <c r="S56" t="s">
        <v>389</v>
      </c>
      <c r="T56">
        <v>12</v>
      </c>
    </row>
    <row r="57" spans="1:20" hidden="1">
      <c r="A57" s="66">
        <v>46098</v>
      </c>
      <c r="B57" t="s">
        <v>474</v>
      </c>
      <c r="C57" t="s">
        <v>96</v>
      </c>
      <c r="D57" t="s">
        <v>64</v>
      </c>
      <c r="E57" t="s">
        <v>26</v>
      </c>
      <c r="F57" t="s">
        <v>371</v>
      </c>
      <c r="G57" t="s">
        <v>475</v>
      </c>
      <c r="H57">
        <v>39900</v>
      </c>
      <c r="I57">
        <v>39900</v>
      </c>
      <c r="J57" s="66">
        <v>46082</v>
      </c>
      <c r="K57" t="s">
        <v>67</v>
      </c>
      <c r="L57" t="s">
        <v>68</v>
      </c>
      <c r="M57" t="s">
        <v>69</v>
      </c>
      <c r="O57">
        <v>39900</v>
      </c>
      <c r="P57" t="s">
        <v>388</v>
      </c>
      <c r="S57" t="s">
        <v>389</v>
      </c>
      <c r="T57">
        <v>12</v>
      </c>
    </row>
    <row r="58" spans="1:20" hidden="1">
      <c r="A58" s="66">
        <v>46098</v>
      </c>
      <c r="B58" t="s">
        <v>463</v>
      </c>
      <c r="C58" t="s">
        <v>96</v>
      </c>
      <c r="D58" t="s">
        <v>320</v>
      </c>
      <c r="E58" t="s">
        <v>26</v>
      </c>
      <c r="F58" t="s">
        <v>464</v>
      </c>
      <c r="G58" t="s">
        <v>476</v>
      </c>
      <c r="H58">
        <v>32470</v>
      </c>
      <c r="I58">
        <v>32470</v>
      </c>
      <c r="J58" s="66">
        <v>46082</v>
      </c>
      <c r="K58" t="s">
        <v>67</v>
      </c>
      <c r="L58" t="s">
        <v>68</v>
      </c>
      <c r="M58" t="s">
        <v>69</v>
      </c>
      <c r="O58">
        <v>26980</v>
      </c>
      <c r="P58" t="s">
        <v>388</v>
      </c>
      <c r="S58" t="s">
        <v>389</v>
      </c>
      <c r="T58">
        <v>12</v>
      </c>
    </row>
    <row r="59" spans="1:20" hidden="1">
      <c r="A59" s="66">
        <v>46098</v>
      </c>
      <c r="B59" t="s">
        <v>466</v>
      </c>
      <c r="C59" t="s">
        <v>96</v>
      </c>
      <c r="D59" t="s">
        <v>64</v>
      </c>
      <c r="E59" t="s">
        <v>26</v>
      </c>
      <c r="F59" t="s">
        <v>334</v>
      </c>
      <c r="G59" t="s">
        <v>477</v>
      </c>
      <c r="H59">
        <v>67000</v>
      </c>
      <c r="I59">
        <v>67000</v>
      </c>
      <c r="J59" s="66">
        <v>46082</v>
      </c>
      <c r="K59" t="s">
        <v>67</v>
      </c>
      <c r="L59" t="s">
        <v>68</v>
      </c>
      <c r="M59" t="s">
        <v>69</v>
      </c>
      <c r="O59">
        <v>67000</v>
      </c>
      <c r="P59" t="s">
        <v>468</v>
      </c>
      <c r="S59" t="s">
        <v>389</v>
      </c>
      <c r="T59">
        <v>12</v>
      </c>
    </row>
    <row r="60" spans="1:20" hidden="1">
      <c r="A60" s="66">
        <v>46098</v>
      </c>
      <c r="B60" t="s">
        <v>478</v>
      </c>
      <c r="C60" t="s">
        <v>96</v>
      </c>
      <c r="D60" t="s">
        <v>320</v>
      </c>
      <c r="E60" t="s">
        <v>26</v>
      </c>
      <c r="F60" t="s">
        <v>479</v>
      </c>
      <c r="G60" t="s">
        <v>480</v>
      </c>
      <c r="H60">
        <v>9460</v>
      </c>
      <c r="I60">
        <v>9460</v>
      </c>
      <c r="J60" s="66">
        <v>46082</v>
      </c>
      <c r="K60" t="s">
        <v>67</v>
      </c>
      <c r="L60" t="s">
        <v>68</v>
      </c>
      <c r="M60" t="s">
        <v>69</v>
      </c>
      <c r="O60">
        <v>0</v>
      </c>
      <c r="P60" t="s">
        <v>70</v>
      </c>
      <c r="S60" t="s">
        <v>389</v>
      </c>
      <c r="T60">
        <v>12</v>
      </c>
    </row>
    <row r="61" spans="1:20" hidden="1">
      <c r="A61" s="66">
        <v>46098</v>
      </c>
      <c r="B61" t="s">
        <v>481</v>
      </c>
      <c r="C61" t="s">
        <v>63</v>
      </c>
      <c r="D61" t="s">
        <v>64</v>
      </c>
      <c r="E61" t="s">
        <v>26</v>
      </c>
      <c r="F61" t="s">
        <v>164</v>
      </c>
      <c r="G61" t="s">
        <v>482</v>
      </c>
      <c r="H61">
        <v>228000</v>
      </c>
      <c r="I61">
        <v>228000</v>
      </c>
      <c r="J61" s="66">
        <v>46082</v>
      </c>
      <c r="K61" t="s">
        <v>67</v>
      </c>
      <c r="L61" t="s">
        <v>68</v>
      </c>
      <c r="M61" t="s">
        <v>69</v>
      </c>
      <c r="O61">
        <v>228000</v>
      </c>
      <c r="P61" t="s">
        <v>70</v>
      </c>
      <c r="S61" t="s">
        <v>389</v>
      </c>
      <c r="T61">
        <v>12</v>
      </c>
    </row>
    <row r="62" spans="1:20" hidden="1">
      <c r="A62" s="66">
        <v>46098</v>
      </c>
      <c r="B62" t="s">
        <v>410</v>
      </c>
      <c r="C62" t="s">
        <v>96</v>
      </c>
      <c r="D62" t="s">
        <v>64</v>
      </c>
      <c r="E62" t="s">
        <v>26</v>
      </c>
      <c r="F62" t="s">
        <v>411</v>
      </c>
      <c r="G62" t="s">
        <v>483</v>
      </c>
      <c r="H62">
        <v>67590</v>
      </c>
      <c r="I62">
        <v>67590</v>
      </c>
      <c r="J62" s="66">
        <v>46082</v>
      </c>
      <c r="K62" t="s">
        <v>67</v>
      </c>
      <c r="L62" t="s">
        <v>68</v>
      </c>
      <c r="M62" t="s">
        <v>69</v>
      </c>
      <c r="O62">
        <v>67590</v>
      </c>
      <c r="P62" t="s">
        <v>388</v>
      </c>
      <c r="S62" t="s">
        <v>389</v>
      </c>
      <c r="T62">
        <v>12</v>
      </c>
    </row>
    <row r="63" spans="1:20" hidden="1">
      <c r="A63" s="66">
        <v>46098</v>
      </c>
      <c r="B63" t="s">
        <v>392</v>
      </c>
      <c r="C63" t="s">
        <v>63</v>
      </c>
      <c r="D63" t="s">
        <v>320</v>
      </c>
      <c r="E63" t="s">
        <v>26</v>
      </c>
      <c r="F63" t="s">
        <v>393</v>
      </c>
      <c r="G63" t="s">
        <v>484</v>
      </c>
      <c r="H63">
        <v>103090</v>
      </c>
      <c r="I63">
        <v>103090</v>
      </c>
      <c r="J63" s="66">
        <v>46082</v>
      </c>
      <c r="K63" t="s">
        <v>67</v>
      </c>
      <c r="L63" t="s">
        <v>68</v>
      </c>
      <c r="M63" t="s">
        <v>69</v>
      </c>
      <c r="O63">
        <v>0</v>
      </c>
      <c r="P63" t="s">
        <v>388</v>
      </c>
      <c r="S63" t="s">
        <v>389</v>
      </c>
      <c r="T63">
        <v>12</v>
      </c>
    </row>
    <row r="64" spans="1:20" hidden="1">
      <c r="A64" s="66">
        <v>46098</v>
      </c>
      <c r="B64" t="s">
        <v>414</v>
      </c>
      <c r="C64" t="s">
        <v>96</v>
      </c>
      <c r="D64" t="s">
        <v>64</v>
      </c>
      <c r="E64" t="s">
        <v>26</v>
      </c>
      <c r="F64" t="s">
        <v>415</v>
      </c>
      <c r="G64" t="s">
        <v>477</v>
      </c>
      <c r="H64">
        <v>55000</v>
      </c>
      <c r="I64">
        <v>55000</v>
      </c>
      <c r="J64" s="66">
        <v>46082</v>
      </c>
      <c r="K64" t="s">
        <v>67</v>
      </c>
      <c r="L64" t="s">
        <v>68</v>
      </c>
      <c r="M64" t="s">
        <v>69</v>
      </c>
      <c r="O64">
        <v>55000</v>
      </c>
      <c r="P64" t="s">
        <v>388</v>
      </c>
      <c r="S64" t="s">
        <v>389</v>
      </c>
      <c r="T64">
        <v>12</v>
      </c>
    </row>
    <row r="65" spans="1:20" hidden="1">
      <c r="A65" s="66">
        <v>46098</v>
      </c>
      <c r="B65" t="s">
        <v>471</v>
      </c>
      <c r="C65" t="s">
        <v>96</v>
      </c>
      <c r="D65" t="s">
        <v>64</v>
      </c>
      <c r="E65" t="s">
        <v>26</v>
      </c>
      <c r="F65" t="s">
        <v>472</v>
      </c>
      <c r="G65" t="s">
        <v>485</v>
      </c>
      <c r="H65">
        <v>7095</v>
      </c>
      <c r="I65">
        <v>7095</v>
      </c>
      <c r="J65" s="66">
        <v>46082</v>
      </c>
      <c r="K65" t="s">
        <v>67</v>
      </c>
      <c r="L65" t="s">
        <v>68</v>
      </c>
      <c r="M65" t="s">
        <v>69</v>
      </c>
      <c r="O65">
        <v>7095</v>
      </c>
      <c r="P65" t="s">
        <v>388</v>
      </c>
      <c r="S65" t="s">
        <v>389</v>
      </c>
      <c r="T65">
        <v>12</v>
      </c>
    </row>
    <row r="66" spans="1:20" hidden="1">
      <c r="A66" s="66">
        <v>46097</v>
      </c>
      <c r="B66" t="s">
        <v>486</v>
      </c>
      <c r="C66" t="s">
        <v>96</v>
      </c>
      <c r="D66" t="s">
        <v>320</v>
      </c>
      <c r="E66" t="s">
        <v>14</v>
      </c>
      <c r="F66" t="s">
        <v>487</v>
      </c>
      <c r="G66" t="s">
        <v>488</v>
      </c>
      <c r="H66">
        <v>4000</v>
      </c>
      <c r="I66">
        <v>4000</v>
      </c>
      <c r="J66" s="66">
        <v>46082</v>
      </c>
      <c r="K66" t="s">
        <v>67</v>
      </c>
      <c r="L66" t="s">
        <v>68</v>
      </c>
      <c r="M66" t="s">
        <v>69</v>
      </c>
      <c r="O66">
        <v>0</v>
      </c>
      <c r="P66" t="s">
        <v>70</v>
      </c>
      <c r="S66" t="s">
        <v>389</v>
      </c>
      <c r="T66">
        <v>12</v>
      </c>
    </row>
    <row r="67" spans="1:20" hidden="1">
      <c r="A67" s="66">
        <v>46097</v>
      </c>
      <c r="B67" t="s">
        <v>62</v>
      </c>
      <c r="C67" t="s">
        <v>163</v>
      </c>
      <c r="D67" t="s">
        <v>320</v>
      </c>
      <c r="E67" t="s">
        <v>26</v>
      </c>
      <c r="F67" t="s">
        <v>423</v>
      </c>
      <c r="G67" t="s">
        <v>489</v>
      </c>
      <c r="H67">
        <v>0</v>
      </c>
      <c r="I67">
        <v>0</v>
      </c>
      <c r="J67" s="66">
        <v>46082</v>
      </c>
      <c r="K67" t="s">
        <v>67</v>
      </c>
      <c r="L67" t="s">
        <v>68</v>
      </c>
      <c r="M67" t="s">
        <v>69</v>
      </c>
      <c r="O67">
        <v>0</v>
      </c>
      <c r="P67" t="s">
        <v>70</v>
      </c>
      <c r="S67" t="s">
        <v>389</v>
      </c>
      <c r="T67">
        <v>12</v>
      </c>
    </row>
    <row r="68" spans="1:20" hidden="1">
      <c r="A68" s="66">
        <v>46097</v>
      </c>
      <c r="B68" t="s">
        <v>410</v>
      </c>
      <c r="C68" t="s">
        <v>96</v>
      </c>
      <c r="D68" t="s">
        <v>64</v>
      </c>
      <c r="E68" t="s">
        <v>26</v>
      </c>
      <c r="F68" t="s">
        <v>411</v>
      </c>
      <c r="G68" t="s">
        <v>490</v>
      </c>
      <c r="H68">
        <v>64110</v>
      </c>
      <c r="I68">
        <v>64110</v>
      </c>
      <c r="J68" s="66">
        <v>46082</v>
      </c>
      <c r="K68" t="s">
        <v>67</v>
      </c>
      <c r="L68" t="s">
        <v>68</v>
      </c>
      <c r="M68" t="s">
        <v>69</v>
      </c>
      <c r="O68">
        <v>64110</v>
      </c>
      <c r="P68" t="s">
        <v>388</v>
      </c>
      <c r="S68" t="s">
        <v>389</v>
      </c>
      <c r="T68">
        <v>12</v>
      </c>
    </row>
    <row r="69" spans="1:20" hidden="1">
      <c r="A69" s="66">
        <v>46097</v>
      </c>
      <c r="B69" t="s">
        <v>392</v>
      </c>
      <c r="C69" t="s">
        <v>63</v>
      </c>
      <c r="D69" t="s">
        <v>320</v>
      </c>
      <c r="E69" t="s">
        <v>26</v>
      </c>
      <c r="F69" t="s">
        <v>393</v>
      </c>
      <c r="G69" t="s">
        <v>491</v>
      </c>
      <c r="H69">
        <v>89650</v>
      </c>
      <c r="I69">
        <v>89650</v>
      </c>
      <c r="J69" s="66">
        <v>46082</v>
      </c>
      <c r="K69" t="s">
        <v>67</v>
      </c>
      <c r="L69" t="s">
        <v>68</v>
      </c>
      <c r="M69" t="s">
        <v>69</v>
      </c>
      <c r="O69">
        <v>0</v>
      </c>
      <c r="P69" t="s">
        <v>388</v>
      </c>
      <c r="S69" t="s">
        <v>389</v>
      </c>
      <c r="T69">
        <v>12</v>
      </c>
    </row>
    <row r="70" spans="1:20" hidden="1">
      <c r="A70" s="66">
        <v>46097</v>
      </c>
      <c r="B70" t="s">
        <v>414</v>
      </c>
      <c r="C70" t="s">
        <v>96</v>
      </c>
      <c r="D70" t="s">
        <v>64</v>
      </c>
      <c r="E70" t="s">
        <v>26</v>
      </c>
      <c r="F70" t="s">
        <v>415</v>
      </c>
      <c r="G70" t="s">
        <v>492</v>
      </c>
      <c r="H70">
        <v>45500</v>
      </c>
      <c r="I70">
        <v>45500</v>
      </c>
      <c r="J70" s="66">
        <v>46082</v>
      </c>
      <c r="K70" t="s">
        <v>67</v>
      </c>
      <c r="L70" t="s">
        <v>68</v>
      </c>
      <c r="M70" t="s">
        <v>69</v>
      </c>
      <c r="O70">
        <v>45500</v>
      </c>
      <c r="P70" t="s">
        <v>388</v>
      </c>
      <c r="S70" t="s">
        <v>389</v>
      </c>
      <c r="T70">
        <v>12</v>
      </c>
    </row>
    <row r="71" spans="1:20" hidden="1">
      <c r="A71" s="66">
        <v>46097</v>
      </c>
      <c r="B71" t="s">
        <v>471</v>
      </c>
      <c r="C71" t="s">
        <v>96</v>
      </c>
      <c r="D71" t="s">
        <v>64</v>
      </c>
      <c r="E71" t="s">
        <v>26</v>
      </c>
      <c r="F71" t="s">
        <v>472</v>
      </c>
      <c r="G71" t="s">
        <v>493</v>
      </c>
      <c r="H71">
        <v>3116</v>
      </c>
      <c r="I71">
        <v>3116</v>
      </c>
      <c r="J71" s="66">
        <v>46082</v>
      </c>
      <c r="K71" t="s">
        <v>67</v>
      </c>
      <c r="L71" t="s">
        <v>68</v>
      </c>
      <c r="M71" t="s">
        <v>69</v>
      </c>
      <c r="O71">
        <v>3116</v>
      </c>
      <c r="P71" t="s">
        <v>388</v>
      </c>
      <c r="S71" t="s">
        <v>389</v>
      </c>
      <c r="T71">
        <v>12</v>
      </c>
    </row>
    <row r="72" spans="1:20" hidden="1">
      <c r="A72" s="66">
        <v>46096</v>
      </c>
      <c r="B72" t="s">
        <v>494</v>
      </c>
      <c r="C72" t="s">
        <v>63</v>
      </c>
      <c r="D72" t="s">
        <v>20</v>
      </c>
      <c r="E72" t="s">
        <v>30</v>
      </c>
      <c r="F72" t="s">
        <v>495</v>
      </c>
      <c r="G72" t="s">
        <v>496</v>
      </c>
      <c r="H72">
        <v>30100</v>
      </c>
      <c r="I72">
        <v>30100</v>
      </c>
      <c r="J72" s="66">
        <v>46082</v>
      </c>
      <c r="K72" t="s">
        <v>67</v>
      </c>
      <c r="L72" t="s">
        <v>68</v>
      </c>
      <c r="M72" t="s">
        <v>69</v>
      </c>
      <c r="O72">
        <v>30100</v>
      </c>
      <c r="P72" t="s">
        <v>388</v>
      </c>
      <c r="S72" t="s">
        <v>389</v>
      </c>
      <c r="T72">
        <v>11</v>
      </c>
    </row>
    <row r="73" spans="1:20" hidden="1">
      <c r="A73" s="66">
        <v>46095</v>
      </c>
      <c r="B73" t="s">
        <v>494</v>
      </c>
      <c r="C73" t="s">
        <v>63</v>
      </c>
      <c r="D73" t="s">
        <v>20</v>
      </c>
      <c r="E73" t="s">
        <v>30</v>
      </c>
      <c r="F73" t="s">
        <v>495</v>
      </c>
      <c r="G73" t="s">
        <v>497</v>
      </c>
      <c r="H73">
        <v>20200</v>
      </c>
      <c r="I73">
        <v>20200</v>
      </c>
      <c r="J73" s="66">
        <v>46082</v>
      </c>
      <c r="K73" t="s">
        <v>67</v>
      </c>
      <c r="L73" t="s">
        <v>68</v>
      </c>
      <c r="M73" t="s">
        <v>69</v>
      </c>
      <c r="O73">
        <v>20200</v>
      </c>
      <c r="P73" t="s">
        <v>388</v>
      </c>
      <c r="S73" t="s">
        <v>389</v>
      </c>
      <c r="T73">
        <v>11</v>
      </c>
    </row>
    <row r="74" spans="1:20" hidden="1">
      <c r="A74" s="66">
        <v>46094</v>
      </c>
      <c r="B74" t="s">
        <v>494</v>
      </c>
      <c r="C74" t="s">
        <v>63</v>
      </c>
      <c r="D74" t="s">
        <v>20</v>
      </c>
      <c r="E74" t="s">
        <v>30</v>
      </c>
      <c r="F74" t="s">
        <v>495</v>
      </c>
      <c r="G74" t="s">
        <v>498</v>
      </c>
      <c r="H74">
        <v>12500</v>
      </c>
      <c r="I74">
        <v>12500</v>
      </c>
      <c r="J74" s="66">
        <v>46082</v>
      </c>
      <c r="K74" t="s">
        <v>67</v>
      </c>
      <c r="L74" t="s">
        <v>68</v>
      </c>
      <c r="M74" t="s">
        <v>69</v>
      </c>
      <c r="O74">
        <v>12500</v>
      </c>
      <c r="P74" t="s">
        <v>388</v>
      </c>
      <c r="S74" t="s">
        <v>389</v>
      </c>
      <c r="T74">
        <v>11</v>
      </c>
    </row>
    <row r="75" spans="1:20" hidden="1">
      <c r="A75" s="66">
        <v>46094</v>
      </c>
      <c r="B75" t="s">
        <v>392</v>
      </c>
      <c r="C75" t="s">
        <v>63</v>
      </c>
      <c r="D75" t="s">
        <v>320</v>
      </c>
      <c r="E75" t="s">
        <v>26</v>
      </c>
      <c r="F75" t="s">
        <v>393</v>
      </c>
      <c r="G75" t="s">
        <v>499</v>
      </c>
      <c r="H75">
        <v>62000</v>
      </c>
      <c r="I75">
        <v>62000</v>
      </c>
      <c r="J75" s="66">
        <v>46082</v>
      </c>
      <c r="K75" t="s">
        <v>67</v>
      </c>
      <c r="L75" t="s">
        <v>68</v>
      </c>
      <c r="M75" t="s">
        <v>69</v>
      </c>
      <c r="O75">
        <v>0</v>
      </c>
      <c r="P75" t="s">
        <v>388</v>
      </c>
      <c r="S75" t="s">
        <v>389</v>
      </c>
      <c r="T75">
        <v>11</v>
      </c>
    </row>
    <row r="76" spans="1:20" hidden="1">
      <c r="A76" s="66">
        <v>46094</v>
      </c>
      <c r="B76" t="s">
        <v>500</v>
      </c>
      <c r="C76" t="s">
        <v>96</v>
      </c>
      <c r="D76" t="s">
        <v>64</v>
      </c>
      <c r="E76" t="s">
        <v>26</v>
      </c>
      <c r="F76" t="s">
        <v>269</v>
      </c>
      <c r="G76" t="s">
        <v>501</v>
      </c>
      <c r="H76">
        <v>40640</v>
      </c>
      <c r="I76">
        <v>40640</v>
      </c>
      <c r="J76" s="66">
        <v>46082</v>
      </c>
      <c r="K76" t="s">
        <v>67</v>
      </c>
      <c r="L76" t="s">
        <v>68</v>
      </c>
      <c r="M76" t="s">
        <v>69</v>
      </c>
      <c r="O76">
        <v>40640</v>
      </c>
      <c r="P76" t="s">
        <v>388</v>
      </c>
      <c r="S76" t="s">
        <v>389</v>
      </c>
      <c r="T76">
        <v>11</v>
      </c>
    </row>
    <row r="77" spans="1:20" hidden="1">
      <c r="A77" s="66">
        <v>46094</v>
      </c>
      <c r="B77" t="s">
        <v>410</v>
      </c>
      <c r="C77" t="s">
        <v>96</v>
      </c>
      <c r="D77" t="s">
        <v>64</v>
      </c>
      <c r="E77" t="s">
        <v>26</v>
      </c>
      <c r="F77" t="s">
        <v>411</v>
      </c>
      <c r="G77" t="s">
        <v>502</v>
      </c>
      <c r="H77">
        <v>26720</v>
      </c>
      <c r="I77">
        <v>26720</v>
      </c>
      <c r="J77" s="66">
        <v>46082</v>
      </c>
      <c r="K77" t="s">
        <v>67</v>
      </c>
      <c r="L77" t="s">
        <v>68</v>
      </c>
      <c r="M77" t="s">
        <v>69</v>
      </c>
      <c r="O77">
        <v>26720</v>
      </c>
      <c r="P77" t="s">
        <v>388</v>
      </c>
      <c r="S77" t="s">
        <v>389</v>
      </c>
      <c r="T77">
        <v>11</v>
      </c>
    </row>
    <row r="78" spans="1:20" hidden="1">
      <c r="A78" s="66">
        <v>46094</v>
      </c>
      <c r="B78" t="s">
        <v>503</v>
      </c>
      <c r="C78" t="s">
        <v>96</v>
      </c>
      <c r="D78" t="s">
        <v>64</v>
      </c>
      <c r="E78" t="s">
        <v>26</v>
      </c>
      <c r="F78" t="s">
        <v>504</v>
      </c>
      <c r="G78" t="s">
        <v>505</v>
      </c>
      <c r="H78">
        <v>5040</v>
      </c>
      <c r="I78">
        <v>5040</v>
      </c>
      <c r="J78" s="66">
        <v>46082</v>
      </c>
      <c r="K78" t="s">
        <v>67</v>
      </c>
      <c r="L78" t="s">
        <v>68</v>
      </c>
      <c r="M78" t="s">
        <v>69</v>
      </c>
      <c r="O78">
        <v>5040</v>
      </c>
      <c r="P78" t="s">
        <v>388</v>
      </c>
      <c r="S78" t="s">
        <v>389</v>
      </c>
      <c r="T78">
        <v>11</v>
      </c>
    </row>
    <row r="79" spans="1:20">
      <c r="A79" s="66">
        <v>46094</v>
      </c>
      <c r="B79" t="s">
        <v>506</v>
      </c>
      <c r="C79" t="s">
        <v>96</v>
      </c>
      <c r="D79" t="s">
        <v>64</v>
      </c>
      <c r="E79" t="s">
        <v>26</v>
      </c>
      <c r="F79" t="s">
        <v>504</v>
      </c>
      <c r="G79" t="s">
        <v>502</v>
      </c>
      <c r="H79">
        <v>12440</v>
      </c>
      <c r="I79">
        <v>12440</v>
      </c>
      <c r="J79" s="66">
        <v>46082</v>
      </c>
      <c r="K79" t="s">
        <v>67</v>
      </c>
      <c r="L79" t="s">
        <v>68</v>
      </c>
      <c r="M79" t="s">
        <v>69</v>
      </c>
      <c r="O79">
        <v>12440</v>
      </c>
      <c r="P79" t="s">
        <v>388</v>
      </c>
      <c r="S79" t="s">
        <v>389</v>
      </c>
      <c r="T79">
        <v>11</v>
      </c>
    </row>
    <row r="80" spans="1:20" hidden="1">
      <c r="A80" s="66">
        <v>46094</v>
      </c>
      <c r="B80" t="s">
        <v>395</v>
      </c>
      <c r="C80" t="s">
        <v>96</v>
      </c>
      <c r="D80" t="s">
        <v>64</v>
      </c>
      <c r="E80" t="s">
        <v>26</v>
      </c>
      <c r="F80" t="s">
        <v>396</v>
      </c>
      <c r="G80" t="s">
        <v>502</v>
      </c>
      <c r="H80">
        <v>5500</v>
      </c>
      <c r="I80">
        <v>5500</v>
      </c>
      <c r="J80" s="66">
        <v>46082</v>
      </c>
      <c r="K80" t="s">
        <v>67</v>
      </c>
      <c r="L80" t="s">
        <v>68</v>
      </c>
      <c r="M80" t="s">
        <v>69</v>
      </c>
      <c r="O80">
        <v>5500</v>
      </c>
      <c r="P80" t="s">
        <v>388</v>
      </c>
      <c r="S80" t="s">
        <v>389</v>
      </c>
      <c r="T80">
        <v>11</v>
      </c>
    </row>
    <row r="81" spans="1:20" hidden="1">
      <c r="A81" s="66">
        <v>46094</v>
      </c>
      <c r="B81" t="s">
        <v>414</v>
      </c>
      <c r="C81" t="s">
        <v>96</v>
      </c>
      <c r="D81" t="s">
        <v>64</v>
      </c>
      <c r="E81" t="s">
        <v>26</v>
      </c>
      <c r="F81" t="s">
        <v>415</v>
      </c>
      <c r="G81" t="s">
        <v>507</v>
      </c>
      <c r="H81">
        <v>48970</v>
      </c>
      <c r="I81">
        <v>48970</v>
      </c>
      <c r="J81" s="66">
        <v>46082</v>
      </c>
      <c r="K81" t="s">
        <v>67</v>
      </c>
      <c r="L81" t="s">
        <v>68</v>
      </c>
      <c r="M81" t="s">
        <v>69</v>
      </c>
      <c r="O81">
        <v>48970</v>
      </c>
      <c r="P81" t="s">
        <v>388</v>
      </c>
      <c r="S81" t="s">
        <v>389</v>
      </c>
      <c r="T81">
        <v>11</v>
      </c>
    </row>
    <row r="82" spans="1:20" hidden="1">
      <c r="A82" s="66">
        <v>46094</v>
      </c>
      <c r="B82" t="s">
        <v>471</v>
      </c>
      <c r="C82" t="s">
        <v>96</v>
      </c>
      <c r="D82" t="s">
        <v>64</v>
      </c>
      <c r="E82" t="s">
        <v>26</v>
      </c>
      <c r="F82" t="s">
        <v>472</v>
      </c>
      <c r="G82" t="s">
        <v>508</v>
      </c>
      <c r="H82">
        <v>8500</v>
      </c>
      <c r="I82">
        <v>8500</v>
      </c>
      <c r="J82" s="66">
        <v>46082</v>
      </c>
      <c r="K82" t="s">
        <v>67</v>
      </c>
      <c r="L82" t="s">
        <v>68</v>
      </c>
      <c r="M82" t="s">
        <v>69</v>
      </c>
      <c r="O82">
        <v>8500</v>
      </c>
      <c r="P82" t="s">
        <v>388</v>
      </c>
      <c r="S82" t="s">
        <v>389</v>
      </c>
      <c r="T82">
        <v>11</v>
      </c>
    </row>
    <row r="83" spans="1:20" hidden="1">
      <c r="A83" s="66">
        <v>46093</v>
      </c>
      <c r="B83" t="s">
        <v>509</v>
      </c>
      <c r="C83" t="s">
        <v>63</v>
      </c>
      <c r="D83" t="s">
        <v>64</v>
      </c>
      <c r="E83" t="s">
        <v>30</v>
      </c>
      <c r="F83" t="s">
        <v>510</v>
      </c>
      <c r="G83" t="s">
        <v>511</v>
      </c>
      <c r="H83">
        <v>46450</v>
      </c>
      <c r="I83">
        <v>46450</v>
      </c>
      <c r="J83" s="66">
        <v>46082</v>
      </c>
      <c r="K83" t="s">
        <v>67</v>
      </c>
      <c r="L83" t="s">
        <v>68</v>
      </c>
      <c r="M83" t="s">
        <v>69</v>
      </c>
      <c r="O83">
        <v>0</v>
      </c>
      <c r="P83" t="s">
        <v>70</v>
      </c>
      <c r="S83" t="s">
        <v>389</v>
      </c>
      <c r="T83">
        <v>11</v>
      </c>
    </row>
    <row r="84" spans="1:20" hidden="1">
      <c r="A84" s="66">
        <v>46093</v>
      </c>
      <c r="B84" t="s">
        <v>512</v>
      </c>
      <c r="C84" t="s">
        <v>63</v>
      </c>
      <c r="D84" t="s">
        <v>320</v>
      </c>
      <c r="E84" t="s">
        <v>26</v>
      </c>
      <c r="F84" t="s">
        <v>334</v>
      </c>
      <c r="G84" t="s">
        <v>513</v>
      </c>
      <c r="H84">
        <v>45000</v>
      </c>
      <c r="I84">
        <v>45000</v>
      </c>
      <c r="J84" s="66">
        <v>46082</v>
      </c>
      <c r="K84" t="s">
        <v>67</v>
      </c>
      <c r="L84" t="s">
        <v>68</v>
      </c>
      <c r="M84" t="s">
        <v>69</v>
      </c>
      <c r="O84">
        <v>45000</v>
      </c>
      <c r="P84" t="s">
        <v>70</v>
      </c>
      <c r="S84" t="s">
        <v>389</v>
      </c>
      <c r="T84">
        <v>11</v>
      </c>
    </row>
    <row r="85" spans="1:20" hidden="1">
      <c r="A85" s="66">
        <v>46093</v>
      </c>
      <c r="B85" t="s">
        <v>514</v>
      </c>
      <c r="C85" t="s">
        <v>96</v>
      </c>
      <c r="D85" t="s">
        <v>20</v>
      </c>
      <c r="E85" t="s">
        <v>23</v>
      </c>
      <c r="F85" t="s">
        <v>515</v>
      </c>
      <c r="G85" t="s">
        <v>516</v>
      </c>
      <c r="H85">
        <v>22400</v>
      </c>
      <c r="I85">
        <v>22400</v>
      </c>
      <c r="J85" s="66">
        <v>46082</v>
      </c>
      <c r="K85" t="s">
        <v>67</v>
      </c>
      <c r="L85" t="s">
        <v>68</v>
      </c>
      <c r="M85" t="s">
        <v>69</v>
      </c>
      <c r="O85">
        <v>22400</v>
      </c>
      <c r="P85" t="s">
        <v>70</v>
      </c>
      <c r="S85" t="s">
        <v>389</v>
      </c>
      <c r="T85">
        <v>11</v>
      </c>
    </row>
    <row r="86" spans="1:20" hidden="1">
      <c r="A86" s="66">
        <v>46093</v>
      </c>
      <c r="B86" t="s">
        <v>392</v>
      </c>
      <c r="C86" t="s">
        <v>63</v>
      </c>
      <c r="D86" t="s">
        <v>320</v>
      </c>
      <c r="E86" t="s">
        <v>26</v>
      </c>
      <c r="F86" t="s">
        <v>393</v>
      </c>
      <c r="G86" t="s">
        <v>517</v>
      </c>
      <c r="H86">
        <v>53000</v>
      </c>
      <c r="I86">
        <v>53000</v>
      </c>
      <c r="J86" s="66">
        <v>46082</v>
      </c>
      <c r="K86" t="s">
        <v>67</v>
      </c>
      <c r="L86" t="s">
        <v>68</v>
      </c>
      <c r="M86" t="s">
        <v>69</v>
      </c>
      <c r="O86">
        <v>0</v>
      </c>
      <c r="P86" t="s">
        <v>388</v>
      </c>
      <c r="S86" t="s">
        <v>389</v>
      </c>
      <c r="T86">
        <v>11</v>
      </c>
    </row>
    <row r="87" spans="1:20" hidden="1">
      <c r="A87" s="66">
        <v>46093</v>
      </c>
      <c r="B87" t="s">
        <v>500</v>
      </c>
      <c r="C87" t="s">
        <v>96</v>
      </c>
      <c r="D87" t="s">
        <v>64</v>
      </c>
      <c r="E87" t="s">
        <v>26</v>
      </c>
      <c r="F87" t="s">
        <v>269</v>
      </c>
      <c r="G87" t="s">
        <v>518</v>
      </c>
      <c r="H87">
        <v>39919</v>
      </c>
      <c r="I87">
        <v>39919</v>
      </c>
      <c r="J87" s="66">
        <v>46082</v>
      </c>
      <c r="K87" t="s">
        <v>67</v>
      </c>
      <c r="L87" t="s">
        <v>68</v>
      </c>
      <c r="M87" t="s">
        <v>69</v>
      </c>
      <c r="O87">
        <v>39919</v>
      </c>
      <c r="P87" t="s">
        <v>388</v>
      </c>
      <c r="S87" t="s">
        <v>389</v>
      </c>
      <c r="T87">
        <v>11</v>
      </c>
    </row>
    <row r="88" spans="1:20" hidden="1">
      <c r="A88" s="66">
        <v>46093</v>
      </c>
      <c r="B88" t="s">
        <v>410</v>
      </c>
      <c r="C88" t="s">
        <v>96</v>
      </c>
      <c r="D88" t="s">
        <v>64</v>
      </c>
      <c r="E88" t="s">
        <v>26</v>
      </c>
      <c r="F88" t="s">
        <v>411</v>
      </c>
      <c r="G88" t="s">
        <v>519</v>
      </c>
      <c r="H88">
        <v>17010</v>
      </c>
      <c r="I88">
        <v>17010</v>
      </c>
      <c r="J88" s="66">
        <v>46082</v>
      </c>
      <c r="K88" t="s">
        <v>67</v>
      </c>
      <c r="L88" t="s">
        <v>68</v>
      </c>
      <c r="M88" t="s">
        <v>69</v>
      </c>
      <c r="O88">
        <v>17010</v>
      </c>
      <c r="P88" t="s">
        <v>388</v>
      </c>
      <c r="S88" t="s">
        <v>389</v>
      </c>
      <c r="T88">
        <v>11</v>
      </c>
    </row>
    <row r="89" spans="1:20" hidden="1">
      <c r="A89" s="66">
        <v>46093</v>
      </c>
      <c r="B89" t="s">
        <v>503</v>
      </c>
      <c r="C89" t="s">
        <v>96</v>
      </c>
      <c r="D89" t="s">
        <v>64</v>
      </c>
      <c r="E89" t="s">
        <v>26</v>
      </c>
      <c r="F89" t="s">
        <v>504</v>
      </c>
      <c r="G89" t="s">
        <v>520</v>
      </c>
      <c r="H89">
        <v>7240</v>
      </c>
      <c r="I89">
        <v>7240</v>
      </c>
      <c r="J89" s="66">
        <v>46082</v>
      </c>
      <c r="K89" t="s">
        <v>67</v>
      </c>
      <c r="L89" t="s">
        <v>68</v>
      </c>
      <c r="M89" t="s">
        <v>69</v>
      </c>
      <c r="O89">
        <v>7240</v>
      </c>
      <c r="P89" t="s">
        <v>388</v>
      </c>
      <c r="S89" t="s">
        <v>389</v>
      </c>
      <c r="T89">
        <v>11</v>
      </c>
    </row>
    <row r="90" spans="1:20">
      <c r="A90" s="66">
        <v>46093</v>
      </c>
      <c r="B90" t="s">
        <v>506</v>
      </c>
      <c r="C90" t="s">
        <v>96</v>
      </c>
      <c r="D90" t="s">
        <v>64</v>
      </c>
      <c r="E90" t="s">
        <v>26</v>
      </c>
      <c r="F90" t="s">
        <v>504</v>
      </c>
      <c r="G90" t="s">
        <v>519</v>
      </c>
      <c r="H90">
        <v>15480</v>
      </c>
      <c r="I90">
        <v>15480</v>
      </c>
      <c r="J90" s="66">
        <v>46082</v>
      </c>
      <c r="K90" t="s">
        <v>67</v>
      </c>
      <c r="L90" t="s">
        <v>68</v>
      </c>
      <c r="M90" t="s">
        <v>69</v>
      </c>
      <c r="O90">
        <v>15480</v>
      </c>
      <c r="P90" t="s">
        <v>388</v>
      </c>
      <c r="S90" t="s">
        <v>389</v>
      </c>
      <c r="T90">
        <v>11</v>
      </c>
    </row>
    <row r="91" spans="1:20" hidden="1">
      <c r="A91" s="66">
        <v>46093</v>
      </c>
      <c r="B91" t="s">
        <v>395</v>
      </c>
      <c r="C91" t="s">
        <v>96</v>
      </c>
      <c r="D91" t="s">
        <v>64</v>
      </c>
      <c r="E91" t="s">
        <v>26</v>
      </c>
      <c r="F91" t="s">
        <v>396</v>
      </c>
      <c r="G91" t="s">
        <v>519</v>
      </c>
      <c r="H91">
        <v>7550</v>
      </c>
      <c r="I91">
        <v>7550</v>
      </c>
      <c r="J91" s="66">
        <v>46082</v>
      </c>
      <c r="K91" t="s">
        <v>67</v>
      </c>
      <c r="L91" t="s">
        <v>68</v>
      </c>
      <c r="M91" t="s">
        <v>69</v>
      </c>
      <c r="O91">
        <v>7550</v>
      </c>
      <c r="P91" t="s">
        <v>388</v>
      </c>
      <c r="S91" t="s">
        <v>389</v>
      </c>
      <c r="T91">
        <v>11</v>
      </c>
    </row>
    <row r="92" spans="1:20" hidden="1">
      <c r="A92" s="66">
        <v>46093</v>
      </c>
      <c r="B92" t="s">
        <v>414</v>
      </c>
      <c r="C92" t="s">
        <v>96</v>
      </c>
      <c r="D92" t="s">
        <v>64</v>
      </c>
      <c r="E92" t="s">
        <v>26</v>
      </c>
      <c r="F92" t="s">
        <v>415</v>
      </c>
      <c r="G92" t="s">
        <v>521</v>
      </c>
      <c r="H92">
        <v>55200</v>
      </c>
      <c r="I92">
        <v>55200</v>
      </c>
      <c r="J92" s="66">
        <v>46082</v>
      </c>
      <c r="K92" t="s">
        <v>67</v>
      </c>
      <c r="L92" t="s">
        <v>68</v>
      </c>
      <c r="M92" t="s">
        <v>69</v>
      </c>
      <c r="O92">
        <v>55200</v>
      </c>
      <c r="P92" t="s">
        <v>388</v>
      </c>
      <c r="S92" t="s">
        <v>389</v>
      </c>
      <c r="T92">
        <v>11</v>
      </c>
    </row>
    <row r="93" spans="1:20" hidden="1">
      <c r="A93" s="66">
        <v>46093</v>
      </c>
      <c r="B93" t="s">
        <v>471</v>
      </c>
      <c r="C93" t="s">
        <v>96</v>
      </c>
      <c r="D93" t="s">
        <v>64</v>
      </c>
      <c r="E93" t="s">
        <v>26</v>
      </c>
      <c r="F93" t="s">
        <v>472</v>
      </c>
      <c r="G93" t="s">
        <v>522</v>
      </c>
      <c r="H93">
        <v>9500</v>
      </c>
      <c r="I93">
        <v>9500</v>
      </c>
      <c r="J93" s="66">
        <v>46082</v>
      </c>
      <c r="K93" t="s">
        <v>67</v>
      </c>
      <c r="L93" t="s">
        <v>68</v>
      </c>
      <c r="M93" t="s">
        <v>69</v>
      </c>
      <c r="O93">
        <v>9500</v>
      </c>
      <c r="P93" t="s">
        <v>388</v>
      </c>
      <c r="S93" t="s">
        <v>389</v>
      </c>
      <c r="T93">
        <v>11</v>
      </c>
    </row>
    <row r="94" spans="1:20" hidden="1">
      <c r="A94" s="66">
        <v>46092</v>
      </c>
      <c r="B94" t="s">
        <v>95</v>
      </c>
      <c r="C94" t="s">
        <v>96</v>
      </c>
      <c r="D94" t="s">
        <v>64</v>
      </c>
      <c r="E94" t="s">
        <v>38</v>
      </c>
      <c r="F94" t="s">
        <v>97</v>
      </c>
      <c r="G94" t="s">
        <v>523</v>
      </c>
      <c r="H94">
        <v>18333</v>
      </c>
      <c r="I94">
        <v>18333</v>
      </c>
      <c r="J94" s="66">
        <v>46082</v>
      </c>
      <c r="K94" t="s">
        <v>99</v>
      </c>
      <c r="L94" t="s">
        <v>68</v>
      </c>
      <c r="M94" t="s">
        <v>69</v>
      </c>
      <c r="O94">
        <v>0</v>
      </c>
      <c r="P94" t="s">
        <v>70</v>
      </c>
      <c r="S94" t="s">
        <v>389</v>
      </c>
      <c r="T94">
        <v>11</v>
      </c>
    </row>
    <row r="95" spans="1:20" hidden="1">
      <c r="A95" s="66">
        <v>46092</v>
      </c>
      <c r="B95" t="s">
        <v>500</v>
      </c>
      <c r="C95" t="s">
        <v>96</v>
      </c>
      <c r="D95" t="s">
        <v>64</v>
      </c>
      <c r="E95" t="s">
        <v>26</v>
      </c>
      <c r="F95" t="s">
        <v>269</v>
      </c>
      <c r="G95" t="s">
        <v>524</v>
      </c>
      <c r="H95">
        <v>40580</v>
      </c>
      <c r="I95">
        <v>40580</v>
      </c>
      <c r="J95" s="66">
        <v>46082</v>
      </c>
      <c r="K95" t="s">
        <v>67</v>
      </c>
      <c r="L95" t="s">
        <v>68</v>
      </c>
      <c r="M95" t="s">
        <v>69</v>
      </c>
      <c r="O95">
        <v>40580</v>
      </c>
      <c r="P95" t="s">
        <v>388</v>
      </c>
      <c r="S95" t="s">
        <v>389</v>
      </c>
      <c r="T95">
        <v>11</v>
      </c>
    </row>
    <row r="96" spans="1:20" hidden="1">
      <c r="A96" s="66">
        <v>46092</v>
      </c>
      <c r="B96" t="s">
        <v>410</v>
      </c>
      <c r="C96" t="s">
        <v>96</v>
      </c>
      <c r="D96" t="s">
        <v>64</v>
      </c>
      <c r="E96" t="s">
        <v>26</v>
      </c>
      <c r="F96" t="s">
        <v>411</v>
      </c>
      <c r="G96" t="s">
        <v>525</v>
      </c>
      <c r="H96">
        <v>17300</v>
      </c>
      <c r="I96">
        <v>17300</v>
      </c>
      <c r="J96" s="66">
        <v>46082</v>
      </c>
      <c r="K96" t="s">
        <v>67</v>
      </c>
      <c r="L96" t="s">
        <v>68</v>
      </c>
      <c r="M96" t="s">
        <v>69</v>
      </c>
      <c r="O96">
        <v>17300</v>
      </c>
      <c r="P96" t="s">
        <v>388</v>
      </c>
      <c r="S96" t="s">
        <v>389</v>
      </c>
      <c r="T96">
        <v>11</v>
      </c>
    </row>
    <row r="97" spans="1:20" hidden="1">
      <c r="A97" s="66">
        <v>46092</v>
      </c>
      <c r="B97" t="s">
        <v>503</v>
      </c>
      <c r="C97" t="s">
        <v>96</v>
      </c>
      <c r="D97" t="s">
        <v>64</v>
      </c>
      <c r="E97" t="s">
        <v>26</v>
      </c>
      <c r="F97" t="s">
        <v>504</v>
      </c>
      <c r="G97" t="s">
        <v>526</v>
      </c>
      <c r="H97">
        <v>9280</v>
      </c>
      <c r="I97">
        <v>9280</v>
      </c>
      <c r="J97" s="66">
        <v>46082</v>
      </c>
      <c r="K97" t="s">
        <v>67</v>
      </c>
      <c r="L97" t="s">
        <v>68</v>
      </c>
      <c r="M97" t="s">
        <v>69</v>
      </c>
      <c r="O97">
        <v>9280</v>
      </c>
      <c r="P97" t="s">
        <v>388</v>
      </c>
      <c r="S97" t="s">
        <v>389</v>
      </c>
      <c r="T97">
        <v>11</v>
      </c>
    </row>
    <row r="98" spans="1:20">
      <c r="A98" s="66">
        <v>46092</v>
      </c>
      <c r="B98" t="s">
        <v>506</v>
      </c>
      <c r="C98" t="s">
        <v>96</v>
      </c>
      <c r="D98" t="s">
        <v>64</v>
      </c>
      <c r="E98" t="s">
        <v>26</v>
      </c>
      <c r="F98" t="s">
        <v>504</v>
      </c>
      <c r="G98" t="s">
        <v>525</v>
      </c>
      <c r="H98">
        <v>10480</v>
      </c>
      <c r="I98">
        <v>10480</v>
      </c>
      <c r="J98" s="66">
        <v>46082</v>
      </c>
      <c r="K98" t="s">
        <v>67</v>
      </c>
      <c r="L98" t="s">
        <v>68</v>
      </c>
      <c r="M98" t="s">
        <v>69</v>
      </c>
      <c r="O98">
        <v>10480</v>
      </c>
      <c r="P98" t="s">
        <v>388</v>
      </c>
      <c r="S98" t="s">
        <v>389</v>
      </c>
      <c r="T98">
        <v>11</v>
      </c>
    </row>
    <row r="99" spans="1:20" hidden="1">
      <c r="A99" s="66">
        <v>46092</v>
      </c>
      <c r="B99" t="s">
        <v>414</v>
      </c>
      <c r="C99" t="s">
        <v>63</v>
      </c>
      <c r="D99" t="s">
        <v>64</v>
      </c>
      <c r="E99" t="s">
        <v>26</v>
      </c>
      <c r="F99" t="s">
        <v>415</v>
      </c>
      <c r="G99" t="s">
        <v>527</v>
      </c>
      <c r="H99">
        <v>85000</v>
      </c>
      <c r="I99">
        <v>85000</v>
      </c>
      <c r="J99" s="66">
        <v>46082</v>
      </c>
      <c r="K99" t="s">
        <v>67</v>
      </c>
      <c r="L99" t="s">
        <v>68</v>
      </c>
      <c r="M99" t="s">
        <v>69</v>
      </c>
      <c r="O99">
        <v>85000</v>
      </c>
      <c r="P99" t="s">
        <v>388</v>
      </c>
      <c r="S99" t="s">
        <v>389</v>
      </c>
      <c r="T99">
        <v>11</v>
      </c>
    </row>
    <row r="100" spans="1:20" hidden="1">
      <c r="A100" s="66">
        <v>46092</v>
      </c>
      <c r="B100" t="s">
        <v>528</v>
      </c>
      <c r="C100" t="s">
        <v>63</v>
      </c>
      <c r="D100" t="s">
        <v>64</v>
      </c>
      <c r="E100" t="s">
        <v>26</v>
      </c>
      <c r="F100" t="s">
        <v>529</v>
      </c>
      <c r="G100" t="s">
        <v>530</v>
      </c>
      <c r="H100">
        <v>9000</v>
      </c>
      <c r="I100">
        <v>9000</v>
      </c>
      <c r="J100" s="66">
        <v>46082</v>
      </c>
      <c r="K100" t="s">
        <v>67</v>
      </c>
      <c r="L100" t="s">
        <v>68</v>
      </c>
      <c r="M100" t="s">
        <v>69</v>
      </c>
      <c r="O100">
        <v>9000</v>
      </c>
      <c r="P100" t="s">
        <v>388</v>
      </c>
      <c r="S100" t="s">
        <v>389</v>
      </c>
      <c r="T100">
        <v>11</v>
      </c>
    </row>
    <row r="101" spans="1:20" hidden="1">
      <c r="A101" s="66">
        <v>46092</v>
      </c>
      <c r="B101" t="s">
        <v>471</v>
      </c>
      <c r="C101" t="s">
        <v>96</v>
      </c>
      <c r="D101" t="s">
        <v>64</v>
      </c>
      <c r="E101" t="s">
        <v>26</v>
      </c>
      <c r="F101" t="s">
        <v>472</v>
      </c>
      <c r="G101" t="s">
        <v>531</v>
      </c>
      <c r="H101">
        <v>9200</v>
      </c>
      <c r="I101">
        <v>9200</v>
      </c>
      <c r="J101" s="66">
        <v>46082</v>
      </c>
      <c r="K101" t="s">
        <v>67</v>
      </c>
      <c r="L101" t="s">
        <v>68</v>
      </c>
      <c r="M101" t="s">
        <v>69</v>
      </c>
      <c r="O101">
        <v>9200</v>
      </c>
      <c r="P101" t="s">
        <v>388</v>
      </c>
      <c r="S101" t="s">
        <v>389</v>
      </c>
      <c r="T101">
        <v>11</v>
      </c>
    </row>
    <row r="102" spans="1:20" hidden="1">
      <c r="A102" s="66">
        <v>46091</v>
      </c>
      <c r="B102" t="s">
        <v>532</v>
      </c>
      <c r="C102" t="s">
        <v>163</v>
      </c>
      <c r="D102" t="s">
        <v>533</v>
      </c>
      <c r="E102" t="s">
        <v>20</v>
      </c>
      <c r="F102" t="s">
        <v>534</v>
      </c>
      <c r="G102" t="s">
        <v>535</v>
      </c>
      <c r="H102">
        <v>47000</v>
      </c>
      <c r="I102">
        <v>47000</v>
      </c>
      <c r="J102" s="66">
        <v>46082</v>
      </c>
      <c r="K102" t="s">
        <v>67</v>
      </c>
      <c r="L102" t="s">
        <v>68</v>
      </c>
      <c r="M102" t="s">
        <v>69</v>
      </c>
      <c r="O102">
        <v>0</v>
      </c>
      <c r="P102" t="s">
        <v>70</v>
      </c>
      <c r="S102" t="s">
        <v>389</v>
      </c>
      <c r="T102">
        <v>11</v>
      </c>
    </row>
    <row r="103" spans="1:20" hidden="1">
      <c r="A103" s="66">
        <v>46091</v>
      </c>
      <c r="B103" t="s">
        <v>536</v>
      </c>
      <c r="C103" t="s">
        <v>63</v>
      </c>
      <c r="D103" t="s">
        <v>64</v>
      </c>
      <c r="E103" t="s">
        <v>26</v>
      </c>
      <c r="F103" t="s">
        <v>537</v>
      </c>
      <c r="G103" t="s">
        <v>538</v>
      </c>
      <c r="H103">
        <v>104500</v>
      </c>
      <c r="I103">
        <v>104500</v>
      </c>
      <c r="J103" s="66">
        <v>46082</v>
      </c>
      <c r="K103" t="s">
        <v>67</v>
      </c>
      <c r="L103" t="s">
        <v>68</v>
      </c>
      <c r="M103" t="s">
        <v>69</v>
      </c>
      <c r="O103">
        <v>104500</v>
      </c>
      <c r="P103" t="s">
        <v>70</v>
      </c>
      <c r="S103" t="s">
        <v>389</v>
      </c>
      <c r="T103">
        <v>11</v>
      </c>
    </row>
    <row r="104" spans="1:20" hidden="1">
      <c r="A104" s="66">
        <v>46091</v>
      </c>
      <c r="B104" t="s">
        <v>414</v>
      </c>
      <c r="C104" t="s">
        <v>63</v>
      </c>
      <c r="D104" t="s">
        <v>64</v>
      </c>
      <c r="E104" t="s">
        <v>26</v>
      </c>
      <c r="F104" t="s">
        <v>415</v>
      </c>
      <c r="G104" t="s">
        <v>539</v>
      </c>
      <c r="H104">
        <v>75380</v>
      </c>
      <c r="I104">
        <v>75380</v>
      </c>
      <c r="J104" s="66">
        <v>46082</v>
      </c>
      <c r="K104" t="s">
        <v>67</v>
      </c>
      <c r="L104" t="s">
        <v>68</v>
      </c>
      <c r="M104" t="s">
        <v>69</v>
      </c>
      <c r="O104">
        <v>75380</v>
      </c>
      <c r="P104" t="s">
        <v>388</v>
      </c>
      <c r="S104" t="s">
        <v>389</v>
      </c>
      <c r="T104">
        <v>11</v>
      </c>
    </row>
    <row r="105" spans="1:20" hidden="1">
      <c r="A105" s="66">
        <v>46091</v>
      </c>
      <c r="B105" t="s">
        <v>528</v>
      </c>
      <c r="C105" t="s">
        <v>63</v>
      </c>
      <c r="D105" t="s">
        <v>64</v>
      </c>
      <c r="E105" t="s">
        <v>26</v>
      </c>
      <c r="F105" t="s">
        <v>529</v>
      </c>
      <c r="G105" t="s">
        <v>540</v>
      </c>
      <c r="H105">
        <v>8900</v>
      </c>
      <c r="I105">
        <v>8900</v>
      </c>
      <c r="J105" s="66">
        <v>46082</v>
      </c>
      <c r="K105" t="s">
        <v>67</v>
      </c>
      <c r="L105" t="s">
        <v>68</v>
      </c>
      <c r="M105" t="s">
        <v>69</v>
      </c>
      <c r="O105">
        <v>8900</v>
      </c>
      <c r="P105" t="s">
        <v>388</v>
      </c>
      <c r="S105" t="s">
        <v>389</v>
      </c>
      <c r="T105">
        <v>11</v>
      </c>
    </row>
    <row r="106" spans="1:20" hidden="1">
      <c r="A106" s="66">
        <v>46091</v>
      </c>
      <c r="B106" t="s">
        <v>471</v>
      </c>
      <c r="C106" t="s">
        <v>96</v>
      </c>
      <c r="D106" t="s">
        <v>64</v>
      </c>
      <c r="E106" t="s">
        <v>26</v>
      </c>
      <c r="F106" t="s">
        <v>472</v>
      </c>
      <c r="G106" t="s">
        <v>541</v>
      </c>
      <c r="H106">
        <v>6292</v>
      </c>
      <c r="I106">
        <v>6292</v>
      </c>
      <c r="J106" s="66">
        <v>46082</v>
      </c>
      <c r="K106" t="s">
        <v>67</v>
      </c>
      <c r="L106" t="s">
        <v>68</v>
      </c>
      <c r="M106" t="s">
        <v>69</v>
      </c>
      <c r="O106">
        <v>6292</v>
      </c>
      <c r="P106" t="s">
        <v>388</v>
      </c>
      <c r="S106" t="s">
        <v>389</v>
      </c>
      <c r="T106">
        <v>11</v>
      </c>
    </row>
    <row r="107" spans="1:20" hidden="1">
      <c r="A107" s="66">
        <v>46090</v>
      </c>
      <c r="B107" t="s">
        <v>471</v>
      </c>
      <c r="C107" t="s">
        <v>96</v>
      </c>
      <c r="D107" t="s">
        <v>64</v>
      </c>
      <c r="E107" t="s">
        <v>26</v>
      </c>
      <c r="F107" t="s">
        <v>472</v>
      </c>
      <c r="G107" t="s">
        <v>542</v>
      </c>
      <c r="H107">
        <v>5600</v>
      </c>
      <c r="I107">
        <v>5600</v>
      </c>
      <c r="J107" s="66">
        <v>46082</v>
      </c>
      <c r="K107" t="s">
        <v>67</v>
      </c>
      <c r="L107" t="s">
        <v>68</v>
      </c>
      <c r="M107" t="s">
        <v>69</v>
      </c>
      <c r="O107">
        <v>5124</v>
      </c>
      <c r="P107" t="s">
        <v>388</v>
      </c>
      <c r="S107" t="s">
        <v>389</v>
      </c>
      <c r="T107">
        <v>11</v>
      </c>
    </row>
    <row r="108" spans="1:20" hidden="1">
      <c r="A108" s="66">
        <v>46090</v>
      </c>
      <c r="B108" t="s">
        <v>414</v>
      </c>
      <c r="C108" t="s">
        <v>63</v>
      </c>
      <c r="D108" t="s">
        <v>64</v>
      </c>
      <c r="E108" t="s">
        <v>26</v>
      </c>
      <c r="F108" t="s">
        <v>415</v>
      </c>
      <c r="G108" t="s">
        <v>543</v>
      </c>
      <c r="H108">
        <v>42500</v>
      </c>
      <c r="I108">
        <v>42500</v>
      </c>
      <c r="J108" s="66">
        <v>46082</v>
      </c>
      <c r="K108" t="s">
        <v>67</v>
      </c>
      <c r="L108" t="s">
        <v>68</v>
      </c>
      <c r="M108" t="s">
        <v>69</v>
      </c>
      <c r="O108">
        <v>0</v>
      </c>
      <c r="P108" t="s">
        <v>388</v>
      </c>
      <c r="S108" t="s">
        <v>389</v>
      </c>
      <c r="T108">
        <v>11</v>
      </c>
    </row>
    <row r="109" spans="1:20" hidden="1">
      <c r="A109" s="66">
        <v>46090</v>
      </c>
      <c r="B109" t="s">
        <v>544</v>
      </c>
      <c r="C109" t="s">
        <v>63</v>
      </c>
      <c r="D109" t="s">
        <v>64</v>
      </c>
      <c r="E109" t="s">
        <v>26</v>
      </c>
      <c r="F109" t="s">
        <v>545</v>
      </c>
      <c r="G109" t="s">
        <v>546</v>
      </c>
      <c r="H109">
        <v>85100</v>
      </c>
      <c r="I109">
        <v>85100</v>
      </c>
      <c r="J109" s="66">
        <v>46082</v>
      </c>
      <c r="K109" t="s">
        <v>67</v>
      </c>
      <c r="L109" t="s">
        <v>68</v>
      </c>
      <c r="M109" t="s">
        <v>69</v>
      </c>
      <c r="O109">
        <v>0</v>
      </c>
      <c r="P109" t="s">
        <v>70</v>
      </c>
      <c r="S109" t="s">
        <v>389</v>
      </c>
      <c r="T109">
        <v>11</v>
      </c>
    </row>
    <row r="110" spans="1:20" hidden="1">
      <c r="A110" s="66">
        <v>46089</v>
      </c>
      <c r="B110" t="s">
        <v>547</v>
      </c>
      <c r="C110" t="s">
        <v>96</v>
      </c>
      <c r="D110" t="s">
        <v>36</v>
      </c>
      <c r="E110" t="s">
        <v>15</v>
      </c>
      <c r="F110" t="s">
        <v>219</v>
      </c>
      <c r="G110" t="s">
        <v>548</v>
      </c>
      <c r="H110">
        <v>15600</v>
      </c>
      <c r="I110">
        <v>15600</v>
      </c>
      <c r="J110" s="66">
        <v>46082</v>
      </c>
      <c r="K110" t="s">
        <v>67</v>
      </c>
      <c r="L110" t="s">
        <v>68</v>
      </c>
      <c r="M110" t="s">
        <v>69</v>
      </c>
      <c r="O110">
        <v>0</v>
      </c>
      <c r="P110" t="s">
        <v>70</v>
      </c>
      <c r="S110" t="s">
        <v>389</v>
      </c>
      <c r="T110">
        <v>10</v>
      </c>
    </row>
    <row r="111" spans="1:20" hidden="1">
      <c r="A111" s="66">
        <v>46088</v>
      </c>
      <c r="B111" t="s">
        <v>549</v>
      </c>
      <c r="C111" t="s">
        <v>63</v>
      </c>
      <c r="D111" t="s">
        <v>64</v>
      </c>
      <c r="E111" t="s">
        <v>33</v>
      </c>
      <c r="F111" t="s">
        <v>550</v>
      </c>
      <c r="G111" t="s">
        <v>551</v>
      </c>
      <c r="H111">
        <v>56827</v>
      </c>
      <c r="I111">
        <v>56827</v>
      </c>
      <c r="J111" s="66">
        <v>46082</v>
      </c>
      <c r="K111" t="s">
        <v>67</v>
      </c>
      <c r="L111" t="s">
        <v>68</v>
      </c>
      <c r="M111" t="s">
        <v>69</v>
      </c>
      <c r="O111">
        <v>0</v>
      </c>
      <c r="P111" t="s">
        <v>70</v>
      </c>
      <c r="S111" t="s">
        <v>389</v>
      </c>
      <c r="T111">
        <v>10</v>
      </c>
    </row>
    <row r="112" spans="1:20">
      <c r="A112" s="66">
        <v>46087</v>
      </c>
      <c r="B112" t="s">
        <v>503</v>
      </c>
      <c r="C112" t="s">
        <v>96</v>
      </c>
      <c r="D112" t="s">
        <v>64</v>
      </c>
      <c r="E112" t="s">
        <v>26</v>
      </c>
      <c r="F112" t="s">
        <v>504</v>
      </c>
      <c r="G112" t="s">
        <v>552</v>
      </c>
      <c r="H112">
        <v>11240</v>
      </c>
      <c r="I112">
        <v>11240</v>
      </c>
      <c r="J112" s="66">
        <v>46082</v>
      </c>
      <c r="K112" t="s">
        <v>67</v>
      </c>
      <c r="L112" t="s">
        <v>68</v>
      </c>
      <c r="M112" t="s">
        <v>69</v>
      </c>
      <c r="O112">
        <v>11240</v>
      </c>
      <c r="P112" t="s">
        <v>388</v>
      </c>
      <c r="S112" t="s">
        <v>389</v>
      </c>
      <c r="T112">
        <v>10</v>
      </c>
    </row>
    <row r="113" spans="1:20">
      <c r="A113" s="66">
        <v>46087</v>
      </c>
      <c r="B113" t="s">
        <v>506</v>
      </c>
      <c r="C113" t="s">
        <v>96</v>
      </c>
      <c r="D113" t="s">
        <v>64</v>
      </c>
      <c r="E113" t="s">
        <v>26</v>
      </c>
      <c r="F113" t="s">
        <v>504</v>
      </c>
      <c r="G113" t="s">
        <v>552</v>
      </c>
      <c r="H113">
        <v>15880</v>
      </c>
      <c r="I113">
        <v>15880</v>
      </c>
      <c r="J113" s="66">
        <v>46082</v>
      </c>
      <c r="K113" t="s">
        <v>67</v>
      </c>
      <c r="L113" t="s">
        <v>68</v>
      </c>
      <c r="M113" t="s">
        <v>69</v>
      </c>
      <c r="O113">
        <v>15880</v>
      </c>
      <c r="P113" t="s">
        <v>388</v>
      </c>
      <c r="S113" t="s">
        <v>389</v>
      </c>
      <c r="T113">
        <v>10</v>
      </c>
    </row>
    <row r="114" spans="1:20" hidden="1">
      <c r="A114" s="66">
        <v>46087</v>
      </c>
      <c r="B114" t="s">
        <v>553</v>
      </c>
      <c r="C114" t="s">
        <v>96</v>
      </c>
      <c r="D114" t="s">
        <v>64</v>
      </c>
      <c r="E114" t="s">
        <v>26</v>
      </c>
      <c r="F114" t="s">
        <v>554</v>
      </c>
      <c r="G114" t="s">
        <v>555</v>
      </c>
      <c r="H114">
        <v>32080</v>
      </c>
      <c r="I114">
        <v>32080</v>
      </c>
      <c r="J114" s="66">
        <v>46082</v>
      </c>
      <c r="K114" t="s">
        <v>67</v>
      </c>
      <c r="L114" t="s">
        <v>68</v>
      </c>
      <c r="M114" t="s">
        <v>69</v>
      </c>
      <c r="O114">
        <v>32080</v>
      </c>
      <c r="P114" t="s">
        <v>388</v>
      </c>
      <c r="S114" t="s">
        <v>389</v>
      </c>
      <c r="T114">
        <v>10</v>
      </c>
    </row>
    <row r="115" spans="1:20" hidden="1">
      <c r="A115" s="66">
        <v>46087</v>
      </c>
      <c r="B115" t="s">
        <v>471</v>
      </c>
      <c r="C115" t="s">
        <v>96</v>
      </c>
      <c r="D115" t="s">
        <v>64</v>
      </c>
      <c r="E115" t="s">
        <v>26</v>
      </c>
      <c r="F115" t="s">
        <v>472</v>
      </c>
      <c r="G115" t="s">
        <v>555</v>
      </c>
      <c r="H115">
        <v>5124</v>
      </c>
      <c r="I115">
        <v>5124</v>
      </c>
      <c r="J115" s="66">
        <v>46082</v>
      </c>
      <c r="K115" t="s">
        <v>67</v>
      </c>
      <c r="L115" t="s">
        <v>68</v>
      </c>
      <c r="M115" t="s">
        <v>69</v>
      </c>
      <c r="O115">
        <v>5124</v>
      </c>
      <c r="P115" t="s">
        <v>388</v>
      </c>
      <c r="S115" t="s">
        <v>389</v>
      </c>
      <c r="T115">
        <v>10</v>
      </c>
    </row>
    <row r="116" spans="1:20">
      <c r="A116" s="66">
        <v>46086</v>
      </c>
      <c r="B116" t="s">
        <v>503</v>
      </c>
      <c r="C116" t="s">
        <v>96</v>
      </c>
      <c r="D116" t="s">
        <v>64</v>
      </c>
      <c r="E116" t="s">
        <v>26</v>
      </c>
      <c r="F116" t="s">
        <v>504</v>
      </c>
      <c r="G116" t="s">
        <v>556</v>
      </c>
      <c r="H116">
        <v>22520</v>
      </c>
      <c r="I116">
        <v>22520</v>
      </c>
      <c r="J116" s="66">
        <v>46082</v>
      </c>
      <c r="K116" t="s">
        <v>67</v>
      </c>
      <c r="L116" t="s">
        <v>68</v>
      </c>
      <c r="M116" t="s">
        <v>69</v>
      </c>
      <c r="O116">
        <v>22520</v>
      </c>
      <c r="P116" t="s">
        <v>388</v>
      </c>
      <c r="S116" t="s">
        <v>389</v>
      </c>
      <c r="T116">
        <v>10</v>
      </c>
    </row>
    <row r="117" spans="1:20">
      <c r="A117" s="66">
        <v>46086</v>
      </c>
      <c r="B117" t="s">
        <v>506</v>
      </c>
      <c r="C117" t="s">
        <v>96</v>
      </c>
      <c r="D117" t="s">
        <v>64</v>
      </c>
      <c r="E117" t="s">
        <v>26</v>
      </c>
      <c r="F117" t="s">
        <v>504</v>
      </c>
      <c r="G117" t="s">
        <v>556</v>
      </c>
      <c r="H117">
        <v>22080</v>
      </c>
      <c r="I117">
        <v>22080</v>
      </c>
      <c r="J117" s="66">
        <v>46082</v>
      </c>
      <c r="K117" t="s">
        <v>67</v>
      </c>
      <c r="L117" t="s">
        <v>68</v>
      </c>
      <c r="M117" t="s">
        <v>69</v>
      </c>
      <c r="O117">
        <v>22080</v>
      </c>
      <c r="P117" t="s">
        <v>388</v>
      </c>
      <c r="S117" t="s">
        <v>389</v>
      </c>
      <c r="T117">
        <v>10</v>
      </c>
    </row>
    <row r="118" spans="1:20" hidden="1">
      <c r="A118" s="66">
        <v>46086</v>
      </c>
      <c r="B118" t="s">
        <v>553</v>
      </c>
      <c r="C118" t="s">
        <v>96</v>
      </c>
      <c r="D118" t="s">
        <v>64</v>
      </c>
      <c r="E118" t="s">
        <v>26</v>
      </c>
      <c r="F118" t="s">
        <v>554</v>
      </c>
      <c r="G118" t="s">
        <v>557</v>
      </c>
      <c r="H118">
        <v>34560</v>
      </c>
      <c r="I118">
        <v>34560</v>
      </c>
      <c r="J118" s="66">
        <v>46082</v>
      </c>
      <c r="K118" t="s">
        <v>67</v>
      </c>
      <c r="L118" t="s">
        <v>68</v>
      </c>
      <c r="M118" t="s">
        <v>69</v>
      </c>
      <c r="O118">
        <v>34560</v>
      </c>
      <c r="P118" t="s">
        <v>388</v>
      </c>
      <c r="S118" t="s">
        <v>389</v>
      </c>
      <c r="T118">
        <v>10</v>
      </c>
    </row>
    <row r="119" spans="1:20" hidden="1">
      <c r="A119" s="66">
        <v>46086</v>
      </c>
      <c r="B119" t="s">
        <v>471</v>
      </c>
      <c r="C119" t="s">
        <v>96</v>
      </c>
      <c r="D119" t="s">
        <v>64</v>
      </c>
      <c r="E119" t="s">
        <v>26</v>
      </c>
      <c r="F119" t="s">
        <v>472</v>
      </c>
      <c r="G119" t="s">
        <v>557</v>
      </c>
      <c r="H119">
        <v>11398</v>
      </c>
      <c r="I119">
        <v>11398</v>
      </c>
      <c r="J119" s="66">
        <v>46082</v>
      </c>
      <c r="K119" t="s">
        <v>67</v>
      </c>
      <c r="L119" t="s">
        <v>68</v>
      </c>
      <c r="M119" t="s">
        <v>69</v>
      </c>
      <c r="O119">
        <v>11398</v>
      </c>
      <c r="P119" t="s">
        <v>388</v>
      </c>
      <c r="S119" t="s">
        <v>389</v>
      </c>
      <c r="T119">
        <v>10</v>
      </c>
    </row>
    <row r="120" spans="1:20" hidden="1">
      <c r="A120" s="66">
        <v>46085</v>
      </c>
      <c r="B120" t="s">
        <v>95</v>
      </c>
      <c r="C120" t="s">
        <v>96</v>
      </c>
      <c r="D120" t="s">
        <v>64</v>
      </c>
      <c r="E120" t="s">
        <v>38</v>
      </c>
      <c r="F120" t="s">
        <v>97</v>
      </c>
      <c r="G120" t="s">
        <v>558</v>
      </c>
      <c r="H120">
        <v>18333</v>
      </c>
      <c r="I120">
        <v>18333</v>
      </c>
      <c r="J120" s="66">
        <v>46082</v>
      </c>
      <c r="K120" t="s">
        <v>99</v>
      </c>
      <c r="L120" t="s">
        <v>68</v>
      </c>
      <c r="M120" t="s">
        <v>69</v>
      </c>
      <c r="O120">
        <v>0</v>
      </c>
      <c r="P120" t="s">
        <v>70</v>
      </c>
      <c r="S120" t="s">
        <v>389</v>
      </c>
      <c r="T120">
        <v>10</v>
      </c>
    </row>
    <row r="121" spans="1:20" hidden="1">
      <c r="A121" s="66">
        <v>46085</v>
      </c>
      <c r="B121" t="s">
        <v>553</v>
      </c>
      <c r="C121" t="s">
        <v>96</v>
      </c>
      <c r="D121" t="s">
        <v>64</v>
      </c>
      <c r="E121" t="s">
        <v>26</v>
      </c>
      <c r="F121" t="s">
        <v>554</v>
      </c>
      <c r="G121" t="s">
        <v>559</v>
      </c>
      <c r="H121">
        <v>29600</v>
      </c>
      <c r="I121">
        <v>29600</v>
      </c>
      <c r="J121" s="66">
        <v>46082</v>
      </c>
      <c r="K121" t="s">
        <v>67</v>
      </c>
      <c r="L121" t="s">
        <v>68</v>
      </c>
      <c r="M121" t="s">
        <v>69</v>
      </c>
      <c r="O121">
        <v>29600</v>
      </c>
      <c r="P121" t="s">
        <v>388</v>
      </c>
      <c r="S121" t="s">
        <v>389</v>
      </c>
      <c r="T121">
        <v>10</v>
      </c>
    </row>
    <row r="122" spans="1:20" hidden="1">
      <c r="A122" s="66">
        <v>46085</v>
      </c>
      <c r="B122" t="s">
        <v>471</v>
      </c>
      <c r="C122" t="s">
        <v>96</v>
      </c>
      <c r="D122" t="s">
        <v>64</v>
      </c>
      <c r="E122" t="s">
        <v>26</v>
      </c>
      <c r="F122" t="s">
        <v>472</v>
      </c>
      <c r="G122" t="s">
        <v>559</v>
      </c>
      <c r="H122">
        <v>10500</v>
      </c>
      <c r="I122">
        <v>10500</v>
      </c>
      <c r="J122" s="66">
        <v>46082</v>
      </c>
      <c r="K122" t="s">
        <v>67</v>
      </c>
      <c r="L122" t="s">
        <v>68</v>
      </c>
      <c r="M122" t="s">
        <v>69</v>
      </c>
      <c r="O122">
        <v>10500</v>
      </c>
      <c r="P122" t="s">
        <v>388</v>
      </c>
      <c r="S122" t="s">
        <v>389</v>
      </c>
      <c r="T122">
        <v>10</v>
      </c>
    </row>
    <row r="123" spans="1:20" hidden="1">
      <c r="A123" s="66">
        <v>46084</v>
      </c>
      <c r="B123" t="s">
        <v>553</v>
      </c>
      <c r="C123" t="s">
        <v>96</v>
      </c>
      <c r="D123" t="s">
        <v>64</v>
      </c>
      <c r="E123" t="s">
        <v>26</v>
      </c>
      <c r="F123" t="s">
        <v>554</v>
      </c>
      <c r="G123" t="s">
        <v>560</v>
      </c>
      <c r="H123">
        <v>37500</v>
      </c>
      <c r="I123">
        <v>37500</v>
      </c>
      <c r="J123" s="66">
        <v>46082</v>
      </c>
      <c r="K123" t="s">
        <v>67</v>
      </c>
      <c r="L123" t="s">
        <v>68</v>
      </c>
      <c r="M123" t="s">
        <v>69</v>
      </c>
      <c r="O123">
        <v>37500</v>
      </c>
      <c r="P123" t="s">
        <v>388</v>
      </c>
      <c r="S123" t="s">
        <v>389</v>
      </c>
      <c r="T123">
        <v>10</v>
      </c>
    </row>
    <row r="124" spans="1:20" hidden="1">
      <c r="A124" s="66">
        <v>46084</v>
      </c>
      <c r="B124" t="s">
        <v>471</v>
      </c>
      <c r="C124" t="s">
        <v>96</v>
      </c>
      <c r="D124" t="s">
        <v>64</v>
      </c>
      <c r="E124" t="s">
        <v>26</v>
      </c>
      <c r="F124" t="s">
        <v>472</v>
      </c>
      <c r="G124" t="s">
        <v>560</v>
      </c>
      <c r="H124">
        <v>15500</v>
      </c>
      <c r="I124">
        <v>15500</v>
      </c>
      <c r="J124" s="66">
        <v>46082</v>
      </c>
      <c r="K124" t="s">
        <v>67</v>
      </c>
      <c r="L124" t="s">
        <v>68</v>
      </c>
      <c r="M124" t="s">
        <v>69</v>
      </c>
      <c r="O124">
        <v>15500</v>
      </c>
      <c r="P124" t="s">
        <v>388</v>
      </c>
      <c r="S124" t="s">
        <v>389</v>
      </c>
      <c r="T124">
        <v>10</v>
      </c>
    </row>
    <row r="125" spans="1:20" hidden="1">
      <c r="A125" s="66">
        <v>46083</v>
      </c>
      <c r="B125" t="s">
        <v>471</v>
      </c>
      <c r="C125" t="s">
        <v>96</v>
      </c>
      <c r="D125" t="s">
        <v>64</v>
      </c>
      <c r="E125" t="s">
        <v>26</v>
      </c>
      <c r="F125" t="s">
        <v>472</v>
      </c>
      <c r="G125" t="s">
        <v>561</v>
      </c>
      <c r="H125">
        <v>8571</v>
      </c>
      <c r="I125">
        <v>8571</v>
      </c>
      <c r="J125" s="66">
        <v>46082</v>
      </c>
      <c r="K125" t="s">
        <v>67</v>
      </c>
      <c r="L125" t="s">
        <v>68</v>
      </c>
      <c r="M125" t="s">
        <v>69</v>
      </c>
      <c r="O125">
        <v>8571</v>
      </c>
      <c r="P125" t="s">
        <v>388</v>
      </c>
      <c r="S125" t="s">
        <v>389</v>
      </c>
      <c r="T125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9AEE-4225-41F9-A1B2-0C86B06A979C}">
  <dimension ref="A2:BA57"/>
  <sheetViews>
    <sheetView topLeftCell="A35" zoomScaleNormal="100" workbookViewId="0">
      <pane xSplit="1" topLeftCell="Q1" activePane="topRight" state="frozen"/>
      <selection pane="topRight" activeCell="AD39" sqref="AD39"/>
      <selection activeCell="A5" sqref="A5"/>
    </sheetView>
  </sheetViews>
  <sheetFormatPr defaultColWidth="8.7109375" defaultRowHeight="14.45"/>
  <cols>
    <col min="1" max="1" width="24.28515625" bestFit="1" customWidth="1"/>
    <col min="2" max="2" width="12" customWidth="1"/>
    <col min="3" max="3" width="6.42578125" customWidth="1"/>
    <col min="4" max="5" width="7.42578125" customWidth="1"/>
    <col min="6" max="6" width="15" customWidth="1"/>
    <col min="7" max="7" width="12.7109375" customWidth="1"/>
    <col min="8" max="8" width="8" customWidth="1"/>
    <col min="9" max="11" width="9" customWidth="1"/>
    <col min="12" max="12" width="7.7109375" customWidth="1"/>
    <col min="13" max="13" width="8" customWidth="1"/>
    <col min="14" max="14" width="6.85546875" customWidth="1"/>
    <col min="15" max="15" width="8" customWidth="1"/>
    <col min="16" max="16" width="7.42578125" customWidth="1"/>
    <col min="17" max="17" width="7.28515625" customWidth="1"/>
    <col min="18" max="19" width="7.5703125" customWidth="1"/>
    <col min="20" max="20" width="7" customWidth="1"/>
    <col min="21" max="21" width="7.28515625" customWidth="1"/>
    <col min="22" max="22" width="9" customWidth="1"/>
    <col min="23" max="23" width="7.140625" customWidth="1"/>
    <col min="24" max="24" width="7.7109375" customWidth="1"/>
    <col min="25" max="25" width="7" customWidth="1"/>
    <col min="26" max="26" width="6.42578125" customWidth="1"/>
    <col min="27" max="27" width="7.42578125" customWidth="1"/>
    <col min="28" max="28" width="15.7109375" customWidth="1"/>
    <col min="29" max="29" width="11.42578125" customWidth="1"/>
    <col min="30" max="30" width="9.85546875" customWidth="1"/>
    <col min="31" max="31" width="9.85546875" bestFit="1" customWidth="1"/>
    <col min="32" max="32" width="11.42578125" bestFit="1" customWidth="1"/>
    <col min="33" max="33" width="8.28515625" bestFit="1" customWidth="1"/>
    <col min="34" max="34" width="9.85546875" bestFit="1" customWidth="1"/>
    <col min="35" max="35" width="8.28515625" bestFit="1" customWidth="1"/>
    <col min="36" max="42" width="9.85546875" bestFit="1" customWidth="1"/>
    <col min="43" max="44" width="8.28515625" bestFit="1" customWidth="1"/>
    <col min="45" max="45" width="9.85546875" bestFit="1" customWidth="1"/>
    <col min="46" max="46" width="8.28515625" bestFit="1" customWidth="1"/>
    <col min="47" max="47" width="9.85546875" bestFit="1" customWidth="1"/>
    <col min="48" max="50" width="9.85546875" customWidth="1"/>
    <col min="51" max="51" width="14.42578125" customWidth="1"/>
    <col min="52" max="52" width="11.42578125" customWidth="1"/>
    <col min="53" max="53" width="11.42578125" bestFit="1" customWidth="1"/>
    <col min="54" max="55" width="12" bestFit="1" customWidth="1"/>
    <col min="61" max="62" width="9.85546875" bestFit="1" customWidth="1"/>
    <col min="65" max="65" width="9.85546875" bestFit="1" customWidth="1"/>
    <col min="67" max="70" width="9.85546875" bestFit="1" customWidth="1"/>
    <col min="72" max="75" width="9.85546875" bestFit="1" customWidth="1"/>
    <col min="76" max="76" width="11" bestFit="1" customWidth="1"/>
  </cols>
  <sheetData>
    <row r="2" spans="1:53" ht="18.75" customHeight="1">
      <c r="A2" s="5" t="s">
        <v>562</v>
      </c>
    </row>
    <row r="3" spans="1:53" ht="18" customHeight="1">
      <c r="A3" s="2" t="s">
        <v>563</v>
      </c>
      <c r="B3" s="2" t="s">
        <v>59</v>
      </c>
    </row>
    <row r="4" spans="1:53" ht="15" customHeight="1">
      <c r="B4" t="s">
        <v>99</v>
      </c>
      <c r="X4" s="9" t="s">
        <v>564</v>
      </c>
      <c r="Y4" t="s">
        <v>67</v>
      </c>
      <c r="AY4" s="84" t="s">
        <v>565</v>
      </c>
      <c r="AZ4" t="s">
        <v>11</v>
      </c>
    </row>
    <row r="5" spans="1:53" ht="15" customHeight="1">
      <c r="A5" s="2" t="s">
        <v>4</v>
      </c>
      <c r="B5" s="71">
        <v>45292</v>
      </c>
      <c r="C5" s="71">
        <v>45323</v>
      </c>
      <c r="D5" s="71">
        <v>45352</v>
      </c>
      <c r="E5" s="71">
        <v>45383</v>
      </c>
      <c r="F5" s="71">
        <v>45413</v>
      </c>
      <c r="G5" s="71">
        <v>45444</v>
      </c>
      <c r="H5" s="71">
        <v>45474</v>
      </c>
      <c r="I5" s="71">
        <v>45505</v>
      </c>
      <c r="J5" s="71">
        <v>45536</v>
      </c>
      <c r="K5" s="71">
        <v>45566</v>
      </c>
      <c r="L5" s="71">
        <v>45597</v>
      </c>
      <c r="M5" s="71">
        <v>45627</v>
      </c>
      <c r="N5" s="71">
        <v>45658</v>
      </c>
      <c r="O5" s="71">
        <v>45689</v>
      </c>
      <c r="P5" s="71">
        <v>45717</v>
      </c>
      <c r="Q5" s="71">
        <v>45748</v>
      </c>
      <c r="R5" s="71">
        <v>45778</v>
      </c>
      <c r="S5" s="71">
        <v>45809</v>
      </c>
      <c r="T5" s="71">
        <v>45839</v>
      </c>
      <c r="U5" s="71">
        <v>45870</v>
      </c>
      <c r="V5" s="71">
        <v>45901</v>
      </c>
      <c r="W5" s="71">
        <v>45931</v>
      </c>
      <c r="X5" s="9"/>
      <c r="Y5" s="71">
        <v>45231</v>
      </c>
      <c r="Z5" s="71">
        <v>45261</v>
      </c>
      <c r="AA5" s="71">
        <v>45292</v>
      </c>
      <c r="AB5" s="71">
        <v>45323</v>
      </c>
      <c r="AC5" s="71">
        <v>45352</v>
      </c>
      <c r="AD5" s="71">
        <v>45383</v>
      </c>
      <c r="AE5" s="71">
        <v>45413</v>
      </c>
      <c r="AF5" s="71">
        <v>45444</v>
      </c>
      <c r="AG5" s="71">
        <v>45474</v>
      </c>
      <c r="AH5" s="71">
        <v>45505</v>
      </c>
      <c r="AI5" s="71">
        <v>45536</v>
      </c>
      <c r="AJ5" s="71">
        <v>45566</v>
      </c>
      <c r="AK5" s="22">
        <v>45597</v>
      </c>
      <c r="AL5" s="22">
        <v>45627</v>
      </c>
      <c r="AM5" s="71">
        <v>45658</v>
      </c>
      <c r="AN5" s="71">
        <v>45689</v>
      </c>
      <c r="AO5" s="71">
        <v>45717</v>
      </c>
      <c r="AP5" s="71">
        <v>45748</v>
      </c>
      <c r="AQ5" s="71">
        <v>45778</v>
      </c>
      <c r="AR5" s="71">
        <v>45809</v>
      </c>
      <c r="AS5" s="71">
        <v>45839</v>
      </c>
      <c r="AT5" s="71">
        <v>45870</v>
      </c>
      <c r="AU5" s="71">
        <v>45901</v>
      </c>
      <c r="AV5" s="71">
        <v>45931</v>
      </c>
      <c r="AW5" s="71">
        <v>45962</v>
      </c>
      <c r="AX5" s="71">
        <v>45992</v>
      </c>
      <c r="AY5" s="84"/>
    </row>
    <row r="6" spans="1:53">
      <c r="A6" s="3" t="s">
        <v>68</v>
      </c>
      <c r="B6" s="13">
        <v>244671</v>
      </c>
      <c r="C6" s="13">
        <v>184184</v>
      </c>
      <c r="D6" s="13">
        <v>672620</v>
      </c>
      <c r="E6" s="13">
        <v>630993</v>
      </c>
      <c r="F6" s="13">
        <v>224623</v>
      </c>
      <c r="G6" s="13">
        <v>177151</v>
      </c>
      <c r="H6" s="13">
        <v>357305</v>
      </c>
      <c r="I6" s="13">
        <v>172060</v>
      </c>
      <c r="J6" s="13">
        <v>173396</v>
      </c>
      <c r="K6" s="13">
        <v>36855</v>
      </c>
      <c r="L6" s="13">
        <v>175565</v>
      </c>
      <c r="M6" s="13">
        <v>139607</v>
      </c>
      <c r="N6" s="13">
        <v>158594</v>
      </c>
      <c r="O6" s="13">
        <v>192091</v>
      </c>
      <c r="P6" s="13">
        <v>137347</v>
      </c>
      <c r="Q6" s="13">
        <v>190048</v>
      </c>
      <c r="R6" s="13">
        <v>246746</v>
      </c>
      <c r="S6" s="13">
        <v>188839</v>
      </c>
      <c r="T6" s="13">
        <v>381506</v>
      </c>
      <c r="U6" s="13">
        <v>430226</v>
      </c>
      <c r="V6" s="13">
        <v>132965</v>
      </c>
      <c r="W6" s="13">
        <v>130236</v>
      </c>
      <c r="X6" s="13">
        <v>5377628</v>
      </c>
      <c r="Y6" s="13">
        <v>216000</v>
      </c>
      <c r="Z6" s="13">
        <v>441884</v>
      </c>
      <c r="AA6" s="13">
        <v>628380</v>
      </c>
      <c r="AB6" s="13">
        <v>490291</v>
      </c>
      <c r="AC6" s="13">
        <v>867317</v>
      </c>
      <c r="AD6" s="13">
        <v>555748</v>
      </c>
      <c r="AE6" s="13">
        <v>2786000</v>
      </c>
      <c r="AF6" s="13">
        <v>3048664</v>
      </c>
      <c r="AG6" s="13">
        <v>597840</v>
      </c>
      <c r="AH6" s="13">
        <v>2140563</v>
      </c>
      <c r="AI6" s="13">
        <v>430500</v>
      </c>
      <c r="AJ6" s="13">
        <v>3443777</v>
      </c>
      <c r="AK6" s="13">
        <v>6653985</v>
      </c>
      <c r="AL6" s="13">
        <v>4745972</v>
      </c>
      <c r="AM6" s="13">
        <v>4074521</v>
      </c>
      <c r="AN6" s="13">
        <v>1515634</v>
      </c>
      <c r="AO6" s="13">
        <v>1889599</v>
      </c>
      <c r="AP6" s="13">
        <v>1900919</v>
      </c>
      <c r="AQ6" s="13">
        <v>735453</v>
      </c>
      <c r="AR6" s="13">
        <v>420218</v>
      </c>
      <c r="AS6" s="13">
        <v>8804468</v>
      </c>
      <c r="AT6" s="13">
        <v>597307</v>
      </c>
      <c r="AU6" s="13">
        <v>1929384</v>
      </c>
      <c r="AV6" s="13">
        <v>3303210</v>
      </c>
      <c r="AW6" s="13">
        <v>7599375</v>
      </c>
      <c r="AX6" s="13">
        <v>3224730</v>
      </c>
      <c r="AY6" s="13">
        <v>63041739</v>
      </c>
      <c r="AZ6" s="13">
        <v>68419367</v>
      </c>
    </row>
    <row r="7" spans="1:53">
      <c r="A7" s="3" t="s">
        <v>295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</row>
    <row r="8" spans="1:53">
      <c r="A8" s="3" t="s">
        <v>11</v>
      </c>
      <c r="B8" s="13">
        <v>244671</v>
      </c>
      <c r="C8" s="13">
        <v>184184</v>
      </c>
      <c r="D8" s="13">
        <v>672620</v>
      </c>
      <c r="E8" s="13">
        <v>630993</v>
      </c>
      <c r="F8" s="13">
        <v>224623</v>
      </c>
      <c r="G8" s="13">
        <v>177151</v>
      </c>
      <c r="H8" s="13">
        <v>357305</v>
      </c>
      <c r="I8" s="13">
        <v>172060</v>
      </c>
      <c r="J8" s="13">
        <v>173396</v>
      </c>
      <c r="K8" s="13">
        <v>36855</v>
      </c>
      <c r="L8" s="13">
        <v>175565</v>
      </c>
      <c r="M8" s="13">
        <v>139607</v>
      </c>
      <c r="N8" s="13">
        <v>158594</v>
      </c>
      <c r="O8" s="13">
        <v>192091</v>
      </c>
      <c r="P8" s="13">
        <v>137347</v>
      </c>
      <c r="Q8" s="13">
        <v>190048</v>
      </c>
      <c r="R8" s="13">
        <v>246746</v>
      </c>
      <c r="S8" s="13">
        <v>188839</v>
      </c>
      <c r="T8" s="13">
        <v>381506</v>
      </c>
      <c r="U8" s="13">
        <v>430226</v>
      </c>
      <c r="V8" s="13">
        <v>132965</v>
      </c>
      <c r="W8" s="13">
        <v>130236</v>
      </c>
      <c r="X8" s="13">
        <v>5377628</v>
      </c>
      <c r="Y8" s="13">
        <v>216000</v>
      </c>
      <c r="Z8" s="13">
        <v>441884</v>
      </c>
      <c r="AA8" s="13">
        <v>628380</v>
      </c>
      <c r="AB8" s="13">
        <v>490291</v>
      </c>
      <c r="AC8" s="13">
        <v>867317</v>
      </c>
      <c r="AD8" s="13">
        <v>555748</v>
      </c>
      <c r="AE8" s="13">
        <v>2786000</v>
      </c>
      <c r="AF8" s="13">
        <v>3048664</v>
      </c>
      <c r="AG8" s="13">
        <v>597840</v>
      </c>
      <c r="AH8" s="13">
        <v>2140563</v>
      </c>
      <c r="AI8" s="13">
        <v>430500</v>
      </c>
      <c r="AJ8" s="13">
        <v>3443777</v>
      </c>
      <c r="AK8" s="13">
        <v>6653985</v>
      </c>
      <c r="AL8" s="13">
        <v>4745972</v>
      </c>
      <c r="AM8" s="13">
        <v>4074521</v>
      </c>
      <c r="AN8" s="13">
        <v>1515634</v>
      </c>
      <c r="AO8" s="13">
        <v>1889599</v>
      </c>
      <c r="AP8" s="13">
        <v>1900919</v>
      </c>
      <c r="AQ8" s="13">
        <v>735453</v>
      </c>
      <c r="AR8" s="13">
        <v>420218</v>
      </c>
      <c r="AS8" s="13">
        <v>8804468</v>
      </c>
      <c r="AT8" s="13">
        <v>597307</v>
      </c>
      <c r="AU8" s="13">
        <v>1929384</v>
      </c>
      <c r="AV8" s="13">
        <v>3303210</v>
      </c>
      <c r="AW8" s="13">
        <v>7599375</v>
      </c>
      <c r="AX8" s="13">
        <v>3224730</v>
      </c>
      <c r="AY8" s="13">
        <v>63041739</v>
      </c>
      <c r="AZ8" s="13">
        <v>68419367</v>
      </c>
    </row>
    <row r="11" spans="1:53">
      <c r="A11" s="5" t="s">
        <v>566</v>
      </c>
    </row>
    <row r="12" spans="1:53">
      <c r="A12" s="2" t="s">
        <v>563</v>
      </c>
      <c r="B12" s="2" t="s">
        <v>59</v>
      </c>
    </row>
    <row r="13" spans="1:53" ht="29.1">
      <c r="B13" t="s">
        <v>99</v>
      </c>
      <c r="X13" s="9" t="s">
        <v>564</v>
      </c>
      <c r="Y13" t="s">
        <v>67</v>
      </c>
      <c r="AZ13" s="84" t="s">
        <v>565</v>
      </c>
      <c r="BA13" t="s">
        <v>11</v>
      </c>
    </row>
    <row r="14" spans="1:53">
      <c r="A14" s="2" t="s">
        <v>4</v>
      </c>
      <c r="B14" s="71">
        <v>45292</v>
      </c>
      <c r="C14" s="71">
        <v>45323</v>
      </c>
      <c r="D14" s="71">
        <v>45352</v>
      </c>
      <c r="E14" s="71">
        <v>45383</v>
      </c>
      <c r="F14" s="71">
        <v>45413</v>
      </c>
      <c r="G14" s="71">
        <v>45444</v>
      </c>
      <c r="H14" s="71">
        <v>45474</v>
      </c>
      <c r="I14" s="71">
        <v>45505</v>
      </c>
      <c r="J14" s="71">
        <v>45536</v>
      </c>
      <c r="K14" s="71">
        <v>45566</v>
      </c>
      <c r="L14" s="71">
        <v>45597</v>
      </c>
      <c r="M14" s="71">
        <v>45627</v>
      </c>
      <c r="N14" s="71">
        <v>45658</v>
      </c>
      <c r="O14" s="71">
        <v>45689</v>
      </c>
      <c r="P14" s="71">
        <v>45717</v>
      </c>
      <c r="Q14" s="71">
        <v>45748</v>
      </c>
      <c r="R14" s="71">
        <v>45778</v>
      </c>
      <c r="S14" s="71">
        <v>45809</v>
      </c>
      <c r="T14" s="71">
        <v>45839</v>
      </c>
      <c r="U14" s="71">
        <v>45870</v>
      </c>
      <c r="V14" s="71">
        <v>45901</v>
      </c>
      <c r="W14" s="71">
        <v>45931</v>
      </c>
      <c r="X14" s="9"/>
      <c r="Y14" s="71">
        <v>45231</v>
      </c>
      <c r="Z14" s="71">
        <v>45261</v>
      </c>
      <c r="AA14" s="71">
        <v>45292</v>
      </c>
      <c r="AB14" s="71">
        <v>45323</v>
      </c>
      <c r="AC14" s="71">
        <v>45352</v>
      </c>
      <c r="AD14" s="71">
        <v>45383</v>
      </c>
      <c r="AE14" s="71">
        <v>45413</v>
      </c>
      <c r="AF14" s="71">
        <v>45444</v>
      </c>
      <c r="AG14" s="71">
        <v>45474</v>
      </c>
      <c r="AH14" s="71">
        <v>45505</v>
      </c>
      <c r="AI14" s="71">
        <v>45536</v>
      </c>
      <c r="AJ14" s="71">
        <v>45566</v>
      </c>
      <c r="AK14" s="22">
        <v>45597</v>
      </c>
      <c r="AL14" s="22">
        <v>45627</v>
      </c>
      <c r="AM14" s="71">
        <v>45658</v>
      </c>
      <c r="AN14" s="71">
        <v>45689</v>
      </c>
      <c r="AO14" s="71">
        <v>45717</v>
      </c>
      <c r="AP14" s="71">
        <v>45748</v>
      </c>
      <c r="AQ14" s="71">
        <v>45778</v>
      </c>
      <c r="AR14" s="71">
        <v>45809</v>
      </c>
      <c r="AS14" s="71">
        <v>45839</v>
      </c>
      <c r="AT14" s="71">
        <v>45870</v>
      </c>
      <c r="AU14" s="71">
        <v>45901</v>
      </c>
      <c r="AV14" s="71">
        <v>45931</v>
      </c>
      <c r="AW14" s="71">
        <v>45962</v>
      </c>
      <c r="AX14" s="71">
        <v>45992</v>
      </c>
      <c r="AY14" s="75">
        <v>46113</v>
      </c>
      <c r="AZ14" s="84"/>
    </row>
    <row r="15" spans="1:53">
      <c r="A15" s="3" t="s">
        <v>68</v>
      </c>
      <c r="B15" s="13">
        <v>244671</v>
      </c>
      <c r="C15" s="13">
        <v>184184</v>
      </c>
      <c r="D15" s="13">
        <v>672620</v>
      </c>
      <c r="E15" s="13">
        <v>630993</v>
      </c>
      <c r="F15" s="13">
        <v>224623</v>
      </c>
      <c r="G15" s="13">
        <v>177151</v>
      </c>
      <c r="H15" s="13">
        <v>357305</v>
      </c>
      <c r="I15" s="13">
        <v>172060</v>
      </c>
      <c r="J15" s="13">
        <v>173396</v>
      </c>
      <c r="K15" s="13">
        <v>36855</v>
      </c>
      <c r="L15" s="13">
        <v>175565</v>
      </c>
      <c r="M15" s="13">
        <v>139607</v>
      </c>
      <c r="N15" s="13">
        <v>158594</v>
      </c>
      <c r="O15" s="13">
        <v>192091</v>
      </c>
      <c r="P15" s="13">
        <v>137347</v>
      </c>
      <c r="Q15" s="13">
        <v>190048</v>
      </c>
      <c r="R15" s="13">
        <v>246746</v>
      </c>
      <c r="S15" s="13">
        <v>188839</v>
      </c>
      <c r="T15" s="13">
        <v>381506</v>
      </c>
      <c r="U15" s="13">
        <v>430226</v>
      </c>
      <c r="V15" s="13">
        <v>132965</v>
      </c>
      <c r="W15" s="13">
        <v>130236</v>
      </c>
      <c r="X15" s="13">
        <v>5377628</v>
      </c>
      <c r="Y15" s="13">
        <v>216000</v>
      </c>
      <c r="Z15" s="13">
        <v>441884</v>
      </c>
      <c r="AA15" s="13">
        <v>628380</v>
      </c>
      <c r="AB15" s="13">
        <v>490291</v>
      </c>
      <c r="AC15" s="13">
        <v>867317</v>
      </c>
      <c r="AD15" s="13">
        <v>555748</v>
      </c>
      <c r="AE15" s="13">
        <v>2786000</v>
      </c>
      <c r="AF15" s="13">
        <v>3048664</v>
      </c>
      <c r="AG15" s="13">
        <v>597840</v>
      </c>
      <c r="AH15" s="13">
        <v>2140563</v>
      </c>
      <c r="AI15" s="13">
        <v>430500</v>
      </c>
      <c r="AJ15" s="13">
        <v>3443777</v>
      </c>
      <c r="AK15" s="13">
        <v>6653985</v>
      </c>
      <c r="AL15" s="13">
        <v>4745972</v>
      </c>
      <c r="AM15" s="13">
        <v>4074521</v>
      </c>
      <c r="AN15" s="13">
        <v>1515634</v>
      </c>
      <c r="AO15" s="13">
        <v>1889599</v>
      </c>
      <c r="AP15" s="13">
        <v>1900919</v>
      </c>
      <c r="AQ15" s="13">
        <v>735453</v>
      </c>
      <c r="AR15" s="13">
        <v>420218</v>
      </c>
      <c r="AS15" s="13">
        <v>8804468</v>
      </c>
      <c r="AT15" s="13">
        <v>597307</v>
      </c>
      <c r="AU15" s="13">
        <v>1929384</v>
      </c>
      <c r="AV15" s="13">
        <v>3303210</v>
      </c>
      <c r="AW15" s="13">
        <v>7599375</v>
      </c>
      <c r="AX15" s="13">
        <v>3224730</v>
      </c>
      <c r="AY15" s="13">
        <v>0</v>
      </c>
      <c r="AZ15" s="13">
        <v>63041739</v>
      </c>
      <c r="BA15" s="13">
        <v>68419367</v>
      </c>
    </row>
    <row r="16" spans="1:53">
      <c r="A16" s="3" t="s">
        <v>295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</row>
    <row r="17" spans="1:53">
      <c r="A17" s="3" t="s">
        <v>567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</row>
    <row r="18" spans="1:53">
      <c r="A18" s="3" t="s">
        <v>568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</row>
    <row r="19" spans="1:53">
      <c r="A19" s="3" t="s">
        <v>11</v>
      </c>
      <c r="B19" s="13">
        <v>244671</v>
      </c>
      <c r="C19" s="13">
        <v>184184</v>
      </c>
      <c r="D19" s="13">
        <v>672620</v>
      </c>
      <c r="E19" s="13">
        <v>630993</v>
      </c>
      <c r="F19" s="13">
        <v>224623</v>
      </c>
      <c r="G19" s="13">
        <v>177151</v>
      </c>
      <c r="H19" s="13">
        <v>357305</v>
      </c>
      <c r="I19" s="13">
        <v>172060</v>
      </c>
      <c r="J19" s="13">
        <v>173396</v>
      </c>
      <c r="K19" s="13">
        <v>36855</v>
      </c>
      <c r="L19" s="13">
        <v>175565</v>
      </c>
      <c r="M19" s="13">
        <v>139607</v>
      </c>
      <c r="N19" s="13">
        <v>158594</v>
      </c>
      <c r="O19" s="13">
        <v>192091</v>
      </c>
      <c r="P19" s="13">
        <v>137347</v>
      </c>
      <c r="Q19" s="13">
        <v>190048</v>
      </c>
      <c r="R19" s="13">
        <v>246746</v>
      </c>
      <c r="S19" s="13">
        <v>188839</v>
      </c>
      <c r="T19" s="13">
        <v>381506</v>
      </c>
      <c r="U19" s="13">
        <v>430226</v>
      </c>
      <c r="V19" s="13">
        <v>132965</v>
      </c>
      <c r="W19" s="13">
        <v>130236</v>
      </c>
      <c r="X19" s="13">
        <v>5377628</v>
      </c>
      <c r="Y19" s="13">
        <v>216000</v>
      </c>
      <c r="Z19" s="13">
        <v>441884</v>
      </c>
      <c r="AA19" s="13">
        <v>628380</v>
      </c>
      <c r="AB19" s="13">
        <v>490291</v>
      </c>
      <c r="AC19" s="13">
        <v>867317</v>
      </c>
      <c r="AD19" s="13">
        <v>555748</v>
      </c>
      <c r="AE19" s="13">
        <v>2786000</v>
      </c>
      <c r="AF19" s="13">
        <v>3048664</v>
      </c>
      <c r="AG19" s="13">
        <v>597840</v>
      </c>
      <c r="AH19" s="13">
        <v>2140563</v>
      </c>
      <c r="AI19" s="13">
        <v>430500</v>
      </c>
      <c r="AJ19" s="13">
        <v>3443777</v>
      </c>
      <c r="AK19" s="13">
        <v>6653985</v>
      </c>
      <c r="AL19" s="13">
        <v>4745972</v>
      </c>
      <c r="AM19" s="13">
        <v>4074521</v>
      </c>
      <c r="AN19" s="13">
        <v>1515634</v>
      </c>
      <c r="AO19" s="13">
        <v>1889599</v>
      </c>
      <c r="AP19" s="13">
        <v>1900919</v>
      </c>
      <c r="AQ19" s="13">
        <v>735453</v>
      </c>
      <c r="AR19" s="13">
        <v>420218</v>
      </c>
      <c r="AS19" s="13">
        <v>8804468</v>
      </c>
      <c r="AT19" s="13">
        <v>597307</v>
      </c>
      <c r="AU19" s="13">
        <v>1929384</v>
      </c>
      <c r="AV19" s="13">
        <v>3303210</v>
      </c>
      <c r="AW19" s="13">
        <v>7599375</v>
      </c>
      <c r="AX19" s="13">
        <v>3224730</v>
      </c>
      <c r="AY19" s="13">
        <v>0</v>
      </c>
      <c r="AZ19" s="13">
        <v>63041739</v>
      </c>
      <c r="BA19" s="13">
        <v>68419367</v>
      </c>
    </row>
    <row r="21" spans="1:53" ht="27.75" customHeight="1">
      <c r="A21" s="16" t="s">
        <v>569</v>
      </c>
    </row>
    <row r="22" spans="1:53">
      <c r="A22" s="2" t="s">
        <v>570</v>
      </c>
      <c r="B22" s="2" t="s">
        <v>59</v>
      </c>
    </row>
    <row r="23" spans="1:53">
      <c r="A23" s="2" t="s">
        <v>4</v>
      </c>
      <c r="B23" s="66">
        <v>45231</v>
      </c>
      <c r="C23" s="66">
        <v>45261</v>
      </c>
      <c r="D23" s="66">
        <v>45292</v>
      </c>
      <c r="E23" s="66">
        <v>45323</v>
      </c>
      <c r="F23" s="66">
        <v>45352</v>
      </c>
      <c r="G23" s="66">
        <v>45383</v>
      </c>
      <c r="H23" s="71">
        <v>45413</v>
      </c>
      <c r="I23" s="71">
        <v>45444</v>
      </c>
      <c r="J23" s="71">
        <v>45474</v>
      </c>
      <c r="K23" s="71">
        <v>45505</v>
      </c>
      <c r="L23" s="71">
        <v>45536</v>
      </c>
      <c r="M23" s="71">
        <v>45566</v>
      </c>
      <c r="N23" s="71">
        <v>45597</v>
      </c>
      <c r="O23" s="71">
        <v>45627</v>
      </c>
      <c r="P23" s="71">
        <v>45658</v>
      </c>
      <c r="Q23" s="71">
        <v>45689</v>
      </c>
      <c r="R23" s="71">
        <v>45717</v>
      </c>
      <c r="S23" s="71">
        <v>45748</v>
      </c>
      <c r="T23" s="71">
        <v>45778</v>
      </c>
      <c r="U23" s="71">
        <v>45809</v>
      </c>
      <c r="V23" s="71">
        <v>45839</v>
      </c>
      <c r="W23" s="71">
        <v>45870</v>
      </c>
      <c r="X23" s="66">
        <v>45901</v>
      </c>
      <c r="Y23" s="66">
        <v>45931</v>
      </c>
      <c r="Z23" t="s">
        <v>11</v>
      </c>
    </row>
    <row r="24" spans="1:53">
      <c r="A24" s="3" t="s">
        <v>68</v>
      </c>
      <c r="B24" s="13">
        <v>1</v>
      </c>
      <c r="C24" s="13">
        <v>16</v>
      </c>
      <c r="D24" s="13">
        <v>35</v>
      </c>
      <c r="E24" s="13">
        <v>18</v>
      </c>
      <c r="F24" s="13">
        <v>75</v>
      </c>
      <c r="G24" s="13">
        <v>77</v>
      </c>
      <c r="H24" s="13">
        <v>27</v>
      </c>
      <c r="I24" s="13">
        <v>35</v>
      </c>
      <c r="J24" s="13">
        <v>19</v>
      </c>
      <c r="K24" s="13">
        <v>22</v>
      </c>
      <c r="L24" s="13">
        <v>28</v>
      </c>
      <c r="M24" s="13">
        <v>48</v>
      </c>
      <c r="N24" s="13">
        <v>27</v>
      </c>
      <c r="O24" s="13">
        <v>55</v>
      </c>
      <c r="P24" s="13">
        <v>62</v>
      </c>
      <c r="Q24" s="13">
        <v>70</v>
      </c>
      <c r="R24" s="13">
        <v>104</v>
      </c>
      <c r="S24" s="13">
        <v>43</v>
      </c>
      <c r="T24" s="13">
        <v>36</v>
      </c>
      <c r="U24" s="13">
        <v>33</v>
      </c>
      <c r="V24" s="13">
        <v>33</v>
      </c>
      <c r="W24" s="13">
        <v>44</v>
      </c>
      <c r="X24" s="13">
        <v>74</v>
      </c>
      <c r="Y24" s="13">
        <v>58</v>
      </c>
      <c r="Z24" s="13">
        <v>1040</v>
      </c>
    </row>
    <row r="25" spans="1:53">
      <c r="A25" s="3" t="s">
        <v>295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2</v>
      </c>
      <c r="Y25" s="13">
        <v>0</v>
      </c>
      <c r="Z25" s="13">
        <v>2</v>
      </c>
    </row>
    <row r="26" spans="1:53">
      <c r="A26" s="3" t="s">
        <v>11</v>
      </c>
      <c r="B26" s="13">
        <v>1</v>
      </c>
      <c r="C26" s="13">
        <v>16</v>
      </c>
      <c r="D26" s="13">
        <v>35</v>
      </c>
      <c r="E26" s="13">
        <v>18</v>
      </c>
      <c r="F26" s="13">
        <v>75</v>
      </c>
      <c r="G26" s="13">
        <v>77</v>
      </c>
      <c r="H26" s="13">
        <v>27</v>
      </c>
      <c r="I26" s="13">
        <v>35</v>
      </c>
      <c r="J26" s="13">
        <v>19</v>
      </c>
      <c r="K26" s="13">
        <v>22</v>
      </c>
      <c r="L26" s="13">
        <v>28</v>
      </c>
      <c r="M26" s="13">
        <v>48</v>
      </c>
      <c r="N26" s="13">
        <v>27</v>
      </c>
      <c r="O26" s="13">
        <v>55</v>
      </c>
      <c r="P26" s="13">
        <v>62</v>
      </c>
      <c r="Q26" s="13">
        <v>70</v>
      </c>
      <c r="R26" s="13">
        <v>104</v>
      </c>
      <c r="S26" s="13">
        <v>43</v>
      </c>
      <c r="T26" s="13">
        <v>36</v>
      </c>
      <c r="U26" s="13">
        <v>33</v>
      </c>
      <c r="V26" s="13">
        <v>33</v>
      </c>
      <c r="W26" s="13">
        <v>44</v>
      </c>
      <c r="X26" s="13">
        <v>76</v>
      </c>
      <c r="Y26" s="13">
        <v>58</v>
      </c>
      <c r="Z26" s="13">
        <v>1042</v>
      </c>
    </row>
    <row r="32" spans="1:53" ht="29.25" customHeight="1">
      <c r="A32" s="16" t="s">
        <v>571</v>
      </c>
    </row>
    <row r="33" spans="1:32">
      <c r="A33" s="2" t="s">
        <v>572</v>
      </c>
      <c r="B33" s="2" t="s">
        <v>59</v>
      </c>
    </row>
    <row r="34" spans="1:32">
      <c r="A34" s="2" t="s">
        <v>4</v>
      </c>
      <c r="B34" s="75">
        <v>45231</v>
      </c>
      <c r="C34" s="75">
        <v>45261</v>
      </c>
      <c r="D34" s="75">
        <v>45292</v>
      </c>
      <c r="E34" s="75">
        <v>45323</v>
      </c>
      <c r="F34" s="75">
        <v>45352</v>
      </c>
      <c r="G34" s="75">
        <v>45383</v>
      </c>
      <c r="H34" s="71">
        <v>45413</v>
      </c>
      <c r="I34" s="71">
        <v>45444</v>
      </c>
      <c r="J34" s="71">
        <v>45474</v>
      </c>
      <c r="K34" s="71">
        <v>45505</v>
      </c>
      <c r="L34" s="71">
        <v>45536</v>
      </c>
      <c r="M34" s="71">
        <v>45566</v>
      </c>
      <c r="N34" s="71">
        <v>45597</v>
      </c>
      <c r="O34" s="71">
        <v>45627</v>
      </c>
      <c r="P34" s="71">
        <v>45658</v>
      </c>
      <c r="Q34" s="71">
        <v>45689</v>
      </c>
      <c r="R34" s="71">
        <v>45717</v>
      </c>
      <c r="S34" s="71">
        <v>45748</v>
      </c>
      <c r="T34" s="71">
        <v>45778</v>
      </c>
      <c r="U34" s="71">
        <v>45809</v>
      </c>
      <c r="V34" s="71">
        <v>45839</v>
      </c>
      <c r="W34" s="71">
        <v>45870</v>
      </c>
      <c r="X34" s="75">
        <v>45901</v>
      </c>
      <c r="Y34" s="75">
        <v>45931</v>
      </c>
      <c r="Z34" s="75">
        <v>45962</v>
      </c>
      <c r="AA34" s="75">
        <v>45992</v>
      </c>
      <c r="AB34" s="75">
        <v>46023</v>
      </c>
      <c r="AC34" s="75">
        <v>46054</v>
      </c>
      <c r="AD34" s="75">
        <v>46082</v>
      </c>
      <c r="AE34" s="75">
        <v>46113</v>
      </c>
      <c r="AF34" t="s">
        <v>11</v>
      </c>
    </row>
    <row r="35" spans="1:32">
      <c r="A35" s="3" t="s">
        <v>68</v>
      </c>
      <c r="B35" s="13">
        <v>216000</v>
      </c>
      <c r="C35" s="13">
        <v>441884</v>
      </c>
      <c r="D35" s="13">
        <v>873051</v>
      </c>
      <c r="E35" s="13">
        <v>674475</v>
      </c>
      <c r="F35" s="13">
        <v>1539937</v>
      </c>
      <c r="G35" s="13">
        <v>1186741</v>
      </c>
      <c r="H35" s="13">
        <v>3010623</v>
      </c>
      <c r="I35" s="13">
        <v>3225815</v>
      </c>
      <c r="J35" s="13">
        <v>955145</v>
      </c>
      <c r="K35" s="13">
        <v>2312623</v>
      </c>
      <c r="L35" s="13">
        <v>603896</v>
      </c>
      <c r="M35" s="13">
        <v>3480632</v>
      </c>
      <c r="N35" s="13">
        <v>6829550</v>
      </c>
      <c r="O35" s="13">
        <v>4885579</v>
      </c>
      <c r="P35" s="13">
        <v>4233115</v>
      </c>
      <c r="Q35" s="13">
        <v>1707725</v>
      </c>
      <c r="R35" s="13">
        <v>2026946</v>
      </c>
      <c r="S35" s="13">
        <v>2090967</v>
      </c>
      <c r="T35" s="13">
        <v>982199</v>
      </c>
      <c r="U35" s="13">
        <v>609057</v>
      </c>
      <c r="V35" s="13">
        <v>9185974</v>
      </c>
      <c r="W35" s="13">
        <v>1027533</v>
      </c>
      <c r="X35" s="13">
        <v>2062349</v>
      </c>
      <c r="Y35" s="13">
        <v>3566088</v>
      </c>
      <c r="Z35" s="13">
        <v>10397807</v>
      </c>
      <c r="AA35" s="13">
        <v>5355260</v>
      </c>
      <c r="AB35" s="13">
        <v>2718533</v>
      </c>
      <c r="AC35" s="13">
        <v>2380989</v>
      </c>
      <c r="AD35" s="13">
        <v>4453267</v>
      </c>
      <c r="AE35" s="13">
        <v>2925637</v>
      </c>
      <c r="AF35" s="13">
        <v>85959397</v>
      </c>
    </row>
    <row r="36" spans="1:32">
      <c r="A36" s="3" t="s">
        <v>295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1000000</v>
      </c>
      <c r="AF36" s="13">
        <v>1000000</v>
      </c>
    </row>
    <row r="37" spans="1:32">
      <c r="A37" s="3" t="s">
        <v>567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765000</v>
      </c>
      <c r="AF37" s="13">
        <v>765000</v>
      </c>
    </row>
    <row r="38" spans="1:32">
      <c r="A38" s="3" t="s">
        <v>568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365000</v>
      </c>
      <c r="AF38" s="13">
        <v>365000</v>
      </c>
    </row>
    <row r="39" spans="1:32">
      <c r="A39" s="3" t="s">
        <v>11</v>
      </c>
      <c r="B39" s="13">
        <v>216000</v>
      </c>
      <c r="C39" s="13">
        <v>441884</v>
      </c>
      <c r="D39" s="13">
        <v>873051</v>
      </c>
      <c r="E39" s="13">
        <v>674475</v>
      </c>
      <c r="F39" s="13">
        <v>1539937</v>
      </c>
      <c r="G39" s="13">
        <v>1186741</v>
      </c>
      <c r="H39" s="13">
        <v>3010623</v>
      </c>
      <c r="I39" s="13">
        <v>3225815</v>
      </c>
      <c r="J39" s="13">
        <v>955145</v>
      </c>
      <c r="K39" s="13">
        <v>2312623</v>
      </c>
      <c r="L39" s="13">
        <v>603896</v>
      </c>
      <c r="M39" s="13">
        <v>3480632</v>
      </c>
      <c r="N39" s="13">
        <v>6829550</v>
      </c>
      <c r="O39" s="13">
        <v>4885579</v>
      </c>
      <c r="P39" s="13">
        <v>4233115</v>
      </c>
      <c r="Q39" s="13">
        <v>1707725</v>
      </c>
      <c r="R39" s="13">
        <v>2026946</v>
      </c>
      <c r="S39" s="13">
        <v>2090967</v>
      </c>
      <c r="T39" s="13">
        <v>982199</v>
      </c>
      <c r="U39" s="13">
        <v>609057</v>
      </c>
      <c r="V39" s="13">
        <v>9185974</v>
      </c>
      <c r="W39" s="13">
        <v>1027533</v>
      </c>
      <c r="X39" s="13">
        <v>2062349</v>
      </c>
      <c r="Y39" s="13">
        <v>3566088</v>
      </c>
      <c r="Z39" s="13">
        <v>10397807</v>
      </c>
      <c r="AA39" s="13">
        <v>5355260</v>
      </c>
      <c r="AB39" s="13">
        <v>2718533</v>
      </c>
      <c r="AC39" s="13">
        <v>2380989</v>
      </c>
      <c r="AD39" s="13">
        <v>4453267</v>
      </c>
      <c r="AE39" s="13">
        <v>5055637</v>
      </c>
      <c r="AF39" s="13">
        <v>88089397</v>
      </c>
    </row>
    <row r="42" spans="1:32" ht="25.5" customHeight="1">
      <c r="A42" s="16" t="s">
        <v>573</v>
      </c>
      <c r="I42" s="16" t="s">
        <v>574</v>
      </c>
    </row>
    <row r="43" spans="1:32">
      <c r="A43" s="2" t="s">
        <v>572</v>
      </c>
      <c r="B43" s="2" t="s">
        <v>59</v>
      </c>
      <c r="H43" t="s">
        <v>575</v>
      </c>
      <c r="I43" t="s">
        <v>576</v>
      </c>
      <c r="J43" t="s">
        <v>577</v>
      </c>
      <c r="K43" t="s">
        <v>578</v>
      </c>
      <c r="U43" s="80">
        <f ca="1">TODAY()-1</f>
        <v>46293</v>
      </c>
    </row>
    <row r="44" spans="1:32">
      <c r="A44" s="2" t="s">
        <v>4</v>
      </c>
      <c r="B44" s="71">
        <v>46023</v>
      </c>
      <c r="C44" s="75">
        <v>46054</v>
      </c>
      <c r="D44" s="75">
        <v>46082</v>
      </c>
      <c r="E44" s="75">
        <v>46113</v>
      </c>
      <c r="F44" t="s">
        <v>11</v>
      </c>
      <c r="H44" s="82">
        <v>1655248</v>
      </c>
      <c r="I44" s="82">
        <v>1639140</v>
      </c>
      <c r="J44" s="82">
        <v>1547632</v>
      </c>
      <c r="K44" s="85">
        <v>1547632</v>
      </c>
      <c r="S44" s="79">
        <v>45931</v>
      </c>
      <c r="T44" t="s">
        <v>579</v>
      </c>
      <c r="U44" t="s">
        <v>580</v>
      </c>
      <c r="V44" t="s">
        <v>581</v>
      </c>
    </row>
    <row r="45" spans="1:32">
      <c r="A45" s="3" t="s">
        <v>68</v>
      </c>
      <c r="B45" s="13">
        <v>2718533</v>
      </c>
      <c r="C45" s="13">
        <v>2380989</v>
      </c>
      <c r="D45" s="13">
        <v>4453267</v>
      </c>
      <c r="E45" s="13">
        <v>2925637</v>
      </c>
      <c r="F45" s="13">
        <v>12478426</v>
      </c>
      <c r="T45" s="77">
        <f>1725000/31</f>
        <v>55645.161290322583</v>
      </c>
      <c r="U45" s="77">
        <f ca="1">I45/($U$43-$S$44)</f>
        <v>0</v>
      </c>
      <c r="V45" s="77">
        <f ca="1">T45+T45-U45</f>
        <v>111290.32258064517</v>
      </c>
    </row>
    <row r="46" spans="1:32">
      <c r="A46" s="3" t="s">
        <v>295</v>
      </c>
      <c r="B46" s="13">
        <v>0</v>
      </c>
      <c r="C46" s="13">
        <v>0</v>
      </c>
      <c r="D46" s="13">
        <v>0</v>
      </c>
      <c r="E46" s="13">
        <v>1000000</v>
      </c>
      <c r="F46" s="13">
        <v>1000000</v>
      </c>
    </row>
    <row r="47" spans="1:32">
      <c r="A47" s="3" t="s">
        <v>567</v>
      </c>
      <c r="B47" s="13">
        <v>0</v>
      </c>
      <c r="C47" s="13">
        <v>0</v>
      </c>
      <c r="D47" s="13">
        <v>0</v>
      </c>
      <c r="E47" s="13">
        <v>765000</v>
      </c>
      <c r="F47" s="13">
        <v>765000</v>
      </c>
      <c r="S47">
        <f>1700000/31</f>
        <v>54838.709677419356</v>
      </c>
    </row>
    <row r="48" spans="1:32">
      <c r="A48" s="3" t="s">
        <v>568</v>
      </c>
      <c r="B48" s="13">
        <v>0</v>
      </c>
      <c r="C48" s="13">
        <v>0</v>
      </c>
      <c r="D48" s="13">
        <v>0</v>
      </c>
      <c r="E48" s="13">
        <v>365000</v>
      </c>
      <c r="F48" s="13">
        <v>365000</v>
      </c>
      <c r="S48">
        <f>J45/7</f>
        <v>0</v>
      </c>
    </row>
    <row r="49" spans="1:29">
      <c r="A49" s="3" t="s">
        <v>11</v>
      </c>
      <c r="B49" s="13">
        <v>2718533</v>
      </c>
      <c r="C49" s="13">
        <v>2380989</v>
      </c>
      <c r="D49" s="13">
        <v>4453267</v>
      </c>
      <c r="E49" s="13">
        <v>5055637</v>
      </c>
      <c r="F49" s="13">
        <v>14608426</v>
      </c>
      <c r="S49">
        <f>S48/S47</f>
        <v>0</v>
      </c>
    </row>
    <row r="50" spans="1:29">
      <c r="T50" s="78"/>
      <c r="U50" s="78" t="e">
        <f ca="1">U45/($H$50/31)</f>
        <v>#DIV/0!</v>
      </c>
    </row>
    <row r="53" spans="1:29" ht="15" customHeight="1">
      <c r="A53" s="15" t="s">
        <v>582</v>
      </c>
      <c r="B53" s="2" t="s">
        <v>59</v>
      </c>
    </row>
    <row r="54" spans="1:29">
      <c r="B54" t="s">
        <v>99</v>
      </c>
      <c r="F54" t="s">
        <v>564</v>
      </c>
      <c r="G54" t="s">
        <v>67</v>
      </c>
      <c r="AB54" t="s">
        <v>565</v>
      </c>
      <c r="AC54" t="s">
        <v>11</v>
      </c>
    </row>
    <row r="55" spans="1:29">
      <c r="A55" s="2" t="s">
        <v>4</v>
      </c>
      <c r="B55" s="71">
        <v>45292</v>
      </c>
      <c r="C55" s="71">
        <v>45474</v>
      </c>
      <c r="D55" s="71">
        <v>45505</v>
      </c>
      <c r="E55" s="71">
        <v>45536</v>
      </c>
      <c r="G55" s="71">
        <v>45261</v>
      </c>
      <c r="H55" s="71">
        <v>45292</v>
      </c>
      <c r="I55" s="71">
        <v>45323</v>
      </c>
      <c r="J55" s="71">
        <v>45352</v>
      </c>
      <c r="K55" s="71">
        <v>45383</v>
      </c>
      <c r="L55" s="71">
        <v>45413</v>
      </c>
      <c r="M55" s="71">
        <v>45444</v>
      </c>
      <c r="N55" s="71">
        <v>45474</v>
      </c>
      <c r="O55" s="71">
        <v>45505</v>
      </c>
      <c r="P55" s="71">
        <v>45536</v>
      </c>
      <c r="Q55" s="71">
        <v>45566</v>
      </c>
      <c r="R55" s="71">
        <v>45597</v>
      </c>
      <c r="S55" s="71">
        <v>45627</v>
      </c>
      <c r="T55" s="71">
        <v>45658</v>
      </c>
      <c r="U55" s="71">
        <v>45689</v>
      </c>
      <c r="V55" s="71">
        <v>45717</v>
      </c>
      <c r="W55" s="71">
        <v>45748</v>
      </c>
      <c r="X55" s="71">
        <v>45778</v>
      </c>
      <c r="Y55" s="71">
        <v>45809</v>
      </c>
      <c r="Z55" s="71">
        <v>45839</v>
      </c>
      <c r="AA55" s="71">
        <v>45870</v>
      </c>
    </row>
    <row r="56" spans="1:29">
      <c r="A56" s="3" t="s">
        <v>9</v>
      </c>
      <c r="B56" s="4">
        <v>11632.6</v>
      </c>
      <c r="C56" s="4">
        <v>0</v>
      </c>
      <c r="D56" s="4">
        <v>0</v>
      </c>
      <c r="E56" s="4">
        <v>0</v>
      </c>
      <c r="F56" s="4">
        <v>11632.6</v>
      </c>
      <c r="G56" s="4">
        <v>0</v>
      </c>
      <c r="H56" s="4">
        <v>18800</v>
      </c>
      <c r="I56" s="4">
        <v>342538.4</v>
      </c>
      <c r="J56" s="4">
        <v>512500</v>
      </c>
      <c r="K56" s="4">
        <v>170500</v>
      </c>
      <c r="L56" s="4">
        <v>6000</v>
      </c>
      <c r="M56" s="4">
        <v>25200</v>
      </c>
      <c r="N56" s="4">
        <v>2000</v>
      </c>
      <c r="O56" s="4">
        <v>99600</v>
      </c>
      <c r="P56" s="4">
        <v>0</v>
      </c>
      <c r="Q56" s="4">
        <v>4400</v>
      </c>
      <c r="R56" s="4">
        <v>0</v>
      </c>
      <c r="S56" s="4">
        <v>0</v>
      </c>
      <c r="T56" s="4">
        <v>0</v>
      </c>
      <c r="U56" s="4">
        <v>0</v>
      </c>
      <c r="V56" s="4">
        <v>917000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2098538.4</v>
      </c>
      <c r="AC56" s="4">
        <v>2110171</v>
      </c>
    </row>
    <row r="57" spans="1:29">
      <c r="A57" s="3" t="s">
        <v>11</v>
      </c>
      <c r="B57" s="4">
        <v>11632.6</v>
      </c>
      <c r="C57" s="4">
        <v>0</v>
      </c>
      <c r="D57" s="4">
        <v>0</v>
      </c>
      <c r="E57" s="4">
        <v>0</v>
      </c>
      <c r="F57" s="4">
        <v>11632.6</v>
      </c>
      <c r="G57" s="4">
        <v>0</v>
      </c>
      <c r="H57" s="4">
        <v>18800</v>
      </c>
      <c r="I57" s="4">
        <v>342538.4</v>
      </c>
      <c r="J57" s="4">
        <v>512500</v>
      </c>
      <c r="K57" s="4">
        <v>170500</v>
      </c>
      <c r="L57" s="4">
        <v>6000</v>
      </c>
      <c r="M57" s="4">
        <v>25200</v>
      </c>
      <c r="N57" s="4">
        <v>2000</v>
      </c>
      <c r="O57" s="4">
        <v>99600</v>
      </c>
      <c r="P57" s="4">
        <v>0</v>
      </c>
      <c r="Q57" s="4">
        <v>4400</v>
      </c>
      <c r="R57" s="4">
        <v>0</v>
      </c>
      <c r="S57" s="4">
        <v>0</v>
      </c>
      <c r="T57" s="4">
        <v>0</v>
      </c>
      <c r="U57" s="4">
        <v>0</v>
      </c>
      <c r="V57" s="4">
        <v>917000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2098538.4</v>
      </c>
      <c r="AC57" s="4">
        <v>2110171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0A54-B6E4-49B5-BBB9-647EC37C3CC2}">
  <dimension ref="A1:W4361"/>
  <sheetViews>
    <sheetView tabSelected="1" zoomScale="98" zoomScaleNormal="115" workbookViewId="0">
      <pane ySplit="1" topLeftCell="A2357" activePane="bottomLeft" state="frozen"/>
      <selection pane="bottomLeft" activeCell="I1516" sqref="I1516:I2408"/>
    </sheetView>
  </sheetViews>
  <sheetFormatPr defaultRowHeight="14.45"/>
  <cols>
    <col min="1" max="1" width="12.42578125" bestFit="1" customWidth="1"/>
    <col min="2" max="2" width="33.7109375" customWidth="1"/>
    <col min="3" max="3" width="10" customWidth="1"/>
    <col min="4" max="4" width="9.85546875" customWidth="1"/>
    <col min="5" max="5" width="10" customWidth="1"/>
    <col min="6" max="6" width="11.5703125" customWidth="1"/>
    <col min="7" max="7" width="37.7109375" style="9" customWidth="1"/>
    <col min="8" max="8" width="11.85546875" customWidth="1"/>
    <col min="9" max="9" width="10" customWidth="1"/>
    <col min="10" max="10" width="16.85546875" customWidth="1"/>
    <col min="11" max="11" width="9.5703125" customWidth="1"/>
    <col min="12" max="12" width="16.7109375" customWidth="1"/>
    <col min="13" max="13" width="16" customWidth="1"/>
    <col min="14" max="14" width="28.28515625" customWidth="1"/>
    <col min="15" max="15" width="16.140625" customWidth="1"/>
    <col min="16" max="16" width="17.5703125" customWidth="1"/>
    <col min="17" max="17" width="14.28515625" customWidth="1"/>
    <col min="18" max="18" width="16.42578125" bestFit="1" customWidth="1"/>
    <col min="19" max="19" width="11.5703125" customWidth="1"/>
    <col min="20" max="20" width="6.140625" bestFit="1" customWidth="1"/>
    <col min="21" max="21" width="5.140625" bestFit="1" customWidth="1"/>
    <col min="23" max="23" width="15.5703125" bestFit="1" customWidth="1"/>
    <col min="25" max="25" width="9.85546875" customWidth="1"/>
  </cols>
  <sheetData>
    <row r="1" spans="1:23" ht="43.5">
      <c r="A1" t="s">
        <v>43</v>
      </c>
      <c r="B1" t="s">
        <v>44</v>
      </c>
      <c r="C1" s="9" t="s">
        <v>45</v>
      </c>
      <c r="D1" t="s">
        <v>46</v>
      </c>
      <c r="E1" t="s">
        <v>7</v>
      </c>
      <c r="F1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t="s">
        <v>52</v>
      </c>
      <c r="L1" t="s">
        <v>4</v>
      </c>
      <c r="M1" t="s">
        <v>53</v>
      </c>
      <c r="N1" t="s">
        <v>54</v>
      </c>
      <c r="O1" s="9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</row>
    <row r="2" spans="1:23" hidden="1">
      <c r="A2" s="1">
        <v>45238</v>
      </c>
      <c r="B2" t="s">
        <v>583</v>
      </c>
      <c r="C2" t="s">
        <v>96</v>
      </c>
      <c r="D2" t="s">
        <v>64</v>
      </c>
      <c r="E2" t="s">
        <v>26</v>
      </c>
      <c r="F2" t="s">
        <v>584</v>
      </c>
      <c r="G2" s="9" t="s">
        <v>585</v>
      </c>
      <c r="H2">
        <v>20000</v>
      </c>
      <c r="I2">
        <v>0</v>
      </c>
      <c r="J2" s="21">
        <v>45383</v>
      </c>
      <c r="K2" s="6" t="s">
        <v>67</v>
      </c>
      <c r="L2" t="s">
        <v>9</v>
      </c>
      <c r="M2" t="s">
        <v>9</v>
      </c>
      <c r="N2" t="s">
        <v>586</v>
      </c>
      <c r="S2" t="str">
        <f>TEXT(Table1[[#This Row],[Date]],"MMM-YY")</f>
        <v>Nov-23</v>
      </c>
      <c r="T2">
        <f>_xlfn.ISOWEEKNUM(Table1[[#This Row],[Date]])</f>
        <v>45</v>
      </c>
      <c r="U2" t="str">
        <f>TEXT(Table1[[#This Row],[Expected Business Month]],"YYYY")</f>
        <v>2024</v>
      </c>
      <c r="W2" s="6" t="s">
        <v>568</v>
      </c>
    </row>
    <row r="3" spans="1:23" hidden="1">
      <c r="A3" s="1">
        <v>45238</v>
      </c>
      <c r="B3" t="s">
        <v>587</v>
      </c>
      <c r="C3" t="s">
        <v>96</v>
      </c>
      <c r="D3" t="s">
        <v>64</v>
      </c>
      <c r="E3" t="s">
        <v>26</v>
      </c>
      <c r="F3" t="s">
        <v>588</v>
      </c>
      <c r="G3" s="9" t="s">
        <v>585</v>
      </c>
      <c r="H3">
        <v>10000</v>
      </c>
      <c r="I3">
        <v>0</v>
      </c>
      <c r="J3" s="21">
        <v>45383</v>
      </c>
      <c r="K3" s="6" t="s">
        <v>67</v>
      </c>
      <c r="L3" t="s">
        <v>9</v>
      </c>
      <c r="M3" t="s">
        <v>9</v>
      </c>
      <c r="N3" t="s">
        <v>586</v>
      </c>
      <c r="O3">
        <v>0</v>
      </c>
      <c r="S3" t="str">
        <f>TEXT(Table1[[#This Row],[Date]],"MMM-YY")</f>
        <v>Nov-23</v>
      </c>
      <c r="T3">
        <f>_xlfn.ISOWEEKNUM(Table1[[#This Row],[Date]])</f>
        <v>45</v>
      </c>
      <c r="U3" t="str">
        <f>TEXT(Table1[[#This Row],[Expected Business Month]],"YYYY")</f>
        <v>2024</v>
      </c>
      <c r="W3" s="6" t="s">
        <v>567</v>
      </c>
    </row>
    <row r="4" spans="1:23" hidden="1">
      <c r="A4" s="1">
        <v>45238</v>
      </c>
      <c r="B4" t="s">
        <v>589</v>
      </c>
      <c r="C4" t="s">
        <v>96</v>
      </c>
      <c r="D4" t="s">
        <v>64</v>
      </c>
      <c r="E4" t="s">
        <v>26</v>
      </c>
      <c r="F4" t="s">
        <v>590</v>
      </c>
      <c r="G4" s="9" t="s">
        <v>585</v>
      </c>
      <c r="H4">
        <v>20000</v>
      </c>
      <c r="I4">
        <v>0</v>
      </c>
      <c r="J4" s="21">
        <v>45383</v>
      </c>
      <c r="K4" s="6" t="s">
        <v>67</v>
      </c>
      <c r="L4" t="s">
        <v>9</v>
      </c>
      <c r="M4" t="s">
        <v>9</v>
      </c>
      <c r="N4" t="s">
        <v>586</v>
      </c>
      <c r="S4" t="str">
        <f>TEXT(Table1[[#This Row],[Date]],"MMM-YY")</f>
        <v>Nov-23</v>
      </c>
      <c r="T4">
        <f>_xlfn.ISOWEEKNUM(Table1[[#This Row],[Date]])</f>
        <v>45</v>
      </c>
      <c r="U4" t="str">
        <f>TEXT(Table1[[#This Row],[Expected Business Month]],"YYYY")</f>
        <v>2024</v>
      </c>
      <c r="W4" s="6" t="s">
        <v>295</v>
      </c>
    </row>
    <row r="5" spans="1:23" ht="29.1" hidden="1">
      <c r="A5" s="1">
        <v>45246</v>
      </c>
      <c r="B5" t="s">
        <v>591</v>
      </c>
      <c r="C5" t="s">
        <v>63</v>
      </c>
      <c r="D5" t="s">
        <v>20</v>
      </c>
      <c r="E5" t="s">
        <v>32</v>
      </c>
      <c r="F5" t="s">
        <v>592</v>
      </c>
      <c r="G5" s="9" t="s">
        <v>593</v>
      </c>
      <c r="H5">
        <v>100000</v>
      </c>
      <c r="I5">
        <v>0</v>
      </c>
      <c r="J5" s="21">
        <v>45292</v>
      </c>
      <c r="K5" s="6" t="s">
        <v>67</v>
      </c>
      <c r="L5" t="s">
        <v>9</v>
      </c>
      <c r="M5" t="s">
        <v>9</v>
      </c>
      <c r="N5" t="s">
        <v>594</v>
      </c>
      <c r="S5" t="str">
        <f>TEXT(Table1[[#This Row],[Date]],"MMM-YY")</f>
        <v>Nov-23</v>
      </c>
      <c r="T5">
        <f>_xlfn.ISOWEEKNUM(Table1[[#This Row],[Date]])</f>
        <v>46</v>
      </c>
      <c r="U5" t="str">
        <f>TEXT(Table1[[#This Row],[Expected Business Month]],"YYYY")</f>
        <v>2024</v>
      </c>
      <c r="W5" s="6" t="s">
        <v>595</v>
      </c>
    </row>
    <row r="6" spans="1:23" hidden="1">
      <c r="A6" s="1">
        <v>45250</v>
      </c>
      <c r="B6" t="s">
        <v>596</v>
      </c>
      <c r="C6" t="s">
        <v>96</v>
      </c>
      <c r="D6" t="s">
        <v>64</v>
      </c>
      <c r="E6" t="s">
        <v>26</v>
      </c>
      <c r="F6" t="s">
        <v>597</v>
      </c>
      <c r="G6" s="9" t="s">
        <v>598</v>
      </c>
      <c r="H6">
        <v>12000</v>
      </c>
      <c r="I6">
        <v>0</v>
      </c>
      <c r="J6" s="21">
        <v>45383</v>
      </c>
      <c r="K6" s="6" t="s">
        <v>67</v>
      </c>
      <c r="L6" t="s">
        <v>9</v>
      </c>
      <c r="M6" t="s">
        <v>9</v>
      </c>
      <c r="N6" t="s">
        <v>586</v>
      </c>
      <c r="S6" t="str">
        <f>TEXT(Table1[[#This Row],[Date]],"MMM-YY")</f>
        <v>Nov-23</v>
      </c>
      <c r="T6">
        <f>_xlfn.ISOWEEKNUM(Table1[[#This Row],[Date]])</f>
        <v>47</v>
      </c>
      <c r="U6" t="str">
        <f>TEXT(Table1[[#This Row],[Expected Business Month]],"YYYY")</f>
        <v>2024</v>
      </c>
      <c r="W6" s="6" t="s">
        <v>68</v>
      </c>
    </row>
    <row r="7" spans="1:23" hidden="1">
      <c r="A7" s="1">
        <v>45250</v>
      </c>
      <c r="B7" t="s">
        <v>599</v>
      </c>
      <c r="C7" t="s">
        <v>96</v>
      </c>
      <c r="D7" t="s">
        <v>64</v>
      </c>
      <c r="E7" t="s">
        <v>26</v>
      </c>
      <c r="F7" t="s">
        <v>600</v>
      </c>
      <c r="G7" s="9" t="s">
        <v>601</v>
      </c>
      <c r="H7">
        <v>100000</v>
      </c>
      <c r="I7">
        <v>0</v>
      </c>
      <c r="J7" s="21">
        <v>45292</v>
      </c>
      <c r="K7" s="6" t="s">
        <v>67</v>
      </c>
      <c r="L7" t="s">
        <v>9</v>
      </c>
      <c r="M7" t="s">
        <v>9</v>
      </c>
      <c r="N7" t="s">
        <v>602</v>
      </c>
      <c r="S7" t="str">
        <f>TEXT(Table1[[#This Row],[Date]],"MMM-YY")</f>
        <v>Nov-23</v>
      </c>
      <c r="T7">
        <f>_xlfn.ISOWEEKNUM(Table1[[#This Row],[Date]])</f>
        <v>47</v>
      </c>
      <c r="U7" t="str">
        <f>TEXT(Table1[[#This Row],[Expected Business Month]],"YYYY")</f>
        <v>2024</v>
      </c>
      <c r="W7" s="6" t="s">
        <v>9</v>
      </c>
    </row>
    <row r="8" spans="1:23" hidden="1">
      <c r="A8" s="1">
        <v>45253</v>
      </c>
      <c r="B8" t="s">
        <v>599</v>
      </c>
      <c r="C8" t="s">
        <v>96</v>
      </c>
      <c r="D8" t="s">
        <v>64</v>
      </c>
      <c r="E8" t="s">
        <v>26</v>
      </c>
      <c r="F8" t="s">
        <v>603</v>
      </c>
      <c r="G8" s="9" t="s">
        <v>598</v>
      </c>
      <c r="H8">
        <v>7000</v>
      </c>
      <c r="I8">
        <v>0</v>
      </c>
      <c r="J8" s="21">
        <v>45292</v>
      </c>
      <c r="K8" s="6" t="s">
        <v>67</v>
      </c>
      <c r="L8" t="s">
        <v>9</v>
      </c>
      <c r="M8" t="s">
        <v>9</v>
      </c>
      <c r="N8" t="s">
        <v>602</v>
      </c>
      <c r="S8" t="str">
        <f>TEXT(Table1[[#This Row],[Date]],"MMM-YY")</f>
        <v>Nov-23</v>
      </c>
      <c r="T8">
        <f>_xlfn.ISOWEEKNUM(Table1[[#This Row],[Date]])</f>
        <v>47</v>
      </c>
      <c r="U8" t="str">
        <f>TEXT(Table1[[#This Row],[Expected Business Month]],"YYYY")</f>
        <v>2024</v>
      </c>
    </row>
    <row r="9" spans="1:23" ht="18.75" hidden="1" customHeight="1">
      <c r="A9" s="1">
        <v>45253</v>
      </c>
      <c r="B9" t="s">
        <v>604</v>
      </c>
      <c r="C9" t="s">
        <v>63</v>
      </c>
      <c r="D9" t="s">
        <v>64</v>
      </c>
      <c r="E9" t="s">
        <v>33</v>
      </c>
      <c r="F9" t="s">
        <v>605</v>
      </c>
      <c r="G9" s="9" t="s">
        <v>606</v>
      </c>
      <c r="H9">
        <v>5000</v>
      </c>
      <c r="I9">
        <v>5000</v>
      </c>
      <c r="J9" s="21">
        <v>45292</v>
      </c>
      <c r="K9" s="6" t="s">
        <v>67</v>
      </c>
      <c r="L9" t="s">
        <v>68</v>
      </c>
      <c r="M9" t="s">
        <v>69</v>
      </c>
      <c r="R9" s="66">
        <v>45253</v>
      </c>
      <c r="S9" t="str">
        <f>TEXT(Table1[[#This Row],[Date]],"MMM-YY")</f>
        <v>Nov-23</v>
      </c>
      <c r="T9">
        <f>_xlfn.ISOWEEKNUM(Table1[[#This Row],[Date]])</f>
        <v>47</v>
      </c>
      <c r="U9" t="str">
        <f>TEXT(Table1[[#This Row],[Expected Business Month]],"YYYY")</f>
        <v>2024</v>
      </c>
    </row>
    <row r="10" spans="1:23" ht="29.1" hidden="1">
      <c r="A10" s="1">
        <v>45254</v>
      </c>
      <c r="B10" t="s">
        <v>607</v>
      </c>
      <c r="C10" t="s">
        <v>63</v>
      </c>
      <c r="D10" t="s">
        <v>105</v>
      </c>
      <c r="E10" t="s">
        <v>20</v>
      </c>
      <c r="F10" t="s">
        <v>608</v>
      </c>
      <c r="G10" s="9" t="s">
        <v>609</v>
      </c>
      <c r="H10">
        <v>0</v>
      </c>
      <c r="I10">
        <v>0</v>
      </c>
      <c r="J10" s="21">
        <v>45292</v>
      </c>
      <c r="K10" s="6" t="s">
        <v>67</v>
      </c>
      <c r="L10" t="s">
        <v>9</v>
      </c>
      <c r="M10" t="s">
        <v>9</v>
      </c>
      <c r="N10" t="s">
        <v>610</v>
      </c>
      <c r="S10" t="str">
        <f>TEXT(Table1[[#This Row],[Date]],"MMM-YY")</f>
        <v>Nov-23</v>
      </c>
      <c r="T10">
        <f>_xlfn.ISOWEEKNUM(Table1[[#This Row],[Date]])</f>
        <v>47</v>
      </c>
      <c r="U10" t="str">
        <f>TEXT(Table1[[#This Row],[Expected Business Month]],"YYYY")</f>
        <v>2024</v>
      </c>
    </row>
    <row r="11" spans="1:23" ht="16.5" hidden="1" customHeight="1">
      <c r="A11" s="1">
        <v>45254</v>
      </c>
      <c r="B11" t="s">
        <v>611</v>
      </c>
      <c r="C11" t="s">
        <v>63</v>
      </c>
      <c r="D11" t="s">
        <v>20</v>
      </c>
      <c r="E11" t="s">
        <v>20</v>
      </c>
      <c r="F11" t="s">
        <v>612</v>
      </c>
      <c r="G11" s="9" t="s">
        <v>613</v>
      </c>
      <c r="H11">
        <v>100000</v>
      </c>
      <c r="I11">
        <v>0</v>
      </c>
      <c r="J11" s="21">
        <v>45261</v>
      </c>
      <c r="K11" s="6" t="s">
        <v>67</v>
      </c>
      <c r="L11" t="s">
        <v>9</v>
      </c>
      <c r="M11" t="s">
        <v>9</v>
      </c>
      <c r="N11" t="s">
        <v>614</v>
      </c>
      <c r="S11" t="str">
        <f>TEXT(Table1[[#This Row],[Date]],"MMM-YY")</f>
        <v>Nov-23</v>
      </c>
      <c r="T11">
        <f>_xlfn.ISOWEEKNUM(Table1[[#This Row],[Date]])</f>
        <v>47</v>
      </c>
      <c r="U11" t="str">
        <f>TEXT(Table1[[#This Row],[Expected Business Month]],"YYYY")</f>
        <v>2023</v>
      </c>
    </row>
    <row r="12" spans="1:23" hidden="1">
      <c r="A12" s="1">
        <v>45256</v>
      </c>
      <c r="B12" t="s">
        <v>615</v>
      </c>
      <c r="C12" t="s">
        <v>63</v>
      </c>
      <c r="D12" t="s">
        <v>20</v>
      </c>
      <c r="E12" t="s">
        <v>18</v>
      </c>
      <c r="F12" t="s">
        <v>334</v>
      </c>
      <c r="G12" s="9" t="s">
        <v>616</v>
      </c>
      <c r="H12">
        <v>216000</v>
      </c>
      <c r="I12">
        <v>216000</v>
      </c>
      <c r="J12" s="21">
        <v>45231</v>
      </c>
      <c r="K12" s="6" t="s">
        <v>67</v>
      </c>
      <c r="L12" t="s">
        <v>68</v>
      </c>
      <c r="M12" t="s">
        <v>69</v>
      </c>
      <c r="S12" t="str">
        <f>TEXT(Table1[[#This Row],[Date]],"MMM-YY")</f>
        <v>Nov-23</v>
      </c>
      <c r="T12">
        <f>_xlfn.ISOWEEKNUM(Table1[[#This Row],[Date]])</f>
        <v>47</v>
      </c>
      <c r="U12" t="str">
        <f>TEXT(Table1[[#This Row],[Expected Business Month]],"YYYY")</f>
        <v>2023</v>
      </c>
    </row>
    <row r="13" spans="1:23" ht="29.1" hidden="1">
      <c r="A13" s="1">
        <v>45257</v>
      </c>
      <c r="B13" t="s">
        <v>617</v>
      </c>
      <c r="C13" t="s">
        <v>63</v>
      </c>
      <c r="D13" t="s">
        <v>618</v>
      </c>
      <c r="E13" t="s">
        <v>18</v>
      </c>
      <c r="F13" t="s">
        <v>619</v>
      </c>
      <c r="G13" s="9" t="s">
        <v>620</v>
      </c>
      <c r="H13">
        <v>10000</v>
      </c>
      <c r="I13">
        <v>0</v>
      </c>
      <c r="J13" s="21">
        <v>45383</v>
      </c>
      <c r="K13" s="6" t="s">
        <v>67</v>
      </c>
      <c r="L13" t="s">
        <v>9</v>
      </c>
      <c r="M13" t="s">
        <v>9</v>
      </c>
      <c r="N13" t="s">
        <v>586</v>
      </c>
      <c r="S13" t="str">
        <f>TEXT(Table1[[#This Row],[Date]],"MMM-YY")</f>
        <v>Nov-23</v>
      </c>
      <c r="T13">
        <f>_xlfn.ISOWEEKNUM(Table1[[#This Row],[Date]])</f>
        <v>48</v>
      </c>
      <c r="U13" t="str">
        <f>TEXT(Table1[[#This Row],[Expected Business Month]],"YYYY")</f>
        <v>2024</v>
      </c>
    </row>
    <row r="14" spans="1:23" ht="19.5" hidden="1" customHeight="1">
      <c r="A14" s="1">
        <v>45257</v>
      </c>
      <c r="B14" t="s">
        <v>621</v>
      </c>
      <c r="C14" t="s">
        <v>63</v>
      </c>
      <c r="D14" t="s">
        <v>64</v>
      </c>
      <c r="E14" t="s">
        <v>33</v>
      </c>
      <c r="F14" t="s">
        <v>622</v>
      </c>
      <c r="G14" s="9" t="s">
        <v>623</v>
      </c>
      <c r="H14">
        <v>3000</v>
      </c>
      <c r="I14">
        <v>0</v>
      </c>
      <c r="J14" s="21">
        <v>45383</v>
      </c>
      <c r="K14" s="6" t="s">
        <v>67</v>
      </c>
      <c r="L14" t="s">
        <v>9</v>
      </c>
      <c r="M14" t="s">
        <v>9</v>
      </c>
      <c r="N14" t="s">
        <v>586</v>
      </c>
      <c r="S14" t="str">
        <f>TEXT(Table1[[#This Row],[Date]],"MMM-YY")</f>
        <v>Nov-23</v>
      </c>
      <c r="T14">
        <f>_xlfn.ISOWEEKNUM(Table1[[#This Row],[Date]])</f>
        <v>48</v>
      </c>
      <c r="U14" t="str">
        <f>TEXT(Table1[[#This Row],[Expected Business Month]],"YYYY")</f>
        <v>2024</v>
      </c>
    </row>
    <row r="15" spans="1:23" ht="29.1" hidden="1">
      <c r="A15" s="1">
        <v>45257</v>
      </c>
      <c r="B15" t="s">
        <v>624</v>
      </c>
      <c r="C15" t="s">
        <v>63</v>
      </c>
      <c r="D15" t="s">
        <v>20</v>
      </c>
      <c r="E15" t="s">
        <v>20</v>
      </c>
      <c r="F15" t="s">
        <v>625</v>
      </c>
      <c r="G15" s="9" t="s">
        <v>593</v>
      </c>
      <c r="H15">
        <v>10000</v>
      </c>
      <c r="I15">
        <v>0</v>
      </c>
      <c r="J15" s="21">
        <v>45292</v>
      </c>
      <c r="K15" s="6" t="s">
        <v>67</v>
      </c>
      <c r="L15" t="s">
        <v>9</v>
      </c>
      <c r="M15" t="s">
        <v>9</v>
      </c>
      <c r="N15" t="s">
        <v>626</v>
      </c>
      <c r="S15" t="str">
        <f>TEXT(Table1[[#This Row],[Date]],"MMM-YY")</f>
        <v>Nov-23</v>
      </c>
      <c r="T15">
        <f>_xlfn.ISOWEEKNUM(Table1[[#This Row],[Date]])</f>
        <v>48</v>
      </c>
      <c r="U15" t="str">
        <f>TEXT(Table1[[#This Row],[Expected Business Month]],"YYYY")</f>
        <v>2024</v>
      </c>
    </row>
    <row r="16" spans="1:23" hidden="1">
      <c r="A16" s="1">
        <v>45258</v>
      </c>
      <c r="B16" t="s">
        <v>627</v>
      </c>
      <c r="C16" t="s">
        <v>63</v>
      </c>
      <c r="D16" t="s">
        <v>64</v>
      </c>
      <c r="E16" t="s">
        <v>26</v>
      </c>
      <c r="F16" t="s">
        <v>628</v>
      </c>
      <c r="G16" s="9" t="s">
        <v>629</v>
      </c>
      <c r="H16">
        <v>10000</v>
      </c>
      <c r="I16">
        <v>0</v>
      </c>
      <c r="J16" s="21">
        <v>45474</v>
      </c>
      <c r="K16" s="6" t="s">
        <v>67</v>
      </c>
      <c r="L16" t="s">
        <v>9</v>
      </c>
      <c r="M16" t="s">
        <v>9</v>
      </c>
      <c r="N16" t="s">
        <v>602</v>
      </c>
      <c r="S16" t="str">
        <f>TEXT(Table1[[#This Row],[Date]],"MMM-YY")</f>
        <v>Nov-23</v>
      </c>
      <c r="T16">
        <f>_xlfn.ISOWEEKNUM(Table1[[#This Row],[Date]])</f>
        <v>48</v>
      </c>
      <c r="U16" t="str">
        <f>TEXT(Table1[[#This Row],[Expected Business Month]],"YYYY")</f>
        <v>2024</v>
      </c>
    </row>
    <row r="17" spans="1:21" ht="43.5" hidden="1">
      <c r="A17" s="1">
        <v>45258</v>
      </c>
      <c r="B17" t="s">
        <v>630</v>
      </c>
      <c r="C17" t="s">
        <v>63</v>
      </c>
      <c r="D17" t="s">
        <v>64</v>
      </c>
      <c r="E17" t="s">
        <v>26</v>
      </c>
      <c r="F17" t="s">
        <v>631</v>
      </c>
      <c r="G17" s="9" t="s">
        <v>632</v>
      </c>
      <c r="H17">
        <v>10000</v>
      </c>
      <c r="I17">
        <v>0</v>
      </c>
      <c r="J17" s="21">
        <v>45474</v>
      </c>
      <c r="K17" s="6" t="s">
        <v>67</v>
      </c>
      <c r="L17" t="s">
        <v>9</v>
      </c>
      <c r="M17" t="s">
        <v>9</v>
      </c>
      <c r="N17" t="s">
        <v>586</v>
      </c>
      <c r="S17" t="str">
        <f>TEXT(Table1[[#This Row],[Date]],"MMM-YY")</f>
        <v>Nov-23</v>
      </c>
      <c r="T17">
        <f>_xlfn.ISOWEEKNUM(Table1[[#This Row],[Date]])</f>
        <v>48</v>
      </c>
      <c r="U17" t="str">
        <f>TEXT(Table1[[#This Row],[Expected Business Month]],"YYYY")</f>
        <v>2024</v>
      </c>
    </row>
    <row r="18" spans="1:21" ht="29.1" hidden="1">
      <c r="A18" s="1">
        <v>45258</v>
      </c>
      <c r="B18" t="s">
        <v>633</v>
      </c>
      <c r="C18" t="s">
        <v>96</v>
      </c>
      <c r="D18" t="s">
        <v>64</v>
      </c>
      <c r="E18" t="s">
        <v>20</v>
      </c>
      <c r="F18" t="s">
        <v>634</v>
      </c>
      <c r="G18" s="9" t="s">
        <v>635</v>
      </c>
      <c r="H18">
        <v>5000</v>
      </c>
      <c r="I18">
        <v>0</v>
      </c>
      <c r="J18" s="21">
        <v>45383</v>
      </c>
      <c r="K18" s="6" t="s">
        <v>67</v>
      </c>
      <c r="L18" t="s">
        <v>9</v>
      </c>
      <c r="M18" t="s">
        <v>9</v>
      </c>
      <c r="N18" t="s">
        <v>586</v>
      </c>
      <c r="S18" t="str">
        <f>TEXT(Table1[[#This Row],[Date]],"MMM-YY")</f>
        <v>Nov-23</v>
      </c>
      <c r="T18">
        <f>_xlfn.ISOWEEKNUM(Table1[[#This Row],[Date]])</f>
        <v>48</v>
      </c>
      <c r="U18" t="str">
        <f>TEXT(Table1[[#This Row],[Expected Business Month]],"YYYY")</f>
        <v>2024</v>
      </c>
    </row>
    <row r="19" spans="1:21" ht="29.1" hidden="1">
      <c r="A19" s="1">
        <v>45258</v>
      </c>
      <c r="B19" t="s">
        <v>636</v>
      </c>
      <c r="C19" t="s">
        <v>96</v>
      </c>
      <c r="D19" t="s">
        <v>20</v>
      </c>
      <c r="E19" t="s">
        <v>20</v>
      </c>
      <c r="F19" t="s">
        <v>637</v>
      </c>
      <c r="G19" s="9" t="s">
        <v>593</v>
      </c>
      <c r="H19">
        <v>30000</v>
      </c>
      <c r="I19">
        <v>0</v>
      </c>
      <c r="J19" s="21">
        <v>45292</v>
      </c>
      <c r="K19" s="6" t="s">
        <v>67</v>
      </c>
      <c r="L19" t="s">
        <v>9</v>
      </c>
      <c r="M19" t="s">
        <v>9</v>
      </c>
      <c r="N19" t="s">
        <v>638</v>
      </c>
      <c r="S19" t="str">
        <f>TEXT(Table1[[#This Row],[Date]],"MMM-YY")</f>
        <v>Nov-23</v>
      </c>
      <c r="T19">
        <f>_xlfn.ISOWEEKNUM(Table1[[#This Row],[Date]])</f>
        <v>48</v>
      </c>
      <c r="U19" t="str">
        <f>TEXT(Table1[[#This Row],[Expected Business Month]],"YYYY")</f>
        <v>2024</v>
      </c>
    </row>
    <row r="20" spans="1:21" hidden="1">
      <c r="A20" s="1">
        <v>45259</v>
      </c>
      <c r="B20" t="s">
        <v>639</v>
      </c>
      <c r="C20" t="s">
        <v>63</v>
      </c>
      <c r="D20" t="s">
        <v>64</v>
      </c>
      <c r="E20" t="s">
        <v>26</v>
      </c>
      <c r="F20" t="s">
        <v>640</v>
      </c>
      <c r="G20" s="9" t="s">
        <v>641</v>
      </c>
      <c r="H20">
        <v>8000</v>
      </c>
      <c r="I20">
        <v>0</v>
      </c>
      <c r="J20" s="21">
        <v>45474</v>
      </c>
      <c r="K20" s="6" t="s">
        <v>67</v>
      </c>
      <c r="L20" t="s">
        <v>9</v>
      </c>
      <c r="M20" t="s">
        <v>9</v>
      </c>
      <c r="N20" t="s">
        <v>586</v>
      </c>
      <c r="S20" t="str">
        <f>TEXT(Table1[[#This Row],[Date]],"MMM-YY")</f>
        <v>Nov-23</v>
      </c>
      <c r="T20">
        <f>_xlfn.ISOWEEKNUM(Table1[[#This Row],[Date]])</f>
        <v>48</v>
      </c>
      <c r="U20" t="str">
        <f>TEXT(Table1[[#This Row],[Expected Business Month]],"YYYY")</f>
        <v>2024</v>
      </c>
    </row>
    <row r="21" spans="1:21" hidden="1">
      <c r="A21" s="1">
        <v>45259</v>
      </c>
      <c r="B21" t="s">
        <v>642</v>
      </c>
      <c r="C21" t="s">
        <v>63</v>
      </c>
      <c r="D21" t="s">
        <v>64</v>
      </c>
      <c r="E21" t="s">
        <v>28</v>
      </c>
      <c r="F21" t="s">
        <v>643</v>
      </c>
      <c r="G21" s="9" t="s">
        <v>644</v>
      </c>
      <c r="H21">
        <v>10000</v>
      </c>
      <c r="I21">
        <v>0</v>
      </c>
      <c r="J21" s="21">
        <v>45474</v>
      </c>
      <c r="K21" s="6" t="s">
        <v>67</v>
      </c>
      <c r="L21" t="s">
        <v>9</v>
      </c>
      <c r="M21" t="s">
        <v>9</v>
      </c>
      <c r="N21" t="s">
        <v>586</v>
      </c>
      <c r="S21" t="str">
        <f>TEXT(Table1[[#This Row],[Date]],"MMM-YY")</f>
        <v>Nov-23</v>
      </c>
      <c r="T21">
        <f>_xlfn.ISOWEEKNUM(Table1[[#This Row],[Date]])</f>
        <v>48</v>
      </c>
      <c r="U21" t="str">
        <f>TEXT(Table1[[#This Row],[Expected Business Month]],"YYYY")</f>
        <v>2024</v>
      </c>
    </row>
    <row r="22" spans="1:21" ht="29.1" hidden="1">
      <c r="A22" s="1">
        <v>45260</v>
      </c>
      <c r="B22" t="s">
        <v>645</v>
      </c>
      <c r="C22" t="s">
        <v>96</v>
      </c>
      <c r="D22" t="s">
        <v>64</v>
      </c>
      <c r="E22" t="s">
        <v>26</v>
      </c>
      <c r="F22" t="s">
        <v>646</v>
      </c>
      <c r="G22" s="9" t="s">
        <v>647</v>
      </c>
      <c r="H22">
        <v>8000</v>
      </c>
      <c r="I22">
        <v>0</v>
      </c>
      <c r="J22" s="21">
        <v>45352</v>
      </c>
      <c r="K22" s="6" t="s">
        <v>67</v>
      </c>
      <c r="L22" t="s">
        <v>9</v>
      </c>
      <c r="M22" t="s">
        <v>9</v>
      </c>
      <c r="N22" t="s">
        <v>648</v>
      </c>
      <c r="S22" t="str">
        <f>TEXT(Table1[[#This Row],[Date]],"MMM-YY")</f>
        <v>Nov-23</v>
      </c>
      <c r="T22">
        <f>_xlfn.ISOWEEKNUM(Table1[[#This Row],[Date]])</f>
        <v>48</v>
      </c>
      <c r="U22" t="str">
        <f>TEXT(Table1[[#This Row],[Expected Business Month]],"YYYY")</f>
        <v>2024</v>
      </c>
    </row>
    <row r="23" spans="1:21" ht="29.1" hidden="1">
      <c r="A23" s="1">
        <v>45260</v>
      </c>
      <c r="B23" t="s">
        <v>249</v>
      </c>
      <c r="C23" t="s">
        <v>96</v>
      </c>
      <c r="D23" t="s">
        <v>64</v>
      </c>
      <c r="E23" t="s">
        <v>26</v>
      </c>
      <c r="F23" t="s">
        <v>649</v>
      </c>
      <c r="G23" s="9" t="s">
        <v>650</v>
      </c>
      <c r="H23">
        <v>13200</v>
      </c>
      <c r="I23">
        <v>13200</v>
      </c>
      <c r="J23" s="21">
        <v>45261</v>
      </c>
      <c r="K23" s="6" t="s">
        <v>67</v>
      </c>
      <c r="L23" t="s">
        <v>68</v>
      </c>
      <c r="M23" t="s">
        <v>69</v>
      </c>
      <c r="S23" t="str">
        <f>TEXT(Table1[[#This Row],[Date]],"MMM-YY")</f>
        <v>Nov-23</v>
      </c>
      <c r="T23">
        <f>_xlfn.ISOWEEKNUM(Table1[[#This Row],[Date]])</f>
        <v>48</v>
      </c>
      <c r="U23" t="str">
        <f>TEXT(Table1[[#This Row],[Expected Business Month]],"YYYY")</f>
        <v>2023</v>
      </c>
    </row>
    <row r="24" spans="1:21" hidden="1">
      <c r="A24" s="1">
        <v>45261</v>
      </c>
      <c r="B24" t="s">
        <v>651</v>
      </c>
      <c r="C24" t="s">
        <v>96</v>
      </c>
      <c r="D24" t="s">
        <v>64</v>
      </c>
      <c r="E24" t="s">
        <v>32</v>
      </c>
      <c r="F24" t="s">
        <v>652</v>
      </c>
      <c r="G24" s="9" t="s">
        <v>653</v>
      </c>
      <c r="H24">
        <v>50000</v>
      </c>
      <c r="I24">
        <v>0</v>
      </c>
      <c r="J24" s="21">
        <v>45352</v>
      </c>
      <c r="K24" s="6" t="s">
        <v>67</v>
      </c>
      <c r="L24" t="s">
        <v>9</v>
      </c>
      <c r="M24" t="s">
        <v>9</v>
      </c>
      <c r="N24" t="s">
        <v>654</v>
      </c>
      <c r="S24" t="str">
        <f>TEXT(Table1[[#This Row],[Date]],"MMM-YY")</f>
        <v>Dec-23</v>
      </c>
      <c r="T24">
        <f>_xlfn.ISOWEEKNUM(Table1[[#This Row],[Date]])</f>
        <v>48</v>
      </c>
      <c r="U24" t="str">
        <f>TEXT(Table1[[#This Row],[Expected Business Month]],"YYYY")</f>
        <v>2024</v>
      </c>
    </row>
    <row r="25" spans="1:21" ht="29.1" hidden="1">
      <c r="A25" s="1">
        <v>45261</v>
      </c>
      <c r="B25" t="s">
        <v>655</v>
      </c>
      <c r="C25" t="s">
        <v>96</v>
      </c>
      <c r="D25" t="s">
        <v>64</v>
      </c>
      <c r="E25" t="s">
        <v>19</v>
      </c>
      <c r="F25" t="s">
        <v>656</v>
      </c>
      <c r="G25" s="9" t="s">
        <v>657</v>
      </c>
      <c r="H25">
        <v>150000</v>
      </c>
      <c r="I25">
        <v>0</v>
      </c>
      <c r="J25" s="21">
        <v>45261</v>
      </c>
      <c r="K25" s="6" t="s">
        <v>67</v>
      </c>
      <c r="L25" t="s">
        <v>9</v>
      </c>
      <c r="M25" t="s">
        <v>9</v>
      </c>
      <c r="N25" t="s">
        <v>658</v>
      </c>
      <c r="S25" t="str">
        <f>TEXT(Table1[[#This Row],[Date]],"MMM-YY")</f>
        <v>Dec-23</v>
      </c>
      <c r="T25">
        <f>_xlfn.ISOWEEKNUM(Table1[[#This Row],[Date]])</f>
        <v>48</v>
      </c>
      <c r="U25" t="str">
        <f>TEXT(Table1[[#This Row],[Expected Business Month]],"YYYY")</f>
        <v>2023</v>
      </c>
    </row>
    <row r="26" spans="1:21" hidden="1">
      <c r="A26" s="1">
        <v>45261</v>
      </c>
      <c r="B26" t="s">
        <v>659</v>
      </c>
      <c r="C26" t="s">
        <v>96</v>
      </c>
      <c r="D26" t="s">
        <v>64</v>
      </c>
      <c r="E26" t="s">
        <v>27</v>
      </c>
      <c r="F26" t="s">
        <v>660</v>
      </c>
      <c r="G26" s="9" t="s">
        <v>601</v>
      </c>
      <c r="H26">
        <v>20000</v>
      </c>
      <c r="I26">
        <v>0</v>
      </c>
      <c r="J26" s="21">
        <v>45474</v>
      </c>
      <c r="K26" s="6" t="s">
        <v>67</v>
      </c>
      <c r="L26" t="s">
        <v>9</v>
      </c>
      <c r="M26" t="s">
        <v>9</v>
      </c>
      <c r="N26" t="s">
        <v>586</v>
      </c>
      <c r="S26" t="str">
        <f>TEXT(Table1[[#This Row],[Date]],"MMM-YY")</f>
        <v>Dec-23</v>
      </c>
      <c r="T26">
        <f>_xlfn.ISOWEEKNUM(Table1[[#This Row],[Date]])</f>
        <v>48</v>
      </c>
      <c r="U26" t="str">
        <f>TEXT(Table1[[#This Row],[Expected Business Month]],"YYYY")</f>
        <v>2024</v>
      </c>
    </row>
    <row r="27" spans="1:21" hidden="1">
      <c r="A27" s="1">
        <v>45261</v>
      </c>
      <c r="B27" t="s">
        <v>661</v>
      </c>
      <c r="C27" t="s">
        <v>63</v>
      </c>
      <c r="D27" t="s">
        <v>105</v>
      </c>
      <c r="E27" t="s">
        <v>18</v>
      </c>
      <c r="F27" t="s">
        <v>662</v>
      </c>
      <c r="G27" s="9" t="s">
        <v>663</v>
      </c>
      <c r="H27">
        <v>0</v>
      </c>
      <c r="I27">
        <v>0</v>
      </c>
      <c r="J27" s="21">
        <v>45261</v>
      </c>
      <c r="K27" s="6" t="s">
        <v>67</v>
      </c>
      <c r="L27" t="s">
        <v>9</v>
      </c>
      <c r="M27" t="s">
        <v>9</v>
      </c>
      <c r="N27" t="s">
        <v>664</v>
      </c>
      <c r="S27" t="str">
        <f>TEXT(Table1[[#This Row],[Date]],"MMM-YY")</f>
        <v>Dec-23</v>
      </c>
      <c r="T27">
        <f>_xlfn.ISOWEEKNUM(Table1[[#This Row],[Date]])</f>
        <v>48</v>
      </c>
      <c r="U27" t="str">
        <f>TEXT(Table1[[#This Row],[Expected Business Month]],"YYYY")</f>
        <v>2023</v>
      </c>
    </row>
    <row r="28" spans="1:21" ht="29.1" hidden="1">
      <c r="A28" s="1">
        <v>45264</v>
      </c>
      <c r="B28" t="s">
        <v>665</v>
      </c>
      <c r="C28" t="s">
        <v>96</v>
      </c>
      <c r="D28" t="s">
        <v>20</v>
      </c>
      <c r="E28" t="s">
        <v>19</v>
      </c>
      <c r="F28" t="s">
        <v>666</v>
      </c>
      <c r="G28" s="9" t="s">
        <v>667</v>
      </c>
      <c r="H28">
        <v>100000</v>
      </c>
      <c r="I28">
        <v>0</v>
      </c>
      <c r="J28" s="21">
        <v>45261</v>
      </c>
      <c r="K28" s="6" t="s">
        <v>67</v>
      </c>
      <c r="L28" t="s">
        <v>9</v>
      </c>
      <c r="M28" t="s">
        <v>9</v>
      </c>
      <c r="N28" t="s">
        <v>602</v>
      </c>
      <c r="S28" t="str">
        <f>TEXT(Table1[[#This Row],[Date]],"MMM-YY")</f>
        <v>Dec-23</v>
      </c>
      <c r="T28">
        <f>_xlfn.ISOWEEKNUM(Table1[[#This Row],[Date]])</f>
        <v>49</v>
      </c>
      <c r="U28" t="str">
        <f>TEXT(Table1[[#This Row],[Expected Business Month]],"YYYY")</f>
        <v>2023</v>
      </c>
    </row>
    <row r="29" spans="1:21" hidden="1">
      <c r="A29" s="1">
        <v>45265</v>
      </c>
      <c r="B29" t="s">
        <v>668</v>
      </c>
      <c r="C29" t="s">
        <v>96</v>
      </c>
      <c r="D29" t="s">
        <v>20</v>
      </c>
      <c r="E29" t="s">
        <v>19</v>
      </c>
      <c r="F29" t="s">
        <v>669</v>
      </c>
      <c r="G29" s="9" t="s">
        <v>670</v>
      </c>
      <c r="H29">
        <v>100000</v>
      </c>
      <c r="I29">
        <v>0</v>
      </c>
      <c r="J29" s="21">
        <v>45261</v>
      </c>
      <c r="K29" s="6" t="s">
        <v>67</v>
      </c>
      <c r="L29" t="s">
        <v>9</v>
      </c>
      <c r="M29" t="s">
        <v>9</v>
      </c>
      <c r="N29" t="s">
        <v>671</v>
      </c>
      <c r="S29" t="str">
        <f>TEXT(Table1[[#This Row],[Date]],"MMM-YY")</f>
        <v>Dec-23</v>
      </c>
      <c r="T29">
        <f>_xlfn.ISOWEEKNUM(Table1[[#This Row],[Date]])</f>
        <v>49</v>
      </c>
      <c r="U29" t="str">
        <f>TEXT(Table1[[#This Row],[Expected Business Month]],"YYYY")</f>
        <v>2023</v>
      </c>
    </row>
    <row r="30" spans="1:21" ht="29.1" hidden="1">
      <c r="A30" s="1">
        <v>45266</v>
      </c>
      <c r="B30" t="s">
        <v>672</v>
      </c>
      <c r="C30" t="s">
        <v>63</v>
      </c>
      <c r="D30" t="s">
        <v>64</v>
      </c>
      <c r="E30" t="s">
        <v>26</v>
      </c>
      <c r="F30" t="s">
        <v>219</v>
      </c>
      <c r="G30" s="9" t="s">
        <v>673</v>
      </c>
      <c r="H30">
        <v>5500</v>
      </c>
      <c r="I30">
        <v>5500</v>
      </c>
      <c r="J30" s="21">
        <v>45261</v>
      </c>
      <c r="K30" s="6" t="s">
        <v>67</v>
      </c>
      <c r="L30" t="s">
        <v>68</v>
      </c>
      <c r="M30" t="s">
        <v>69</v>
      </c>
      <c r="S30" t="str">
        <f>TEXT(Table1[[#This Row],[Date]],"MMM-YY")</f>
        <v>Dec-23</v>
      </c>
      <c r="T30">
        <f>_xlfn.ISOWEEKNUM(Table1[[#This Row],[Date]])</f>
        <v>49</v>
      </c>
      <c r="U30" t="str">
        <f>TEXT(Table1[[#This Row],[Expected Business Month]],"YYYY")</f>
        <v>2023</v>
      </c>
    </row>
    <row r="31" spans="1:21" hidden="1">
      <c r="A31" s="1">
        <v>45266</v>
      </c>
      <c r="B31" t="s">
        <v>674</v>
      </c>
      <c r="C31" t="s">
        <v>63</v>
      </c>
      <c r="D31" t="s">
        <v>64</v>
      </c>
      <c r="E31" t="s">
        <v>26</v>
      </c>
      <c r="F31" t="s">
        <v>675</v>
      </c>
      <c r="G31" s="9" t="s">
        <v>676</v>
      </c>
      <c r="H31">
        <v>10000</v>
      </c>
      <c r="I31">
        <v>0</v>
      </c>
      <c r="J31" s="21">
        <v>45474</v>
      </c>
      <c r="K31" s="6" t="s">
        <v>67</v>
      </c>
      <c r="L31" t="s">
        <v>9</v>
      </c>
      <c r="M31" t="s">
        <v>9</v>
      </c>
      <c r="N31" t="s">
        <v>586</v>
      </c>
      <c r="S31" t="str">
        <f>TEXT(Table1[[#This Row],[Date]],"MMM-YY")</f>
        <v>Dec-23</v>
      </c>
      <c r="T31">
        <f>_xlfn.ISOWEEKNUM(Table1[[#This Row],[Date]])</f>
        <v>49</v>
      </c>
      <c r="U31" t="str">
        <f>TEXT(Table1[[#This Row],[Expected Business Month]],"YYYY")</f>
        <v>2024</v>
      </c>
    </row>
    <row r="32" spans="1:21" ht="29.1" hidden="1">
      <c r="A32" s="1">
        <v>45266</v>
      </c>
      <c r="B32" t="s">
        <v>677</v>
      </c>
      <c r="C32" t="s">
        <v>63</v>
      </c>
      <c r="D32" t="s">
        <v>64</v>
      </c>
      <c r="E32" t="s">
        <v>28</v>
      </c>
      <c r="F32" t="s">
        <v>678</v>
      </c>
      <c r="G32" s="9" t="s">
        <v>679</v>
      </c>
      <c r="H32">
        <v>20000</v>
      </c>
      <c r="I32">
        <v>0</v>
      </c>
      <c r="J32" s="21">
        <v>45474</v>
      </c>
      <c r="K32" s="6" t="s">
        <v>67</v>
      </c>
      <c r="L32" t="s">
        <v>9</v>
      </c>
      <c r="M32" t="s">
        <v>9</v>
      </c>
      <c r="N32" t="s">
        <v>680</v>
      </c>
      <c r="S32" t="str">
        <f>TEXT(Table1[[#This Row],[Date]],"MMM-YY")</f>
        <v>Dec-23</v>
      </c>
      <c r="T32">
        <f>_xlfn.ISOWEEKNUM(Table1[[#This Row],[Date]])</f>
        <v>49</v>
      </c>
      <c r="U32" t="str">
        <f>TEXT(Table1[[#This Row],[Expected Business Month]],"YYYY")</f>
        <v>2024</v>
      </c>
    </row>
    <row r="33" spans="1:21" hidden="1">
      <c r="A33" s="1">
        <v>45266</v>
      </c>
      <c r="B33" t="s">
        <v>661</v>
      </c>
      <c r="C33" t="s">
        <v>63</v>
      </c>
      <c r="D33" t="s">
        <v>105</v>
      </c>
      <c r="E33" t="s">
        <v>18</v>
      </c>
      <c r="F33" t="s">
        <v>681</v>
      </c>
      <c r="G33" s="9" t="s">
        <v>682</v>
      </c>
      <c r="H33">
        <v>80000</v>
      </c>
      <c r="I33">
        <v>0</v>
      </c>
      <c r="J33" s="21">
        <v>45261</v>
      </c>
      <c r="K33" s="6" t="s">
        <v>67</v>
      </c>
      <c r="L33" t="s">
        <v>9</v>
      </c>
      <c r="M33" t="s">
        <v>9</v>
      </c>
      <c r="N33" t="s">
        <v>683</v>
      </c>
      <c r="R33">
        <v>45261</v>
      </c>
      <c r="S33" t="str">
        <f>TEXT(Table1[[#This Row],[Date]],"MMM-YY")</f>
        <v>Dec-23</v>
      </c>
      <c r="T33">
        <f>_xlfn.ISOWEEKNUM(Table1[[#This Row],[Date]])</f>
        <v>49</v>
      </c>
      <c r="U33" t="str">
        <f>TEXT(Table1[[#This Row],[Expected Business Month]],"YYYY")</f>
        <v>2023</v>
      </c>
    </row>
    <row r="34" spans="1:21" ht="29.1" hidden="1">
      <c r="A34" s="1">
        <v>45267</v>
      </c>
      <c r="B34" t="s">
        <v>684</v>
      </c>
      <c r="C34" t="s">
        <v>96</v>
      </c>
      <c r="D34" t="s">
        <v>64</v>
      </c>
      <c r="E34" t="s">
        <v>26</v>
      </c>
      <c r="F34" t="s">
        <v>685</v>
      </c>
      <c r="G34" s="9" t="s">
        <v>686</v>
      </c>
      <c r="H34">
        <v>15000</v>
      </c>
      <c r="I34">
        <v>0</v>
      </c>
      <c r="J34" s="21">
        <v>45444</v>
      </c>
      <c r="K34" s="6" t="s">
        <v>67</v>
      </c>
      <c r="L34" t="s">
        <v>9</v>
      </c>
      <c r="M34" t="s">
        <v>9</v>
      </c>
      <c r="S34" t="str">
        <f>TEXT(Table1[[#This Row],[Date]],"MMM-YY")</f>
        <v>Dec-23</v>
      </c>
      <c r="T34">
        <f>_xlfn.ISOWEEKNUM(Table1[[#This Row],[Date]])</f>
        <v>49</v>
      </c>
      <c r="U34" t="str">
        <f>TEXT(Table1[[#This Row],[Expected Business Month]],"YYYY")</f>
        <v>2024</v>
      </c>
    </row>
    <row r="35" spans="1:21" hidden="1">
      <c r="A35" s="1">
        <v>45267</v>
      </c>
      <c r="B35" t="s">
        <v>687</v>
      </c>
      <c r="C35" t="s">
        <v>96</v>
      </c>
      <c r="D35" t="s">
        <v>64</v>
      </c>
      <c r="E35" t="s">
        <v>28</v>
      </c>
      <c r="F35" t="s">
        <v>688</v>
      </c>
      <c r="G35" s="9" t="s">
        <v>689</v>
      </c>
      <c r="H35">
        <v>20000</v>
      </c>
      <c r="I35">
        <v>0</v>
      </c>
      <c r="J35" s="21">
        <v>45474</v>
      </c>
      <c r="K35" s="6" t="s">
        <v>67</v>
      </c>
      <c r="L35" t="s">
        <v>9</v>
      </c>
      <c r="M35" t="s">
        <v>9</v>
      </c>
      <c r="N35" t="s">
        <v>602</v>
      </c>
      <c r="S35" t="str">
        <f>TEXT(Table1[[#This Row],[Date]],"MMM-YY")</f>
        <v>Dec-23</v>
      </c>
      <c r="T35">
        <f>_xlfn.ISOWEEKNUM(Table1[[#This Row],[Date]])</f>
        <v>49</v>
      </c>
      <c r="U35" t="str">
        <f>TEXT(Table1[[#This Row],[Expected Business Month]],"YYYY")</f>
        <v>2024</v>
      </c>
    </row>
    <row r="36" spans="1:21" hidden="1">
      <c r="A36" s="1">
        <v>45267</v>
      </c>
      <c r="B36" t="s">
        <v>690</v>
      </c>
      <c r="C36" t="s">
        <v>63</v>
      </c>
      <c r="D36" t="s">
        <v>20</v>
      </c>
      <c r="E36" t="s">
        <v>20</v>
      </c>
      <c r="F36" t="s">
        <v>691</v>
      </c>
      <c r="G36" s="9" t="s">
        <v>692</v>
      </c>
      <c r="H36">
        <v>24000</v>
      </c>
      <c r="I36">
        <v>24000</v>
      </c>
      <c r="J36" s="21">
        <v>45261</v>
      </c>
      <c r="K36" s="6" t="s">
        <v>67</v>
      </c>
      <c r="L36" t="s">
        <v>68</v>
      </c>
      <c r="M36" t="s">
        <v>69</v>
      </c>
      <c r="S36" t="str">
        <f>TEXT(Table1[[#This Row],[Date]],"MMM-YY")</f>
        <v>Dec-23</v>
      </c>
      <c r="T36">
        <f>_xlfn.ISOWEEKNUM(Table1[[#This Row],[Date]])</f>
        <v>49</v>
      </c>
      <c r="U36" t="str">
        <f>TEXT(Table1[[#This Row],[Expected Business Month]],"YYYY")</f>
        <v>2023</v>
      </c>
    </row>
    <row r="37" spans="1:21" hidden="1">
      <c r="A37" s="1">
        <v>45268</v>
      </c>
      <c r="B37" t="s">
        <v>693</v>
      </c>
      <c r="C37" t="s">
        <v>63</v>
      </c>
      <c r="D37" t="s">
        <v>694</v>
      </c>
      <c r="E37" t="s">
        <v>15</v>
      </c>
      <c r="F37" t="s">
        <v>695</v>
      </c>
      <c r="G37" s="9" t="s">
        <v>696</v>
      </c>
      <c r="H37">
        <v>10000</v>
      </c>
      <c r="I37">
        <v>0</v>
      </c>
      <c r="J37" s="21">
        <v>45383</v>
      </c>
      <c r="K37" s="6" t="s">
        <v>67</v>
      </c>
      <c r="L37" t="s">
        <v>9</v>
      </c>
      <c r="M37" t="s">
        <v>9</v>
      </c>
      <c r="N37" t="s">
        <v>664</v>
      </c>
      <c r="S37" t="str">
        <f>TEXT(Table1[[#This Row],[Date]],"MMM-YY")</f>
        <v>Dec-23</v>
      </c>
      <c r="T37">
        <f>_xlfn.ISOWEEKNUM(Table1[[#This Row],[Date]])</f>
        <v>49</v>
      </c>
      <c r="U37" t="str">
        <f>TEXT(Table1[[#This Row],[Expected Business Month]],"YYYY")</f>
        <v>2024</v>
      </c>
    </row>
    <row r="38" spans="1:21" ht="29.1" hidden="1">
      <c r="A38" s="1">
        <v>45271</v>
      </c>
      <c r="B38" t="s">
        <v>697</v>
      </c>
      <c r="C38" t="s">
        <v>63</v>
      </c>
      <c r="D38" t="s">
        <v>64</v>
      </c>
      <c r="E38" t="s">
        <v>26</v>
      </c>
      <c r="F38" t="s">
        <v>698</v>
      </c>
      <c r="G38" s="9" t="s">
        <v>635</v>
      </c>
      <c r="H38">
        <v>20000</v>
      </c>
      <c r="I38">
        <v>0</v>
      </c>
      <c r="J38" s="21">
        <v>45474</v>
      </c>
      <c r="K38" s="6" t="s">
        <v>67</v>
      </c>
      <c r="L38" t="s">
        <v>9</v>
      </c>
      <c r="M38" t="s">
        <v>9</v>
      </c>
      <c r="N38" t="s">
        <v>602</v>
      </c>
      <c r="S38" t="str">
        <f>TEXT(Table1[[#This Row],[Date]],"MMM-YY")</f>
        <v>Dec-23</v>
      </c>
      <c r="T38">
        <f>_xlfn.ISOWEEKNUM(Table1[[#This Row],[Date]])</f>
        <v>50</v>
      </c>
      <c r="U38" t="str">
        <f>TEXT(Table1[[#This Row],[Expected Business Month]],"YYYY")</f>
        <v>2024</v>
      </c>
    </row>
    <row r="39" spans="1:21" ht="29.1" hidden="1">
      <c r="A39" s="1">
        <v>45272</v>
      </c>
      <c r="B39" t="s">
        <v>699</v>
      </c>
      <c r="C39" t="s">
        <v>63</v>
      </c>
      <c r="D39" t="s">
        <v>20</v>
      </c>
      <c r="E39" t="s">
        <v>15</v>
      </c>
      <c r="F39" t="s">
        <v>700</v>
      </c>
      <c r="G39" s="9" t="s">
        <v>701</v>
      </c>
      <c r="H39">
        <v>10000</v>
      </c>
      <c r="I39">
        <v>10000</v>
      </c>
      <c r="J39" s="21">
        <v>45292</v>
      </c>
      <c r="K39" s="6" t="s">
        <v>67</v>
      </c>
      <c r="L39" t="s">
        <v>68</v>
      </c>
      <c r="M39" t="s">
        <v>69</v>
      </c>
      <c r="N39" t="s">
        <v>702</v>
      </c>
      <c r="S39" t="str">
        <f>TEXT(Table1[[#This Row],[Date]],"MMM-YY")</f>
        <v>Dec-23</v>
      </c>
      <c r="T39">
        <f>_xlfn.ISOWEEKNUM(Table1[[#This Row],[Date]])</f>
        <v>50</v>
      </c>
      <c r="U39" t="str">
        <f>TEXT(Table1[[#This Row],[Expected Business Month]],"YYYY")</f>
        <v>2024</v>
      </c>
    </row>
    <row r="40" spans="1:21" ht="29.1" hidden="1">
      <c r="A40" s="1">
        <v>45272</v>
      </c>
      <c r="B40" t="s">
        <v>703</v>
      </c>
      <c r="C40" t="s">
        <v>96</v>
      </c>
      <c r="D40" t="s">
        <v>20</v>
      </c>
      <c r="E40" t="s">
        <v>15</v>
      </c>
      <c r="F40" t="s">
        <v>704</v>
      </c>
      <c r="G40" s="9" t="s">
        <v>701</v>
      </c>
      <c r="H40">
        <v>8000</v>
      </c>
      <c r="I40">
        <v>0</v>
      </c>
      <c r="J40" s="21">
        <v>45292</v>
      </c>
      <c r="K40" s="6" t="s">
        <v>67</v>
      </c>
      <c r="L40" t="s">
        <v>9</v>
      </c>
      <c r="M40" t="s">
        <v>9</v>
      </c>
      <c r="N40" t="s">
        <v>705</v>
      </c>
      <c r="S40" t="str">
        <f>TEXT(Table1[[#This Row],[Date]],"MMM-YY")</f>
        <v>Dec-23</v>
      </c>
      <c r="T40">
        <f>_xlfn.ISOWEEKNUM(Table1[[#This Row],[Date]])</f>
        <v>50</v>
      </c>
      <c r="U40" t="str">
        <f>TEXT(Table1[[#This Row],[Expected Business Month]],"YYYY")</f>
        <v>2024</v>
      </c>
    </row>
    <row r="41" spans="1:21" ht="29.1" hidden="1">
      <c r="A41" s="1">
        <v>45272</v>
      </c>
      <c r="B41" t="s">
        <v>706</v>
      </c>
      <c r="C41" t="s">
        <v>96</v>
      </c>
      <c r="D41" t="s">
        <v>20</v>
      </c>
      <c r="E41" t="s">
        <v>15</v>
      </c>
      <c r="F41" t="s">
        <v>427</v>
      </c>
      <c r="G41" s="9" t="s">
        <v>701</v>
      </c>
      <c r="H41">
        <v>10000</v>
      </c>
      <c r="I41">
        <v>0</v>
      </c>
      <c r="J41" s="21">
        <v>45292</v>
      </c>
      <c r="K41" s="6" t="s">
        <v>67</v>
      </c>
      <c r="L41" t="s">
        <v>9</v>
      </c>
      <c r="M41" t="s">
        <v>9</v>
      </c>
      <c r="N41" t="s">
        <v>707</v>
      </c>
      <c r="S41" t="str">
        <f>TEXT(Table1[[#This Row],[Date]],"MMM-YY")</f>
        <v>Dec-23</v>
      </c>
      <c r="T41">
        <f>_xlfn.ISOWEEKNUM(Table1[[#This Row],[Date]])</f>
        <v>50</v>
      </c>
      <c r="U41" t="str">
        <f>TEXT(Table1[[#This Row],[Expected Business Month]],"YYYY")</f>
        <v>2024</v>
      </c>
    </row>
    <row r="42" spans="1:21" ht="29.1" hidden="1">
      <c r="A42" s="1">
        <v>45272</v>
      </c>
      <c r="B42" t="s">
        <v>708</v>
      </c>
      <c r="C42" t="s">
        <v>96</v>
      </c>
      <c r="D42" t="s">
        <v>20</v>
      </c>
      <c r="E42" t="s">
        <v>15</v>
      </c>
      <c r="F42" t="s">
        <v>709</v>
      </c>
      <c r="G42" s="9" t="s">
        <v>701</v>
      </c>
      <c r="H42">
        <v>8000</v>
      </c>
      <c r="I42">
        <v>0</v>
      </c>
      <c r="J42" s="21">
        <v>45292</v>
      </c>
      <c r="K42" s="6" t="s">
        <v>67</v>
      </c>
      <c r="L42" t="s">
        <v>9</v>
      </c>
      <c r="M42" t="s">
        <v>9</v>
      </c>
      <c r="N42" t="s">
        <v>710</v>
      </c>
      <c r="S42" t="str">
        <f>TEXT(Table1[[#This Row],[Date]],"MMM-YY")</f>
        <v>Dec-23</v>
      </c>
      <c r="T42">
        <f>_xlfn.ISOWEEKNUM(Table1[[#This Row],[Date]])</f>
        <v>50</v>
      </c>
      <c r="U42" t="str">
        <f>TEXT(Table1[[#This Row],[Expected Business Month]],"YYYY")</f>
        <v>2024</v>
      </c>
    </row>
    <row r="43" spans="1:21" ht="29.1" hidden="1">
      <c r="A43" s="1">
        <v>45272</v>
      </c>
      <c r="B43" t="s">
        <v>711</v>
      </c>
      <c r="C43" t="s">
        <v>96</v>
      </c>
      <c r="D43" t="s">
        <v>20</v>
      </c>
      <c r="E43" t="s">
        <v>15</v>
      </c>
      <c r="F43" t="s">
        <v>712</v>
      </c>
      <c r="G43" s="9" t="s">
        <v>701</v>
      </c>
      <c r="H43">
        <v>6000</v>
      </c>
      <c r="I43">
        <v>0</v>
      </c>
      <c r="J43" s="21">
        <v>45292</v>
      </c>
      <c r="K43" s="6" t="s">
        <v>67</v>
      </c>
      <c r="L43" t="s">
        <v>9</v>
      </c>
      <c r="M43" t="s">
        <v>9</v>
      </c>
      <c r="N43" t="s">
        <v>713</v>
      </c>
      <c r="S43" t="str">
        <f>TEXT(Table1[[#This Row],[Date]],"MMM-YY")</f>
        <v>Dec-23</v>
      </c>
      <c r="T43">
        <f>_xlfn.ISOWEEKNUM(Table1[[#This Row],[Date]])</f>
        <v>50</v>
      </c>
      <c r="U43" t="str">
        <f>TEXT(Table1[[#This Row],[Expected Business Month]],"YYYY")</f>
        <v>2024</v>
      </c>
    </row>
    <row r="44" spans="1:21" ht="29.1" hidden="1">
      <c r="A44" s="1">
        <v>45272</v>
      </c>
      <c r="B44" t="s">
        <v>714</v>
      </c>
      <c r="C44" t="s">
        <v>63</v>
      </c>
      <c r="D44" t="s">
        <v>20</v>
      </c>
      <c r="E44" t="s">
        <v>13</v>
      </c>
      <c r="F44" t="s">
        <v>715</v>
      </c>
      <c r="G44" s="9" t="s">
        <v>716</v>
      </c>
      <c r="H44">
        <v>10000</v>
      </c>
      <c r="I44">
        <v>0</v>
      </c>
      <c r="J44" s="21">
        <v>45352</v>
      </c>
      <c r="K44" s="6" t="s">
        <v>67</v>
      </c>
      <c r="L44" t="s">
        <v>9</v>
      </c>
      <c r="M44" t="s">
        <v>9</v>
      </c>
      <c r="N44" t="s">
        <v>586</v>
      </c>
      <c r="S44" t="str">
        <f>TEXT(Table1[[#This Row],[Date]],"MMM-YY")</f>
        <v>Dec-23</v>
      </c>
      <c r="T44">
        <f>_xlfn.ISOWEEKNUM(Table1[[#This Row],[Date]])</f>
        <v>50</v>
      </c>
      <c r="U44" t="str">
        <f>TEXT(Table1[[#This Row],[Expected Business Month]],"YYYY")</f>
        <v>2024</v>
      </c>
    </row>
    <row r="45" spans="1:21" ht="29.1" hidden="1">
      <c r="A45" s="1">
        <v>45272</v>
      </c>
      <c r="B45" t="s">
        <v>717</v>
      </c>
      <c r="C45" t="s">
        <v>63</v>
      </c>
      <c r="D45" t="s">
        <v>20</v>
      </c>
      <c r="E45" t="s">
        <v>13</v>
      </c>
      <c r="F45" t="s">
        <v>718</v>
      </c>
      <c r="G45" s="9" t="s">
        <v>716</v>
      </c>
      <c r="H45">
        <v>12000</v>
      </c>
      <c r="I45">
        <v>0</v>
      </c>
      <c r="J45" s="21">
        <v>45474</v>
      </c>
      <c r="K45" s="6" t="s">
        <v>67</v>
      </c>
      <c r="L45" t="s">
        <v>9</v>
      </c>
      <c r="M45" t="s">
        <v>9</v>
      </c>
      <c r="N45" t="s">
        <v>586</v>
      </c>
      <c r="S45" t="str">
        <f>TEXT(Table1[[#This Row],[Date]],"MMM-YY")</f>
        <v>Dec-23</v>
      </c>
      <c r="T45">
        <f>_xlfn.ISOWEEKNUM(Table1[[#This Row],[Date]])</f>
        <v>50</v>
      </c>
      <c r="U45" t="str">
        <f>TEXT(Table1[[#This Row],[Expected Business Month]],"YYYY")</f>
        <v>2024</v>
      </c>
    </row>
    <row r="46" spans="1:21" ht="29.1" hidden="1">
      <c r="A46" s="1">
        <v>45272</v>
      </c>
      <c r="B46" t="s">
        <v>719</v>
      </c>
      <c r="C46" t="s">
        <v>63</v>
      </c>
      <c r="D46" t="s">
        <v>64</v>
      </c>
      <c r="E46" t="s">
        <v>26</v>
      </c>
      <c r="F46" t="s">
        <v>720</v>
      </c>
      <c r="G46" s="9" t="s">
        <v>721</v>
      </c>
      <c r="H46">
        <v>10000</v>
      </c>
      <c r="I46">
        <v>0</v>
      </c>
      <c r="J46" s="21">
        <v>45444</v>
      </c>
      <c r="K46" s="6" t="s">
        <v>67</v>
      </c>
      <c r="L46" t="s">
        <v>9</v>
      </c>
      <c r="M46" t="s">
        <v>9</v>
      </c>
      <c r="S46" t="str">
        <f>TEXT(Table1[[#This Row],[Date]],"MMM-YY")</f>
        <v>Dec-23</v>
      </c>
      <c r="T46">
        <f>_xlfn.ISOWEEKNUM(Table1[[#This Row],[Date]])</f>
        <v>50</v>
      </c>
      <c r="U46" t="str">
        <f>TEXT(Table1[[#This Row],[Expected Business Month]],"YYYY")</f>
        <v>2024</v>
      </c>
    </row>
    <row r="47" spans="1:21" hidden="1">
      <c r="A47" s="1">
        <v>45273</v>
      </c>
      <c r="B47" t="s">
        <v>697</v>
      </c>
      <c r="C47" t="s">
        <v>96</v>
      </c>
      <c r="D47" t="s">
        <v>618</v>
      </c>
      <c r="E47" t="s">
        <v>18</v>
      </c>
      <c r="F47" t="s">
        <v>722</v>
      </c>
      <c r="G47" s="9" t="s">
        <v>663</v>
      </c>
      <c r="H47">
        <v>5000</v>
      </c>
      <c r="I47">
        <v>0</v>
      </c>
      <c r="J47" s="21">
        <v>45383</v>
      </c>
      <c r="K47" s="6" t="s">
        <v>67</v>
      </c>
      <c r="L47" t="s">
        <v>9</v>
      </c>
      <c r="M47" t="s">
        <v>9</v>
      </c>
      <c r="N47" t="s">
        <v>586</v>
      </c>
      <c r="S47" t="str">
        <f>TEXT(Table1[[#This Row],[Date]],"MMM-YY")</f>
        <v>Dec-23</v>
      </c>
      <c r="T47">
        <f>_xlfn.ISOWEEKNUM(Table1[[#This Row],[Date]])</f>
        <v>50</v>
      </c>
      <c r="U47" t="str">
        <f>TEXT(Table1[[#This Row],[Expected Business Month]],"YYYY")</f>
        <v>2024</v>
      </c>
    </row>
    <row r="48" spans="1:21" hidden="1">
      <c r="A48" s="1">
        <v>45273</v>
      </c>
      <c r="B48" t="s">
        <v>723</v>
      </c>
      <c r="C48" t="s">
        <v>63</v>
      </c>
      <c r="D48" t="s">
        <v>618</v>
      </c>
      <c r="E48" t="s">
        <v>18</v>
      </c>
      <c r="F48" t="s">
        <v>724</v>
      </c>
      <c r="G48" s="9" t="s">
        <v>725</v>
      </c>
      <c r="H48">
        <v>50000</v>
      </c>
      <c r="I48">
        <v>0</v>
      </c>
      <c r="J48" s="21">
        <v>45352</v>
      </c>
      <c r="K48" s="6" t="s">
        <v>67</v>
      </c>
      <c r="L48" t="s">
        <v>9</v>
      </c>
      <c r="M48" t="s">
        <v>9</v>
      </c>
      <c r="S48" t="str">
        <f>TEXT(Table1[[#This Row],[Date]],"MMM-YY")</f>
        <v>Dec-23</v>
      </c>
      <c r="T48">
        <f>_xlfn.ISOWEEKNUM(Table1[[#This Row],[Date]])</f>
        <v>50</v>
      </c>
      <c r="U48" t="str">
        <f>TEXT(Table1[[#This Row],[Expected Business Month]],"YYYY")</f>
        <v>2024</v>
      </c>
    </row>
    <row r="49" spans="1:21" hidden="1">
      <c r="A49" s="1">
        <v>45273</v>
      </c>
      <c r="B49" t="s">
        <v>726</v>
      </c>
      <c r="C49" t="s">
        <v>63</v>
      </c>
      <c r="D49" t="s">
        <v>105</v>
      </c>
      <c r="E49" t="s">
        <v>18</v>
      </c>
      <c r="F49" t="s">
        <v>727</v>
      </c>
      <c r="G49" s="9" t="s">
        <v>728</v>
      </c>
      <c r="H49">
        <v>8000</v>
      </c>
      <c r="I49">
        <v>0</v>
      </c>
      <c r="J49" s="21">
        <v>45352</v>
      </c>
      <c r="K49" s="6" t="s">
        <v>67</v>
      </c>
      <c r="L49" t="s">
        <v>9</v>
      </c>
      <c r="M49" t="s">
        <v>9</v>
      </c>
      <c r="N49" t="s">
        <v>586</v>
      </c>
      <c r="S49" t="str">
        <f>TEXT(Table1[[#This Row],[Date]],"MMM-YY")</f>
        <v>Dec-23</v>
      </c>
      <c r="T49">
        <f>_xlfn.ISOWEEKNUM(Table1[[#This Row],[Date]])</f>
        <v>50</v>
      </c>
      <c r="U49" t="str">
        <f>TEXT(Table1[[#This Row],[Expected Business Month]],"YYYY")</f>
        <v>2024</v>
      </c>
    </row>
    <row r="50" spans="1:21" ht="29.1" hidden="1">
      <c r="A50" s="1">
        <v>45273</v>
      </c>
      <c r="B50" t="s">
        <v>729</v>
      </c>
      <c r="C50" t="s">
        <v>96</v>
      </c>
      <c r="D50" t="s">
        <v>64</v>
      </c>
      <c r="E50" t="s">
        <v>13</v>
      </c>
      <c r="F50" t="s">
        <v>730</v>
      </c>
      <c r="G50" s="9" t="s">
        <v>731</v>
      </c>
      <c r="H50">
        <v>10000</v>
      </c>
      <c r="I50">
        <v>0</v>
      </c>
      <c r="J50" s="21">
        <v>45444</v>
      </c>
      <c r="K50" s="6" t="s">
        <v>67</v>
      </c>
      <c r="L50" t="s">
        <v>9</v>
      </c>
      <c r="M50" t="s">
        <v>9</v>
      </c>
      <c r="N50" t="s">
        <v>602</v>
      </c>
      <c r="S50" t="str">
        <f>TEXT(Table1[[#This Row],[Date]],"MMM-YY")</f>
        <v>Dec-23</v>
      </c>
      <c r="T50">
        <f>_xlfn.ISOWEEKNUM(Table1[[#This Row],[Date]])</f>
        <v>50</v>
      </c>
      <c r="U50" t="str">
        <f>TEXT(Table1[[#This Row],[Expected Business Month]],"YYYY")</f>
        <v>2024</v>
      </c>
    </row>
    <row r="51" spans="1:21" ht="29.1" hidden="1">
      <c r="A51" s="1">
        <v>45273</v>
      </c>
      <c r="B51" t="s">
        <v>732</v>
      </c>
      <c r="C51" t="s">
        <v>96</v>
      </c>
      <c r="D51" t="s">
        <v>105</v>
      </c>
      <c r="E51" t="s">
        <v>18</v>
      </c>
      <c r="F51" t="s">
        <v>733</v>
      </c>
      <c r="G51" s="9" t="s">
        <v>734</v>
      </c>
      <c r="H51">
        <v>5000</v>
      </c>
      <c r="I51">
        <v>0</v>
      </c>
      <c r="J51" s="21">
        <v>45292</v>
      </c>
      <c r="K51" s="6" t="s">
        <v>67</v>
      </c>
      <c r="L51" t="s">
        <v>9</v>
      </c>
      <c r="M51" t="s">
        <v>9</v>
      </c>
      <c r="N51" t="s">
        <v>735</v>
      </c>
      <c r="S51" t="str">
        <f>TEXT(Table1[[#This Row],[Date]],"MMM-YY")</f>
        <v>Dec-23</v>
      </c>
      <c r="T51">
        <f>_xlfn.ISOWEEKNUM(Table1[[#This Row],[Date]])</f>
        <v>50</v>
      </c>
      <c r="U51" t="str">
        <f>TEXT(Table1[[#This Row],[Expected Business Month]],"YYYY")</f>
        <v>2024</v>
      </c>
    </row>
    <row r="52" spans="1:21" hidden="1">
      <c r="A52" s="1">
        <v>45273</v>
      </c>
      <c r="B52" t="s">
        <v>736</v>
      </c>
      <c r="C52" t="s">
        <v>63</v>
      </c>
      <c r="D52" t="s">
        <v>105</v>
      </c>
      <c r="E52" t="s">
        <v>18</v>
      </c>
      <c r="F52" t="s">
        <v>737</v>
      </c>
      <c r="G52" s="9" t="s">
        <v>663</v>
      </c>
      <c r="H52">
        <v>5000</v>
      </c>
      <c r="I52">
        <v>0</v>
      </c>
      <c r="J52" s="21">
        <v>45383</v>
      </c>
      <c r="K52" s="6" t="s">
        <v>67</v>
      </c>
      <c r="L52" t="s">
        <v>9</v>
      </c>
      <c r="M52" t="s">
        <v>9</v>
      </c>
      <c r="N52" t="s">
        <v>586</v>
      </c>
      <c r="S52" t="str">
        <f>TEXT(Table1[[#This Row],[Date]],"MMM-YY")</f>
        <v>Dec-23</v>
      </c>
      <c r="T52">
        <f>_xlfn.ISOWEEKNUM(Table1[[#This Row],[Date]])</f>
        <v>50</v>
      </c>
      <c r="U52" t="str">
        <f>TEXT(Table1[[#This Row],[Expected Business Month]],"YYYY")</f>
        <v>2024</v>
      </c>
    </row>
    <row r="53" spans="1:21" ht="29.1" hidden="1">
      <c r="A53" s="1">
        <v>45273</v>
      </c>
      <c r="B53" t="s">
        <v>661</v>
      </c>
      <c r="C53" t="s">
        <v>63</v>
      </c>
      <c r="D53" t="s">
        <v>105</v>
      </c>
      <c r="E53" t="s">
        <v>18</v>
      </c>
      <c r="F53" t="s">
        <v>738</v>
      </c>
      <c r="G53" s="9" t="s">
        <v>739</v>
      </c>
      <c r="H53">
        <v>5000</v>
      </c>
      <c r="I53">
        <v>0</v>
      </c>
      <c r="J53" s="21">
        <v>45352</v>
      </c>
      <c r="K53" s="6" t="s">
        <v>67</v>
      </c>
      <c r="L53" t="s">
        <v>9</v>
      </c>
      <c r="M53" t="s">
        <v>9</v>
      </c>
      <c r="N53" t="s">
        <v>713</v>
      </c>
      <c r="S53" t="str">
        <f>TEXT(Table1[[#This Row],[Date]],"MMM-YY")</f>
        <v>Dec-23</v>
      </c>
      <c r="T53">
        <f>_xlfn.ISOWEEKNUM(Table1[[#This Row],[Date]])</f>
        <v>50</v>
      </c>
      <c r="U53" t="str">
        <f>TEXT(Table1[[#This Row],[Expected Business Month]],"YYYY")</f>
        <v>2024</v>
      </c>
    </row>
    <row r="54" spans="1:21" hidden="1">
      <c r="A54" s="1">
        <v>45274</v>
      </c>
      <c r="B54" t="s">
        <v>740</v>
      </c>
      <c r="C54" t="s">
        <v>63</v>
      </c>
      <c r="D54" t="s">
        <v>64</v>
      </c>
      <c r="E54" t="s">
        <v>26</v>
      </c>
      <c r="F54" t="s">
        <v>741</v>
      </c>
      <c r="G54" s="9" t="s">
        <v>742</v>
      </c>
      <c r="H54">
        <v>8000</v>
      </c>
      <c r="I54">
        <v>0</v>
      </c>
      <c r="J54" s="21">
        <v>45352</v>
      </c>
      <c r="K54" s="6" t="s">
        <v>67</v>
      </c>
      <c r="L54" t="s">
        <v>9</v>
      </c>
      <c r="M54" t="s">
        <v>9</v>
      </c>
      <c r="N54" t="s">
        <v>586</v>
      </c>
      <c r="S54" t="str">
        <f>TEXT(Table1[[#This Row],[Date]],"MMM-YY")</f>
        <v>Dec-23</v>
      </c>
      <c r="T54">
        <f>_xlfn.ISOWEEKNUM(Table1[[#This Row],[Date]])</f>
        <v>50</v>
      </c>
      <c r="U54" t="str">
        <f>TEXT(Table1[[#This Row],[Expected Business Month]],"YYYY")</f>
        <v>2024</v>
      </c>
    </row>
    <row r="55" spans="1:21" hidden="1">
      <c r="A55" s="1">
        <v>45274</v>
      </c>
      <c r="B55" t="s">
        <v>743</v>
      </c>
      <c r="C55" t="s">
        <v>96</v>
      </c>
      <c r="D55" t="s">
        <v>20</v>
      </c>
      <c r="E55" t="s">
        <v>18</v>
      </c>
      <c r="F55" t="s">
        <v>744</v>
      </c>
      <c r="G55" s="9" t="s">
        <v>745</v>
      </c>
      <c r="H55">
        <v>4000</v>
      </c>
      <c r="I55">
        <v>0</v>
      </c>
      <c r="J55" s="21">
        <v>45352</v>
      </c>
      <c r="K55" s="6" t="s">
        <v>67</v>
      </c>
      <c r="L55" t="s">
        <v>9</v>
      </c>
      <c r="M55" t="s">
        <v>9</v>
      </c>
      <c r="N55" t="s">
        <v>586</v>
      </c>
      <c r="S55" t="str">
        <f>TEXT(Table1[[#This Row],[Date]],"MMM-YY")</f>
        <v>Dec-23</v>
      </c>
      <c r="T55">
        <f>_xlfn.ISOWEEKNUM(Table1[[#This Row],[Date]])</f>
        <v>50</v>
      </c>
      <c r="U55" t="str">
        <f>TEXT(Table1[[#This Row],[Expected Business Month]],"YYYY")</f>
        <v>2024</v>
      </c>
    </row>
    <row r="56" spans="1:21" ht="29.1" hidden="1">
      <c r="A56" s="1">
        <v>45274</v>
      </c>
      <c r="B56" t="s">
        <v>746</v>
      </c>
      <c r="C56" t="s">
        <v>63</v>
      </c>
      <c r="D56" t="s">
        <v>618</v>
      </c>
      <c r="E56" t="s">
        <v>18</v>
      </c>
      <c r="F56" t="s">
        <v>747</v>
      </c>
      <c r="G56" s="9" t="s">
        <v>748</v>
      </c>
      <c r="H56">
        <v>2200</v>
      </c>
      <c r="I56">
        <v>2200</v>
      </c>
      <c r="J56" s="21">
        <v>45261</v>
      </c>
      <c r="K56" s="6" t="s">
        <v>67</v>
      </c>
      <c r="L56" t="s">
        <v>68</v>
      </c>
      <c r="M56" t="s">
        <v>69</v>
      </c>
      <c r="S56" t="str">
        <f>TEXT(Table1[[#This Row],[Date]],"MMM-YY")</f>
        <v>Dec-23</v>
      </c>
      <c r="T56">
        <f>_xlfn.ISOWEEKNUM(Table1[[#This Row],[Date]])</f>
        <v>50</v>
      </c>
      <c r="U56" t="str">
        <f>TEXT(Table1[[#This Row],[Expected Business Month]],"YYYY")</f>
        <v>2023</v>
      </c>
    </row>
    <row r="57" spans="1:21" ht="29.1" hidden="1">
      <c r="A57" s="1">
        <v>45274</v>
      </c>
      <c r="B57" t="s">
        <v>749</v>
      </c>
      <c r="C57" t="s">
        <v>96</v>
      </c>
      <c r="D57" t="s">
        <v>64</v>
      </c>
      <c r="E57" t="s">
        <v>26</v>
      </c>
      <c r="F57" t="s">
        <v>750</v>
      </c>
      <c r="G57" s="9" t="s">
        <v>751</v>
      </c>
      <c r="H57">
        <v>5000</v>
      </c>
      <c r="I57">
        <v>0</v>
      </c>
      <c r="J57" s="21">
        <v>45444</v>
      </c>
      <c r="K57" s="6" t="s">
        <v>67</v>
      </c>
      <c r="L57" t="s">
        <v>9</v>
      </c>
      <c r="M57" t="s">
        <v>9</v>
      </c>
      <c r="N57" t="s">
        <v>602</v>
      </c>
      <c r="S57" t="str">
        <f>TEXT(Table1[[#This Row],[Date]],"MMM-YY")</f>
        <v>Dec-23</v>
      </c>
      <c r="T57">
        <f>_xlfn.ISOWEEKNUM(Table1[[#This Row],[Date]])</f>
        <v>50</v>
      </c>
      <c r="U57" t="str">
        <f>TEXT(Table1[[#This Row],[Expected Business Month]],"YYYY")</f>
        <v>2024</v>
      </c>
    </row>
    <row r="58" spans="1:21" hidden="1">
      <c r="A58" s="1">
        <v>45274</v>
      </c>
      <c r="B58" t="s">
        <v>752</v>
      </c>
      <c r="C58" t="s">
        <v>96</v>
      </c>
      <c r="D58" t="s">
        <v>618</v>
      </c>
      <c r="E58" t="s">
        <v>18</v>
      </c>
      <c r="F58" t="s">
        <v>753</v>
      </c>
      <c r="G58" s="9" t="s">
        <v>663</v>
      </c>
      <c r="H58">
        <v>5000</v>
      </c>
      <c r="I58">
        <v>0</v>
      </c>
      <c r="J58" s="21">
        <v>45444</v>
      </c>
      <c r="K58" s="6" t="s">
        <v>67</v>
      </c>
      <c r="L58" t="s">
        <v>9</v>
      </c>
      <c r="M58" t="s">
        <v>9</v>
      </c>
      <c r="N58" t="s">
        <v>602</v>
      </c>
      <c r="S58" t="str">
        <f>TEXT(Table1[[#This Row],[Date]],"MMM-YY")</f>
        <v>Dec-23</v>
      </c>
      <c r="T58">
        <f>_xlfn.ISOWEEKNUM(Table1[[#This Row],[Date]])</f>
        <v>50</v>
      </c>
      <c r="U58" t="str">
        <f>TEXT(Table1[[#This Row],[Expected Business Month]],"YYYY")</f>
        <v>2024</v>
      </c>
    </row>
    <row r="59" spans="1:21" hidden="1">
      <c r="A59" s="1">
        <v>45274</v>
      </c>
      <c r="B59" t="s">
        <v>754</v>
      </c>
      <c r="C59" t="s">
        <v>96</v>
      </c>
      <c r="D59" t="s">
        <v>755</v>
      </c>
      <c r="E59" t="s">
        <v>18</v>
      </c>
      <c r="F59" t="s">
        <v>756</v>
      </c>
      <c r="G59" s="9" t="s">
        <v>663</v>
      </c>
      <c r="H59">
        <v>5000</v>
      </c>
      <c r="I59">
        <v>0</v>
      </c>
      <c r="J59" s="21">
        <v>45352</v>
      </c>
      <c r="K59" s="6" t="s">
        <v>67</v>
      </c>
      <c r="L59" t="s">
        <v>9</v>
      </c>
      <c r="M59" t="s">
        <v>9</v>
      </c>
      <c r="N59" t="s">
        <v>602</v>
      </c>
      <c r="S59" t="str">
        <f>TEXT(Table1[[#This Row],[Date]],"MMM-YY")</f>
        <v>Dec-23</v>
      </c>
      <c r="T59">
        <f>_xlfn.ISOWEEKNUM(Table1[[#This Row],[Date]])</f>
        <v>50</v>
      </c>
      <c r="U59" t="str">
        <f>TEXT(Table1[[#This Row],[Expected Business Month]],"YYYY")</f>
        <v>2024</v>
      </c>
    </row>
    <row r="60" spans="1:21" hidden="1">
      <c r="A60" s="1">
        <v>45274</v>
      </c>
      <c r="B60" t="s">
        <v>757</v>
      </c>
      <c r="C60" t="s">
        <v>96</v>
      </c>
      <c r="D60" t="s">
        <v>618</v>
      </c>
      <c r="E60" t="s">
        <v>18</v>
      </c>
      <c r="F60" t="s">
        <v>758</v>
      </c>
      <c r="G60" s="9" t="s">
        <v>663</v>
      </c>
      <c r="H60">
        <v>5000</v>
      </c>
      <c r="I60">
        <v>0</v>
      </c>
      <c r="J60" s="21">
        <v>45444</v>
      </c>
      <c r="K60" s="6" t="s">
        <v>67</v>
      </c>
      <c r="L60" t="s">
        <v>9</v>
      </c>
      <c r="M60" t="s">
        <v>9</v>
      </c>
      <c r="N60" t="s">
        <v>602</v>
      </c>
      <c r="S60" t="str">
        <f>TEXT(Table1[[#This Row],[Date]],"MMM-YY")</f>
        <v>Dec-23</v>
      </c>
      <c r="T60">
        <f>_xlfn.ISOWEEKNUM(Table1[[#This Row],[Date]])</f>
        <v>50</v>
      </c>
      <c r="U60" t="str">
        <f>TEXT(Table1[[#This Row],[Expected Business Month]],"YYYY")</f>
        <v>2024</v>
      </c>
    </row>
    <row r="61" spans="1:21" ht="29.1" hidden="1">
      <c r="A61" s="1">
        <v>45274</v>
      </c>
      <c r="B61" t="s">
        <v>759</v>
      </c>
      <c r="C61" t="s">
        <v>63</v>
      </c>
      <c r="D61" t="s">
        <v>618</v>
      </c>
      <c r="E61" t="s">
        <v>18</v>
      </c>
      <c r="F61" t="s">
        <v>760</v>
      </c>
      <c r="G61" s="9" t="s">
        <v>761</v>
      </c>
      <c r="H61">
        <v>7000</v>
      </c>
      <c r="I61">
        <v>0</v>
      </c>
      <c r="J61" s="21">
        <v>45444</v>
      </c>
      <c r="K61" s="6" t="s">
        <v>67</v>
      </c>
      <c r="L61" t="s">
        <v>9</v>
      </c>
      <c r="M61" t="s">
        <v>9</v>
      </c>
      <c r="N61" t="s">
        <v>602</v>
      </c>
      <c r="S61" t="str">
        <f>TEXT(Table1[[#This Row],[Date]],"MMM-YY")</f>
        <v>Dec-23</v>
      </c>
      <c r="T61">
        <f>_xlfn.ISOWEEKNUM(Table1[[#This Row],[Date]])</f>
        <v>50</v>
      </c>
      <c r="U61" t="str">
        <f>TEXT(Table1[[#This Row],[Expected Business Month]],"YYYY")</f>
        <v>2024</v>
      </c>
    </row>
    <row r="62" spans="1:21" ht="43.5" hidden="1">
      <c r="A62" s="1">
        <v>45274</v>
      </c>
      <c r="B62" t="s">
        <v>762</v>
      </c>
      <c r="C62" t="s">
        <v>63</v>
      </c>
      <c r="D62" t="s">
        <v>618</v>
      </c>
      <c r="E62" t="s">
        <v>18</v>
      </c>
      <c r="F62" t="s">
        <v>763</v>
      </c>
      <c r="G62" s="9" t="s">
        <v>764</v>
      </c>
      <c r="H62">
        <v>12000</v>
      </c>
      <c r="I62">
        <v>0</v>
      </c>
      <c r="J62" s="21">
        <v>45323</v>
      </c>
      <c r="K62" s="6" t="s">
        <v>67</v>
      </c>
      <c r="L62" t="s">
        <v>9</v>
      </c>
      <c r="M62" t="s">
        <v>9</v>
      </c>
      <c r="N62" t="s">
        <v>765</v>
      </c>
      <c r="S62" t="str">
        <f>TEXT(Table1[[#This Row],[Date]],"MMM-YY")</f>
        <v>Dec-23</v>
      </c>
      <c r="T62">
        <f>_xlfn.ISOWEEKNUM(Table1[[#This Row],[Date]])</f>
        <v>50</v>
      </c>
      <c r="U62" t="str">
        <f>TEXT(Table1[[#This Row],[Expected Business Month]],"YYYY")</f>
        <v>2024</v>
      </c>
    </row>
    <row r="63" spans="1:21" ht="29.1" hidden="1">
      <c r="A63" s="1">
        <v>45275</v>
      </c>
      <c r="B63" t="s">
        <v>766</v>
      </c>
      <c r="C63" t="s">
        <v>63</v>
      </c>
      <c r="D63" t="s">
        <v>64</v>
      </c>
      <c r="E63" t="s">
        <v>26</v>
      </c>
      <c r="F63" t="s">
        <v>767</v>
      </c>
      <c r="G63" s="9" t="s">
        <v>768</v>
      </c>
      <c r="H63">
        <v>10000</v>
      </c>
      <c r="I63">
        <v>0</v>
      </c>
      <c r="J63" s="21">
        <v>45352</v>
      </c>
      <c r="K63" s="6" t="s">
        <v>67</v>
      </c>
      <c r="L63" t="s">
        <v>9</v>
      </c>
      <c r="M63" t="s">
        <v>9</v>
      </c>
      <c r="N63" t="s">
        <v>586</v>
      </c>
      <c r="S63" t="str">
        <f>TEXT(Table1[[#This Row],[Date]],"MMM-YY")</f>
        <v>Dec-23</v>
      </c>
      <c r="T63">
        <f>_xlfn.ISOWEEKNUM(Table1[[#This Row],[Date]])</f>
        <v>50</v>
      </c>
      <c r="U63" t="str">
        <f>TEXT(Table1[[#This Row],[Expected Business Month]],"YYYY")</f>
        <v>2024</v>
      </c>
    </row>
    <row r="64" spans="1:21" hidden="1">
      <c r="A64" s="1">
        <v>45275</v>
      </c>
      <c r="B64" t="s">
        <v>769</v>
      </c>
      <c r="C64" t="s">
        <v>63</v>
      </c>
      <c r="D64" t="s">
        <v>618</v>
      </c>
      <c r="E64" t="s">
        <v>18</v>
      </c>
      <c r="F64" t="s">
        <v>770</v>
      </c>
      <c r="G64" s="9" t="s">
        <v>771</v>
      </c>
      <c r="H64">
        <v>10000</v>
      </c>
      <c r="I64">
        <v>0</v>
      </c>
      <c r="J64" s="21">
        <v>45444</v>
      </c>
      <c r="K64" s="6" t="s">
        <v>67</v>
      </c>
      <c r="L64" t="s">
        <v>9</v>
      </c>
      <c r="M64" t="s">
        <v>9</v>
      </c>
      <c r="N64" t="s">
        <v>602</v>
      </c>
      <c r="S64" t="str">
        <f>TEXT(Table1[[#This Row],[Date]],"MMM-YY")</f>
        <v>Dec-23</v>
      </c>
      <c r="T64">
        <f>_xlfn.ISOWEEKNUM(Table1[[#This Row],[Date]])</f>
        <v>50</v>
      </c>
      <c r="U64" t="str">
        <f>TEXT(Table1[[#This Row],[Expected Business Month]],"YYYY")</f>
        <v>2024</v>
      </c>
    </row>
    <row r="65" spans="1:21" hidden="1">
      <c r="A65" s="1">
        <v>45275</v>
      </c>
      <c r="B65" t="s">
        <v>772</v>
      </c>
      <c r="C65" t="s">
        <v>63</v>
      </c>
      <c r="D65" t="s">
        <v>20</v>
      </c>
      <c r="E65" t="s">
        <v>15</v>
      </c>
      <c r="F65" t="s">
        <v>773</v>
      </c>
      <c r="G65" s="9" t="s">
        <v>774</v>
      </c>
      <c r="H65">
        <v>30000</v>
      </c>
      <c r="I65">
        <v>0</v>
      </c>
      <c r="J65" s="21">
        <v>45383</v>
      </c>
      <c r="K65" s="6" t="s">
        <v>67</v>
      </c>
      <c r="L65" t="s">
        <v>9</v>
      </c>
      <c r="M65" t="s">
        <v>9</v>
      </c>
      <c r="N65" t="s">
        <v>586</v>
      </c>
      <c r="S65" t="str">
        <f>TEXT(Table1[[#This Row],[Date]],"MMM-YY")</f>
        <v>Dec-23</v>
      </c>
      <c r="T65">
        <f>_xlfn.ISOWEEKNUM(Table1[[#This Row],[Date]])</f>
        <v>50</v>
      </c>
      <c r="U65" t="str">
        <f>TEXT(Table1[[#This Row],[Expected Business Month]],"YYYY")</f>
        <v>2024</v>
      </c>
    </row>
    <row r="66" spans="1:21" ht="29.1" hidden="1">
      <c r="A66" s="1">
        <v>45275</v>
      </c>
      <c r="B66" t="s">
        <v>775</v>
      </c>
      <c r="C66" t="s">
        <v>63</v>
      </c>
      <c r="D66" t="s">
        <v>20</v>
      </c>
      <c r="E66" t="s">
        <v>18</v>
      </c>
      <c r="F66" t="s">
        <v>776</v>
      </c>
      <c r="G66" s="9" t="s">
        <v>777</v>
      </c>
      <c r="H66">
        <v>100000</v>
      </c>
      <c r="I66">
        <v>100000</v>
      </c>
      <c r="J66" s="21">
        <v>45261</v>
      </c>
      <c r="K66" s="6" t="s">
        <v>67</v>
      </c>
      <c r="L66" t="s">
        <v>68</v>
      </c>
      <c r="M66" t="s">
        <v>69</v>
      </c>
      <c r="O66">
        <v>6600</v>
      </c>
      <c r="S66" t="str">
        <f>TEXT(Table1[[#This Row],[Date]],"MMM-YY")</f>
        <v>Dec-23</v>
      </c>
      <c r="T66">
        <f>_xlfn.ISOWEEKNUM(Table1[[#This Row],[Date]])</f>
        <v>50</v>
      </c>
      <c r="U66" t="str">
        <f>TEXT(Table1[[#This Row],[Expected Business Month]],"YYYY")</f>
        <v>2023</v>
      </c>
    </row>
    <row r="67" spans="1:21" hidden="1">
      <c r="A67" s="1">
        <v>45275</v>
      </c>
      <c r="B67" t="s">
        <v>778</v>
      </c>
      <c r="C67" t="s">
        <v>96</v>
      </c>
      <c r="D67" t="s">
        <v>64</v>
      </c>
      <c r="E67" t="s">
        <v>26</v>
      </c>
      <c r="F67" t="s">
        <v>779</v>
      </c>
      <c r="G67" s="9" t="s">
        <v>780</v>
      </c>
      <c r="H67">
        <v>20000</v>
      </c>
      <c r="I67">
        <v>0</v>
      </c>
      <c r="J67" s="21">
        <v>45474</v>
      </c>
      <c r="K67" s="6" t="s">
        <v>67</v>
      </c>
      <c r="L67" t="s">
        <v>9</v>
      </c>
      <c r="M67" t="s">
        <v>9</v>
      </c>
      <c r="N67" t="s">
        <v>680</v>
      </c>
      <c r="S67" t="str">
        <f>TEXT(Table1[[#This Row],[Date]],"MMM-YY")</f>
        <v>Dec-23</v>
      </c>
      <c r="T67">
        <f>_xlfn.ISOWEEKNUM(Table1[[#This Row],[Date]])</f>
        <v>50</v>
      </c>
      <c r="U67" t="str">
        <f>TEXT(Table1[[#This Row],[Expected Business Month]],"YYYY")</f>
        <v>2024</v>
      </c>
    </row>
    <row r="68" spans="1:21" hidden="1">
      <c r="A68" s="1">
        <v>45275</v>
      </c>
      <c r="B68" t="s">
        <v>781</v>
      </c>
      <c r="C68" t="s">
        <v>96</v>
      </c>
      <c r="D68" t="s">
        <v>64</v>
      </c>
      <c r="E68" t="s">
        <v>26</v>
      </c>
      <c r="F68" t="s">
        <v>782</v>
      </c>
      <c r="G68" s="9" t="s">
        <v>780</v>
      </c>
      <c r="H68">
        <v>20000</v>
      </c>
      <c r="I68">
        <v>0</v>
      </c>
      <c r="J68" s="21">
        <v>45474</v>
      </c>
      <c r="K68" s="6" t="s">
        <v>67</v>
      </c>
      <c r="L68" t="s">
        <v>9</v>
      </c>
      <c r="M68" t="s">
        <v>9</v>
      </c>
      <c r="N68" t="s">
        <v>680</v>
      </c>
      <c r="S68" t="str">
        <f>TEXT(Table1[[#This Row],[Date]],"MMM-YY")</f>
        <v>Dec-23</v>
      </c>
      <c r="T68">
        <f>_xlfn.ISOWEEKNUM(Table1[[#This Row],[Date]])</f>
        <v>50</v>
      </c>
      <c r="U68" t="str">
        <f>TEXT(Table1[[#This Row],[Expected Business Month]],"YYYY")</f>
        <v>2024</v>
      </c>
    </row>
    <row r="69" spans="1:21" hidden="1">
      <c r="A69" s="1">
        <v>45275</v>
      </c>
      <c r="B69" t="s">
        <v>783</v>
      </c>
      <c r="C69" t="s">
        <v>96</v>
      </c>
      <c r="D69" t="s">
        <v>64</v>
      </c>
      <c r="E69" t="s">
        <v>26</v>
      </c>
      <c r="F69" t="s">
        <v>784</v>
      </c>
      <c r="G69" s="9" t="s">
        <v>780</v>
      </c>
      <c r="H69">
        <v>5000</v>
      </c>
      <c r="I69">
        <v>0</v>
      </c>
      <c r="J69" s="21">
        <v>45474</v>
      </c>
      <c r="K69" s="6" t="s">
        <v>67</v>
      </c>
      <c r="L69" t="s">
        <v>9</v>
      </c>
      <c r="M69" t="s">
        <v>9</v>
      </c>
      <c r="N69" t="s">
        <v>586</v>
      </c>
      <c r="S69" t="str">
        <f>TEXT(Table1[[#This Row],[Date]],"MMM-YY")</f>
        <v>Dec-23</v>
      </c>
      <c r="T69">
        <f>_xlfn.ISOWEEKNUM(Table1[[#This Row],[Date]])</f>
        <v>50</v>
      </c>
      <c r="U69" t="str">
        <f>TEXT(Table1[[#This Row],[Expected Business Month]],"YYYY")</f>
        <v>2024</v>
      </c>
    </row>
    <row r="70" spans="1:21" hidden="1">
      <c r="A70" s="1">
        <v>45275</v>
      </c>
      <c r="B70" t="s">
        <v>785</v>
      </c>
      <c r="C70" t="s">
        <v>96</v>
      </c>
      <c r="D70" t="s">
        <v>64</v>
      </c>
      <c r="E70" t="s">
        <v>26</v>
      </c>
      <c r="F70" t="s">
        <v>786</v>
      </c>
      <c r="G70" s="9" t="s">
        <v>787</v>
      </c>
      <c r="H70">
        <v>5000</v>
      </c>
      <c r="I70">
        <v>0</v>
      </c>
      <c r="J70" s="21">
        <v>45383</v>
      </c>
      <c r="K70" s="6" t="s">
        <v>67</v>
      </c>
      <c r="L70" t="s">
        <v>9</v>
      </c>
      <c r="M70" t="s">
        <v>9</v>
      </c>
      <c r="N70" t="s">
        <v>586</v>
      </c>
      <c r="S70" t="str">
        <f>TEXT(Table1[[#This Row],[Date]],"MMM-YY")</f>
        <v>Dec-23</v>
      </c>
      <c r="T70">
        <f>_xlfn.ISOWEEKNUM(Table1[[#This Row],[Date]])</f>
        <v>50</v>
      </c>
      <c r="U70" t="str">
        <f>TEXT(Table1[[#This Row],[Expected Business Month]],"YYYY")</f>
        <v>2024</v>
      </c>
    </row>
    <row r="71" spans="1:21" ht="29.1" hidden="1">
      <c r="A71" s="1">
        <v>45275</v>
      </c>
      <c r="B71" t="s">
        <v>788</v>
      </c>
      <c r="C71" t="s">
        <v>96</v>
      </c>
      <c r="D71" t="s">
        <v>20</v>
      </c>
      <c r="E71" t="s">
        <v>18</v>
      </c>
      <c r="F71" t="s">
        <v>789</v>
      </c>
      <c r="G71" s="9" t="s">
        <v>790</v>
      </c>
      <c r="H71">
        <v>5000</v>
      </c>
      <c r="I71">
        <v>0</v>
      </c>
      <c r="J71" s="21">
        <v>45383</v>
      </c>
      <c r="K71" s="6" t="s">
        <v>67</v>
      </c>
      <c r="L71" t="s">
        <v>9</v>
      </c>
      <c r="M71" t="s">
        <v>9</v>
      </c>
      <c r="N71" t="s">
        <v>586</v>
      </c>
      <c r="S71" t="str">
        <f>TEXT(Table1[[#This Row],[Date]],"MMM-YY")</f>
        <v>Dec-23</v>
      </c>
      <c r="T71">
        <f>_xlfn.ISOWEEKNUM(Table1[[#This Row],[Date]])</f>
        <v>50</v>
      </c>
      <c r="U71" t="str">
        <f>TEXT(Table1[[#This Row],[Expected Business Month]],"YYYY")</f>
        <v>2024</v>
      </c>
    </row>
    <row r="72" spans="1:21" hidden="1">
      <c r="A72" s="1">
        <v>45275</v>
      </c>
      <c r="B72" t="s">
        <v>791</v>
      </c>
      <c r="C72" t="s">
        <v>96</v>
      </c>
      <c r="D72" t="s">
        <v>20</v>
      </c>
      <c r="E72" t="s">
        <v>18</v>
      </c>
      <c r="F72" t="s">
        <v>792</v>
      </c>
      <c r="G72" s="9" t="s">
        <v>793</v>
      </c>
      <c r="H72">
        <v>20000</v>
      </c>
      <c r="I72">
        <v>0</v>
      </c>
      <c r="J72" s="21">
        <v>45292</v>
      </c>
      <c r="K72" s="6" t="s">
        <v>67</v>
      </c>
      <c r="L72" t="s">
        <v>9</v>
      </c>
      <c r="M72" t="s">
        <v>9</v>
      </c>
      <c r="S72" t="str">
        <f>TEXT(Table1[[#This Row],[Date]],"MMM-YY")</f>
        <v>Dec-23</v>
      </c>
      <c r="T72">
        <f>_xlfn.ISOWEEKNUM(Table1[[#This Row],[Date]])</f>
        <v>50</v>
      </c>
      <c r="U72" t="str">
        <f>TEXT(Table1[[#This Row],[Expected Business Month]],"YYYY")</f>
        <v>2024</v>
      </c>
    </row>
    <row r="73" spans="1:21" hidden="1">
      <c r="A73" s="1">
        <v>45276</v>
      </c>
      <c r="B73" t="s">
        <v>794</v>
      </c>
      <c r="C73" t="s">
        <v>96</v>
      </c>
      <c r="D73" t="s">
        <v>20</v>
      </c>
      <c r="E73" t="s">
        <v>23</v>
      </c>
      <c r="F73" t="s">
        <v>795</v>
      </c>
      <c r="G73" s="9" t="s">
        <v>796</v>
      </c>
      <c r="H73">
        <v>18000</v>
      </c>
      <c r="I73">
        <v>0</v>
      </c>
      <c r="J73" s="21">
        <v>45261</v>
      </c>
      <c r="K73" s="6" t="s">
        <v>67</v>
      </c>
      <c r="L73" t="s">
        <v>9</v>
      </c>
      <c r="M73" t="s">
        <v>9</v>
      </c>
      <c r="N73" t="s">
        <v>707</v>
      </c>
      <c r="S73" t="str">
        <f>TEXT(Table1[[#This Row],[Date]],"MMM-YY")</f>
        <v>Dec-23</v>
      </c>
      <c r="T73">
        <f>_xlfn.ISOWEEKNUM(Table1[[#This Row],[Date]])</f>
        <v>50</v>
      </c>
      <c r="U73" t="str">
        <f>TEXT(Table1[[#This Row],[Expected Business Month]],"YYYY")</f>
        <v>2023</v>
      </c>
    </row>
    <row r="74" spans="1:21" ht="29.1" hidden="1">
      <c r="A74" s="1">
        <v>45276</v>
      </c>
      <c r="B74" t="s">
        <v>797</v>
      </c>
      <c r="C74" t="s">
        <v>96</v>
      </c>
      <c r="D74" t="s">
        <v>20</v>
      </c>
      <c r="E74" t="s">
        <v>15</v>
      </c>
      <c r="F74" t="s">
        <v>798</v>
      </c>
      <c r="G74" s="9" t="s">
        <v>799</v>
      </c>
      <c r="H74">
        <v>40000</v>
      </c>
      <c r="I74">
        <v>0</v>
      </c>
      <c r="J74" s="21">
        <v>45352</v>
      </c>
      <c r="K74" s="6" t="s">
        <v>67</v>
      </c>
      <c r="L74" t="s">
        <v>9</v>
      </c>
      <c r="M74" t="s">
        <v>9</v>
      </c>
      <c r="N74" t="s">
        <v>800</v>
      </c>
      <c r="S74" t="str">
        <f>TEXT(Table1[[#This Row],[Date]],"MMM-YY")</f>
        <v>Dec-23</v>
      </c>
      <c r="T74">
        <f>_xlfn.ISOWEEKNUM(Table1[[#This Row],[Date]])</f>
        <v>50</v>
      </c>
      <c r="U74" t="str">
        <f>TEXT(Table1[[#This Row],[Expected Business Month]],"YYYY")</f>
        <v>2024</v>
      </c>
    </row>
    <row r="75" spans="1:21" hidden="1">
      <c r="A75" s="1">
        <v>45276</v>
      </c>
      <c r="B75" t="s">
        <v>801</v>
      </c>
      <c r="C75" t="s">
        <v>96</v>
      </c>
      <c r="D75" t="s">
        <v>20</v>
      </c>
      <c r="E75" t="s">
        <v>18</v>
      </c>
      <c r="F75" t="s">
        <v>802</v>
      </c>
      <c r="G75" s="9" t="s">
        <v>803</v>
      </c>
      <c r="H75">
        <v>100000</v>
      </c>
      <c r="I75">
        <v>0</v>
      </c>
      <c r="J75" s="21">
        <v>45292</v>
      </c>
      <c r="K75" s="6" t="s">
        <v>67</v>
      </c>
      <c r="L75" t="s">
        <v>9</v>
      </c>
      <c r="M75" t="s">
        <v>9</v>
      </c>
      <c r="N75" t="s">
        <v>804</v>
      </c>
      <c r="S75" t="str">
        <f>TEXT(Table1[[#This Row],[Date]],"MMM-YY")</f>
        <v>Dec-23</v>
      </c>
      <c r="T75">
        <f>_xlfn.ISOWEEKNUM(Table1[[#This Row],[Date]])</f>
        <v>50</v>
      </c>
      <c r="U75" t="str">
        <f>TEXT(Table1[[#This Row],[Expected Business Month]],"YYYY")</f>
        <v>2024</v>
      </c>
    </row>
    <row r="76" spans="1:21" hidden="1">
      <c r="A76" s="1">
        <v>45276</v>
      </c>
      <c r="B76" t="s">
        <v>805</v>
      </c>
      <c r="C76" t="s">
        <v>96</v>
      </c>
      <c r="D76" t="s">
        <v>64</v>
      </c>
      <c r="E76" t="s">
        <v>26</v>
      </c>
      <c r="F76" t="s">
        <v>806</v>
      </c>
      <c r="G76" s="9" t="s">
        <v>807</v>
      </c>
      <c r="H76">
        <v>2000</v>
      </c>
      <c r="I76">
        <v>2000</v>
      </c>
      <c r="J76" s="21">
        <v>45261</v>
      </c>
      <c r="K76" s="6" t="s">
        <v>67</v>
      </c>
      <c r="L76" t="s">
        <v>68</v>
      </c>
      <c r="M76" t="s">
        <v>69</v>
      </c>
      <c r="S76" t="str">
        <f>TEXT(Table1[[#This Row],[Date]],"MMM-YY")</f>
        <v>Dec-23</v>
      </c>
      <c r="T76">
        <f>_xlfn.ISOWEEKNUM(Table1[[#This Row],[Date]])</f>
        <v>50</v>
      </c>
      <c r="U76" t="str">
        <f>TEXT(Table1[[#This Row],[Expected Business Month]],"YYYY")</f>
        <v>2023</v>
      </c>
    </row>
    <row r="77" spans="1:21" ht="29.1" hidden="1">
      <c r="A77" s="1">
        <v>45277</v>
      </c>
      <c r="B77" t="s">
        <v>808</v>
      </c>
      <c r="C77" t="s">
        <v>96</v>
      </c>
      <c r="D77" t="s">
        <v>64</v>
      </c>
      <c r="E77" t="s">
        <v>13</v>
      </c>
      <c r="F77" t="s">
        <v>809</v>
      </c>
      <c r="G77" s="9" t="s">
        <v>635</v>
      </c>
      <c r="H77">
        <v>20000</v>
      </c>
      <c r="I77">
        <v>0</v>
      </c>
      <c r="J77" s="21">
        <v>45474</v>
      </c>
      <c r="K77" s="6" t="s">
        <v>67</v>
      </c>
      <c r="L77" t="s">
        <v>9</v>
      </c>
      <c r="M77" t="s">
        <v>9</v>
      </c>
      <c r="N77" t="s">
        <v>586</v>
      </c>
      <c r="S77" t="str">
        <f>TEXT(Table1[[#This Row],[Date]],"MMM-YY")</f>
        <v>Dec-23</v>
      </c>
      <c r="T77">
        <f>_xlfn.ISOWEEKNUM(Table1[[#This Row],[Date]])</f>
        <v>50</v>
      </c>
      <c r="U77" t="str">
        <f>TEXT(Table1[[#This Row],[Expected Business Month]],"YYYY")</f>
        <v>2024</v>
      </c>
    </row>
    <row r="78" spans="1:21" ht="29.1" hidden="1">
      <c r="A78" s="1">
        <v>45277</v>
      </c>
      <c r="B78" t="s">
        <v>810</v>
      </c>
      <c r="C78" t="s">
        <v>96</v>
      </c>
      <c r="D78" t="s">
        <v>64</v>
      </c>
      <c r="E78" t="s">
        <v>13</v>
      </c>
      <c r="F78" t="s">
        <v>811</v>
      </c>
      <c r="G78" s="9" t="s">
        <v>635</v>
      </c>
      <c r="H78">
        <v>30000</v>
      </c>
      <c r="I78">
        <v>0</v>
      </c>
      <c r="J78" s="21">
        <v>45383</v>
      </c>
      <c r="K78" s="6" t="s">
        <v>67</v>
      </c>
      <c r="L78" t="s">
        <v>9</v>
      </c>
      <c r="M78" t="s">
        <v>9</v>
      </c>
      <c r="N78" t="s">
        <v>586</v>
      </c>
      <c r="S78" t="str">
        <f>TEXT(Table1[[#This Row],[Date]],"MMM-YY")</f>
        <v>Dec-23</v>
      </c>
      <c r="T78">
        <f>_xlfn.ISOWEEKNUM(Table1[[#This Row],[Date]])</f>
        <v>50</v>
      </c>
      <c r="U78" t="str">
        <f>TEXT(Table1[[#This Row],[Expected Business Month]],"YYYY")</f>
        <v>2024</v>
      </c>
    </row>
    <row r="79" spans="1:21" hidden="1">
      <c r="A79" s="1">
        <v>45278</v>
      </c>
      <c r="B79" t="s">
        <v>812</v>
      </c>
      <c r="C79" t="s">
        <v>96</v>
      </c>
      <c r="D79" t="s">
        <v>64</v>
      </c>
      <c r="E79" t="s">
        <v>18</v>
      </c>
      <c r="F79" t="s">
        <v>813</v>
      </c>
      <c r="G79" s="9" t="s">
        <v>814</v>
      </c>
      <c r="H79">
        <v>30000</v>
      </c>
      <c r="I79">
        <v>0</v>
      </c>
      <c r="J79" s="21">
        <v>45292</v>
      </c>
      <c r="K79" s="6" t="s">
        <v>67</v>
      </c>
      <c r="L79" t="s">
        <v>9</v>
      </c>
      <c r="M79" t="s">
        <v>9</v>
      </c>
      <c r="N79" t="s">
        <v>815</v>
      </c>
      <c r="S79" t="str">
        <f>TEXT(Table1[[#This Row],[Date]],"MMM-YY")</f>
        <v>Dec-23</v>
      </c>
      <c r="T79">
        <f>_xlfn.ISOWEEKNUM(Table1[[#This Row],[Date]])</f>
        <v>51</v>
      </c>
      <c r="U79" t="str">
        <f>TEXT(Table1[[#This Row],[Expected Business Month]],"YYYY")</f>
        <v>2024</v>
      </c>
    </row>
    <row r="80" spans="1:21" ht="29.1" hidden="1">
      <c r="A80" s="1">
        <v>45278</v>
      </c>
      <c r="B80" t="s">
        <v>816</v>
      </c>
      <c r="C80" t="s">
        <v>96</v>
      </c>
      <c r="D80" t="s">
        <v>20</v>
      </c>
      <c r="E80" t="s">
        <v>20</v>
      </c>
      <c r="F80" t="s">
        <v>817</v>
      </c>
      <c r="G80" s="9" t="s">
        <v>818</v>
      </c>
      <c r="H80">
        <v>150000</v>
      </c>
      <c r="I80">
        <v>150000</v>
      </c>
      <c r="J80" s="21">
        <v>45261</v>
      </c>
      <c r="K80" s="6" t="s">
        <v>67</v>
      </c>
      <c r="L80" t="s">
        <v>68</v>
      </c>
      <c r="M80" t="s">
        <v>69</v>
      </c>
      <c r="S80" t="str">
        <f>TEXT(Table1[[#This Row],[Date]],"MMM-YY")</f>
        <v>Dec-23</v>
      </c>
      <c r="T80">
        <f>_xlfn.ISOWEEKNUM(Table1[[#This Row],[Date]])</f>
        <v>51</v>
      </c>
      <c r="U80" t="str">
        <f>TEXT(Table1[[#This Row],[Expected Business Month]],"YYYY")</f>
        <v>2023</v>
      </c>
    </row>
    <row r="81" spans="1:21" ht="29.1" hidden="1">
      <c r="A81" s="1">
        <v>45278</v>
      </c>
      <c r="B81" t="s">
        <v>819</v>
      </c>
      <c r="C81" t="s">
        <v>63</v>
      </c>
      <c r="D81" t="s">
        <v>618</v>
      </c>
      <c r="E81" t="s">
        <v>18</v>
      </c>
      <c r="F81" t="s">
        <v>820</v>
      </c>
      <c r="G81" s="9" t="s">
        <v>821</v>
      </c>
      <c r="H81">
        <v>10000</v>
      </c>
      <c r="I81">
        <v>0</v>
      </c>
      <c r="J81" s="21">
        <v>45292</v>
      </c>
      <c r="K81" s="6" t="s">
        <v>67</v>
      </c>
      <c r="L81" t="s">
        <v>9</v>
      </c>
      <c r="M81" t="s">
        <v>9</v>
      </c>
      <c r="N81" t="s">
        <v>822</v>
      </c>
      <c r="S81" t="str">
        <f>TEXT(Table1[[#This Row],[Date]],"MMM-YY")</f>
        <v>Dec-23</v>
      </c>
      <c r="T81">
        <f>_xlfn.ISOWEEKNUM(Table1[[#This Row],[Date]])</f>
        <v>51</v>
      </c>
      <c r="U81" t="str">
        <f>TEXT(Table1[[#This Row],[Expected Business Month]],"YYYY")</f>
        <v>2024</v>
      </c>
    </row>
    <row r="82" spans="1:21" hidden="1">
      <c r="A82" s="1">
        <v>45278</v>
      </c>
      <c r="B82" t="s">
        <v>823</v>
      </c>
      <c r="C82" t="s">
        <v>63</v>
      </c>
      <c r="D82" t="s">
        <v>618</v>
      </c>
      <c r="E82" t="s">
        <v>18</v>
      </c>
      <c r="F82" t="s">
        <v>824</v>
      </c>
      <c r="G82" s="9" t="s">
        <v>663</v>
      </c>
      <c r="H82">
        <v>10000</v>
      </c>
      <c r="I82">
        <v>0</v>
      </c>
      <c r="J82" s="21">
        <v>45292</v>
      </c>
      <c r="K82" s="6" t="s">
        <v>67</v>
      </c>
      <c r="L82" t="s">
        <v>9</v>
      </c>
      <c r="M82" t="s">
        <v>9</v>
      </c>
      <c r="N82" t="s">
        <v>765</v>
      </c>
      <c r="S82" t="str">
        <f>TEXT(Table1[[#This Row],[Date]],"MMM-YY")</f>
        <v>Dec-23</v>
      </c>
      <c r="T82">
        <f>_xlfn.ISOWEEKNUM(Table1[[#This Row],[Date]])</f>
        <v>51</v>
      </c>
      <c r="U82" t="str">
        <f>TEXT(Table1[[#This Row],[Expected Business Month]],"YYYY")</f>
        <v>2024</v>
      </c>
    </row>
    <row r="83" spans="1:21" ht="29.1" hidden="1">
      <c r="A83" s="1">
        <v>45278</v>
      </c>
      <c r="B83" t="s">
        <v>825</v>
      </c>
      <c r="C83" t="s">
        <v>63</v>
      </c>
      <c r="D83" t="s">
        <v>618</v>
      </c>
      <c r="E83" t="s">
        <v>18</v>
      </c>
      <c r="F83" t="s">
        <v>826</v>
      </c>
      <c r="G83" s="9" t="s">
        <v>827</v>
      </c>
      <c r="H83">
        <v>10000</v>
      </c>
      <c r="I83">
        <v>0</v>
      </c>
      <c r="J83" s="21">
        <v>45383</v>
      </c>
      <c r="K83" s="6" t="s">
        <v>67</v>
      </c>
      <c r="L83" t="s">
        <v>9</v>
      </c>
      <c r="M83" t="s">
        <v>9</v>
      </c>
      <c r="N83" t="s">
        <v>586</v>
      </c>
      <c r="S83" t="str">
        <f>TEXT(Table1[[#This Row],[Date]],"MMM-YY")</f>
        <v>Dec-23</v>
      </c>
      <c r="T83">
        <f>_xlfn.ISOWEEKNUM(Table1[[#This Row],[Date]])</f>
        <v>51</v>
      </c>
      <c r="U83" t="str">
        <f>TEXT(Table1[[#This Row],[Expected Business Month]],"YYYY")</f>
        <v>2024</v>
      </c>
    </row>
    <row r="84" spans="1:21" hidden="1">
      <c r="A84" s="1">
        <v>45278</v>
      </c>
      <c r="B84" t="s">
        <v>828</v>
      </c>
      <c r="C84" t="s">
        <v>96</v>
      </c>
      <c r="D84" t="s">
        <v>20</v>
      </c>
      <c r="E84" t="s">
        <v>23</v>
      </c>
      <c r="F84" t="s">
        <v>829</v>
      </c>
      <c r="G84" s="9" t="s">
        <v>830</v>
      </c>
      <c r="H84">
        <v>25000</v>
      </c>
      <c r="I84">
        <v>0</v>
      </c>
      <c r="J84" s="21">
        <v>45292</v>
      </c>
      <c r="K84" s="6" t="s">
        <v>67</v>
      </c>
      <c r="L84" t="s">
        <v>9</v>
      </c>
      <c r="M84" t="s">
        <v>9</v>
      </c>
      <c r="N84" t="s">
        <v>831</v>
      </c>
      <c r="S84" t="str">
        <f>TEXT(Table1[[#This Row],[Date]],"MMM-YY")</f>
        <v>Dec-23</v>
      </c>
      <c r="T84">
        <f>_xlfn.ISOWEEKNUM(Table1[[#This Row],[Date]])</f>
        <v>51</v>
      </c>
      <c r="U84" t="str">
        <f>TEXT(Table1[[#This Row],[Expected Business Month]],"YYYY")</f>
        <v>2024</v>
      </c>
    </row>
    <row r="85" spans="1:21" hidden="1">
      <c r="A85" s="1">
        <v>45278</v>
      </c>
      <c r="B85" t="s">
        <v>832</v>
      </c>
      <c r="C85" t="s">
        <v>96</v>
      </c>
      <c r="D85" t="s">
        <v>64</v>
      </c>
      <c r="E85" t="s">
        <v>20</v>
      </c>
      <c r="F85" t="s">
        <v>833</v>
      </c>
      <c r="G85" s="9" t="s">
        <v>834</v>
      </c>
      <c r="H85">
        <v>20000</v>
      </c>
      <c r="I85">
        <v>0</v>
      </c>
      <c r="J85" s="21">
        <v>45292</v>
      </c>
      <c r="K85" s="6" t="s">
        <v>67</v>
      </c>
      <c r="L85" t="s">
        <v>9</v>
      </c>
      <c r="M85" t="s">
        <v>9</v>
      </c>
      <c r="N85" t="s">
        <v>835</v>
      </c>
      <c r="S85" t="str">
        <f>TEXT(Table1[[#This Row],[Date]],"MMM-YY")</f>
        <v>Dec-23</v>
      </c>
      <c r="T85">
        <f>_xlfn.ISOWEEKNUM(Table1[[#This Row],[Date]])</f>
        <v>51</v>
      </c>
      <c r="U85" t="str">
        <f>TEXT(Table1[[#This Row],[Expected Business Month]],"YYYY")</f>
        <v>2024</v>
      </c>
    </row>
    <row r="86" spans="1:21" ht="29.1" hidden="1">
      <c r="A86" s="1">
        <v>45278</v>
      </c>
      <c r="B86" t="s">
        <v>836</v>
      </c>
      <c r="C86" t="s">
        <v>96</v>
      </c>
      <c r="D86" t="s">
        <v>64</v>
      </c>
      <c r="E86" t="s">
        <v>28</v>
      </c>
      <c r="F86" t="s">
        <v>837</v>
      </c>
      <c r="G86" s="9" t="s">
        <v>838</v>
      </c>
      <c r="H86">
        <v>50000</v>
      </c>
      <c r="I86">
        <v>0</v>
      </c>
      <c r="J86" s="21">
        <v>45292</v>
      </c>
      <c r="K86" s="6" t="s">
        <v>67</v>
      </c>
      <c r="L86" t="s">
        <v>9</v>
      </c>
      <c r="M86" t="s">
        <v>9</v>
      </c>
      <c r="N86" t="s">
        <v>839</v>
      </c>
      <c r="S86" t="str">
        <f>TEXT(Table1[[#This Row],[Date]],"MMM-YY")</f>
        <v>Dec-23</v>
      </c>
      <c r="T86">
        <f>_xlfn.ISOWEEKNUM(Table1[[#This Row],[Date]])</f>
        <v>51</v>
      </c>
      <c r="U86" t="str">
        <f>TEXT(Table1[[#This Row],[Expected Business Month]],"YYYY")</f>
        <v>2024</v>
      </c>
    </row>
    <row r="87" spans="1:21" ht="29.1" hidden="1">
      <c r="A87" s="1">
        <v>45278</v>
      </c>
      <c r="B87" t="s">
        <v>840</v>
      </c>
      <c r="C87" t="s">
        <v>96</v>
      </c>
      <c r="D87" t="s">
        <v>20</v>
      </c>
      <c r="E87" t="s">
        <v>23</v>
      </c>
      <c r="F87" t="s">
        <v>841</v>
      </c>
      <c r="G87" s="9" t="s">
        <v>842</v>
      </c>
      <c r="H87">
        <v>2500</v>
      </c>
      <c r="I87">
        <v>0</v>
      </c>
      <c r="J87" s="21">
        <v>45261</v>
      </c>
      <c r="K87" s="6" t="s">
        <v>67</v>
      </c>
      <c r="L87" t="s">
        <v>9</v>
      </c>
      <c r="M87" t="s">
        <v>9</v>
      </c>
      <c r="N87" t="s">
        <v>843</v>
      </c>
      <c r="S87" t="str">
        <f>TEXT(Table1[[#This Row],[Date]],"MMM-YY")</f>
        <v>Dec-23</v>
      </c>
      <c r="T87">
        <f>_xlfn.ISOWEEKNUM(Table1[[#This Row],[Date]])</f>
        <v>51</v>
      </c>
      <c r="U87" t="str">
        <f>TEXT(Table1[[#This Row],[Expected Business Month]],"YYYY")</f>
        <v>2023</v>
      </c>
    </row>
    <row r="88" spans="1:21" ht="29.1" hidden="1">
      <c r="A88" s="1">
        <v>45279</v>
      </c>
      <c r="B88" t="s">
        <v>844</v>
      </c>
      <c r="C88" t="s">
        <v>63</v>
      </c>
      <c r="D88" t="s">
        <v>64</v>
      </c>
      <c r="E88" t="s">
        <v>20</v>
      </c>
      <c r="F88" t="s">
        <v>845</v>
      </c>
      <c r="G88" s="9" t="s">
        <v>846</v>
      </c>
      <c r="H88">
        <v>30000</v>
      </c>
      <c r="I88">
        <v>0</v>
      </c>
      <c r="J88" s="21">
        <v>45261</v>
      </c>
      <c r="K88" s="6" t="s">
        <v>67</v>
      </c>
      <c r="L88" t="s">
        <v>9</v>
      </c>
      <c r="M88" t="s">
        <v>9</v>
      </c>
      <c r="N88" t="s">
        <v>847</v>
      </c>
      <c r="S88" t="str">
        <f>TEXT(Table1[[#This Row],[Date]],"MMM-YY")</f>
        <v>Dec-23</v>
      </c>
      <c r="T88">
        <f>_xlfn.ISOWEEKNUM(Table1[[#This Row],[Date]])</f>
        <v>51</v>
      </c>
      <c r="U88" t="str">
        <f>TEXT(Table1[[#This Row],[Expected Business Month]],"YYYY")</f>
        <v>2023</v>
      </c>
    </row>
    <row r="89" spans="1:21" ht="43.5" hidden="1">
      <c r="A89" s="1">
        <v>45279</v>
      </c>
      <c r="B89" t="s">
        <v>781</v>
      </c>
      <c r="C89" t="s">
        <v>63</v>
      </c>
      <c r="D89" t="s">
        <v>64</v>
      </c>
      <c r="E89" t="s">
        <v>26</v>
      </c>
      <c r="F89" t="s">
        <v>164</v>
      </c>
      <c r="G89" s="9" t="s">
        <v>848</v>
      </c>
      <c r="H89">
        <v>27684</v>
      </c>
      <c r="I89">
        <v>27684</v>
      </c>
      <c r="J89" s="21">
        <v>45261</v>
      </c>
      <c r="K89" s="6" t="s">
        <v>67</v>
      </c>
      <c r="L89" t="s">
        <v>68</v>
      </c>
      <c r="M89" t="s">
        <v>69</v>
      </c>
      <c r="S89" t="str">
        <f>TEXT(Table1[[#This Row],[Date]],"MMM-YY")</f>
        <v>Dec-23</v>
      </c>
      <c r="T89">
        <f>_xlfn.ISOWEEKNUM(Table1[[#This Row],[Date]])</f>
        <v>51</v>
      </c>
      <c r="U89" t="str">
        <f>TEXT(Table1[[#This Row],[Expected Business Month]],"YYYY")</f>
        <v>2023</v>
      </c>
    </row>
    <row r="90" spans="1:21" hidden="1">
      <c r="A90" s="1">
        <v>45279</v>
      </c>
      <c r="B90" t="s">
        <v>849</v>
      </c>
      <c r="C90" t="s">
        <v>96</v>
      </c>
      <c r="D90" t="s">
        <v>64</v>
      </c>
      <c r="E90" t="s">
        <v>33</v>
      </c>
      <c r="F90" t="s">
        <v>850</v>
      </c>
      <c r="G90" s="9" t="s">
        <v>851</v>
      </c>
      <c r="H90">
        <v>0</v>
      </c>
      <c r="I90">
        <v>0</v>
      </c>
      <c r="J90" s="21">
        <v>45292</v>
      </c>
      <c r="K90" s="6" t="s">
        <v>67</v>
      </c>
      <c r="L90" t="s">
        <v>9</v>
      </c>
      <c r="M90" t="s">
        <v>9</v>
      </c>
      <c r="N90" t="s">
        <v>852</v>
      </c>
      <c r="S90" t="str">
        <f>TEXT(Table1[[#This Row],[Date]],"MMM-YY")</f>
        <v>Dec-23</v>
      </c>
      <c r="T90">
        <f>_xlfn.ISOWEEKNUM(Table1[[#This Row],[Date]])</f>
        <v>51</v>
      </c>
      <c r="U90" t="str">
        <f>TEXT(Table1[[#This Row],[Expected Business Month]],"YYYY")</f>
        <v>2024</v>
      </c>
    </row>
    <row r="91" spans="1:21" hidden="1">
      <c r="A91" s="1">
        <v>45279</v>
      </c>
      <c r="B91" t="s">
        <v>853</v>
      </c>
      <c r="C91" t="s">
        <v>96</v>
      </c>
      <c r="D91" t="s">
        <v>20</v>
      </c>
      <c r="E91" t="s">
        <v>20</v>
      </c>
      <c r="F91" t="s">
        <v>854</v>
      </c>
      <c r="G91" s="9" t="s">
        <v>855</v>
      </c>
      <c r="H91">
        <v>0</v>
      </c>
      <c r="I91">
        <v>0</v>
      </c>
      <c r="J91" s="21">
        <v>45292</v>
      </c>
      <c r="K91" s="6" t="s">
        <v>67</v>
      </c>
      <c r="L91" t="s">
        <v>9</v>
      </c>
      <c r="M91" t="s">
        <v>9</v>
      </c>
      <c r="N91" t="s">
        <v>855</v>
      </c>
      <c r="S91" t="str">
        <f>TEXT(Table1[[#This Row],[Date]],"MMM-YY")</f>
        <v>Dec-23</v>
      </c>
      <c r="T91">
        <f>_xlfn.ISOWEEKNUM(Table1[[#This Row],[Date]])</f>
        <v>51</v>
      </c>
      <c r="U91" t="str">
        <f>TEXT(Table1[[#This Row],[Expected Business Month]],"YYYY")</f>
        <v>2024</v>
      </c>
    </row>
    <row r="92" spans="1:21" hidden="1">
      <c r="A92" s="1">
        <v>45279</v>
      </c>
      <c r="B92" t="s">
        <v>723</v>
      </c>
      <c r="C92" t="s">
        <v>96</v>
      </c>
      <c r="D92" t="s">
        <v>20</v>
      </c>
      <c r="E92" t="s">
        <v>18</v>
      </c>
      <c r="F92" t="s">
        <v>856</v>
      </c>
      <c r="G92" s="9" t="s">
        <v>857</v>
      </c>
      <c r="H92">
        <v>20000</v>
      </c>
      <c r="I92">
        <v>0</v>
      </c>
      <c r="J92" s="21">
        <v>45383</v>
      </c>
      <c r="K92" s="6" t="s">
        <v>67</v>
      </c>
      <c r="L92" t="s">
        <v>9</v>
      </c>
      <c r="M92" t="s">
        <v>9</v>
      </c>
      <c r="N92" t="s">
        <v>586</v>
      </c>
      <c r="S92" t="str">
        <f>TEXT(Table1[[#This Row],[Date]],"MMM-YY")</f>
        <v>Dec-23</v>
      </c>
      <c r="T92">
        <f>_xlfn.ISOWEEKNUM(Table1[[#This Row],[Date]])</f>
        <v>51</v>
      </c>
      <c r="U92" t="str">
        <f>TEXT(Table1[[#This Row],[Expected Business Month]],"YYYY")</f>
        <v>2024</v>
      </c>
    </row>
    <row r="93" spans="1:21" hidden="1">
      <c r="A93" s="1">
        <v>45279</v>
      </c>
      <c r="B93" t="s">
        <v>858</v>
      </c>
      <c r="C93" t="s">
        <v>96</v>
      </c>
      <c r="D93" t="s">
        <v>20</v>
      </c>
      <c r="E93" t="s">
        <v>18</v>
      </c>
      <c r="F93" t="s">
        <v>859</v>
      </c>
      <c r="G93" s="9" t="s">
        <v>857</v>
      </c>
      <c r="H93">
        <v>10000</v>
      </c>
      <c r="I93">
        <v>0</v>
      </c>
      <c r="J93" s="21">
        <v>45383</v>
      </c>
      <c r="K93" s="6" t="s">
        <v>67</v>
      </c>
      <c r="L93" t="s">
        <v>9</v>
      </c>
      <c r="M93" t="s">
        <v>9</v>
      </c>
      <c r="N93" t="s">
        <v>586</v>
      </c>
      <c r="S93" t="str">
        <f>TEXT(Table1[[#This Row],[Date]],"MMM-YY")</f>
        <v>Dec-23</v>
      </c>
      <c r="T93">
        <f>_xlfn.ISOWEEKNUM(Table1[[#This Row],[Date]])</f>
        <v>51</v>
      </c>
      <c r="U93" t="str">
        <f>TEXT(Table1[[#This Row],[Expected Business Month]],"YYYY")</f>
        <v>2024</v>
      </c>
    </row>
    <row r="94" spans="1:21" hidden="1">
      <c r="A94" s="1">
        <v>45279</v>
      </c>
      <c r="B94" t="s">
        <v>860</v>
      </c>
      <c r="C94" t="s">
        <v>96</v>
      </c>
      <c r="D94" t="s">
        <v>64</v>
      </c>
      <c r="E94" t="s">
        <v>26</v>
      </c>
      <c r="F94" t="s">
        <v>861</v>
      </c>
      <c r="G94" s="9" t="s">
        <v>774</v>
      </c>
      <c r="H94">
        <v>30000</v>
      </c>
      <c r="I94">
        <v>0</v>
      </c>
      <c r="J94" s="21">
        <v>45474</v>
      </c>
      <c r="K94" s="6" t="s">
        <v>67</v>
      </c>
      <c r="L94" t="s">
        <v>9</v>
      </c>
      <c r="M94" t="s">
        <v>9</v>
      </c>
      <c r="N94" t="s">
        <v>602</v>
      </c>
      <c r="S94" t="str">
        <f>TEXT(Table1[[#This Row],[Date]],"MMM-YY")</f>
        <v>Dec-23</v>
      </c>
      <c r="T94">
        <f>_xlfn.ISOWEEKNUM(Table1[[#This Row],[Date]])</f>
        <v>51</v>
      </c>
      <c r="U94" t="str">
        <f>TEXT(Table1[[#This Row],[Expected Business Month]],"YYYY")</f>
        <v>2024</v>
      </c>
    </row>
    <row r="95" spans="1:21" hidden="1">
      <c r="A95" s="1">
        <v>45279</v>
      </c>
      <c r="B95" t="s">
        <v>862</v>
      </c>
      <c r="C95" t="s">
        <v>96</v>
      </c>
      <c r="D95" t="s">
        <v>64</v>
      </c>
      <c r="E95" t="s">
        <v>26</v>
      </c>
      <c r="F95" t="s">
        <v>863</v>
      </c>
      <c r="G95" s="9" t="s">
        <v>663</v>
      </c>
      <c r="H95">
        <v>20000</v>
      </c>
      <c r="I95">
        <v>0</v>
      </c>
      <c r="J95" s="21">
        <v>45474</v>
      </c>
      <c r="K95" s="6" t="s">
        <v>67</v>
      </c>
      <c r="L95" t="s">
        <v>9</v>
      </c>
      <c r="M95" t="s">
        <v>9</v>
      </c>
      <c r="N95" t="s">
        <v>602</v>
      </c>
      <c r="S95" t="str">
        <f>TEXT(Table1[[#This Row],[Date]],"MMM-YY")</f>
        <v>Dec-23</v>
      </c>
      <c r="T95">
        <f>_xlfn.ISOWEEKNUM(Table1[[#This Row],[Date]])</f>
        <v>51</v>
      </c>
      <c r="U95" t="str">
        <f>TEXT(Table1[[#This Row],[Expected Business Month]],"YYYY")</f>
        <v>2024</v>
      </c>
    </row>
    <row r="96" spans="1:21" ht="29.1" hidden="1">
      <c r="A96" s="1">
        <v>45279</v>
      </c>
      <c r="B96" t="s">
        <v>864</v>
      </c>
      <c r="C96" t="s">
        <v>96</v>
      </c>
      <c r="D96" t="s">
        <v>20</v>
      </c>
      <c r="E96" t="s">
        <v>32</v>
      </c>
      <c r="F96" t="s">
        <v>865</v>
      </c>
      <c r="G96" s="9" t="s">
        <v>866</v>
      </c>
      <c r="H96">
        <v>26000</v>
      </c>
      <c r="I96">
        <v>26000</v>
      </c>
      <c r="J96" s="21">
        <v>45261</v>
      </c>
      <c r="K96" s="7" t="s">
        <v>67</v>
      </c>
      <c r="L96" t="s">
        <v>68</v>
      </c>
      <c r="M96" t="s">
        <v>69</v>
      </c>
      <c r="S96" t="str">
        <f>TEXT(Table1[[#This Row],[Date]],"MMM-YY")</f>
        <v>Dec-23</v>
      </c>
      <c r="T96">
        <f>_xlfn.ISOWEEKNUM(Table1[[#This Row],[Date]])</f>
        <v>51</v>
      </c>
      <c r="U96" t="str">
        <f>TEXT(Table1[[#This Row],[Expected Business Month]],"YYYY")</f>
        <v>2023</v>
      </c>
    </row>
    <row r="97" spans="1:21" ht="29.1" hidden="1">
      <c r="A97" s="1">
        <v>45280</v>
      </c>
      <c r="B97" t="s">
        <v>867</v>
      </c>
      <c r="C97" t="s">
        <v>63</v>
      </c>
      <c r="D97" t="s">
        <v>64</v>
      </c>
      <c r="E97" t="s">
        <v>26</v>
      </c>
      <c r="F97" t="s">
        <v>153</v>
      </c>
      <c r="G97" s="9" t="s">
        <v>868</v>
      </c>
      <c r="H97">
        <v>25000</v>
      </c>
      <c r="I97">
        <v>25000</v>
      </c>
      <c r="J97" s="21">
        <v>45292</v>
      </c>
      <c r="K97" s="6" t="s">
        <v>67</v>
      </c>
      <c r="L97" t="s">
        <v>68</v>
      </c>
      <c r="M97" t="s">
        <v>69</v>
      </c>
      <c r="S97" t="str">
        <f>TEXT(Table1[[#This Row],[Date]],"MMM-YY")</f>
        <v>Dec-23</v>
      </c>
      <c r="T97">
        <f>_xlfn.ISOWEEKNUM(Table1[[#This Row],[Date]])</f>
        <v>51</v>
      </c>
      <c r="U97" t="str">
        <f>TEXT(Table1[[#This Row],[Expected Business Month]],"YYYY")</f>
        <v>2024</v>
      </c>
    </row>
    <row r="98" spans="1:21" hidden="1">
      <c r="A98" s="1">
        <v>45280</v>
      </c>
      <c r="B98" t="s">
        <v>869</v>
      </c>
      <c r="C98" t="s">
        <v>63</v>
      </c>
      <c r="D98" t="s">
        <v>64</v>
      </c>
      <c r="E98" t="s">
        <v>26</v>
      </c>
      <c r="F98" t="s">
        <v>870</v>
      </c>
      <c r="G98" s="9" t="s">
        <v>871</v>
      </c>
      <c r="H98">
        <v>10000</v>
      </c>
      <c r="I98">
        <v>0</v>
      </c>
      <c r="J98" s="21">
        <v>45474</v>
      </c>
      <c r="K98" s="6" t="s">
        <v>67</v>
      </c>
      <c r="L98" t="s">
        <v>9</v>
      </c>
      <c r="M98" t="s">
        <v>9</v>
      </c>
      <c r="N98" t="s">
        <v>586</v>
      </c>
      <c r="S98" t="str">
        <f>TEXT(Table1[[#This Row],[Date]],"MMM-YY")</f>
        <v>Dec-23</v>
      </c>
      <c r="T98">
        <f>_xlfn.ISOWEEKNUM(Table1[[#This Row],[Date]])</f>
        <v>51</v>
      </c>
      <c r="U98" t="str">
        <f>TEXT(Table1[[#This Row],[Expected Business Month]],"YYYY")</f>
        <v>2024</v>
      </c>
    </row>
    <row r="99" spans="1:21" ht="29.1" hidden="1">
      <c r="A99" s="1">
        <v>45280</v>
      </c>
      <c r="B99" t="s">
        <v>872</v>
      </c>
      <c r="C99" t="s">
        <v>96</v>
      </c>
      <c r="D99" t="s">
        <v>64</v>
      </c>
      <c r="E99" t="s">
        <v>26</v>
      </c>
      <c r="F99" t="s">
        <v>873</v>
      </c>
      <c r="G99" s="9" t="s">
        <v>874</v>
      </c>
      <c r="H99">
        <v>10000</v>
      </c>
      <c r="I99">
        <v>0</v>
      </c>
      <c r="J99" s="21">
        <v>45383</v>
      </c>
      <c r="K99" s="6" t="s">
        <v>67</v>
      </c>
      <c r="L99" t="s">
        <v>9</v>
      </c>
      <c r="M99" t="s">
        <v>9</v>
      </c>
      <c r="N99" t="s">
        <v>586</v>
      </c>
      <c r="S99" t="str">
        <f>TEXT(Table1[[#This Row],[Date]],"MMM-YY")</f>
        <v>Dec-23</v>
      </c>
      <c r="T99">
        <f>_xlfn.ISOWEEKNUM(Table1[[#This Row],[Date]])</f>
        <v>51</v>
      </c>
      <c r="U99" t="str">
        <f>TEXT(Table1[[#This Row],[Expected Business Month]],"YYYY")</f>
        <v>2024</v>
      </c>
    </row>
    <row r="100" spans="1:21" hidden="1">
      <c r="A100" s="1">
        <v>45280</v>
      </c>
      <c r="B100" t="s">
        <v>875</v>
      </c>
      <c r="C100" t="s">
        <v>96</v>
      </c>
      <c r="D100" t="s">
        <v>64</v>
      </c>
      <c r="E100" t="s">
        <v>26</v>
      </c>
      <c r="F100" t="s">
        <v>876</v>
      </c>
      <c r="G100" s="9" t="s">
        <v>877</v>
      </c>
      <c r="H100">
        <v>5000</v>
      </c>
      <c r="I100">
        <v>0</v>
      </c>
      <c r="J100" s="21">
        <v>45383</v>
      </c>
      <c r="K100" s="6" t="s">
        <v>67</v>
      </c>
      <c r="L100" t="s">
        <v>9</v>
      </c>
      <c r="M100" t="s">
        <v>9</v>
      </c>
      <c r="N100" t="s">
        <v>586</v>
      </c>
      <c r="S100" t="str">
        <f>TEXT(Table1[[#This Row],[Date]],"MMM-YY")</f>
        <v>Dec-23</v>
      </c>
      <c r="T100">
        <f>_xlfn.ISOWEEKNUM(Table1[[#This Row],[Date]])</f>
        <v>51</v>
      </c>
      <c r="U100" t="str">
        <f>TEXT(Table1[[#This Row],[Expected Business Month]],"YYYY")</f>
        <v>2024</v>
      </c>
    </row>
    <row r="101" spans="1:21" hidden="1">
      <c r="A101" s="1">
        <v>45280</v>
      </c>
      <c r="B101" t="s">
        <v>878</v>
      </c>
      <c r="C101" t="s">
        <v>96</v>
      </c>
      <c r="D101" t="s">
        <v>64</v>
      </c>
      <c r="E101" t="s">
        <v>13</v>
      </c>
      <c r="F101" t="s">
        <v>879</v>
      </c>
      <c r="G101" s="9" t="s">
        <v>880</v>
      </c>
      <c r="H101">
        <v>20000</v>
      </c>
      <c r="I101">
        <v>0</v>
      </c>
      <c r="J101" s="21">
        <v>45383</v>
      </c>
      <c r="K101" s="6" t="s">
        <v>67</v>
      </c>
      <c r="L101" t="s">
        <v>9</v>
      </c>
      <c r="M101" t="s">
        <v>9</v>
      </c>
      <c r="N101" t="s">
        <v>586</v>
      </c>
      <c r="S101" t="str">
        <f>TEXT(Table1[[#This Row],[Date]],"MMM-YY")</f>
        <v>Dec-23</v>
      </c>
      <c r="T101">
        <f>_xlfn.ISOWEEKNUM(Table1[[#This Row],[Date]])</f>
        <v>51</v>
      </c>
      <c r="U101" t="str">
        <f>TEXT(Table1[[#This Row],[Expected Business Month]],"YYYY")</f>
        <v>2024</v>
      </c>
    </row>
    <row r="102" spans="1:21" hidden="1">
      <c r="A102" s="1">
        <v>45280</v>
      </c>
      <c r="B102" t="s">
        <v>881</v>
      </c>
      <c r="C102" t="s">
        <v>96</v>
      </c>
      <c r="D102" t="s">
        <v>20</v>
      </c>
      <c r="E102" t="s">
        <v>18</v>
      </c>
      <c r="F102" t="s">
        <v>882</v>
      </c>
      <c r="G102" s="9" t="s">
        <v>883</v>
      </c>
      <c r="H102">
        <v>30000</v>
      </c>
      <c r="I102">
        <v>0</v>
      </c>
      <c r="J102" s="21">
        <v>45383</v>
      </c>
      <c r="K102" s="6" t="s">
        <v>67</v>
      </c>
      <c r="L102" t="s">
        <v>9</v>
      </c>
      <c r="M102" t="s">
        <v>9</v>
      </c>
      <c r="N102" t="s">
        <v>586</v>
      </c>
      <c r="S102" t="str">
        <f>TEXT(Table1[[#This Row],[Date]],"MMM-YY")</f>
        <v>Dec-23</v>
      </c>
      <c r="T102">
        <f>_xlfn.ISOWEEKNUM(Table1[[#This Row],[Date]])</f>
        <v>51</v>
      </c>
      <c r="U102" t="str">
        <f>TEXT(Table1[[#This Row],[Expected Business Month]],"YYYY")</f>
        <v>2024</v>
      </c>
    </row>
    <row r="103" spans="1:21" ht="29.1" hidden="1">
      <c r="A103" s="1">
        <v>45280</v>
      </c>
      <c r="B103" t="s">
        <v>884</v>
      </c>
      <c r="C103" t="s">
        <v>63</v>
      </c>
      <c r="D103" t="s">
        <v>64</v>
      </c>
      <c r="E103" t="s">
        <v>33</v>
      </c>
      <c r="F103" t="s">
        <v>550</v>
      </c>
      <c r="G103" s="9" t="s">
        <v>885</v>
      </c>
      <c r="H103">
        <v>6800</v>
      </c>
      <c r="I103">
        <v>6800</v>
      </c>
      <c r="J103" s="21">
        <v>45261</v>
      </c>
      <c r="K103" s="6" t="s">
        <v>67</v>
      </c>
      <c r="L103" t="s">
        <v>68</v>
      </c>
      <c r="M103" t="s">
        <v>69</v>
      </c>
      <c r="S103" t="str">
        <f>TEXT(Table1[[#This Row],[Date]],"MMM-YY")</f>
        <v>Dec-23</v>
      </c>
      <c r="T103">
        <f>_xlfn.ISOWEEKNUM(Table1[[#This Row],[Date]])</f>
        <v>51</v>
      </c>
      <c r="U103" t="str">
        <f>TEXT(Table1[[#This Row],[Expected Business Month]],"YYYY")</f>
        <v>2023</v>
      </c>
    </row>
    <row r="104" spans="1:21" ht="29.1" hidden="1">
      <c r="A104" s="1">
        <v>45281</v>
      </c>
      <c r="B104" t="s">
        <v>886</v>
      </c>
      <c r="C104" t="s">
        <v>63</v>
      </c>
      <c r="D104" t="s">
        <v>64</v>
      </c>
      <c r="E104" t="s">
        <v>26</v>
      </c>
      <c r="F104" t="s">
        <v>887</v>
      </c>
      <c r="G104" s="9" t="s">
        <v>888</v>
      </c>
      <c r="H104">
        <v>250000</v>
      </c>
      <c r="I104">
        <v>0</v>
      </c>
      <c r="J104" s="21">
        <v>45292</v>
      </c>
      <c r="K104" s="6" t="s">
        <v>67</v>
      </c>
      <c r="L104" t="s">
        <v>9</v>
      </c>
      <c r="M104" t="s">
        <v>9</v>
      </c>
      <c r="N104" t="s">
        <v>889</v>
      </c>
      <c r="S104" t="str">
        <f>TEXT(Table1[[#This Row],[Date]],"MMM-YY")</f>
        <v>Dec-23</v>
      </c>
      <c r="T104">
        <f>_xlfn.ISOWEEKNUM(Table1[[#This Row],[Date]])</f>
        <v>51</v>
      </c>
      <c r="U104" t="str">
        <f>TEXT(Table1[[#This Row],[Expected Business Month]],"YYYY")</f>
        <v>2024</v>
      </c>
    </row>
    <row r="105" spans="1:21" ht="29.1" hidden="1">
      <c r="A105" s="1">
        <v>45281</v>
      </c>
      <c r="B105" t="s">
        <v>794</v>
      </c>
      <c r="C105" t="s">
        <v>96</v>
      </c>
      <c r="D105" t="s">
        <v>20</v>
      </c>
      <c r="E105" t="s">
        <v>23</v>
      </c>
      <c r="F105" t="s">
        <v>890</v>
      </c>
      <c r="G105" s="9" t="s">
        <v>891</v>
      </c>
      <c r="H105">
        <v>15000</v>
      </c>
      <c r="I105">
        <v>0</v>
      </c>
      <c r="J105" s="21">
        <v>45292</v>
      </c>
      <c r="K105" s="6" t="s">
        <v>67</v>
      </c>
      <c r="L105" t="s">
        <v>9</v>
      </c>
      <c r="M105" t="s">
        <v>9</v>
      </c>
      <c r="N105" t="s">
        <v>892</v>
      </c>
      <c r="S105" t="str">
        <f>TEXT(Table1[[#This Row],[Date]],"MMM-YY")</f>
        <v>Dec-23</v>
      </c>
      <c r="T105">
        <f>_xlfn.ISOWEEKNUM(Table1[[#This Row],[Date]])</f>
        <v>51</v>
      </c>
      <c r="U105" t="str">
        <f>TEXT(Table1[[#This Row],[Expected Business Month]],"YYYY")</f>
        <v>2024</v>
      </c>
    </row>
    <row r="106" spans="1:21" ht="29.1" hidden="1">
      <c r="A106" s="1">
        <v>45281</v>
      </c>
      <c r="B106" t="s">
        <v>893</v>
      </c>
      <c r="C106" t="s">
        <v>96</v>
      </c>
      <c r="D106" t="s">
        <v>64</v>
      </c>
      <c r="E106" t="s">
        <v>26</v>
      </c>
      <c r="F106" t="s">
        <v>894</v>
      </c>
      <c r="G106" s="9" t="s">
        <v>874</v>
      </c>
      <c r="H106">
        <v>5000</v>
      </c>
      <c r="I106">
        <v>0</v>
      </c>
      <c r="J106" s="21">
        <v>45444</v>
      </c>
      <c r="K106" s="6" t="s">
        <v>67</v>
      </c>
      <c r="L106" t="s">
        <v>9</v>
      </c>
      <c r="M106" t="s">
        <v>9</v>
      </c>
      <c r="N106" t="s">
        <v>895</v>
      </c>
      <c r="S106" t="str">
        <f>TEXT(Table1[[#This Row],[Date]],"MMM-YY")</f>
        <v>Dec-23</v>
      </c>
      <c r="T106">
        <f>_xlfn.ISOWEEKNUM(Table1[[#This Row],[Date]])</f>
        <v>51</v>
      </c>
      <c r="U106" t="str">
        <f>TEXT(Table1[[#This Row],[Expected Business Month]],"YYYY")</f>
        <v>2024</v>
      </c>
    </row>
    <row r="107" spans="1:21" ht="29.1" hidden="1">
      <c r="A107" s="1">
        <v>45281</v>
      </c>
      <c r="B107" t="s">
        <v>896</v>
      </c>
      <c r="C107" t="s">
        <v>96</v>
      </c>
      <c r="D107" t="s">
        <v>64</v>
      </c>
      <c r="E107" t="s">
        <v>26</v>
      </c>
      <c r="F107" t="s">
        <v>897</v>
      </c>
      <c r="G107" s="9" t="s">
        <v>874</v>
      </c>
      <c r="H107">
        <v>3000</v>
      </c>
      <c r="I107">
        <v>0</v>
      </c>
      <c r="J107" s="21">
        <v>45352</v>
      </c>
      <c r="K107" s="6" t="s">
        <v>67</v>
      </c>
      <c r="L107" t="s">
        <v>9</v>
      </c>
      <c r="M107" t="s">
        <v>9</v>
      </c>
      <c r="N107" t="s">
        <v>586</v>
      </c>
      <c r="S107" t="str">
        <f>TEXT(Table1[[#This Row],[Date]],"MMM-YY")</f>
        <v>Dec-23</v>
      </c>
      <c r="T107">
        <f>_xlfn.ISOWEEKNUM(Table1[[#This Row],[Date]])</f>
        <v>51</v>
      </c>
      <c r="U107" t="str">
        <f>TEXT(Table1[[#This Row],[Expected Business Month]],"YYYY")</f>
        <v>2024</v>
      </c>
    </row>
    <row r="108" spans="1:21" ht="29.1" hidden="1">
      <c r="A108" s="1">
        <v>45281</v>
      </c>
      <c r="B108" t="s">
        <v>898</v>
      </c>
      <c r="C108" t="s">
        <v>96</v>
      </c>
      <c r="D108" t="s">
        <v>64</v>
      </c>
      <c r="E108" t="s">
        <v>26</v>
      </c>
      <c r="F108" t="s">
        <v>899</v>
      </c>
      <c r="G108" s="9" t="s">
        <v>874</v>
      </c>
      <c r="H108">
        <v>3000</v>
      </c>
      <c r="I108">
        <v>0</v>
      </c>
      <c r="J108" s="21">
        <v>45352</v>
      </c>
      <c r="K108" s="6" t="s">
        <v>67</v>
      </c>
      <c r="L108" t="s">
        <v>9</v>
      </c>
      <c r="M108" t="s">
        <v>9</v>
      </c>
      <c r="N108" t="s">
        <v>586</v>
      </c>
      <c r="S108" t="str">
        <f>TEXT(Table1[[#This Row],[Date]],"MMM-YY")</f>
        <v>Dec-23</v>
      </c>
      <c r="T108">
        <f>_xlfn.ISOWEEKNUM(Table1[[#This Row],[Date]])</f>
        <v>51</v>
      </c>
      <c r="U108" t="str">
        <f>TEXT(Table1[[#This Row],[Expected Business Month]],"YYYY")</f>
        <v>2024</v>
      </c>
    </row>
    <row r="109" spans="1:21" ht="29.1" hidden="1">
      <c r="A109" s="1">
        <v>45281</v>
      </c>
      <c r="B109" t="s">
        <v>900</v>
      </c>
      <c r="C109" t="s">
        <v>96</v>
      </c>
      <c r="D109" t="s">
        <v>64</v>
      </c>
      <c r="E109" t="s">
        <v>26</v>
      </c>
      <c r="F109" t="s">
        <v>901</v>
      </c>
      <c r="G109" s="9" t="s">
        <v>874</v>
      </c>
      <c r="H109">
        <v>5000</v>
      </c>
      <c r="I109">
        <v>0</v>
      </c>
      <c r="J109" s="21">
        <v>45352</v>
      </c>
      <c r="K109" s="6" t="s">
        <v>67</v>
      </c>
      <c r="L109" t="s">
        <v>9</v>
      </c>
      <c r="M109" t="s">
        <v>9</v>
      </c>
      <c r="N109" t="s">
        <v>586</v>
      </c>
      <c r="S109" t="str">
        <f>TEXT(Table1[[#This Row],[Date]],"MMM-YY")</f>
        <v>Dec-23</v>
      </c>
      <c r="T109">
        <f>_xlfn.ISOWEEKNUM(Table1[[#This Row],[Date]])</f>
        <v>51</v>
      </c>
      <c r="U109" t="str">
        <f>TEXT(Table1[[#This Row],[Expected Business Month]],"YYYY")</f>
        <v>2024</v>
      </c>
    </row>
    <row r="110" spans="1:21" ht="29.1" hidden="1">
      <c r="A110" s="1">
        <v>45281</v>
      </c>
      <c r="B110" t="s">
        <v>902</v>
      </c>
      <c r="C110" t="s">
        <v>96</v>
      </c>
      <c r="D110" t="s">
        <v>64</v>
      </c>
      <c r="E110" t="s">
        <v>26</v>
      </c>
      <c r="F110" t="s">
        <v>903</v>
      </c>
      <c r="G110" s="9" t="s">
        <v>874</v>
      </c>
      <c r="H110">
        <v>8000</v>
      </c>
      <c r="I110">
        <v>0</v>
      </c>
      <c r="J110" s="21">
        <v>45352</v>
      </c>
      <c r="K110" s="6" t="s">
        <v>67</v>
      </c>
      <c r="L110" t="s">
        <v>9</v>
      </c>
      <c r="M110" t="s">
        <v>9</v>
      </c>
      <c r="N110" t="s">
        <v>904</v>
      </c>
      <c r="S110" t="str">
        <f>TEXT(Table1[[#This Row],[Date]],"MMM-YY")</f>
        <v>Dec-23</v>
      </c>
      <c r="T110">
        <f>_xlfn.ISOWEEKNUM(Table1[[#This Row],[Date]])</f>
        <v>51</v>
      </c>
      <c r="U110" t="str">
        <f>TEXT(Table1[[#This Row],[Expected Business Month]],"YYYY")</f>
        <v>2024</v>
      </c>
    </row>
    <row r="111" spans="1:21" hidden="1">
      <c r="A111" s="1">
        <v>45281</v>
      </c>
      <c r="B111" t="s">
        <v>905</v>
      </c>
      <c r="C111" t="s">
        <v>96</v>
      </c>
      <c r="D111" t="s">
        <v>64</v>
      </c>
      <c r="E111" t="s">
        <v>26</v>
      </c>
      <c r="F111" t="s">
        <v>906</v>
      </c>
      <c r="G111" s="9" t="s">
        <v>871</v>
      </c>
      <c r="H111">
        <v>5000</v>
      </c>
      <c r="I111">
        <v>0</v>
      </c>
      <c r="J111" s="21">
        <v>45352</v>
      </c>
      <c r="K111" s="6" t="s">
        <v>67</v>
      </c>
      <c r="L111" t="s">
        <v>9</v>
      </c>
      <c r="M111" t="s">
        <v>9</v>
      </c>
      <c r="N111" t="s">
        <v>586</v>
      </c>
      <c r="S111" t="str">
        <f>TEXT(Table1[[#This Row],[Date]],"MMM-YY")</f>
        <v>Dec-23</v>
      </c>
      <c r="T111">
        <f>_xlfn.ISOWEEKNUM(Table1[[#This Row],[Date]])</f>
        <v>51</v>
      </c>
      <c r="U111" t="str">
        <f>TEXT(Table1[[#This Row],[Expected Business Month]],"YYYY")</f>
        <v>2024</v>
      </c>
    </row>
    <row r="112" spans="1:21" hidden="1">
      <c r="A112" s="1">
        <v>45281</v>
      </c>
      <c r="B112" t="s">
        <v>907</v>
      </c>
      <c r="C112" t="s">
        <v>96</v>
      </c>
      <c r="D112" t="s">
        <v>64</v>
      </c>
      <c r="E112" t="s">
        <v>26</v>
      </c>
      <c r="F112" t="s">
        <v>908</v>
      </c>
      <c r="G112" s="9" t="s">
        <v>871</v>
      </c>
      <c r="H112">
        <v>4000</v>
      </c>
      <c r="I112">
        <v>0</v>
      </c>
      <c r="J112" s="21">
        <v>45352</v>
      </c>
      <c r="K112" s="6" t="s">
        <v>67</v>
      </c>
      <c r="L112" t="s">
        <v>9</v>
      </c>
      <c r="M112" t="s">
        <v>9</v>
      </c>
      <c r="N112" t="s">
        <v>586</v>
      </c>
      <c r="S112" t="str">
        <f>TEXT(Table1[[#This Row],[Date]],"MMM-YY")</f>
        <v>Dec-23</v>
      </c>
      <c r="T112">
        <f>_xlfn.ISOWEEKNUM(Table1[[#This Row],[Date]])</f>
        <v>51</v>
      </c>
      <c r="U112" t="str">
        <f>TEXT(Table1[[#This Row],[Expected Business Month]],"YYYY")</f>
        <v>2024</v>
      </c>
    </row>
    <row r="113" spans="1:21" hidden="1">
      <c r="A113" s="1">
        <v>45281</v>
      </c>
      <c r="B113" t="s">
        <v>909</v>
      </c>
      <c r="C113" t="s">
        <v>96</v>
      </c>
      <c r="D113" t="s">
        <v>64</v>
      </c>
      <c r="E113" t="s">
        <v>26</v>
      </c>
      <c r="F113" t="s">
        <v>910</v>
      </c>
      <c r="G113" s="9" t="s">
        <v>871</v>
      </c>
      <c r="H113">
        <v>5000</v>
      </c>
      <c r="I113">
        <v>0</v>
      </c>
      <c r="J113" s="21">
        <v>45352</v>
      </c>
      <c r="K113" s="6" t="s">
        <v>67</v>
      </c>
      <c r="L113" t="s">
        <v>9</v>
      </c>
      <c r="M113" t="s">
        <v>9</v>
      </c>
      <c r="N113" t="s">
        <v>586</v>
      </c>
      <c r="S113" t="str">
        <f>TEXT(Table1[[#This Row],[Date]],"MMM-YY")</f>
        <v>Dec-23</v>
      </c>
      <c r="T113">
        <f>_xlfn.ISOWEEKNUM(Table1[[#This Row],[Date]])</f>
        <v>51</v>
      </c>
      <c r="U113" t="str">
        <f>TEXT(Table1[[#This Row],[Expected Business Month]],"YYYY")</f>
        <v>2024</v>
      </c>
    </row>
    <row r="114" spans="1:21" hidden="1">
      <c r="A114" s="1">
        <v>45281</v>
      </c>
      <c r="B114" t="s">
        <v>911</v>
      </c>
      <c r="C114" t="s">
        <v>96</v>
      </c>
      <c r="D114" t="s">
        <v>64</v>
      </c>
      <c r="E114" t="s">
        <v>26</v>
      </c>
      <c r="F114" t="s">
        <v>912</v>
      </c>
      <c r="G114" s="9" t="s">
        <v>871</v>
      </c>
      <c r="H114">
        <v>20000</v>
      </c>
      <c r="I114">
        <v>0</v>
      </c>
      <c r="J114" s="21">
        <v>45444</v>
      </c>
      <c r="K114" s="6" t="s">
        <v>67</v>
      </c>
      <c r="L114" t="s">
        <v>9</v>
      </c>
      <c r="M114" t="s">
        <v>9</v>
      </c>
      <c r="N114" t="s">
        <v>602</v>
      </c>
      <c r="S114" t="str">
        <f>TEXT(Table1[[#This Row],[Date]],"MMM-YY")</f>
        <v>Dec-23</v>
      </c>
      <c r="T114">
        <f>_xlfn.ISOWEEKNUM(Table1[[#This Row],[Date]])</f>
        <v>51</v>
      </c>
      <c r="U114" t="str">
        <f>TEXT(Table1[[#This Row],[Expected Business Month]],"YYYY")</f>
        <v>2024</v>
      </c>
    </row>
    <row r="115" spans="1:21" hidden="1">
      <c r="A115" s="1">
        <v>45282</v>
      </c>
      <c r="B115" t="s">
        <v>913</v>
      </c>
      <c r="C115" t="s">
        <v>63</v>
      </c>
      <c r="D115" t="s">
        <v>20</v>
      </c>
      <c r="E115" t="s">
        <v>15</v>
      </c>
      <c r="F115" t="s">
        <v>914</v>
      </c>
      <c r="G115" s="9" t="s">
        <v>915</v>
      </c>
      <c r="H115">
        <v>150000</v>
      </c>
      <c r="I115">
        <v>0</v>
      </c>
      <c r="J115" s="21">
        <v>45261</v>
      </c>
      <c r="K115" s="6" t="s">
        <v>67</v>
      </c>
      <c r="L115" t="s">
        <v>9</v>
      </c>
      <c r="M115" t="s">
        <v>9</v>
      </c>
      <c r="N115" t="s">
        <v>713</v>
      </c>
      <c r="S115" t="str">
        <f>TEXT(Table1[[#This Row],[Date]],"MMM-YY")</f>
        <v>Dec-23</v>
      </c>
      <c r="T115">
        <f>_xlfn.ISOWEEKNUM(Table1[[#This Row],[Date]])</f>
        <v>51</v>
      </c>
      <c r="U115" t="str">
        <f>TEXT(Table1[[#This Row],[Expected Business Month]],"YYYY")</f>
        <v>2023</v>
      </c>
    </row>
    <row r="116" spans="1:21" hidden="1">
      <c r="A116" s="1">
        <v>45282</v>
      </c>
      <c r="B116" t="s">
        <v>916</v>
      </c>
      <c r="C116" t="s">
        <v>63</v>
      </c>
      <c r="D116" t="s">
        <v>20</v>
      </c>
      <c r="E116" t="s">
        <v>31</v>
      </c>
      <c r="F116" t="s">
        <v>917</v>
      </c>
      <c r="G116" s="9" t="s">
        <v>918</v>
      </c>
      <c r="H116">
        <v>30000</v>
      </c>
      <c r="I116">
        <v>0</v>
      </c>
      <c r="J116" s="21">
        <v>45292</v>
      </c>
      <c r="K116" s="6" t="s">
        <v>67</v>
      </c>
      <c r="L116" t="s">
        <v>9</v>
      </c>
      <c r="M116" t="s">
        <v>9</v>
      </c>
      <c r="N116" t="s">
        <v>831</v>
      </c>
      <c r="S116" t="str">
        <f>TEXT(Table1[[#This Row],[Date]],"MMM-YY")</f>
        <v>Dec-23</v>
      </c>
      <c r="T116">
        <f>_xlfn.ISOWEEKNUM(Table1[[#This Row],[Date]])</f>
        <v>51</v>
      </c>
      <c r="U116" t="str">
        <f>TEXT(Table1[[#This Row],[Expected Business Month]],"YYYY")</f>
        <v>2024</v>
      </c>
    </row>
    <row r="117" spans="1:21" hidden="1">
      <c r="A117" s="1">
        <v>45282</v>
      </c>
      <c r="B117" t="s">
        <v>919</v>
      </c>
      <c r="C117" t="s">
        <v>96</v>
      </c>
      <c r="D117" t="s">
        <v>20</v>
      </c>
      <c r="E117" t="s">
        <v>18</v>
      </c>
      <c r="F117" t="s">
        <v>920</v>
      </c>
      <c r="G117" s="9" t="s">
        <v>921</v>
      </c>
      <c r="H117">
        <v>25000</v>
      </c>
      <c r="I117">
        <v>0</v>
      </c>
      <c r="J117" s="21">
        <v>45444</v>
      </c>
      <c r="K117" s="6" t="s">
        <v>67</v>
      </c>
      <c r="L117" t="s">
        <v>9</v>
      </c>
      <c r="M117" t="s">
        <v>9</v>
      </c>
      <c r="N117" t="s">
        <v>831</v>
      </c>
      <c r="S117" t="str">
        <f>TEXT(Table1[[#This Row],[Date]],"MMM-YY")</f>
        <v>Dec-23</v>
      </c>
      <c r="T117">
        <f>_xlfn.ISOWEEKNUM(Table1[[#This Row],[Date]])</f>
        <v>51</v>
      </c>
      <c r="U117" t="str">
        <f>TEXT(Table1[[#This Row],[Expected Business Month]],"YYYY")</f>
        <v>2024</v>
      </c>
    </row>
    <row r="118" spans="1:21" hidden="1">
      <c r="A118" s="1">
        <v>45282</v>
      </c>
      <c r="B118" t="s">
        <v>922</v>
      </c>
      <c r="C118" t="s">
        <v>63</v>
      </c>
      <c r="D118" t="s">
        <v>20</v>
      </c>
      <c r="E118" t="s">
        <v>18</v>
      </c>
      <c r="F118" t="s">
        <v>464</v>
      </c>
      <c r="G118" s="9" t="s">
        <v>871</v>
      </c>
      <c r="H118">
        <v>20000</v>
      </c>
      <c r="I118">
        <v>0</v>
      </c>
      <c r="J118" s="21">
        <v>45352</v>
      </c>
      <c r="K118" s="6" t="s">
        <v>67</v>
      </c>
      <c r="L118" t="s">
        <v>9</v>
      </c>
      <c r="M118" t="s">
        <v>9</v>
      </c>
      <c r="N118" t="s">
        <v>904</v>
      </c>
      <c r="S118" t="str">
        <f>TEXT(Table1[[#This Row],[Date]],"MMM-YY")</f>
        <v>Dec-23</v>
      </c>
      <c r="T118">
        <f>_xlfn.ISOWEEKNUM(Table1[[#This Row],[Date]])</f>
        <v>51</v>
      </c>
      <c r="U118" t="str">
        <f>TEXT(Table1[[#This Row],[Expected Business Month]],"YYYY")</f>
        <v>2024</v>
      </c>
    </row>
    <row r="119" spans="1:21" hidden="1">
      <c r="A119" s="1">
        <v>45282</v>
      </c>
      <c r="B119" t="s">
        <v>923</v>
      </c>
      <c r="C119" t="s">
        <v>96</v>
      </c>
      <c r="D119" t="s">
        <v>20</v>
      </c>
      <c r="E119" t="s">
        <v>18</v>
      </c>
      <c r="F119" t="s">
        <v>924</v>
      </c>
      <c r="G119" s="9" t="s">
        <v>925</v>
      </c>
      <c r="H119">
        <v>15000</v>
      </c>
      <c r="I119">
        <v>0</v>
      </c>
      <c r="J119" s="21">
        <v>45352</v>
      </c>
      <c r="K119" s="6" t="s">
        <v>67</v>
      </c>
      <c r="L119" t="s">
        <v>9</v>
      </c>
      <c r="M119" t="s">
        <v>9</v>
      </c>
      <c r="N119" t="s">
        <v>586</v>
      </c>
      <c r="S119" t="str">
        <f>TEXT(Table1[[#This Row],[Date]],"MMM-YY")</f>
        <v>Dec-23</v>
      </c>
      <c r="T119">
        <f>_xlfn.ISOWEEKNUM(Table1[[#This Row],[Date]])</f>
        <v>51</v>
      </c>
      <c r="U119" t="str">
        <f>TEXT(Table1[[#This Row],[Expected Business Month]],"YYYY")</f>
        <v>2024</v>
      </c>
    </row>
    <row r="120" spans="1:21" hidden="1">
      <c r="A120" s="1">
        <v>45282</v>
      </c>
      <c r="B120" t="s">
        <v>926</v>
      </c>
      <c r="C120" t="s">
        <v>96</v>
      </c>
      <c r="D120" t="s">
        <v>20</v>
      </c>
      <c r="E120" t="s">
        <v>18</v>
      </c>
      <c r="F120" t="s">
        <v>927</v>
      </c>
      <c r="G120" s="9" t="s">
        <v>925</v>
      </c>
      <c r="H120">
        <v>5000</v>
      </c>
      <c r="I120">
        <v>0</v>
      </c>
      <c r="J120" s="21">
        <v>45352</v>
      </c>
      <c r="K120" s="6" t="s">
        <v>67</v>
      </c>
      <c r="L120" t="s">
        <v>9</v>
      </c>
      <c r="M120" t="s">
        <v>9</v>
      </c>
      <c r="N120" t="s">
        <v>928</v>
      </c>
      <c r="S120" t="str">
        <f>TEXT(Table1[[#This Row],[Date]],"MMM-YY")</f>
        <v>Dec-23</v>
      </c>
      <c r="T120">
        <f>_xlfn.ISOWEEKNUM(Table1[[#This Row],[Date]])</f>
        <v>51</v>
      </c>
      <c r="U120" t="str">
        <f>TEXT(Table1[[#This Row],[Expected Business Month]],"YYYY")</f>
        <v>2024</v>
      </c>
    </row>
    <row r="121" spans="1:21" hidden="1">
      <c r="A121" s="1">
        <v>45282</v>
      </c>
      <c r="B121" t="s">
        <v>929</v>
      </c>
      <c r="C121" t="s">
        <v>96</v>
      </c>
      <c r="D121" t="s">
        <v>64</v>
      </c>
      <c r="E121" t="s">
        <v>31</v>
      </c>
      <c r="F121" t="s">
        <v>930</v>
      </c>
      <c r="G121" s="9" t="s">
        <v>931</v>
      </c>
      <c r="H121">
        <v>10000</v>
      </c>
      <c r="I121">
        <v>0</v>
      </c>
      <c r="J121" s="21">
        <v>45352</v>
      </c>
      <c r="K121" s="6" t="s">
        <v>67</v>
      </c>
      <c r="L121" t="s">
        <v>9</v>
      </c>
      <c r="M121" t="s">
        <v>9</v>
      </c>
      <c r="N121" t="s">
        <v>586</v>
      </c>
      <c r="S121" t="str">
        <f>TEXT(Table1[[#This Row],[Date]],"MMM-YY")</f>
        <v>Dec-23</v>
      </c>
      <c r="T121">
        <f>_xlfn.ISOWEEKNUM(Table1[[#This Row],[Date]])</f>
        <v>51</v>
      </c>
      <c r="U121" t="str">
        <f>TEXT(Table1[[#This Row],[Expected Business Month]],"YYYY")</f>
        <v>2024</v>
      </c>
    </row>
    <row r="122" spans="1:21" hidden="1">
      <c r="A122" s="1">
        <v>45283</v>
      </c>
      <c r="B122" t="s">
        <v>932</v>
      </c>
      <c r="C122" t="s">
        <v>96</v>
      </c>
      <c r="D122" t="s">
        <v>20</v>
      </c>
      <c r="E122" t="s">
        <v>15</v>
      </c>
      <c r="F122" t="s">
        <v>933</v>
      </c>
      <c r="G122" s="9" t="s">
        <v>934</v>
      </c>
      <c r="H122">
        <v>17500</v>
      </c>
      <c r="I122">
        <v>17500</v>
      </c>
      <c r="J122" s="21">
        <v>45261</v>
      </c>
      <c r="K122" s="6" t="s">
        <v>67</v>
      </c>
      <c r="L122" t="s">
        <v>68</v>
      </c>
      <c r="M122" t="s">
        <v>69</v>
      </c>
      <c r="S122" t="str">
        <f>TEXT(Table1[[#This Row],[Date]],"MMM-YY")</f>
        <v>Dec-23</v>
      </c>
      <c r="T122">
        <f>_xlfn.ISOWEEKNUM(Table1[[#This Row],[Date]])</f>
        <v>51</v>
      </c>
      <c r="U122" t="str">
        <f>TEXT(Table1[[#This Row],[Expected Business Month]],"YYYY")</f>
        <v>2023</v>
      </c>
    </row>
    <row r="123" spans="1:21" hidden="1">
      <c r="A123" s="1">
        <v>45283</v>
      </c>
      <c r="B123" t="s">
        <v>935</v>
      </c>
      <c r="C123" t="s">
        <v>96</v>
      </c>
      <c r="D123" t="s">
        <v>20</v>
      </c>
      <c r="E123" t="s">
        <v>936</v>
      </c>
      <c r="F123" t="s">
        <v>937</v>
      </c>
      <c r="G123" s="9" t="s">
        <v>938</v>
      </c>
      <c r="H123">
        <v>20000</v>
      </c>
      <c r="I123">
        <v>20000</v>
      </c>
      <c r="J123" s="21">
        <v>45261</v>
      </c>
      <c r="K123" s="6" t="s">
        <v>67</v>
      </c>
      <c r="L123" t="s">
        <v>68</v>
      </c>
      <c r="M123" t="s">
        <v>69</v>
      </c>
      <c r="S123" t="str">
        <f>TEXT(Table1[[#This Row],[Date]],"MMM-YY")</f>
        <v>Dec-23</v>
      </c>
      <c r="T123">
        <f>_xlfn.ISOWEEKNUM(Table1[[#This Row],[Date]])</f>
        <v>51</v>
      </c>
      <c r="U123" t="str">
        <f>TEXT(Table1[[#This Row],[Expected Business Month]],"YYYY")</f>
        <v>2023</v>
      </c>
    </row>
    <row r="124" spans="1:21" hidden="1">
      <c r="A124" s="1">
        <v>45283</v>
      </c>
      <c r="B124" t="s">
        <v>939</v>
      </c>
      <c r="C124" t="s">
        <v>96</v>
      </c>
      <c r="D124" t="s">
        <v>20</v>
      </c>
      <c r="E124" t="s">
        <v>23</v>
      </c>
      <c r="F124" t="s">
        <v>940</v>
      </c>
      <c r="G124" s="9" t="s">
        <v>941</v>
      </c>
      <c r="H124">
        <v>12000</v>
      </c>
      <c r="I124">
        <v>0</v>
      </c>
      <c r="J124" s="21">
        <v>45292</v>
      </c>
      <c r="K124" s="6" t="s">
        <v>67</v>
      </c>
      <c r="L124" t="s">
        <v>9</v>
      </c>
      <c r="M124" t="s">
        <v>9</v>
      </c>
      <c r="N124" t="s">
        <v>831</v>
      </c>
      <c r="S124" t="str">
        <f>TEXT(Table1[[#This Row],[Date]],"MMM-YY")</f>
        <v>Dec-23</v>
      </c>
      <c r="T124">
        <f>_xlfn.ISOWEEKNUM(Table1[[#This Row],[Date]])</f>
        <v>51</v>
      </c>
      <c r="U124" t="str">
        <f>TEXT(Table1[[#This Row],[Expected Business Month]],"YYYY")</f>
        <v>2024</v>
      </c>
    </row>
    <row r="125" spans="1:21" hidden="1">
      <c r="A125" s="1">
        <v>45283</v>
      </c>
      <c r="B125" t="s">
        <v>942</v>
      </c>
      <c r="C125" t="s">
        <v>96</v>
      </c>
      <c r="D125" t="s">
        <v>64</v>
      </c>
      <c r="E125" t="s">
        <v>25</v>
      </c>
      <c r="F125" t="s">
        <v>943</v>
      </c>
      <c r="G125" s="9" t="s">
        <v>944</v>
      </c>
      <c r="H125">
        <v>0</v>
      </c>
      <c r="I125">
        <v>0</v>
      </c>
      <c r="J125" s="21">
        <v>45352</v>
      </c>
      <c r="K125" s="6" t="s">
        <v>67</v>
      </c>
      <c r="L125" t="s">
        <v>9</v>
      </c>
      <c r="M125" t="s">
        <v>9</v>
      </c>
      <c r="N125" t="s">
        <v>586</v>
      </c>
      <c r="S125" t="str">
        <f>TEXT(Table1[[#This Row],[Date]],"MMM-YY")</f>
        <v>Dec-23</v>
      </c>
      <c r="T125">
        <f>_xlfn.ISOWEEKNUM(Table1[[#This Row],[Date]])</f>
        <v>51</v>
      </c>
      <c r="U125" t="str">
        <f>TEXT(Table1[[#This Row],[Expected Business Month]],"YYYY")</f>
        <v>2024</v>
      </c>
    </row>
    <row r="126" spans="1:21" hidden="1">
      <c r="A126" s="1">
        <v>45284</v>
      </c>
      <c r="B126" t="s">
        <v>945</v>
      </c>
      <c r="C126" t="s">
        <v>96</v>
      </c>
      <c r="D126" t="s">
        <v>20</v>
      </c>
      <c r="E126" t="s">
        <v>18</v>
      </c>
      <c r="F126" t="s">
        <v>946</v>
      </c>
      <c r="G126" s="9" t="s">
        <v>944</v>
      </c>
      <c r="H126">
        <v>5000</v>
      </c>
      <c r="I126">
        <v>0</v>
      </c>
      <c r="J126" s="21">
        <v>45352</v>
      </c>
      <c r="K126" s="6" t="s">
        <v>67</v>
      </c>
      <c r="L126" t="s">
        <v>9</v>
      </c>
      <c r="M126" t="s">
        <v>9</v>
      </c>
      <c r="N126" t="s">
        <v>586</v>
      </c>
      <c r="S126" t="str">
        <f>TEXT(Table1[[#This Row],[Date]],"MMM-YY")</f>
        <v>Dec-23</v>
      </c>
      <c r="T126">
        <f>_xlfn.ISOWEEKNUM(Table1[[#This Row],[Date]])</f>
        <v>51</v>
      </c>
      <c r="U126" t="str">
        <f>TEXT(Table1[[#This Row],[Expected Business Month]],"YYYY")</f>
        <v>2024</v>
      </c>
    </row>
    <row r="127" spans="1:21" hidden="1">
      <c r="A127" s="1">
        <v>45284</v>
      </c>
      <c r="B127" t="s">
        <v>947</v>
      </c>
      <c r="C127" t="s">
        <v>96</v>
      </c>
      <c r="D127" t="s">
        <v>20</v>
      </c>
      <c r="E127" t="s">
        <v>18</v>
      </c>
      <c r="F127" t="s">
        <v>948</v>
      </c>
      <c r="G127" s="9" t="s">
        <v>944</v>
      </c>
      <c r="H127">
        <v>3000</v>
      </c>
      <c r="I127">
        <v>0</v>
      </c>
      <c r="J127" s="21">
        <v>45352</v>
      </c>
      <c r="K127" s="6" t="s">
        <v>67</v>
      </c>
      <c r="L127" t="s">
        <v>9</v>
      </c>
      <c r="M127" t="s">
        <v>9</v>
      </c>
      <c r="N127" t="s">
        <v>586</v>
      </c>
      <c r="S127" t="str">
        <f>TEXT(Table1[[#This Row],[Date]],"MMM-YY")</f>
        <v>Dec-23</v>
      </c>
      <c r="T127">
        <f>_xlfn.ISOWEEKNUM(Table1[[#This Row],[Date]])</f>
        <v>51</v>
      </c>
      <c r="U127" t="str">
        <f>TEXT(Table1[[#This Row],[Expected Business Month]],"YYYY")</f>
        <v>2024</v>
      </c>
    </row>
    <row r="128" spans="1:21" hidden="1">
      <c r="A128" s="1">
        <v>45284</v>
      </c>
      <c r="B128" t="s">
        <v>949</v>
      </c>
      <c r="C128" t="s">
        <v>96</v>
      </c>
      <c r="D128" t="s">
        <v>20</v>
      </c>
      <c r="E128" t="s">
        <v>18</v>
      </c>
      <c r="F128" t="s">
        <v>950</v>
      </c>
      <c r="G128" s="9" t="s">
        <v>951</v>
      </c>
      <c r="H128">
        <v>10000</v>
      </c>
      <c r="I128">
        <v>0</v>
      </c>
      <c r="J128" s="21">
        <v>45323</v>
      </c>
      <c r="K128" s="6" t="s">
        <v>67</v>
      </c>
      <c r="L128" t="s">
        <v>9</v>
      </c>
      <c r="M128" t="s">
        <v>9</v>
      </c>
      <c r="N128" t="s">
        <v>831</v>
      </c>
      <c r="S128" t="str">
        <f>TEXT(Table1[[#This Row],[Date]],"MMM-YY")</f>
        <v>Dec-23</v>
      </c>
      <c r="T128">
        <f>_xlfn.ISOWEEKNUM(Table1[[#This Row],[Date]])</f>
        <v>51</v>
      </c>
      <c r="U128" t="str">
        <f>TEXT(Table1[[#This Row],[Expected Business Month]],"YYYY")</f>
        <v>2024</v>
      </c>
    </row>
    <row r="129" spans="1:21" hidden="1">
      <c r="A129" s="1">
        <v>45284</v>
      </c>
      <c r="B129" t="s">
        <v>952</v>
      </c>
      <c r="C129" t="s">
        <v>96</v>
      </c>
      <c r="D129" t="s">
        <v>20</v>
      </c>
      <c r="E129" t="s">
        <v>41</v>
      </c>
      <c r="F129" t="s">
        <v>953</v>
      </c>
      <c r="G129" s="9" t="s">
        <v>954</v>
      </c>
      <c r="H129">
        <v>10000</v>
      </c>
      <c r="I129">
        <v>0</v>
      </c>
      <c r="J129" s="21">
        <v>45352</v>
      </c>
      <c r="K129" s="6" t="s">
        <v>67</v>
      </c>
      <c r="L129" t="s">
        <v>9</v>
      </c>
      <c r="M129" t="s">
        <v>9</v>
      </c>
      <c r="N129" t="s">
        <v>831</v>
      </c>
      <c r="S129" t="str">
        <f>TEXT(Table1[[#This Row],[Date]],"MMM-YY")</f>
        <v>Dec-23</v>
      </c>
      <c r="T129">
        <f>_xlfn.ISOWEEKNUM(Table1[[#This Row],[Date]])</f>
        <v>51</v>
      </c>
      <c r="U129" t="str">
        <f>TEXT(Table1[[#This Row],[Expected Business Month]],"YYYY")</f>
        <v>2024</v>
      </c>
    </row>
    <row r="130" spans="1:21" hidden="1">
      <c r="A130" s="1">
        <v>45285</v>
      </c>
      <c r="B130" t="s">
        <v>955</v>
      </c>
      <c r="C130" t="s">
        <v>96</v>
      </c>
      <c r="D130" t="s">
        <v>64</v>
      </c>
      <c r="E130" t="s">
        <v>27</v>
      </c>
      <c r="F130" t="s">
        <v>956</v>
      </c>
      <c r="G130" s="9" t="s">
        <v>954</v>
      </c>
      <c r="H130">
        <v>14000</v>
      </c>
      <c r="I130">
        <v>0</v>
      </c>
      <c r="J130" s="21">
        <v>45292</v>
      </c>
      <c r="K130" s="6" t="s">
        <v>67</v>
      </c>
      <c r="L130" t="s">
        <v>9</v>
      </c>
      <c r="M130" t="s">
        <v>9</v>
      </c>
      <c r="N130" t="s">
        <v>831</v>
      </c>
      <c r="S130" t="str">
        <f>TEXT(Table1[[#This Row],[Date]],"MMM-YY")</f>
        <v>Dec-23</v>
      </c>
      <c r="T130">
        <f>_xlfn.ISOWEEKNUM(Table1[[#This Row],[Date]])</f>
        <v>52</v>
      </c>
      <c r="U130" t="str">
        <f>TEXT(Table1[[#This Row],[Expected Business Month]],"YYYY")</f>
        <v>2024</v>
      </c>
    </row>
    <row r="131" spans="1:21" hidden="1">
      <c r="A131" s="1">
        <v>45285</v>
      </c>
      <c r="B131" t="s">
        <v>957</v>
      </c>
      <c r="C131" t="s">
        <v>96</v>
      </c>
      <c r="D131" t="s">
        <v>20</v>
      </c>
      <c r="E131" t="s">
        <v>18</v>
      </c>
      <c r="F131" t="s">
        <v>958</v>
      </c>
      <c r="G131" s="9" t="s">
        <v>959</v>
      </c>
      <c r="H131">
        <v>10000</v>
      </c>
      <c r="I131">
        <v>0</v>
      </c>
      <c r="J131" s="21">
        <v>45383</v>
      </c>
      <c r="K131" s="6" t="s">
        <v>67</v>
      </c>
      <c r="L131" t="s">
        <v>9</v>
      </c>
      <c r="M131" t="s">
        <v>9</v>
      </c>
      <c r="N131" t="s">
        <v>586</v>
      </c>
      <c r="S131" t="str">
        <f>TEXT(Table1[[#This Row],[Date]],"MMM-YY")</f>
        <v>Dec-23</v>
      </c>
      <c r="T131">
        <f>_xlfn.ISOWEEKNUM(Table1[[#This Row],[Date]])</f>
        <v>52</v>
      </c>
      <c r="U131" t="str">
        <f>TEXT(Table1[[#This Row],[Expected Business Month]],"YYYY")</f>
        <v>2024</v>
      </c>
    </row>
    <row r="132" spans="1:21" hidden="1">
      <c r="A132" s="1">
        <v>45286</v>
      </c>
      <c r="B132" t="s">
        <v>960</v>
      </c>
      <c r="C132" t="s">
        <v>96</v>
      </c>
      <c r="D132" t="s">
        <v>20</v>
      </c>
      <c r="E132" t="s">
        <v>23</v>
      </c>
      <c r="F132" t="s">
        <v>715</v>
      </c>
      <c r="G132" s="9" t="s">
        <v>961</v>
      </c>
      <c r="H132">
        <v>30000</v>
      </c>
      <c r="I132">
        <v>0</v>
      </c>
      <c r="J132" s="21">
        <v>45292</v>
      </c>
      <c r="K132" s="6" t="s">
        <v>67</v>
      </c>
      <c r="L132" t="s">
        <v>9</v>
      </c>
      <c r="M132" t="s">
        <v>9</v>
      </c>
      <c r="N132" t="s">
        <v>831</v>
      </c>
      <c r="S132" t="str">
        <f>TEXT(Table1[[#This Row],[Date]],"MMM-YY")</f>
        <v>Dec-23</v>
      </c>
      <c r="T132">
        <f>_xlfn.ISOWEEKNUM(Table1[[#This Row],[Date]])</f>
        <v>52</v>
      </c>
      <c r="U132" t="str">
        <f>TEXT(Table1[[#This Row],[Expected Business Month]],"YYYY")</f>
        <v>2024</v>
      </c>
    </row>
    <row r="133" spans="1:21" hidden="1">
      <c r="A133" s="1">
        <v>45286</v>
      </c>
      <c r="B133" t="s">
        <v>962</v>
      </c>
      <c r="C133" t="s">
        <v>96</v>
      </c>
      <c r="D133" t="s">
        <v>20</v>
      </c>
      <c r="E133" t="s">
        <v>23</v>
      </c>
      <c r="F133" t="s">
        <v>963</v>
      </c>
      <c r="G133" s="9" t="s">
        <v>964</v>
      </c>
      <c r="H133">
        <v>5000</v>
      </c>
      <c r="I133">
        <v>5000</v>
      </c>
      <c r="J133" s="21">
        <v>45261</v>
      </c>
      <c r="K133" s="6" t="s">
        <v>67</v>
      </c>
      <c r="L133" t="s">
        <v>68</v>
      </c>
      <c r="M133" t="s">
        <v>69</v>
      </c>
      <c r="S133" t="str">
        <f>TEXT(Table1[[#This Row],[Date]],"MMM-YY")</f>
        <v>Dec-23</v>
      </c>
      <c r="T133">
        <f>_xlfn.ISOWEEKNUM(Table1[[#This Row],[Date]])</f>
        <v>52</v>
      </c>
      <c r="U133" t="str">
        <f>TEXT(Table1[[#This Row],[Expected Business Month]],"YYYY")</f>
        <v>2023</v>
      </c>
    </row>
    <row r="134" spans="1:21" ht="29.1" hidden="1">
      <c r="A134" s="1">
        <v>45286</v>
      </c>
      <c r="B134" t="s">
        <v>965</v>
      </c>
      <c r="C134" t="s">
        <v>96</v>
      </c>
      <c r="D134" t="s">
        <v>20</v>
      </c>
      <c r="E134" t="s">
        <v>23</v>
      </c>
      <c r="F134" t="s">
        <v>966</v>
      </c>
      <c r="G134" s="9" t="s">
        <v>967</v>
      </c>
      <c r="H134">
        <v>12000</v>
      </c>
      <c r="I134">
        <v>0</v>
      </c>
      <c r="J134" s="21">
        <v>45261</v>
      </c>
      <c r="K134" s="6" t="s">
        <v>67</v>
      </c>
      <c r="L134" t="s">
        <v>9</v>
      </c>
      <c r="M134" t="s">
        <v>9</v>
      </c>
      <c r="N134" t="s">
        <v>831</v>
      </c>
      <c r="S134" t="str">
        <f>TEXT(Table1[[#This Row],[Date]],"MMM-YY")</f>
        <v>Dec-23</v>
      </c>
      <c r="T134">
        <f>_xlfn.ISOWEEKNUM(Table1[[#This Row],[Date]])</f>
        <v>52</v>
      </c>
      <c r="U134" t="str">
        <f>TEXT(Table1[[#This Row],[Expected Business Month]],"YYYY")</f>
        <v>2023</v>
      </c>
    </row>
    <row r="135" spans="1:21" ht="57.95" hidden="1">
      <c r="A135" s="1">
        <v>45287</v>
      </c>
      <c r="B135" t="s">
        <v>884</v>
      </c>
      <c r="C135" t="s">
        <v>63</v>
      </c>
      <c r="D135" t="s">
        <v>64</v>
      </c>
      <c r="E135" t="s">
        <v>33</v>
      </c>
      <c r="F135" t="s">
        <v>968</v>
      </c>
      <c r="G135" s="9" t="s">
        <v>969</v>
      </c>
      <c r="H135">
        <v>10000</v>
      </c>
      <c r="I135">
        <v>10000</v>
      </c>
      <c r="J135" s="21">
        <v>45292</v>
      </c>
      <c r="K135" s="6" t="s">
        <v>67</v>
      </c>
      <c r="L135" t="s">
        <v>68</v>
      </c>
      <c r="M135" t="s">
        <v>69</v>
      </c>
      <c r="S135" t="str">
        <f>TEXT(Table1[[#This Row],[Date]],"MMM-YY")</f>
        <v>Dec-23</v>
      </c>
      <c r="T135">
        <f>_xlfn.ISOWEEKNUM(Table1[[#This Row],[Date]])</f>
        <v>52</v>
      </c>
      <c r="U135" t="str">
        <f>TEXT(Table1[[#This Row],[Expected Business Month]],"YYYY")</f>
        <v>2024</v>
      </c>
    </row>
    <row r="136" spans="1:21" ht="29.1" hidden="1">
      <c r="A136" s="1">
        <v>45287</v>
      </c>
      <c r="B136" t="s">
        <v>970</v>
      </c>
      <c r="C136" t="s">
        <v>96</v>
      </c>
      <c r="D136" t="s">
        <v>20</v>
      </c>
      <c r="E136" t="s">
        <v>23</v>
      </c>
      <c r="F136" t="s">
        <v>464</v>
      </c>
      <c r="G136" s="9" t="s">
        <v>971</v>
      </c>
      <c r="H136">
        <v>18000</v>
      </c>
      <c r="I136">
        <v>18000</v>
      </c>
      <c r="J136" s="21">
        <v>45261</v>
      </c>
      <c r="K136" s="6" t="s">
        <v>67</v>
      </c>
      <c r="L136" t="s">
        <v>68</v>
      </c>
      <c r="M136" t="s">
        <v>69</v>
      </c>
      <c r="S136" t="str">
        <f>TEXT(Table1[[#This Row],[Date]],"MMM-YY")</f>
        <v>Dec-23</v>
      </c>
      <c r="T136">
        <f>_xlfn.ISOWEEKNUM(Table1[[#This Row],[Date]])</f>
        <v>52</v>
      </c>
      <c r="U136" t="str">
        <f>TEXT(Table1[[#This Row],[Expected Business Month]],"YYYY")</f>
        <v>2023</v>
      </c>
    </row>
    <row r="137" spans="1:21" hidden="1">
      <c r="A137" s="1">
        <v>45287</v>
      </c>
      <c r="B137" t="s">
        <v>972</v>
      </c>
      <c r="C137" t="s">
        <v>63</v>
      </c>
      <c r="D137" t="s">
        <v>20</v>
      </c>
      <c r="E137" t="s">
        <v>18</v>
      </c>
      <c r="F137" t="s">
        <v>776</v>
      </c>
      <c r="G137" s="9" t="s">
        <v>973</v>
      </c>
      <c r="H137">
        <v>20000</v>
      </c>
      <c r="I137">
        <v>20000</v>
      </c>
      <c r="J137" s="21">
        <v>45261</v>
      </c>
      <c r="K137" s="6" t="s">
        <v>67</v>
      </c>
      <c r="L137" t="s">
        <v>68</v>
      </c>
      <c r="M137" t="s">
        <v>69</v>
      </c>
      <c r="S137" t="str">
        <f>TEXT(Table1[[#This Row],[Date]],"MMM-YY")</f>
        <v>Dec-23</v>
      </c>
      <c r="T137">
        <f>_xlfn.ISOWEEKNUM(Table1[[#This Row],[Date]])</f>
        <v>52</v>
      </c>
      <c r="U137" t="str">
        <f>TEXT(Table1[[#This Row],[Expected Business Month]],"YYYY")</f>
        <v>2023</v>
      </c>
    </row>
    <row r="138" spans="1:21" hidden="1">
      <c r="A138" s="1">
        <v>45287</v>
      </c>
      <c r="B138" t="s">
        <v>974</v>
      </c>
      <c r="C138" t="s">
        <v>96</v>
      </c>
      <c r="D138" t="s">
        <v>64</v>
      </c>
      <c r="E138" t="s">
        <v>27</v>
      </c>
      <c r="F138" t="s">
        <v>975</v>
      </c>
      <c r="G138" s="9" t="s">
        <v>976</v>
      </c>
      <c r="H138">
        <v>214000</v>
      </c>
      <c r="I138">
        <v>0</v>
      </c>
      <c r="J138" s="21">
        <v>45292</v>
      </c>
      <c r="K138" s="6" t="s">
        <v>67</v>
      </c>
      <c r="L138" t="s">
        <v>9</v>
      </c>
      <c r="M138" t="s">
        <v>9</v>
      </c>
      <c r="N138" t="s">
        <v>707</v>
      </c>
      <c r="S138" t="str">
        <f>TEXT(Table1[[#This Row],[Date]],"MMM-YY")</f>
        <v>Dec-23</v>
      </c>
      <c r="T138">
        <f>_xlfn.ISOWEEKNUM(Table1[[#This Row],[Date]])</f>
        <v>52</v>
      </c>
      <c r="U138" t="str">
        <f>TEXT(Table1[[#This Row],[Expected Business Month]],"YYYY")</f>
        <v>2024</v>
      </c>
    </row>
    <row r="139" spans="1:21" ht="29.1" hidden="1">
      <c r="A139" s="1">
        <v>45287</v>
      </c>
      <c r="B139" t="s">
        <v>977</v>
      </c>
      <c r="C139" t="s">
        <v>96</v>
      </c>
      <c r="D139" t="s">
        <v>64</v>
      </c>
      <c r="E139" t="s">
        <v>25</v>
      </c>
      <c r="F139" t="s">
        <v>943</v>
      </c>
      <c r="G139" s="9" t="s">
        <v>978</v>
      </c>
      <c r="H139">
        <v>30000</v>
      </c>
      <c r="I139">
        <v>0</v>
      </c>
      <c r="J139" s="21">
        <v>45383</v>
      </c>
      <c r="K139" s="6" t="s">
        <v>67</v>
      </c>
      <c r="L139" t="s">
        <v>9</v>
      </c>
      <c r="M139" t="s">
        <v>9</v>
      </c>
      <c r="N139" t="s">
        <v>586</v>
      </c>
      <c r="S139" t="str">
        <f>TEXT(Table1[[#This Row],[Date]],"MMM-YY")</f>
        <v>Dec-23</v>
      </c>
      <c r="T139">
        <f>_xlfn.ISOWEEKNUM(Table1[[#This Row],[Date]])</f>
        <v>52</v>
      </c>
      <c r="U139" t="str">
        <f>TEXT(Table1[[#This Row],[Expected Business Month]],"YYYY")</f>
        <v>2024</v>
      </c>
    </row>
    <row r="140" spans="1:21" hidden="1">
      <c r="A140" s="1">
        <v>45287</v>
      </c>
      <c r="B140" t="s">
        <v>979</v>
      </c>
      <c r="C140" t="s">
        <v>96</v>
      </c>
      <c r="D140" t="s">
        <v>20</v>
      </c>
      <c r="E140" t="s">
        <v>28</v>
      </c>
      <c r="F140" t="s">
        <v>980</v>
      </c>
      <c r="G140" s="9" t="s">
        <v>981</v>
      </c>
      <c r="H140">
        <v>15000</v>
      </c>
      <c r="I140">
        <v>0</v>
      </c>
      <c r="J140" s="21">
        <v>45474</v>
      </c>
      <c r="K140" s="6" t="s">
        <v>67</v>
      </c>
      <c r="L140" t="s">
        <v>9</v>
      </c>
      <c r="M140" t="s">
        <v>9</v>
      </c>
      <c r="S140" t="str">
        <f>TEXT(Table1[[#This Row],[Date]],"MMM-YY")</f>
        <v>Dec-23</v>
      </c>
      <c r="T140">
        <f>_xlfn.ISOWEEKNUM(Table1[[#This Row],[Date]])</f>
        <v>52</v>
      </c>
      <c r="U140" t="str">
        <f>TEXT(Table1[[#This Row],[Expected Business Month]],"YYYY")</f>
        <v>2024</v>
      </c>
    </row>
    <row r="141" spans="1:21" hidden="1">
      <c r="A141" s="1">
        <v>45287</v>
      </c>
      <c r="B141" t="s">
        <v>982</v>
      </c>
      <c r="C141" t="s">
        <v>96</v>
      </c>
      <c r="D141" t="s">
        <v>64</v>
      </c>
      <c r="E141" t="s">
        <v>26</v>
      </c>
      <c r="F141" t="s">
        <v>371</v>
      </c>
      <c r="G141" s="9" t="s">
        <v>983</v>
      </c>
      <c r="H141">
        <v>4000</v>
      </c>
      <c r="I141">
        <v>4000</v>
      </c>
      <c r="J141" s="21">
        <v>45261</v>
      </c>
      <c r="K141" s="6" t="s">
        <v>67</v>
      </c>
      <c r="L141" t="s">
        <v>68</v>
      </c>
      <c r="M141" t="s">
        <v>69</v>
      </c>
      <c r="S141" t="str">
        <f>TEXT(Table1[[#This Row],[Date]],"MMM-YY")</f>
        <v>Dec-23</v>
      </c>
      <c r="T141">
        <f>_xlfn.ISOWEEKNUM(Table1[[#This Row],[Date]])</f>
        <v>52</v>
      </c>
      <c r="U141" t="str">
        <f>TEXT(Table1[[#This Row],[Expected Business Month]],"YYYY")</f>
        <v>2023</v>
      </c>
    </row>
    <row r="142" spans="1:21" hidden="1">
      <c r="A142" s="1">
        <v>45287</v>
      </c>
      <c r="B142" t="s">
        <v>984</v>
      </c>
      <c r="C142" t="s">
        <v>96</v>
      </c>
      <c r="D142" t="s">
        <v>20</v>
      </c>
      <c r="E142" t="s">
        <v>18</v>
      </c>
      <c r="F142" t="s">
        <v>744</v>
      </c>
      <c r="G142" s="9" t="s">
        <v>985</v>
      </c>
      <c r="H142">
        <v>12000</v>
      </c>
      <c r="I142">
        <v>0</v>
      </c>
      <c r="J142" s="21">
        <v>45383</v>
      </c>
      <c r="K142" s="6" t="s">
        <v>67</v>
      </c>
      <c r="L142" t="s">
        <v>9</v>
      </c>
      <c r="M142" t="s">
        <v>9</v>
      </c>
      <c r="N142" t="s">
        <v>586</v>
      </c>
      <c r="S142" t="str">
        <f>TEXT(Table1[[#This Row],[Date]],"MMM-YY")</f>
        <v>Dec-23</v>
      </c>
      <c r="T142">
        <f>_xlfn.ISOWEEKNUM(Table1[[#This Row],[Date]])</f>
        <v>52</v>
      </c>
      <c r="U142" t="str">
        <f>TEXT(Table1[[#This Row],[Expected Business Month]],"YYYY")</f>
        <v>2024</v>
      </c>
    </row>
    <row r="143" spans="1:21" hidden="1">
      <c r="A143" s="1">
        <v>45287</v>
      </c>
      <c r="B143" t="s">
        <v>986</v>
      </c>
      <c r="C143" t="s">
        <v>96</v>
      </c>
      <c r="D143" t="s">
        <v>20</v>
      </c>
      <c r="E143" t="s">
        <v>26</v>
      </c>
      <c r="F143" t="s">
        <v>238</v>
      </c>
      <c r="G143" s="9" t="s">
        <v>987</v>
      </c>
      <c r="H143">
        <v>15000</v>
      </c>
      <c r="I143">
        <v>0</v>
      </c>
      <c r="J143" s="21">
        <v>45383</v>
      </c>
      <c r="K143" s="6" t="s">
        <v>67</v>
      </c>
      <c r="L143" t="s">
        <v>9</v>
      </c>
      <c r="M143" t="s">
        <v>9</v>
      </c>
      <c r="N143" t="s">
        <v>586</v>
      </c>
      <c r="S143" t="str">
        <f>TEXT(Table1[[#This Row],[Date]],"MMM-YY")</f>
        <v>Dec-23</v>
      </c>
      <c r="T143">
        <f>_xlfn.ISOWEEKNUM(Table1[[#This Row],[Date]])</f>
        <v>52</v>
      </c>
      <c r="U143" t="str">
        <f>TEXT(Table1[[#This Row],[Expected Business Month]],"YYYY")</f>
        <v>2024</v>
      </c>
    </row>
    <row r="144" spans="1:21" ht="29.1" hidden="1">
      <c r="A144" s="1">
        <v>45288</v>
      </c>
      <c r="B144" t="s">
        <v>988</v>
      </c>
      <c r="C144" t="s">
        <v>63</v>
      </c>
      <c r="D144" t="s">
        <v>64</v>
      </c>
      <c r="E144" t="s">
        <v>28</v>
      </c>
      <c r="F144" t="s">
        <v>989</v>
      </c>
      <c r="G144" s="9" t="s">
        <v>990</v>
      </c>
      <c r="H144">
        <v>4000</v>
      </c>
      <c r="I144">
        <v>0</v>
      </c>
      <c r="J144" s="21">
        <v>45566</v>
      </c>
      <c r="K144" s="6" t="s">
        <v>67</v>
      </c>
      <c r="L144" t="s">
        <v>9</v>
      </c>
      <c r="M144" t="s">
        <v>9</v>
      </c>
      <c r="N144" t="s">
        <v>991</v>
      </c>
      <c r="S144" t="str">
        <f>TEXT(Table1[[#This Row],[Date]],"MMM-YY")</f>
        <v>Dec-23</v>
      </c>
      <c r="T144">
        <f>_xlfn.ISOWEEKNUM(Table1[[#This Row],[Date]])</f>
        <v>52</v>
      </c>
      <c r="U144" t="str">
        <f>TEXT(Table1[[#This Row],[Expected Business Month]],"YYYY")</f>
        <v>2024</v>
      </c>
    </row>
    <row r="145" spans="1:21" hidden="1">
      <c r="A145" s="1">
        <v>45288</v>
      </c>
      <c r="B145" t="s">
        <v>992</v>
      </c>
      <c r="C145" t="s">
        <v>96</v>
      </c>
      <c r="D145" t="s">
        <v>64</v>
      </c>
      <c r="E145" t="s">
        <v>28</v>
      </c>
      <c r="F145" t="s">
        <v>993</v>
      </c>
      <c r="G145" s="9" t="s">
        <v>994</v>
      </c>
      <c r="H145">
        <v>10000</v>
      </c>
      <c r="I145">
        <v>0</v>
      </c>
      <c r="J145" s="21">
        <v>45566</v>
      </c>
      <c r="K145" s="6" t="s">
        <v>67</v>
      </c>
      <c r="L145" t="s">
        <v>9</v>
      </c>
      <c r="M145" t="s">
        <v>9</v>
      </c>
      <c r="N145" t="s">
        <v>991</v>
      </c>
      <c r="S145" t="str">
        <f>TEXT(Table1[[#This Row],[Date]],"MMM-YY")</f>
        <v>Dec-23</v>
      </c>
      <c r="T145">
        <f>_xlfn.ISOWEEKNUM(Table1[[#This Row],[Date]])</f>
        <v>52</v>
      </c>
      <c r="U145" t="str">
        <f>TEXT(Table1[[#This Row],[Expected Business Month]],"YYYY")</f>
        <v>2024</v>
      </c>
    </row>
    <row r="146" spans="1:21" hidden="1">
      <c r="A146" s="1">
        <v>45288</v>
      </c>
      <c r="B146" t="s">
        <v>995</v>
      </c>
      <c r="C146" t="s">
        <v>96</v>
      </c>
      <c r="D146" t="s">
        <v>64</v>
      </c>
      <c r="E146" t="s">
        <v>29</v>
      </c>
      <c r="F146" t="s">
        <v>996</v>
      </c>
      <c r="G146" s="9" t="s">
        <v>994</v>
      </c>
      <c r="H146">
        <v>8000</v>
      </c>
      <c r="I146">
        <v>0</v>
      </c>
      <c r="J146" s="21">
        <v>45566</v>
      </c>
      <c r="K146" s="6" t="s">
        <v>67</v>
      </c>
      <c r="L146" t="s">
        <v>9</v>
      </c>
      <c r="M146" t="s">
        <v>9</v>
      </c>
      <c r="N146" t="s">
        <v>991</v>
      </c>
      <c r="S146" t="str">
        <f>TEXT(Table1[[#This Row],[Date]],"MMM-YY")</f>
        <v>Dec-23</v>
      </c>
      <c r="T146">
        <f>_xlfn.ISOWEEKNUM(Table1[[#This Row],[Date]])</f>
        <v>52</v>
      </c>
      <c r="U146" t="str">
        <f>TEXT(Table1[[#This Row],[Expected Business Month]],"YYYY")</f>
        <v>2024</v>
      </c>
    </row>
    <row r="147" spans="1:21" hidden="1">
      <c r="A147" s="1">
        <v>45288</v>
      </c>
      <c r="B147" t="s">
        <v>997</v>
      </c>
      <c r="C147" t="s">
        <v>96</v>
      </c>
      <c r="D147" t="s">
        <v>64</v>
      </c>
      <c r="E147" t="s">
        <v>29</v>
      </c>
      <c r="F147" t="s">
        <v>998</v>
      </c>
      <c r="G147" s="9" t="s">
        <v>994</v>
      </c>
      <c r="H147">
        <v>4000</v>
      </c>
      <c r="I147">
        <v>0</v>
      </c>
      <c r="J147" s="21">
        <v>45566</v>
      </c>
      <c r="K147" s="6" t="s">
        <v>67</v>
      </c>
      <c r="L147" t="s">
        <v>9</v>
      </c>
      <c r="M147" t="s">
        <v>9</v>
      </c>
      <c r="N147" t="s">
        <v>991</v>
      </c>
      <c r="S147" t="str">
        <f>TEXT(Table1[[#This Row],[Date]],"MMM-YY")</f>
        <v>Dec-23</v>
      </c>
      <c r="T147">
        <f>_xlfn.ISOWEEKNUM(Table1[[#This Row],[Date]])</f>
        <v>52</v>
      </c>
      <c r="U147" t="str">
        <f>TEXT(Table1[[#This Row],[Expected Business Month]],"YYYY")</f>
        <v>2024</v>
      </c>
    </row>
    <row r="148" spans="1:21" ht="29.1" hidden="1">
      <c r="A148" s="1">
        <v>45288</v>
      </c>
      <c r="B148" t="s">
        <v>999</v>
      </c>
      <c r="C148" t="s">
        <v>96</v>
      </c>
      <c r="D148" t="s">
        <v>20</v>
      </c>
      <c r="E148" t="s">
        <v>32</v>
      </c>
      <c r="F148" t="s">
        <v>1000</v>
      </c>
      <c r="G148" s="9" t="s">
        <v>1001</v>
      </c>
      <c r="H148">
        <v>12000</v>
      </c>
      <c r="I148">
        <v>0</v>
      </c>
      <c r="J148" s="21">
        <v>45323</v>
      </c>
      <c r="K148" s="6" t="s">
        <v>67</v>
      </c>
      <c r="L148" t="s">
        <v>9</v>
      </c>
      <c r="M148" t="s">
        <v>9</v>
      </c>
      <c r="N148" t="s">
        <v>831</v>
      </c>
      <c r="S148" t="str">
        <f>TEXT(Table1[[#This Row],[Date]],"MMM-YY")</f>
        <v>Dec-23</v>
      </c>
      <c r="T148">
        <f>_xlfn.ISOWEEKNUM(Table1[[#This Row],[Date]])</f>
        <v>52</v>
      </c>
      <c r="U148" t="str">
        <f>TEXT(Table1[[#This Row],[Expected Business Month]],"YYYY")</f>
        <v>2024</v>
      </c>
    </row>
    <row r="149" spans="1:21" hidden="1">
      <c r="A149" s="1">
        <v>45288</v>
      </c>
      <c r="B149" t="s">
        <v>1002</v>
      </c>
      <c r="C149" t="s">
        <v>96</v>
      </c>
      <c r="D149" t="s">
        <v>20</v>
      </c>
      <c r="E149" t="s">
        <v>23</v>
      </c>
      <c r="F149" t="s">
        <v>1003</v>
      </c>
      <c r="G149" s="9" t="s">
        <v>1004</v>
      </c>
      <c r="H149">
        <v>24000</v>
      </c>
      <c r="I149">
        <v>0</v>
      </c>
      <c r="J149" s="21">
        <v>45323</v>
      </c>
      <c r="K149" s="6" t="s">
        <v>67</v>
      </c>
      <c r="L149" t="s">
        <v>9</v>
      </c>
      <c r="M149" t="s">
        <v>9</v>
      </c>
      <c r="N149" t="s">
        <v>1005</v>
      </c>
      <c r="S149" t="str">
        <f>TEXT(Table1[[#This Row],[Date]],"MMM-YY")</f>
        <v>Dec-23</v>
      </c>
      <c r="T149">
        <f>_xlfn.ISOWEEKNUM(Table1[[#This Row],[Date]])</f>
        <v>52</v>
      </c>
      <c r="U149" t="str">
        <f>TEXT(Table1[[#This Row],[Expected Business Month]],"YYYY")</f>
        <v>2024</v>
      </c>
    </row>
    <row r="150" spans="1:21" hidden="1">
      <c r="A150" s="1">
        <v>45288</v>
      </c>
      <c r="B150" t="s">
        <v>1006</v>
      </c>
      <c r="C150" t="s">
        <v>96</v>
      </c>
      <c r="D150" t="s">
        <v>20</v>
      </c>
      <c r="E150" t="s">
        <v>23</v>
      </c>
      <c r="F150" t="s">
        <v>1007</v>
      </c>
      <c r="G150" s="9" t="s">
        <v>1008</v>
      </c>
      <c r="H150">
        <v>27000</v>
      </c>
      <c r="I150">
        <v>0</v>
      </c>
      <c r="J150" s="21">
        <v>45261</v>
      </c>
      <c r="K150" s="6" t="s">
        <v>67</v>
      </c>
      <c r="L150" t="s">
        <v>9</v>
      </c>
      <c r="M150" t="s">
        <v>9</v>
      </c>
      <c r="N150" t="s">
        <v>713</v>
      </c>
      <c r="S150" t="str">
        <f>TEXT(Table1[[#This Row],[Date]],"MMM-YY")</f>
        <v>Dec-23</v>
      </c>
      <c r="T150">
        <f>_xlfn.ISOWEEKNUM(Table1[[#This Row],[Date]])</f>
        <v>52</v>
      </c>
      <c r="U150" t="str">
        <f>TEXT(Table1[[#This Row],[Expected Business Month]],"YYYY")</f>
        <v>2023</v>
      </c>
    </row>
    <row r="151" spans="1:21" hidden="1">
      <c r="A151" s="1">
        <v>45288</v>
      </c>
      <c r="B151" t="s">
        <v>1009</v>
      </c>
      <c r="C151" t="s">
        <v>96</v>
      </c>
      <c r="D151" t="s">
        <v>64</v>
      </c>
      <c r="E151" t="s">
        <v>29</v>
      </c>
      <c r="F151" t="s">
        <v>1010</v>
      </c>
      <c r="G151" s="9" t="s">
        <v>994</v>
      </c>
      <c r="H151">
        <v>8000</v>
      </c>
      <c r="I151">
        <v>0</v>
      </c>
      <c r="J151" s="21">
        <v>45383</v>
      </c>
      <c r="K151" s="6" t="s">
        <v>67</v>
      </c>
      <c r="L151" t="s">
        <v>9</v>
      </c>
      <c r="M151" t="s">
        <v>9</v>
      </c>
      <c r="N151" t="s">
        <v>586</v>
      </c>
      <c r="S151" t="str">
        <f>TEXT(Table1[[#This Row],[Date]],"MMM-YY")</f>
        <v>Dec-23</v>
      </c>
      <c r="T151">
        <f>_xlfn.ISOWEEKNUM(Table1[[#This Row],[Date]])</f>
        <v>52</v>
      </c>
      <c r="U151" t="str">
        <f>TEXT(Table1[[#This Row],[Expected Business Month]],"YYYY")</f>
        <v>2024</v>
      </c>
    </row>
    <row r="152" spans="1:21" hidden="1">
      <c r="A152" s="1">
        <v>45288</v>
      </c>
      <c r="B152" t="s">
        <v>1011</v>
      </c>
      <c r="C152" t="s">
        <v>96</v>
      </c>
      <c r="D152" t="s">
        <v>64</v>
      </c>
      <c r="E152" t="s">
        <v>17</v>
      </c>
      <c r="F152" t="s">
        <v>824</v>
      </c>
      <c r="G152" s="9" t="s">
        <v>994</v>
      </c>
      <c r="H152">
        <v>5000</v>
      </c>
      <c r="I152">
        <v>0</v>
      </c>
      <c r="J152" s="21">
        <v>45383</v>
      </c>
      <c r="K152" s="6" t="s">
        <v>67</v>
      </c>
      <c r="L152" t="s">
        <v>9</v>
      </c>
      <c r="M152" t="s">
        <v>9</v>
      </c>
      <c r="N152" t="s">
        <v>586</v>
      </c>
      <c r="S152" t="str">
        <f>TEXT(Table1[[#This Row],[Date]],"MMM-YY")</f>
        <v>Dec-23</v>
      </c>
      <c r="T152">
        <f>_xlfn.ISOWEEKNUM(Table1[[#This Row],[Date]])</f>
        <v>52</v>
      </c>
      <c r="U152" t="str">
        <f>TEXT(Table1[[#This Row],[Expected Business Month]],"YYYY")</f>
        <v>2024</v>
      </c>
    </row>
    <row r="153" spans="1:21" ht="29.1" hidden="1">
      <c r="A153" s="1">
        <v>45288</v>
      </c>
      <c r="B153" t="s">
        <v>805</v>
      </c>
      <c r="C153" t="s">
        <v>63</v>
      </c>
      <c r="D153" t="s">
        <v>64</v>
      </c>
      <c r="E153" t="s">
        <v>26</v>
      </c>
      <c r="F153" t="s">
        <v>1012</v>
      </c>
      <c r="G153" s="9" t="s">
        <v>1013</v>
      </c>
      <c r="H153">
        <v>10000</v>
      </c>
      <c r="I153">
        <v>0</v>
      </c>
      <c r="J153" s="21">
        <v>45566</v>
      </c>
      <c r="K153" s="6" t="s">
        <v>67</v>
      </c>
      <c r="L153" t="s">
        <v>9</v>
      </c>
      <c r="M153" t="s">
        <v>9</v>
      </c>
      <c r="N153" t="s">
        <v>991</v>
      </c>
      <c r="S153" t="str">
        <f>TEXT(Table1[[#This Row],[Date]],"MMM-YY")</f>
        <v>Dec-23</v>
      </c>
      <c r="T153">
        <f>_xlfn.ISOWEEKNUM(Table1[[#This Row],[Date]])</f>
        <v>52</v>
      </c>
      <c r="U153" t="str">
        <f>TEXT(Table1[[#This Row],[Expected Business Month]],"YYYY")</f>
        <v>2024</v>
      </c>
    </row>
    <row r="154" spans="1:21" ht="29.1" hidden="1">
      <c r="A154" s="1">
        <v>45289</v>
      </c>
      <c r="B154" t="s">
        <v>1014</v>
      </c>
      <c r="C154" t="s">
        <v>96</v>
      </c>
      <c r="D154" t="s">
        <v>20</v>
      </c>
      <c r="E154" t="s">
        <v>18</v>
      </c>
      <c r="F154" t="s">
        <v>1015</v>
      </c>
      <c r="G154" s="9" t="s">
        <v>635</v>
      </c>
      <c r="H154">
        <v>10000</v>
      </c>
      <c r="I154">
        <v>0</v>
      </c>
      <c r="J154" s="21">
        <v>45383</v>
      </c>
      <c r="K154" s="6" t="s">
        <v>67</v>
      </c>
      <c r="L154" t="s">
        <v>9</v>
      </c>
      <c r="M154" t="s">
        <v>9</v>
      </c>
      <c r="N154" t="s">
        <v>586</v>
      </c>
      <c r="S154" t="str">
        <f>TEXT(Table1[[#This Row],[Date]],"MMM-YY")</f>
        <v>Dec-23</v>
      </c>
      <c r="T154">
        <f>_xlfn.ISOWEEKNUM(Table1[[#This Row],[Date]])</f>
        <v>52</v>
      </c>
      <c r="U154" t="str">
        <f>TEXT(Table1[[#This Row],[Expected Business Month]],"YYYY")</f>
        <v>2024</v>
      </c>
    </row>
    <row r="155" spans="1:21" hidden="1">
      <c r="A155" s="1">
        <v>45289</v>
      </c>
      <c r="B155" t="s">
        <v>1016</v>
      </c>
      <c r="C155" t="s">
        <v>96</v>
      </c>
      <c r="D155" t="s">
        <v>20</v>
      </c>
      <c r="E155" t="s">
        <v>32</v>
      </c>
      <c r="F155" t="s">
        <v>1017</v>
      </c>
      <c r="G155" s="9" t="s">
        <v>1018</v>
      </c>
      <c r="H155">
        <v>15000</v>
      </c>
      <c r="I155">
        <v>0</v>
      </c>
      <c r="J155" s="21">
        <v>45383</v>
      </c>
      <c r="K155" s="6" t="s">
        <v>67</v>
      </c>
      <c r="L155" t="s">
        <v>9</v>
      </c>
      <c r="M155" t="s">
        <v>9</v>
      </c>
      <c r="N155" t="s">
        <v>586</v>
      </c>
      <c r="S155" t="str">
        <f>TEXT(Table1[[#This Row],[Date]],"MMM-YY")</f>
        <v>Dec-23</v>
      </c>
      <c r="T155">
        <f>_xlfn.ISOWEEKNUM(Table1[[#This Row],[Date]])</f>
        <v>52</v>
      </c>
      <c r="U155" t="str">
        <f>TEXT(Table1[[#This Row],[Expected Business Month]],"YYYY")</f>
        <v>2024</v>
      </c>
    </row>
    <row r="156" spans="1:21" hidden="1">
      <c r="A156" s="1">
        <v>45289</v>
      </c>
      <c r="B156" t="s">
        <v>1019</v>
      </c>
      <c r="C156" t="s">
        <v>96</v>
      </c>
      <c r="D156" t="s">
        <v>20</v>
      </c>
      <c r="E156" t="s">
        <v>18</v>
      </c>
      <c r="F156" t="s">
        <v>1020</v>
      </c>
      <c r="G156" s="9" t="s">
        <v>1021</v>
      </c>
      <c r="H156">
        <v>20000</v>
      </c>
      <c r="I156">
        <v>0</v>
      </c>
      <c r="J156" s="21">
        <v>45383</v>
      </c>
      <c r="K156" s="6" t="s">
        <v>67</v>
      </c>
      <c r="L156" t="s">
        <v>9</v>
      </c>
      <c r="M156" t="s">
        <v>9</v>
      </c>
      <c r="N156" t="s">
        <v>586</v>
      </c>
      <c r="S156" t="str">
        <f>TEXT(Table1[[#This Row],[Date]],"MMM-YY")</f>
        <v>Dec-23</v>
      </c>
      <c r="T156">
        <f>_xlfn.ISOWEEKNUM(Table1[[#This Row],[Date]])</f>
        <v>52</v>
      </c>
      <c r="U156" t="str">
        <f>TEXT(Table1[[#This Row],[Expected Business Month]],"YYYY")</f>
        <v>2024</v>
      </c>
    </row>
    <row r="157" spans="1:21" ht="29.1" hidden="1">
      <c r="A157" s="1">
        <v>45289</v>
      </c>
      <c r="B157" t="s">
        <v>1022</v>
      </c>
      <c r="C157" t="s">
        <v>96</v>
      </c>
      <c r="D157" t="s">
        <v>20</v>
      </c>
      <c r="E157" t="s">
        <v>18</v>
      </c>
      <c r="F157" t="s">
        <v>879</v>
      </c>
      <c r="G157" s="9" t="s">
        <v>635</v>
      </c>
      <c r="H157">
        <v>10000</v>
      </c>
      <c r="I157">
        <v>0</v>
      </c>
      <c r="J157" s="21">
        <v>45383</v>
      </c>
      <c r="K157" s="6" t="s">
        <v>67</v>
      </c>
      <c r="L157" t="s">
        <v>9</v>
      </c>
      <c r="M157" t="s">
        <v>9</v>
      </c>
      <c r="N157" t="s">
        <v>586</v>
      </c>
      <c r="S157" t="str">
        <f>TEXT(Table1[[#This Row],[Date]],"MMM-YY")</f>
        <v>Dec-23</v>
      </c>
      <c r="T157">
        <f>_xlfn.ISOWEEKNUM(Table1[[#This Row],[Date]])</f>
        <v>52</v>
      </c>
      <c r="U157" t="str">
        <f>TEXT(Table1[[#This Row],[Expected Business Month]],"YYYY")</f>
        <v>2024</v>
      </c>
    </row>
    <row r="158" spans="1:21" ht="29.1" hidden="1">
      <c r="A158" s="1">
        <v>45289</v>
      </c>
      <c r="B158" t="s">
        <v>1023</v>
      </c>
      <c r="C158" t="s">
        <v>96</v>
      </c>
      <c r="D158" t="s">
        <v>20</v>
      </c>
      <c r="E158" t="s">
        <v>26</v>
      </c>
      <c r="F158" t="s">
        <v>1024</v>
      </c>
      <c r="G158" s="9" t="s">
        <v>1025</v>
      </c>
      <c r="H158">
        <v>20000</v>
      </c>
      <c r="I158">
        <v>0</v>
      </c>
      <c r="J158" s="21">
        <v>45444</v>
      </c>
      <c r="K158" s="6" t="s">
        <v>67</v>
      </c>
      <c r="L158" t="s">
        <v>9</v>
      </c>
      <c r="M158" t="s">
        <v>9</v>
      </c>
      <c r="N158" t="s">
        <v>602</v>
      </c>
      <c r="S158" t="str">
        <f>TEXT(Table1[[#This Row],[Date]],"MMM-YY")</f>
        <v>Dec-23</v>
      </c>
      <c r="T158">
        <f>_xlfn.ISOWEEKNUM(Table1[[#This Row],[Date]])</f>
        <v>52</v>
      </c>
      <c r="U158" t="str">
        <f>TEXT(Table1[[#This Row],[Expected Business Month]],"YYYY")</f>
        <v>2024</v>
      </c>
    </row>
    <row r="159" spans="1:21" hidden="1">
      <c r="A159" s="1">
        <v>45290</v>
      </c>
      <c r="B159" t="s">
        <v>324</v>
      </c>
      <c r="C159" t="s">
        <v>96</v>
      </c>
      <c r="D159" t="s">
        <v>20</v>
      </c>
      <c r="E159" t="s">
        <v>38</v>
      </c>
      <c r="F159" t="s">
        <v>1026</v>
      </c>
      <c r="G159" s="9" t="s">
        <v>1027</v>
      </c>
      <c r="H159">
        <v>27339</v>
      </c>
      <c r="I159">
        <v>27339</v>
      </c>
      <c r="J159" s="21">
        <v>45292</v>
      </c>
      <c r="K159" s="7" t="s">
        <v>99</v>
      </c>
      <c r="L159" t="s">
        <v>68</v>
      </c>
      <c r="M159" t="s">
        <v>69</v>
      </c>
      <c r="O159">
        <v>0</v>
      </c>
      <c r="S159" t="str">
        <f>TEXT(Table1[[#This Row],[Date]],"MMM-YY")</f>
        <v>Dec-23</v>
      </c>
      <c r="T159">
        <f>_xlfn.ISOWEEKNUM(Table1[[#This Row],[Date]])</f>
        <v>52</v>
      </c>
      <c r="U159" t="str">
        <f>TEXT(Table1[[#This Row],[Expected Business Month]],"YYYY")</f>
        <v>2024</v>
      </c>
    </row>
    <row r="160" spans="1:21" hidden="1">
      <c r="A160" s="1">
        <v>45290</v>
      </c>
      <c r="B160" t="s">
        <v>1028</v>
      </c>
      <c r="C160" t="s">
        <v>96</v>
      </c>
      <c r="D160" t="s">
        <v>20</v>
      </c>
      <c r="E160" t="s">
        <v>23</v>
      </c>
      <c r="F160" t="s">
        <v>718</v>
      </c>
      <c r="G160" s="9" t="s">
        <v>1029</v>
      </c>
      <c r="H160">
        <v>10000</v>
      </c>
      <c r="I160">
        <v>10000</v>
      </c>
      <c r="J160" s="21">
        <v>45292</v>
      </c>
      <c r="K160" s="7" t="s">
        <v>99</v>
      </c>
      <c r="L160" t="s">
        <v>68</v>
      </c>
      <c r="M160" t="s">
        <v>69</v>
      </c>
      <c r="S160" t="str">
        <f>TEXT(Table1[[#This Row],[Date]],"MMM-YY")</f>
        <v>Dec-23</v>
      </c>
      <c r="T160">
        <f>_xlfn.ISOWEEKNUM(Table1[[#This Row],[Date]])</f>
        <v>52</v>
      </c>
      <c r="U160" t="str">
        <f>TEXT(Table1[[#This Row],[Expected Business Month]],"YYYY")</f>
        <v>2024</v>
      </c>
    </row>
    <row r="161" spans="1:21" hidden="1">
      <c r="A161" s="1">
        <v>45291</v>
      </c>
      <c r="B161" t="s">
        <v>1030</v>
      </c>
      <c r="C161" t="s">
        <v>96</v>
      </c>
      <c r="D161" t="s">
        <v>64</v>
      </c>
      <c r="E161" t="s">
        <v>26</v>
      </c>
      <c r="F161" t="s">
        <v>1031</v>
      </c>
      <c r="G161" s="9" t="s">
        <v>871</v>
      </c>
      <c r="H161">
        <v>5000</v>
      </c>
      <c r="I161">
        <v>0</v>
      </c>
      <c r="J161" s="21">
        <v>45383</v>
      </c>
      <c r="K161" s="6" t="s">
        <v>67</v>
      </c>
      <c r="L161" t="s">
        <v>9</v>
      </c>
      <c r="M161" t="s">
        <v>9</v>
      </c>
      <c r="N161" t="s">
        <v>586</v>
      </c>
      <c r="S161" t="str">
        <f>TEXT(Table1[[#This Row],[Date]],"MMM-YY")</f>
        <v>Dec-23</v>
      </c>
      <c r="T161">
        <f>_xlfn.ISOWEEKNUM(Table1[[#This Row],[Date]])</f>
        <v>52</v>
      </c>
      <c r="U161" t="str">
        <f>TEXT(Table1[[#This Row],[Expected Business Month]],"YYYY")</f>
        <v>2024</v>
      </c>
    </row>
    <row r="162" spans="1:21" hidden="1">
      <c r="A162" s="1">
        <v>45291</v>
      </c>
      <c r="B162" t="s">
        <v>1032</v>
      </c>
      <c r="C162" t="s">
        <v>96</v>
      </c>
      <c r="D162" t="s">
        <v>20</v>
      </c>
      <c r="E162" t="s">
        <v>23</v>
      </c>
      <c r="F162" t="s">
        <v>1033</v>
      </c>
      <c r="G162" s="9" t="s">
        <v>1034</v>
      </c>
      <c r="H162">
        <v>30000</v>
      </c>
      <c r="I162">
        <v>0</v>
      </c>
      <c r="J162" s="21">
        <v>45292</v>
      </c>
      <c r="K162" s="6" t="s">
        <v>67</v>
      </c>
      <c r="L162" t="s">
        <v>9</v>
      </c>
      <c r="M162" t="s">
        <v>9</v>
      </c>
      <c r="N162" t="s">
        <v>831</v>
      </c>
      <c r="S162" t="str">
        <f>TEXT(Table1[[#This Row],[Date]],"MMM-YY")</f>
        <v>Dec-23</v>
      </c>
      <c r="T162">
        <f>_xlfn.ISOWEEKNUM(Table1[[#This Row],[Date]])</f>
        <v>52</v>
      </c>
      <c r="U162" t="str">
        <f>TEXT(Table1[[#This Row],[Expected Business Month]],"YYYY")</f>
        <v>2024</v>
      </c>
    </row>
    <row r="163" spans="1:21" hidden="1">
      <c r="A163" s="1">
        <v>45291</v>
      </c>
      <c r="B163" t="s">
        <v>1035</v>
      </c>
      <c r="C163" t="s">
        <v>96</v>
      </c>
      <c r="D163" t="s">
        <v>20</v>
      </c>
      <c r="E163" t="s">
        <v>23</v>
      </c>
      <c r="F163" t="s">
        <v>233</v>
      </c>
      <c r="G163" s="9" t="s">
        <v>1036</v>
      </c>
      <c r="H163">
        <v>5000</v>
      </c>
      <c r="I163">
        <v>5000</v>
      </c>
      <c r="J163" s="21">
        <v>45292</v>
      </c>
      <c r="K163" s="7" t="s">
        <v>99</v>
      </c>
      <c r="L163" t="s">
        <v>68</v>
      </c>
      <c r="M163" t="s">
        <v>69</v>
      </c>
      <c r="S163" t="str">
        <f>TEXT(Table1[[#This Row],[Date]],"MMM-YY")</f>
        <v>Dec-23</v>
      </c>
      <c r="T163">
        <f>_xlfn.ISOWEEKNUM(Table1[[#This Row],[Date]])</f>
        <v>52</v>
      </c>
      <c r="U163" t="str">
        <f>TEXT(Table1[[#This Row],[Expected Business Month]],"YYYY")</f>
        <v>2024</v>
      </c>
    </row>
    <row r="164" spans="1:21" hidden="1">
      <c r="A164" s="1">
        <v>45292</v>
      </c>
      <c r="B164" t="s">
        <v>1037</v>
      </c>
      <c r="C164" t="s">
        <v>96</v>
      </c>
      <c r="D164" t="s">
        <v>20</v>
      </c>
      <c r="E164" t="s">
        <v>23</v>
      </c>
      <c r="F164" t="s">
        <v>1038</v>
      </c>
      <c r="G164" s="9" t="s">
        <v>1039</v>
      </c>
      <c r="H164">
        <v>5500</v>
      </c>
      <c r="I164">
        <v>5500</v>
      </c>
      <c r="J164" s="21">
        <v>45292</v>
      </c>
      <c r="K164" s="7" t="s">
        <v>67</v>
      </c>
      <c r="L164" t="s">
        <v>68</v>
      </c>
      <c r="M164" t="s">
        <v>69</v>
      </c>
      <c r="S164" t="str">
        <f>TEXT(Table1[[#This Row],[Date]],"MMM-YY")</f>
        <v>Jan-24</v>
      </c>
      <c r="T164">
        <f>_xlfn.ISOWEEKNUM(Table1[[#This Row],[Date]])</f>
        <v>1</v>
      </c>
      <c r="U164" t="str">
        <f>TEXT(Table1[[#This Row],[Expected Business Month]],"YYYY")</f>
        <v>2024</v>
      </c>
    </row>
    <row r="165" spans="1:21" hidden="1">
      <c r="A165" s="1">
        <v>45292</v>
      </c>
      <c r="B165" t="s">
        <v>749</v>
      </c>
      <c r="C165" t="s">
        <v>96</v>
      </c>
      <c r="D165" t="s">
        <v>64</v>
      </c>
      <c r="E165" t="s">
        <v>26</v>
      </c>
      <c r="F165" t="s">
        <v>1040</v>
      </c>
      <c r="G165" s="9" t="s">
        <v>871</v>
      </c>
      <c r="H165">
        <v>10000</v>
      </c>
      <c r="I165">
        <v>0</v>
      </c>
      <c r="J165" s="21">
        <v>45444</v>
      </c>
      <c r="K165" s="7" t="s">
        <v>67</v>
      </c>
      <c r="L165" t="s">
        <v>9</v>
      </c>
      <c r="M165" t="s">
        <v>9</v>
      </c>
      <c r="N165" t="s">
        <v>602</v>
      </c>
      <c r="S165" t="str">
        <f>TEXT(Table1[[#This Row],[Date]],"MMM-YY")</f>
        <v>Jan-24</v>
      </c>
      <c r="T165">
        <f>_xlfn.ISOWEEKNUM(Table1[[#This Row],[Date]])</f>
        <v>1</v>
      </c>
      <c r="U165" t="str">
        <f>TEXT(Table1[[#This Row],[Expected Business Month]],"YYYY")</f>
        <v>2024</v>
      </c>
    </row>
    <row r="166" spans="1:21" ht="29.1" hidden="1">
      <c r="A166" s="1">
        <v>45292</v>
      </c>
      <c r="B166" t="s">
        <v>1041</v>
      </c>
      <c r="C166" t="s">
        <v>96</v>
      </c>
      <c r="D166" t="s">
        <v>64</v>
      </c>
      <c r="E166" t="s">
        <v>28</v>
      </c>
      <c r="F166" t="s">
        <v>1042</v>
      </c>
      <c r="G166" s="9" t="s">
        <v>1043</v>
      </c>
      <c r="H166">
        <v>8000</v>
      </c>
      <c r="I166">
        <v>0</v>
      </c>
      <c r="J166" s="21">
        <v>45444</v>
      </c>
      <c r="K166" s="7" t="s">
        <v>67</v>
      </c>
      <c r="L166" t="s">
        <v>9</v>
      </c>
      <c r="M166" t="s">
        <v>9</v>
      </c>
      <c r="N166" t="s">
        <v>602</v>
      </c>
      <c r="S166" t="str">
        <f>TEXT(Table1[[#This Row],[Date]],"MMM-YY")</f>
        <v>Jan-24</v>
      </c>
      <c r="T166">
        <f>_xlfn.ISOWEEKNUM(Table1[[#This Row],[Date]])</f>
        <v>1</v>
      </c>
      <c r="U166" t="str">
        <f>TEXT(Table1[[#This Row],[Expected Business Month]],"YYYY")</f>
        <v>2024</v>
      </c>
    </row>
    <row r="167" spans="1:21" hidden="1">
      <c r="A167" s="1">
        <v>45293</v>
      </c>
      <c r="B167" t="s">
        <v>1044</v>
      </c>
      <c r="C167" t="s">
        <v>96</v>
      </c>
      <c r="D167" t="s">
        <v>64</v>
      </c>
      <c r="E167" t="s">
        <v>25</v>
      </c>
      <c r="F167" t="s">
        <v>1045</v>
      </c>
      <c r="G167" s="9" t="s">
        <v>1046</v>
      </c>
      <c r="H167">
        <v>10000</v>
      </c>
      <c r="I167">
        <v>10000</v>
      </c>
      <c r="J167" s="21">
        <v>45292</v>
      </c>
      <c r="K167" s="7" t="s">
        <v>67</v>
      </c>
      <c r="L167" t="s">
        <v>68</v>
      </c>
      <c r="M167" t="s">
        <v>69</v>
      </c>
      <c r="S167" t="str">
        <f>TEXT(Table1[[#This Row],[Date]],"MMM-YY")</f>
        <v>Jan-24</v>
      </c>
      <c r="T167">
        <f>_xlfn.ISOWEEKNUM(Table1[[#This Row],[Date]])</f>
        <v>1</v>
      </c>
      <c r="U167" t="str">
        <f>TEXT(Table1[[#This Row],[Expected Business Month]],"YYYY")</f>
        <v>2024</v>
      </c>
    </row>
    <row r="168" spans="1:21" ht="29.1" hidden="1">
      <c r="A168" s="1">
        <v>45293</v>
      </c>
      <c r="B168" t="s">
        <v>1047</v>
      </c>
      <c r="C168" t="s">
        <v>63</v>
      </c>
      <c r="D168" t="s">
        <v>64</v>
      </c>
      <c r="E168" t="s">
        <v>28</v>
      </c>
      <c r="F168" t="s">
        <v>1048</v>
      </c>
      <c r="G168" s="9" t="s">
        <v>1049</v>
      </c>
      <c r="H168">
        <v>292500</v>
      </c>
      <c r="I168">
        <v>292500</v>
      </c>
      <c r="J168" s="21">
        <v>45292</v>
      </c>
      <c r="K168" s="7" t="s">
        <v>67</v>
      </c>
      <c r="L168" t="s">
        <v>68</v>
      </c>
      <c r="M168" t="s">
        <v>69</v>
      </c>
      <c r="S168" t="str">
        <f>TEXT(Table1[[#This Row],[Date]],"MMM-YY")</f>
        <v>Jan-24</v>
      </c>
      <c r="T168">
        <f>_xlfn.ISOWEEKNUM(Table1[[#This Row],[Date]])</f>
        <v>1</v>
      </c>
      <c r="U168" t="str">
        <f>TEXT(Table1[[#This Row],[Expected Business Month]],"YYYY")</f>
        <v>2024</v>
      </c>
    </row>
    <row r="169" spans="1:21" ht="29.1" hidden="1">
      <c r="A169" s="1">
        <v>45293</v>
      </c>
      <c r="B169" t="s">
        <v>1050</v>
      </c>
      <c r="C169" t="s">
        <v>96</v>
      </c>
      <c r="D169" t="s">
        <v>64</v>
      </c>
      <c r="E169" t="s">
        <v>26</v>
      </c>
      <c r="F169" t="s">
        <v>1051</v>
      </c>
      <c r="G169" s="9" t="s">
        <v>635</v>
      </c>
      <c r="H169">
        <v>10000</v>
      </c>
      <c r="I169">
        <v>0</v>
      </c>
      <c r="J169" s="21">
        <v>45444</v>
      </c>
      <c r="K169" s="7" t="s">
        <v>67</v>
      </c>
      <c r="L169" t="s">
        <v>9</v>
      </c>
      <c r="M169" t="s">
        <v>9</v>
      </c>
      <c r="N169" t="s">
        <v>602</v>
      </c>
      <c r="S169" t="str">
        <f>TEXT(Table1[[#This Row],[Date]],"MMM-YY")</f>
        <v>Jan-24</v>
      </c>
      <c r="T169">
        <f>_xlfn.ISOWEEKNUM(Table1[[#This Row],[Date]])</f>
        <v>1</v>
      </c>
      <c r="U169" t="str">
        <f>TEXT(Table1[[#This Row],[Expected Business Month]],"YYYY")</f>
        <v>2024</v>
      </c>
    </row>
    <row r="170" spans="1:21" ht="29.1" hidden="1">
      <c r="A170" s="1">
        <v>45293</v>
      </c>
      <c r="B170" t="s">
        <v>1052</v>
      </c>
      <c r="C170" t="s">
        <v>96</v>
      </c>
      <c r="D170" t="s">
        <v>618</v>
      </c>
      <c r="E170" t="s">
        <v>18</v>
      </c>
      <c r="F170" t="s">
        <v>371</v>
      </c>
      <c r="G170" s="9" t="s">
        <v>635</v>
      </c>
      <c r="H170">
        <v>5000</v>
      </c>
      <c r="I170">
        <v>0</v>
      </c>
      <c r="J170" s="21">
        <v>45352</v>
      </c>
      <c r="K170" s="7" t="s">
        <v>67</v>
      </c>
      <c r="L170" t="s">
        <v>9</v>
      </c>
      <c r="M170" t="s">
        <v>9</v>
      </c>
      <c r="N170" t="s">
        <v>586</v>
      </c>
      <c r="S170" t="str">
        <f>TEXT(Table1[[#This Row],[Date]],"MMM-YY")</f>
        <v>Jan-24</v>
      </c>
      <c r="T170">
        <f>_xlfn.ISOWEEKNUM(Table1[[#This Row],[Date]])</f>
        <v>1</v>
      </c>
      <c r="U170" t="str">
        <f>TEXT(Table1[[#This Row],[Expected Business Month]],"YYYY")</f>
        <v>2024</v>
      </c>
    </row>
    <row r="171" spans="1:21" ht="29.1" hidden="1">
      <c r="A171" s="1">
        <v>45293</v>
      </c>
      <c r="B171" t="s">
        <v>1053</v>
      </c>
      <c r="C171" t="s">
        <v>96</v>
      </c>
      <c r="D171" t="s">
        <v>64</v>
      </c>
      <c r="E171" t="s">
        <v>28</v>
      </c>
      <c r="F171" t="s">
        <v>1054</v>
      </c>
      <c r="G171" s="9" t="s">
        <v>635</v>
      </c>
      <c r="H171">
        <v>4000</v>
      </c>
      <c r="I171">
        <v>0</v>
      </c>
      <c r="J171" s="21">
        <v>45566</v>
      </c>
      <c r="K171" s="7" t="s">
        <v>67</v>
      </c>
      <c r="L171" t="s">
        <v>9</v>
      </c>
      <c r="M171" t="s">
        <v>9</v>
      </c>
      <c r="N171" t="s">
        <v>991</v>
      </c>
      <c r="S171" t="str">
        <f>TEXT(Table1[[#This Row],[Date]],"MMM-YY")</f>
        <v>Jan-24</v>
      </c>
      <c r="T171">
        <f>_xlfn.ISOWEEKNUM(Table1[[#This Row],[Date]])</f>
        <v>1</v>
      </c>
      <c r="U171" t="str">
        <f>TEXT(Table1[[#This Row],[Expected Business Month]],"YYYY")</f>
        <v>2024</v>
      </c>
    </row>
    <row r="172" spans="1:21" ht="29.1" hidden="1">
      <c r="A172" s="1">
        <v>45293</v>
      </c>
      <c r="B172" t="s">
        <v>1055</v>
      </c>
      <c r="C172" t="s">
        <v>96</v>
      </c>
      <c r="D172" t="s">
        <v>64</v>
      </c>
      <c r="E172" t="s">
        <v>17</v>
      </c>
      <c r="F172" t="s">
        <v>1056</v>
      </c>
      <c r="G172" s="9" t="s">
        <v>635</v>
      </c>
      <c r="H172">
        <v>0</v>
      </c>
      <c r="I172">
        <v>0</v>
      </c>
      <c r="J172" s="21">
        <v>45566</v>
      </c>
      <c r="K172" s="7" t="s">
        <v>67</v>
      </c>
      <c r="L172" t="s">
        <v>9</v>
      </c>
      <c r="M172" t="s">
        <v>9</v>
      </c>
      <c r="N172" t="s">
        <v>991</v>
      </c>
      <c r="S172" t="str">
        <f>TEXT(Table1[[#This Row],[Date]],"MMM-YY")</f>
        <v>Jan-24</v>
      </c>
      <c r="T172">
        <f>_xlfn.ISOWEEKNUM(Table1[[#This Row],[Date]])</f>
        <v>1</v>
      </c>
      <c r="U172" t="str">
        <f>TEXT(Table1[[#This Row],[Expected Business Month]],"YYYY")</f>
        <v>2024</v>
      </c>
    </row>
    <row r="173" spans="1:21" hidden="1">
      <c r="A173" s="1">
        <v>45294</v>
      </c>
      <c r="B173" t="s">
        <v>1057</v>
      </c>
      <c r="C173" t="s">
        <v>96</v>
      </c>
      <c r="D173" t="s">
        <v>64</v>
      </c>
      <c r="E173" t="s">
        <v>17</v>
      </c>
      <c r="F173" t="s">
        <v>1058</v>
      </c>
      <c r="G173" s="9" t="s">
        <v>1059</v>
      </c>
      <c r="H173">
        <v>10000</v>
      </c>
      <c r="I173">
        <v>0</v>
      </c>
      <c r="J173" s="21">
        <v>45352</v>
      </c>
      <c r="K173" s="7" t="s">
        <v>67</v>
      </c>
      <c r="L173" t="s">
        <v>9</v>
      </c>
      <c r="M173" t="s">
        <v>9</v>
      </c>
      <c r="N173" t="s">
        <v>586</v>
      </c>
      <c r="S173" t="str">
        <f>TEXT(Table1[[#This Row],[Date]],"MMM-YY")</f>
        <v>Jan-24</v>
      </c>
      <c r="T173">
        <f>_xlfn.ISOWEEKNUM(Table1[[#This Row],[Date]])</f>
        <v>1</v>
      </c>
      <c r="U173" t="str">
        <f>TEXT(Table1[[#This Row],[Expected Business Month]],"YYYY")</f>
        <v>2024</v>
      </c>
    </row>
    <row r="174" spans="1:21" hidden="1">
      <c r="A174" s="1">
        <v>45294</v>
      </c>
      <c r="B174" t="s">
        <v>1060</v>
      </c>
      <c r="C174" t="s">
        <v>96</v>
      </c>
      <c r="D174" t="s">
        <v>20</v>
      </c>
      <c r="E174" t="s">
        <v>18</v>
      </c>
      <c r="F174" t="s">
        <v>1061</v>
      </c>
      <c r="G174" s="9" t="s">
        <v>1062</v>
      </c>
      <c r="H174">
        <v>5000</v>
      </c>
      <c r="I174">
        <v>0</v>
      </c>
      <c r="J174" s="21">
        <v>45292</v>
      </c>
      <c r="K174" s="7" t="s">
        <v>67</v>
      </c>
      <c r="L174" t="s">
        <v>9</v>
      </c>
      <c r="M174" t="s">
        <v>9</v>
      </c>
      <c r="S174" t="str">
        <f>TEXT(Table1[[#This Row],[Date]],"MMM-YY")</f>
        <v>Jan-24</v>
      </c>
      <c r="T174">
        <f>_xlfn.ISOWEEKNUM(Table1[[#This Row],[Date]])</f>
        <v>1</v>
      </c>
      <c r="U174" t="str">
        <f>TEXT(Table1[[#This Row],[Expected Business Month]],"YYYY")</f>
        <v>2024</v>
      </c>
    </row>
    <row r="175" spans="1:21" hidden="1">
      <c r="A175" s="1">
        <v>45294</v>
      </c>
      <c r="B175" t="s">
        <v>1063</v>
      </c>
      <c r="C175" t="s">
        <v>63</v>
      </c>
      <c r="D175" t="s">
        <v>64</v>
      </c>
      <c r="E175" t="s">
        <v>29</v>
      </c>
      <c r="F175" t="s">
        <v>1064</v>
      </c>
      <c r="G175" s="9" t="s">
        <v>1065</v>
      </c>
      <c r="H175">
        <v>10000</v>
      </c>
      <c r="I175">
        <v>0</v>
      </c>
      <c r="J175" s="21">
        <v>45292</v>
      </c>
      <c r="K175" s="7" t="s">
        <v>67</v>
      </c>
      <c r="L175" t="s">
        <v>9</v>
      </c>
      <c r="M175" t="s">
        <v>9</v>
      </c>
      <c r="S175" t="str">
        <f>TEXT(Table1[[#This Row],[Date]],"MMM-YY")</f>
        <v>Jan-24</v>
      </c>
      <c r="T175">
        <f>_xlfn.ISOWEEKNUM(Table1[[#This Row],[Date]])</f>
        <v>1</v>
      </c>
      <c r="U175" t="str">
        <f>TEXT(Table1[[#This Row],[Expected Business Month]],"YYYY")</f>
        <v>2024</v>
      </c>
    </row>
    <row r="176" spans="1:21" hidden="1">
      <c r="A176" s="1">
        <v>45294</v>
      </c>
      <c r="B176" t="s">
        <v>1066</v>
      </c>
      <c r="C176" t="s">
        <v>96</v>
      </c>
      <c r="D176" t="s">
        <v>64</v>
      </c>
      <c r="E176" t="s">
        <v>20</v>
      </c>
      <c r="F176" t="s">
        <v>1067</v>
      </c>
      <c r="G176" s="9" t="s">
        <v>1068</v>
      </c>
      <c r="H176">
        <v>20000</v>
      </c>
      <c r="I176">
        <v>0</v>
      </c>
      <c r="J176" s="21">
        <v>45323</v>
      </c>
      <c r="K176" s="7" t="s">
        <v>67</v>
      </c>
      <c r="L176" t="s">
        <v>9</v>
      </c>
      <c r="M176" t="s">
        <v>9</v>
      </c>
      <c r="S176" t="str">
        <f>TEXT(Table1[[#This Row],[Date]],"MMM-YY")</f>
        <v>Jan-24</v>
      </c>
      <c r="T176">
        <f>_xlfn.ISOWEEKNUM(Table1[[#This Row],[Date]])</f>
        <v>1</v>
      </c>
      <c r="U176" t="str">
        <f>TEXT(Table1[[#This Row],[Expected Business Month]],"YYYY")</f>
        <v>2024</v>
      </c>
    </row>
    <row r="177" spans="1:21" hidden="1">
      <c r="A177" s="1">
        <v>45294</v>
      </c>
      <c r="B177" t="s">
        <v>1069</v>
      </c>
      <c r="C177" t="s">
        <v>63</v>
      </c>
      <c r="D177" t="s">
        <v>64</v>
      </c>
      <c r="E177" t="s">
        <v>18</v>
      </c>
      <c r="F177" t="s">
        <v>1070</v>
      </c>
      <c r="G177" s="9" t="s">
        <v>1071</v>
      </c>
      <c r="H177">
        <v>10000</v>
      </c>
      <c r="I177">
        <v>0</v>
      </c>
      <c r="J177" s="21">
        <v>45292</v>
      </c>
      <c r="K177" s="7" t="s">
        <v>67</v>
      </c>
      <c r="L177" t="s">
        <v>9</v>
      </c>
      <c r="M177" t="s">
        <v>9</v>
      </c>
      <c r="S177" t="str">
        <f>TEXT(Table1[[#This Row],[Date]],"MMM-YY")</f>
        <v>Jan-24</v>
      </c>
      <c r="T177">
        <f>_xlfn.ISOWEEKNUM(Table1[[#This Row],[Date]])</f>
        <v>1</v>
      </c>
      <c r="U177" t="str">
        <f>TEXT(Table1[[#This Row],[Expected Business Month]],"YYYY")</f>
        <v>2024</v>
      </c>
    </row>
    <row r="178" spans="1:21" hidden="1">
      <c r="A178" s="1">
        <v>45294</v>
      </c>
      <c r="B178" t="s">
        <v>1072</v>
      </c>
      <c r="C178" t="s">
        <v>96</v>
      </c>
      <c r="D178" t="s">
        <v>20</v>
      </c>
      <c r="E178" t="s">
        <v>23</v>
      </c>
      <c r="F178" t="s">
        <v>1073</v>
      </c>
      <c r="G178" s="9" t="s">
        <v>1074</v>
      </c>
      <c r="H178">
        <v>8000</v>
      </c>
      <c r="I178">
        <v>0</v>
      </c>
      <c r="J178" s="21">
        <v>45292</v>
      </c>
      <c r="K178" s="7" t="s">
        <v>67</v>
      </c>
      <c r="L178" t="s">
        <v>9</v>
      </c>
      <c r="M178" t="s">
        <v>9</v>
      </c>
      <c r="N178" t="s">
        <v>822</v>
      </c>
      <c r="S178" t="str">
        <f>TEXT(Table1[[#This Row],[Date]],"MMM-YY")</f>
        <v>Jan-24</v>
      </c>
      <c r="T178">
        <f>_xlfn.ISOWEEKNUM(Table1[[#This Row],[Date]])</f>
        <v>1</v>
      </c>
      <c r="U178" t="str">
        <f>TEXT(Table1[[#This Row],[Expected Business Month]],"YYYY")</f>
        <v>2024</v>
      </c>
    </row>
    <row r="179" spans="1:21" ht="29.1" hidden="1">
      <c r="A179" s="1">
        <v>45294</v>
      </c>
      <c r="B179" t="s">
        <v>1075</v>
      </c>
      <c r="C179" t="s">
        <v>96</v>
      </c>
      <c r="D179" t="s">
        <v>64</v>
      </c>
      <c r="E179" t="s">
        <v>26</v>
      </c>
      <c r="F179" t="s">
        <v>1076</v>
      </c>
      <c r="G179" s="9" t="s">
        <v>635</v>
      </c>
      <c r="H179">
        <v>20000</v>
      </c>
      <c r="I179">
        <v>20000</v>
      </c>
      <c r="J179" s="21">
        <v>45292</v>
      </c>
      <c r="K179" s="7" t="s">
        <v>67</v>
      </c>
      <c r="L179" t="s">
        <v>68</v>
      </c>
      <c r="M179" t="s">
        <v>69</v>
      </c>
      <c r="S179" t="str">
        <f>TEXT(Table1[[#This Row],[Date]],"MMM-YY")</f>
        <v>Jan-24</v>
      </c>
      <c r="T179">
        <f>_xlfn.ISOWEEKNUM(Table1[[#This Row],[Date]])</f>
        <v>1</v>
      </c>
      <c r="U179" t="str">
        <f>TEXT(Table1[[#This Row],[Expected Business Month]],"YYYY")</f>
        <v>2024</v>
      </c>
    </row>
    <row r="180" spans="1:21" hidden="1">
      <c r="A180" s="1">
        <v>45294</v>
      </c>
      <c r="B180" t="s">
        <v>1077</v>
      </c>
      <c r="C180" t="s">
        <v>63</v>
      </c>
      <c r="D180" t="s">
        <v>20</v>
      </c>
      <c r="E180" t="s">
        <v>18</v>
      </c>
      <c r="F180" t="s">
        <v>1078</v>
      </c>
      <c r="G180" s="9" t="s">
        <v>1079</v>
      </c>
      <c r="H180">
        <v>30000</v>
      </c>
      <c r="I180">
        <v>0</v>
      </c>
      <c r="J180" s="21">
        <v>45383</v>
      </c>
      <c r="K180" s="7" t="s">
        <v>67</v>
      </c>
      <c r="L180" t="s">
        <v>9</v>
      </c>
      <c r="M180" t="s">
        <v>9</v>
      </c>
      <c r="N180" t="s">
        <v>586</v>
      </c>
      <c r="S180" t="str">
        <f>TEXT(Table1[[#This Row],[Date]],"MMM-YY")</f>
        <v>Jan-24</v>
      </c>
      <c r="T180">
        <f>_xlfn.ISOWEEKNUM(Table1[[#This Row],[Date]])</f>
        <v>1</v>
      </c>
      <c r="U180" t="str">
        <f>TEXT(Table1[[#This Row],[Expected Business Month]],"YYYY")</f>
        <v>2024</v>
      </c>
    </row>
    <row r="181" spans="1:21" ht="29.1" hidden="1">
      <c r="A181" s="1">
        <v>45295</v>
      </c>
      <c r="B181" t="s">
        <v>1080</v>
      </c>
      <c r="C181" t="s">
        <v>96</v>
      </c>
      <c r="D181" t="s">
        <v>64</v>
      </c>
      <c r="E181" t="s">
        <v>26</v>
      </c>
      <c r="F181" t="s">
        <v>1081</v>
      </c>
      <c r="G181" s="9" t="s">
        <v>1082</v>
      </c>
      <c r="H181">
        <v>10000</v>
      </c>
      <c r="I181">
        <v>0</v>
      </c>
      <c r="J181" s="21">
        <v>45383</v>
      </c>
      <c r="K181" s="7" t="s">
        <v>67</v>
      </c>
      <c r="L181" t="s">
        <v>9</v>
      </c>
      <c r="M181" t="s">
        <v>9</v>
      </c>
      <c r="N181" t="s">
        <v>586</v>
      </c>
      <c r="S181" t="str">
        <f>TEXT(Table1[[#This Row],[Date]],"MMM-YY")</f>
        <v>Jan-24</v>
      </c>
      <c r="T181">
        <f>_xlfn.ISOWEEKNUM(Table1[[#This Row],[Date]])</f>
        <v>1</v>
      </c>
      <c r="U181" t="str">
        <f>TEXT(Table1[[#This Row],[Expected Business Month]],"YYYY")</f>
        <v>2024</v>
      </c>
    </row>
    <row r="182" spans="1:21" ht="29.1" hidden="1">
      <c r="A182" s="1">
        <v>45295</v>
      </c>
      <c r="B182" t="s">
        <v>1083</v>
      </c>
      <c r="C182" t="s">
        <v>63</v>
      </c>
      <c r="D182" t="s">
        <v>64</v>
      </c>
      <c r="E182" t="s">
        <v>26</v>
      </c>
      <c r="F182" t="s">
        <v>1084</v>
      </c>
      <c r="G182" s="9" t="s">
        <v>1085</v>
      </c>
      <c r="H182">
        <v>0</v>
      </c>
      <c r="I182">
        <v>0</v>
      </c>
      <c r="J182" s="21">
        <v>45566</v>
      </c>
      <c r="K182" s="7" t="s">
        <v>67</v>
      </c>
      <c r="L182" t="s">
        <v>9</v>
      </c>
      <c r="M182" t="s">
        <v>9</v>
      </c>
      <c r="N182" t="s">
        <v>991</v>
      </c>
      <c r="S182" t="str">
        <f>TEXT(Table1[[#This Row],[Date]],"MMM-YY")</f>
        <v>Jan-24</v>
      </c>
      <c r="T182">
        <f>_xlfn.ISOWEEKNUM(Table1[[#This Row],[Date]])</f>
        <v>1</v>
      </c>
      <c r="U182" t="str">
        <f>TEXT(Table1[[#This Row],[Expected Business Month]],"YYYY")</f>
        <v>2024</v>
      </c>
    </row>
    <row r="183" spans="1:21" ht="29.1" hidden="1">
      <c r="A183" s="1">
        <v>45295</v>
      </c>
      <c r="B183" t="s">
        <v>1086</v>
      </c>
      <c r="C183" t="s">
        <v>96</v>
      </c>
      <c r="D183" t="s">
        <v>64</v>
      </c>
      <c r="E183" t="s">
        <v>26</v>
      </c>
      <c r="F183" t="s">
        <v>464</v>
      </c>
      <c r="G183" s="9" t="s">
        <v>1087</v>
      </c>
      <c r="H183">
        <v>33000</v>
      </c>
      <c r="I183">
        <v>0</v>
      </c>
      <c r="J183" s="21">
        <v>45292</v>
      </c>
      <c r="K183" s="7" t="s">
        <v>67</v>
      </c>
      <c r="L183" t="s">
        <v>9</v>
      </c>
      <c r="M183" t="s">
        <v>9</v>
      </c>
      <c r="N183" t="s">
        <v>1088</v>
      </c>
      <c r="S183" t="str">
        <f>TEXT(Table1[[#This Row],[Date]],"MMM-YY")</f>
        <v>Jan-24</v>
      </c>
      <c r="T183">
        <f>_xlfn.ISOWEEKNUM(Table1[[#This Row],[Date]])</f>
        <v>1</v>
      </c>
      <c r="U183" t="str">
        <f>TEXT(Table1[[#This Row],[Expected Business Month]],"YYYY")</f>
        <v>2024</v>
      </c>
    </row>
    <row r="184" spans="1:21" hidden="1">
      <c r="A184" s="1">
        <v>45295</v>
      </c>
      <c r="B184" t="s">
        <v>1089</v>
      </c>
      <c r="C184" t="s">
        <v>96</v>
      </c>
      <c r="D184" t="s">
        <v>64</v>
      </c>
      <c r="E184" t="s">
        <v>26</v>
      </c>
      <c r="F184" t="s">
        <v>1090</v>
      </c>
      <c r="G184" s="9" t="s">
        <v>1091</v>
      </c>
      <c r="H184">
        <v>10000</v>
      </c>
      <c r="I184">
        <v>0</v>
      </c>
      <c r="J184" s="21">
        <v>45383</v>
      </c>
      <c r="K184" s="7" t="s">
        <v>67</v>
      </c>
      <c r="L184" t="s">
        <v>9</v>
      </c>
      <c r="M184" t="s">
        <v>9</v>
      </c>
      <c r="N184" t="s">
        <v>586</v>
      </c>
      <c r="S184" t="str">
        <f>TEXT(Table1[[#This Row],[Date]],"MMM-YY")</f>
        <v>Jan-24</v>
      </c>
      <c r="T184">
        <f>_xlfn.ISOWEEKNUM(Table1[[#This Row],[Date]])</f>
        <v>1</v>
      </c>
      <c r="U184" t="str">
        <f>TEXT(Table1[[#This Row],[Expected Business Month]],"YYYY")</f>
        <v>2024</v>
      </c>
    </row>
    <row r="185" spans="1:21" ht="29.1" hidden="1">
      <c r="A185" s="1">
        <v>45295</v>
      </c>
      <c r="B185" t="s">
        <v>1092</v>
      </c>
      <c r="C185" t="s">
        <v>96</v>
      </c>
      <c r="D185" t="s">
        <v>20</v>
      </c>
      <c r="E185" t="s">
        <v>23</v>
      </c>
      <c r="F185" t="s">
        <v>1093</v>
      </c>
      <c r="G185" s="9" t="s">
        <v>1094</v>
      </c>
      <c r="H185">
        <v>16000</v>
      </c>
      <c r="I185">
        <v>0</v>
      </c>
      <c r="J185" s="21">
        <v>45323</v>
      </c>
      <c r="K185" s="7" t="s">
        <v>67</v>
      </c>
      <c r="L185" t="s">
        <v>9</v>
      </c>
      <c r="M185" t="s">
        <v>9</v>
      </c>
      <c r="N185" t="s">
        <v>1095</v>
      </c>
      <c r="S185" t="str">
        <f>TEXT(Table1[[#This Row],[Date]],"MMM-YY")</f>
        <v>Jan-24</v>
      </c>
      <c r="T185">
        <f>_xlfn.ISOWEEKNUM(Table1[[#This Row],[Date]])</f>
        <v>1</v>
      </c>
      <c r="U185" t="str">
        <f>TEXT(Table1[[#This Row],[Expected Business Month]],"YYYY")</f>
        <v>2024</v>
      </c>
    </row>
    <row r="186" spans="1:21" hidden="1">
      <c r="A186" s="1">
        <v>45295</v>
      </c>
      <c r="B186" t="s">
        <v>1096</v>
      </c>
      <c r="C186" t="s">
        <v>96</v>
      </c>
      <c r="D186" t="s">
        <v>20</v>
      </c>
      <c r="E186" t="s">
        <v>23</v>
      </c>
      <c r="F186" t="s">
        <v>1097</v>
      </c>
      <c r="G186" s="9" t="s">
        <v>1098</v>
      </c>
      <c r="H186">
        <v>15000</v>
      </c>
      <c r="I186">
        <v>0</v>
      </c>
      <c r="J186" s="21">
        <v>45292</v>
      </c>
      <c r="K186" s="7" t="s">
        <v>67</v>
      </c>
      <c r="L186" t="s">
        <v>9</v>
      </c>
      <c r="M186" t="s">
        <v>9</v>
      </c>
      <c r="N186" t="s">
        <v>1099</v>
      </c>
      <c r="S186" t="str">
        <f>TEXT(Table1[[#This Row],[Date]],"MMM-YY")</f>
        <v>Jan-24</v>
      </c>
      <c r="T186">
        <f>_xlfn.ISOWEEKNUM(Table1[[#This Row],[Date]])</f>
        <v>1</v>
      </c>
      <c r="U186" t="str">
        <f>TEXT(Table1[[#This Row],[Expected Business Month]],"YYYY")</f>
        <v>2024</v>
      </c>
    </row>
    <row r="187" spans="1:21" hidden="1">
      <c r="A187" s="1">
        <v>45295</v>
      </c>
      <c r="B187" t="s">
        <v>1100</v>
      </c>
      <c r="C187" t="s">
        <v>63</v>
      </c>
      <c r="D187" t="s">
        <v>20</v>
      </c>
      <c r="E187" t="s">
        <v>18</v>
      </c>
      <c r="F187" t="s">
        <v>1070</v>
      </c>
      <c r="G187" s="9" t="s">
        <v>1101</v>
      </c>
      <c r="H187">
        <v>5000</v>
      </c>
      <c r="I187">
        <v>0</v>
      </c>
      <c r="J187" s="21">
        <v>45352</v>
      </c>
      <c r="K187" s="7" t="s">
        <v>67</v>
      </c>
      <c r="L187" t="s">
        <v>9</v>
      </c>
      <c r="M187" t="s">
        <v>9</v>
      </c>
      <c r="N187" t="s">
        <v>831</v>
      </c>
      <c r="S187" t="str">
        <f>TEXT(Table1[[#This Row],[Date]],"MMM-YY")</f>
        <v>Jan-24</v>
      </c>
      <c r="T187">
        <f>_xlfn.ISOWEEKNUM(Table1[[#This Row],[Date]])</f>
        <v>1</v>
      </c>
      <c r="U187" t="str">
        <f>TEXT(Table1[[#This Row],[Expected Business Month]],"YYYY")</f>
        <v>2024</v>
      </c>
    </row>
    <row r="188" spans="1:21" hidden="1">
      <c r="A188" s="1">
        <v>45295</v>
      </c>
      <c r="B188" t="s">
        <v>1102</v>
      </c>
      <c r="C188" t="s">
        <v>96</v>
      </c>
      <c r="D188" t="s">
        <v>20</v>
      </c>
      <c r="E188" t="s">
        <v>18</v>
      </c>
      <c r="F188" t="s">
        <v>1103</v>
      </c>
      <c r="G188" s="9" t="s">
        <v>1101</v>
      </c>
      <c r="H188">
        <v>10000</v>
      </c>
      <c r="I188">
        <v>0</v>
      </c>
      <c r="J188" s="21">
        <v>45352</v>
      </c>
      <c r="K188" s="7" t="s">
        <v>67</v>
      </c>
      <c r="L188" t="s">
        <v>9</v>
      </c>
      <c r="M188" t="s">
        <v>9</v>
      </c>
      <c r="N188" t="s">
        <v>831</v>
      </c>
      <c r="S188" t="str">
        <f>TEXT(Table1[[#This Row],[Date]],"MMM-YY")</f>
        <v>Jan-24</v>
      </c>
      <c r="T188">
        <f>_xlfn.ISOWEEKNUM(Table1[[#This Row],[Date]])</f>
        <v>1</v>
      </c>
      <c r="U188" t="str">
        <f>TEXT(Table1[[#This Row],[Expected Business Month]],"YYYY")</f>
        <v>2024</v>
      </c>
    </row>
    <row r="189" spans="1:21" hidden="1">
      <c r="A189" s="1">
        <v>45296</v>
      </c>
      <c r="B189" t="s">
        <v>1104</v>
      </c>
      <c r="C189" t="s">
        <v>96</v>
      </c>
      <c r="D189" t="s">
        <v>64</v>
      </c>
      <c r="E189" t="s">
        <v>27</v>
      </c>
      <c r="F189" t="s">
        <v>1105</v>
      </c>
      <c r="G189" s="9" t="s">
        <v>1101</v>
      </c>
      <c r="H189">
        <v>0</v>
      </c>
      <c r="I189">
        <v>0</v>
      </c>
      <c r="J189" s="21">
        <v>45566</v>
      </c>
      <c r="K189" s="7" t="s">
        <v>67</v>
      </c>
      <c r="L189" t="s">
        <v>9</v>
      </c>
      <c r="M189" t="s">
        <v>9</v>
      </c>
      <c r="N189" t="s">
        <v>991</v>
      </c>
      <c r="S189" t="str">
        <f>TEXT(Table1[[#This Row],[Date]],"MMM-YY")</f>
        <v>Jan-24</v>
      </c>
      <c r="T189">
        <f>_xlfn.ISOWEEKNUM(Table1[[#This Row],[Date]])</f>
        <v>1</v>
      </c>
      <c r="U189" t="str">
        <f>TEXT(Table1[[#This Row],[Expected Business Month]],"YYYY")</f>
        <v>2024</v>
      </c>
    </row>
    <row r="190" spans="1:21" ht="29.1" hidden="1">
      <c r="A190" s="1">
        <v>45296</v>
      </c>
      <c r="B190" t="s">
        <v>1106</v>
      </c>
      <c r="C190" t="s">
        <v>96</v>
      </c>
      <c r="D190" t="s">
        <v>64</v>
      </c>
      <c r="E190" t="s">
        <v>26</v>
      </c>
      <c r="F190" t="s">
        <v>1107</v>
      </c>
      <c r="G190" s="9" t="s">
        <v>874</v>
      </c>
      <c r="H190">
        <v>0</v>
      </c>
      <c r="I190">
        <v>0</v>
      </c>
      <c r="J190" s="21">
        <v>45566</v>
      </c>
      <c r="K190" s="7" t="s">
        <v>67</v>
      </c>
      <c r="L190" t="s">
        <v>9</v>
      </c>
      <c r="M190" t="s">
        <v>9</v>
      </c>
      <c r="N190" t="s">
        <v>991</v>
      </c>
      <c r="S190" t="str">
        <f>TEXT(Table1[[#This Row],[Date]],"MMM-YY")</f>
        <v>Jan-24</v>
      </c>
      <c r="T190">
        <f>_xlfn.ISOWEEKNUM(Table1[[#This Row],[Date]])</f>
        <v>1</v>
      </c>
      <c r="U190" t="str">
        <f>TEXT(Table1[[#This Row],[Expected Business Month]],"YYYY")</f>
        <v>2024</v>
      </c>
    </row>
    <row r="191" spans="1:21" hidden="1">
      <c r="A191" s="1">
        <v>45296</v>
      </c>
      <c r="B191" t="s">
        <v>1108</v>
      </c>
      <c r="C191" t="s">
        <v>96</v>
      </c>
      <c r="D191" t="s">
        <v>64</v>
      </c>
      <c r="E191" t="s">
        <v>27</v>
      </c>
      <c r="F191" t="s">
        <v>1109</v>
      </c>
      <c r="G191" s="9" t="s">
        <v>1110</v>
      </c>
      <c r="H191">
        <v>0</v>
      </c>
      <c r="I191">
        <v>0</v>
      </c>
      <c r="J191" s="21">
        <v>45566</v>
      </c>
      <c r="K191" s="7" t="s">
        <v>67</v>
      </c>
      <c r="L191" t="s">
        <v>9</v>
      </c>
      <c r="M191" t="s">
        <v>9</v>
      </c>
      <c r="N191" t="s">
        <v>991</v>
      </c>
      <c r="S191" t="str">
        <f>TEXT(Table1[[#This Row],[Date]],"MMM-YY")</f>
        <v>Jan-24</v>
      </c>
      <c r="T191">
        <f>_xlfn.ISOWEEKNUM(Table1[[#This Row],[Date]])</f>
        <v>1</v>
      </c>
      <c r="U191" t="str">
        <f>TEXT(Table1[[#This Row],[Expected Business Month]],"YYYY")</f>
        <v>2024</v>
      </c>
    </row>
    <row r="192" spans="1:21" ht="29.1" hidden="1">
      <c r="A192" s="1">
        <v>45296</v>
      </c>
      <c r="B192" t="s">
        <v>1111</v>
      </c>
      <c r="C192" t="s">
        <v>96</v>
      </c>
      <c r="D192" t="s">
        <v>64</v>
      </c>
      <c r="E192" t="s">
        <v>10</v>
      </c>
      <c r="F192" t="s">
        <v>1112</v>
      </c>
      <c r="G192" s="9" t="s">
        <v>1113</v>
      </c>
      <c r="H192">
        <v>0</v>
      </c>
      <c r="I192">
        <v>0</v>
      </c>
      <c r="J192" s="21">
        <v>45566</v>
      </c>
      <c r="K192" s="7" t="s">
        <v>67</v>
      </c>
      <c r="L192" t="s">
        <v>9</v>
      </c>
      <c r="M192" t="s">
        <v>9</v>
      </c>
      <c r="N192" t="s">
        <v>991</v>
      </c>
      <c r="S192" t="str">
        <f>TEXT(Table1[[#This Row],[Date]],"MMM-YY")</f>
        <v>Jan-24</v>
      </c>
      <c r="T192">
        <f>_xlfn.ISOWEEKNUM(Table1[[#This Row],[Date]])</f>
        <v>1</v>
      </c>
      <c r="U192" t="str">
        <f>TEXT(Table1[[#This Row],[Expected Business Month]],"YYYY")</f>
        <v>2024</v>
      </c>
    </row>
    <row r="193" spans="1:21" hidden="1">
      <c r="A193" s="1">
        <v>45297</v>
      </c>
      <c r="B193" t="s">
        <v>1114</v>
      </c>
      <c r="C193" t="s">
        <v>96</v>
      </c>
      <c r="D193" t="s">
        <v>64</v>
      </c>
      <c r="E193" t="s">
        <v>25</v>
      </c>
      <c r="F193" t="s">
        <v>1045</v>
      </c>
      <c r="G193" s="9" t="s">
        <v>1115</v>
      </c>
      <c r="H193">
        <v>7660</v>
      </c>
      <c r="I193">
        <v>7660</v>
      </c>
      <c r="J193" s="21">
        <v>45292</v>
      </c>
      <c r="K193" s="7" t="s">
        <v>67</v>
      </c>
      <c r="L193" t="s">
        <v>68</v>
      </c>
      <c r="M193" t="s">
        <v>69</v>
      </c>
      <c r="S193" t="str">
        <f>TEXT(Table1[[#This Row],[Date]],"MMM-YY")</f>
        <v>Jan-24</v>
      </c>
      <c r="T193">
        <f>_xlfn.ISOWEEKNUM(Table1[[#This Row],[Date]])</f>
        <v>1</v>
      </c>
      <c r="U193" t="str">
        <f>TEXT(Table1[[#This Row],[Expected Business Month]],"YYYY")</f>
        <v>2024</v>
      </c>
    </row>
    <row r="194" spans="1:21" hidden="1">
      <c r="A194" s="1">
        <v>45297</v>
      </c>
      <c r="B194" t="s">
        <v>1116</v>
      </c>
      <c r="C194" t="s">
        <v>96</v>
      </c>
      <c r="D194" t="s">
        <v>64</v>
      </c>
      <c r="E194" t="s">
        <v>17</v>
      </c>
      <c r="F194" t="s">
        <v>1117</v>
      </c>
      <c r="G194" s="9" t="s">
        <v>1118</v>
      </c>
      <c r="H194">
        <v>22000</v>
      </c>
      <c r="I194">
        <v>22000</v>
      </c>
      <c r="J194" s="21">
        <v>45292</v>
      </c>
      <c r="K194" s="7" t="s">
        <v>99</v>
      </c>
      <c r="L194" t="s">
        <v>68</v>
      </c>
      <c r="M194" t="s">
        <v>69</v>
      </c>
      <c r="S194" t="str">
        <f>TEXT(Table1[[#This Row],[Date]],"MMM-YY")</f>
        <v>Jan-24</v>
      </c>
      <c r="T194">
        <f>_xlfn.ISOWEEKNUM(Table1[[#This Row],[Date]])</f>
        <v>1</v>
      </c>
      <c r="U194" t="str">
        <f>TEXT(Table1[[#This Row],[Expected Business Month]],"YYYY")</f>
        <v>2024</v>
      </c>
    </row>
    <row r="195" spans="1:21" hidden="1">
      <c r="A195" s="1">
        <v>45297</v>
      </c>
      <c r="B195" t="s">
        <v>1119</v>
      </c>
      <c r="C195" t="s">
        <v>96</v>
      </c>
      <c r="D195" t="s">
        <v>64</v>
      </c>
      <c r="E195" t="s">
        <v>30</v>
      </c>
      <c r="F195" t="s">
        <v>1120</v>
      </c>
      <c r="G195" s="9" t="s">
        <v>1121</v>
      </c>
      <c r="H195">
        <v>0</v>
      </c>
      <c r="I195">
        <v>0</v>
      </c>
      <c r="J195" s="21">
        <v>45566</v>
      </c>
      <c r="K195" s="6" t="s">
        <v>67</v>
      </c>
      <c r="L195" t="s">
        <v>9</v>
      </c>
      <c r="M195" t="s">
        <v>9</v>
      </c>
      <c r="N195" t="s">
        <v>991</v>
      </c>
      <c r="S195" t="str">
        <f>TEXT(Table1[[#This Row],[Date]],"MMM-YY")</f>
        <v>Jan-24</v>
      </c>
      <c r="T195">
        <f>_xlfn.ISOWEEKNUM(Table1[[#This Row],[Date]])</f>
        <v>1</v>
      </c>
      <c r="U195" t="str">
        <f>TEXT(Table1[[#This Row],[Expected Business Month]],"YYYY")</f>
        <v>2024</v>
      </c>
    </row>
    <row r="196" spans="1:21" hidden="1">
      <c r="A196" s="1">
        <v>45297</v>
      </c>
      <c r="B196" t="s">
        <v>1122</v>
      </c>
      <c r="C196" t="s">
        <v>96</v>
      </c>
      <c r="D196" t="s">
        <v>618</v>
      </c>
      <c r="E196" t="s">
        <v>18</v>
      </c>
      <c r="F196" t="s">
        <v>1024</v>
      </c>
      <c r="G196" s="9" t="s">
        <v>1123</v>
      </c>
      <c r="H196">
        <v>0</v>
      </c>
      <c r="I196">
        <v>0</v>
      </c>
      <c r="J196" s="21">
        <v>45566</v>
      </c>
      <c r="K196" s="6" t="s">
        <v>67</v>
      </c>
      <c r="L196" t="s">
        <v>9</v>
      </c>
      <c r="M196" t="s">
        <v>9</v>
      </c>
      <c r="N196" t="s">
        <v>991</v>
      </c>
      <c r="S196" t="str">
        <f>TEXT(Table1[[#This Row],[Date]],"MMM-YY")</f>
        <v>Jan-24</v>
      </c>
      <c r="T196">
        <f>_xlfn.ISOWEEKNUM(Table1[[#This Row],[Date]])</f>
        <v>1</v>
      </c>
      <c r="U196" t="str">
        <f>TEXT(Table1[[#This Row],[Expected Business Month]],"YYYY")</f>
        <v>2024</v>
      </c>
    </row>
    <row r="197" spans="1:21" hidden="1">
      <c r="A197" s="1">
        <v>45297</v>
      </c>
      <c r="B197" t="s">
        <v>1124</v>
      </c>
      <c r="C197" t="s">
        <v>96</v>
      </c>
      <c r="D197" t="s">
        <v>64</v>
      </c>
      <c r="E197" t="s">
        <v>26</v>
      </c>
      <c r="F197" t="s">
        <v>1125</v>
      </c>
      <c r="G197" s="9" t="s">
        <v>1126</v>
      </c>
      <c r="H197">
        <v>0</v>
      </c>
      <c r="I197">
        <v>0</v>
      </c>
      <c r="J197" s="21">
        <v>45566</v>
      </c>
      <c r="K197" s="6" t="s">
        <v>67</v>
      </c>
      <c r="L197" t="s">
        <v>9</v>
      </c>
      <c r="M197" t="s">
        <v>9</v>
      </c>
      <c r="N197" t="s">
        <v>991</v>
      </c>
      <c r="S197" t="str">
        <f>TEXT(Table1[[#This Row],[Date]],"MMM-YY")</f>
        <v>Jan-24</v>
      </c>
      <c r="T197">
        <f>_xlfn.ISOWEEKNUM(Table1[[#This Row],[Date]])</f>
        <v>1</v>
      </c>
      <c r="U197" t="str">
        <f>TEXT(Table1[[#This Row],[Expected Business Month]],"YYYY")</f>
        <v>2024</v>
      </c>
    </row>
    <row r="198" spans="1:21" ht="43.5" hidden="1">
      <c r="A198" s="1">
        <v>45298</v>
      </c>
      <c r="B198" t="s">
        <v>1075</v>
      </c>
      <c r="C198" t="s">
        <v>63</v>
      </c>
      <c r="D198" t="s">
        <v>20</v>
      </c>
      <c r="E198" t="s">
        <v>38</v>
      </c>
      <c r="F198" t="s">
        <v>1127</v>
      </c>
      <c r="G198" s="9" t="s">
        <v>1128</v>
      </c>
      <c r="H198">
        <v>45920</v>
      </c>
      <c r="I198">
        <v>45920</v>
      </c>
      <c r="J198" s="21">
        <v>45292</v>
      </c>
      <c r="K198" s="6" t="s">
        <v>67</v>
      </c>
      <c r="L198" t="s">
        <v>68</v>
      </c>
      <c r="M198" t="s">
        <v>69</v>
      </c>
      <c r="O198">
        <v>7700</v>
      </c>
      <c r="S198" t="str">
        <f>TEXT(Table1[[#This Row],[Date]],"MMM-YY")</f>
        <v>Jan-24</v>
      </c>
      <c r="T198">
        <f>_xlfn.ISOWEEKNUM(Table1[[#This Row],[Date]])</f>
        <v>1</v>
      </c>
      <c r="U198" t="str">
        <f>TEXT(Table1[[#This Row],[Expected Business Month]],"YYYY")</f>
        <v>2024</v>
      </c>
    </row>
    <row r="199" spans="1:21" ht="29.1" hidden="1">
      <c r="A199" s="1">
        <v>45298</v>
      </c>
      <c r="B199" t="s">
        <v>1129</v>
      </c>
      <c r="C199" t="s">
        <v>96</v>
      </c>
      <c r="D199" t="s">
        <v>20</v>
      </c>
      <c r="E199" t="s">
        <v>18</v>
      </c>
      <c r="F199" t="s">
        <v>1130</v>
      </c>
      <c r="G199" s="9" t="s">
        <v>1131</v>
      </c>
      <c r="H199">
        <v>10000</v>
      </c>
      <c r="I199">
        <v>10000</v>
      </c>
      <c r="J199" s="21">
        <v>45292</v>
      </c>
      <c r="K199" s="6" t="s">
        <v>67</v>
      </c>
      <c r="L199" t="s">
        <v>68</v>
      </c>
      <c r="M199" t="s">
        <v>69</v>
      </c>
      <c r="S199" t="str">
        <f>TEXT(Table1[[#This Row],[Date]],"MMM-YY")</f>
        <v>Jan-24</v>
      </c>
      <c r="T199">
        <f>_xlfn.ISOWEEKNUM(Table1[[#This Row],[Date]])</f>
        <v>1</v>
      </c>
      <c r="U199" t="str">
        <f>TEXT(Table1[[#This Row],[Expected Business Month]],"YYYY")</f>
        <v>2024</v>
      </c>
    </row>
    <row r="200" spans="1:21" hidden="1">
      <c r="A200" s="1">
        <v>45298</v>
      </c>
      <c r="B200" t="s">
        <v>1132</v>
      </c>
      <c r="C200" t="s">
        <v>96</v>
      </c>
      <c r="D200" t="s">
        <v>20</v>
      </c>
      <c r="E200" t="s">
        <v>23</v>
      </c>
      <c r="F200" t="s">
        <v>603</v>
      </c>
      <c r="G200" s="9" t="s">
        <v>1133</v>
      </c>
      <c r="H200">
        <v>30000</v>
      </c>
      <c r="I200">
        <v>0</v>
      </c>
      <c r="J200" s="21">
        <v>45292</v>
      </c>
      <c r="K200" s="6" t="s">
        <v>67</v>
      </c>
      <c r="L200" t="s">
        <v>9</v>
      </c>
      <c r="M200" t="s">
        <v>9</v>
      </c>
      <c r="N200" t="s">
        <v>1134</v>
      </c>
      <c r="S200" t="str">
        <f>TEXT(Table1[[#This Row],[Date]],"MMM-YY")</f>
        <v>Jan-24</v>
      </c>
      <c r="T200">
        <f>_xlfn.ISOWEEKNUM(Table1[[#This Row],[Date]])</f>
        <v>1</v>
      </c>
      <c r="U200" t="str">
        <f>TEXT(Table1[[#This Row],[Expected Business Month]],"YYYY")</f>
        <v>2024</v>
      </c>
    </row>
    <row r="201" spans="1:21" hidden="1">
      <c r="A201" s="1">
        <v>45299</v>
      </c>
      <c r="B201" t="s">
        <v>1135</v>
      </c>
      <c r="C201" t="s">
        <v>63</v>
      </c>
      <c r="D201" t="s">
        <v>64</v>
      </c>
      <c r="E201" t="s">
        <v>26</v>
      </c>
      <c r="F201" t="s">
        <v>106</v>
      </c>
      <c r="G201" s="9" t="s">
        <v>1136</v>
      </c>
      <c r="H201">
        <v>0</v>
      </c>
      <c r="I201">
        <v>0</v>
      </c>
      <c r="J201" s="21">
        <v>45566</v>
      </c>
      <c r="K201" s="6" t="s">
        <v>67</v>
      </c>
      <c r="L201" t="s">
        <v>9</v>
      </c>
      <c r="M201" t="s">
        <v>9</v>
      </c>
      <c r="N201" t="s">
        <v>991</v>
      </c>
      <c r="S201" t="str">
        <f>TEXT(Table1[[#This Row],[Date]],"MMM-YY")</f>
        <v>Jan-24</v>
      </c>
      <c r="T201">
        <f>_xlfn.ISOWEEKNUM(Table1[[#This Row],[Date]])</f>
        <v>2</v>
      </c>
      <c r="U201" t="str">
        <f>TEXT(Table1[[#This Row],[Expected Business Month]],"YYYY")</f>
        <v>2024</v>
      </c>
    </row>
    <row r="202" spans="1:21" hidden="1">
      <c r="A202" s="1">
        <v>45299</v>
      </c>
      <c r="B202" t="s">
        <v>1137</v>
      </c>
      <c r="C202" t="s">
        <v>63</v>
      </c>
      <c r="D202" t="s">
        <v>618</v>
      </c>
      <c r="E202" t="s">
        <v>18</v>
      </c>
      <c r="F202" t="s">
        <v>238</v>
      </c>
      <c r="G202" s="9" t="s">
        <v>1021</v>
      </c>
      <c r="H202">
        <v>0</v>
      </c>
      <c r="I202">
        <v>0</v>
      </c>
      <c r="J202" s="21">
        <v>45566</v>
      </c>
      <c r="K202" s="6" t="s">
        <v>67</v>
      </c>
      <c r="L202" t="s">
        <v>9</v>
      </c>
      <c r="M202" t="s">
        <v>9</v>
      </c>
      <c r="N202" t="s">
        <v>991</v>
      </c>
      <c r="S202" t="str">
        <f>TEXT(Table1[[#This Row],[Date]],"MMM-YY")</f>
        <v>Jan-24</v>
      </c>
      <c r="T202">
        <f>_xlfn.ISOWEEKNUM(Table1[[#This Row],[Date]])</f>
        <v>2</v>
      </c>
      <c r="U202" t="str">
        <f>TEXT(Table1[[#This Row],[Expected Business Month]],"YYYY")</f>
        <v>2024</v>
      </c>
    </row>
    <row r="203" spans="1:21" ht="29.1" hidden="1">
      <c r="A203" s="1">
        <v>45299</v>
      </c>
      <c r="B203" t="s">
        <v>1138</v>
      </c>
      <c r="C203" t="s">
        <v>96</v>
      </c>
      <c r="D203" t="s">
        <v>64</v>
      </c>
      <c r="E203" t="s">
        <v>10</v>
      </c>
      <c r="F203" t="s">
        <v>1139</v>
      </c>
      <c r="G203" s="9" t="s">
        <v>1140</v>
      </c>
      <c r="H203">
        <v>0</v>
      </c>
      <c r="I203">
        <v>0</v>
      </c>
      <c r="J203" s="21">
        <v>45566</v>
      </c>
      <c r="K203" s="6" t="s">
        <v>67</v>
      </c>
      <c r="L203" t="s">
        <v>9</v>
      </c>
      <c r="M203" t="s">
        <v>9</v>
      </c>
      <c r="N203" t="s">
        <v>991</v>
      </c>
      <c r="S203" t="str">
        <f>TEXT(Table1[[#This Row],[Date]],"MMM-YY")</f>
        <v>Jan-24</v>
      </c>
      <c r="T203">
        <f>_xlfn.ISOWEEKNUM(Table1[[#This Row],[Date]])</f>
        <v>2</v>
      </c>
      <c r="U203" t="str">
        <f>TEXT(Table1[[#This Row],[Expected Business Month]],"YYYY")</f>
        <v>2024</v>
      </c>
    </row>
    <row r="204" spans="1:21" ht="29.1" hidden="1">
      <c r="A204" s="1">
        <v>45300</v>
      </c>
      <c r="B204" t="s">
        <v>1141</v>
      </c>
      <c r="C204" t="s">
        <v>96</v>
      </c>
      <c r="D204" t="s">
        <v>64</v>
      </c>
      <c r="E204" t="s">
        <v>39</v>
      </c>
      <c r="F204" t="s">
        <v>1142</v>
      </c>
      <c r="G204" s="9" t="s">
        <v>1143</v>
      </c>
      <c r="H204">
        <v>9500</v>
      </c>
      <c r="I204">
        <v>9500</v>
      </c>
      <c r="J204" s="21">
        <v>45292</v>
      </c>
      <c r="K204" s="6" t="s">
        <v>67</v>
      </c>
      <c r="L204" t="s">
        <v>68</v>
      </c>
      <c r="M204" t="s">
        <v>69</v>
      </c>
      <c r="S204" t="str">
        <f>TEXT(Table1[[#This Row],[Date]],"MMM-YY")</f>
        <v>Jan-24</v>
      </c>
      <c r="T204">
        <f>_xlfn.ISOWEEKNUM(Table1[[#This Row],[Date]])</f>
        <v>2</v>
      </c>
      <c r="U204" t="str">
        <f>TEXT(Table1[[#This Row],[Expected Business Month]],"YYYY")</f>
        <v>2024</v>
      </c>
    </row>
    <row r="205" spans="1:21" hidden="1">
      <c r="A205" s="1">
        <v>45300</v>
      </c>
      <c r="B205" t="s">
        <v>304</v>
      </c>
      <c r="C205" t="s">
        <v>96</v>
      </c>
      <c r="D205" t="s">
        <v>20</v>
      </c>
      <c r="E205" t="s">
        <v>23</v>
      </c>
      <c r="G205" s="9" t="s">
        <v>1144</v>
      </c>
      <c r="H205">
        <v>10000</v>
      </c>
      <c r="I205">
        <v>0</v>
      </c>
      <c r="J205" s="21">
        <v>45292</v>
      </c>
      <c r="K205" s="6" t="s">
        <v>67</v>
      </c>
      <c r="L205" t="s">
        <v>9</v>
      </c>
      <c r="M205" t="s">
        <v>9</v>
      </c>
      <c r="N205" t="s">
        <v>1145</v>
      </c>
      <c r="S205" t="str">
        <f>TEXT(Table1[[#This Row],[Date]],"MMM-YY")</f>
        <v>Jan-24</v>
      </c>
      <c r="T205">
        <f>_xlfn.ISOWEEKNUM(Table1[[#This Row],[Date]])</f>
        <v>2</v>
      </c>
      <c r="U205" t="str">
        <f>TEXT(Table1[[#This Row],[Expected Business Month]],"YYYY")</f>
        <v>2024</v>
      </c>
    </row>
    <row r="206" spans="1:21" hidden="1">
      <c r="A206" s="1">
        <v>45300</v>
      </c>
      <c r="B206" t="s">
        <v>324</v>
      </c>
      <c r="C206" t="s">
        <v>96</v>
      </c>
      <c r="D206" t="s">
        <v>64</v>
      </c>
      <c r="E206" t="s">
        <v>38</v>
      </c>
      <c r="F206" t="s">
        <v>325</v>
      </c>
      <c r="G206" s="9" t="s">
        <v>1146</v>
      </c>
      <c r="H206">
        <v>32000</v>
      </c>
      <c r="I206">
        <v>32000</v>
      </c>
      <c r="J206" s="21">
        <v>45292</v>
      </c>
      <c r="K206" s="7" t="s">
        <v>99</v>
      </c>
      <c r="L206" t="s">
        <v>68</v>
      </c>
      <c r="M206" t="s">
        <v>69</v>
      </c>
      <c r="O206">
        <v>0</v>
      </c>
      <c r="S206" t="str">
        <f>TEXT(Table1[[#This Row],[Date]],"MMM-YY")</f>
        <v>Jan-24</v>
      </c>
      <c r="T206">
        <f>_xlfn.ISOWEEKNUM(Table1[[#This Row],[Date]])</f>
        <v>2</v>
      </c>
      <c r="U206" t="str">
        <f>TEXT(Table1[[#This Row],[Expected Business Month]],"YYYY")</f>
        <v>2024</v>
      </c>
    </row>
    <row r="207" spans="1:21" ht="29.1" hidden="1">
      <c r="A207" s="1">
        <v>45300</v>
      </c>
      <c r="B207" t="s">
        <v>1147</v>
      </c>
      <c r="C207" t="s">
        <v>96</v>
      </c>
      <c r="D207" t="s">
        <v>64</v>
      </c>
      <c r="E207" t="s">
        <v>14</v>
      </c>
      <c r="F207" t="s">
        <v>1148</v>
      </c>
      <c r="G207" s="9" t="s">
        <v>1149</v>
      </c>
      <c r="H207">
        <v>30000</v>
      </c>
      <c r="I207">
        <v>0</v>
      </c>
      <c r="J207" s="21">
        <v>45352</v>
      </c>
      <c r="K207" s="7" t="s">
        <v>67</v>
      </c>
      <c r="L207" t="s">
        <v>9</v>
      </c>
      <c r="M207" t="s">
        <v>9</v>
      </c>
      <c r="S207" t="str">
        <f>TEXT(Table1[[#This Row],[Date]],"MMM-YY")</f>
        <v>Jan-24</v>
      </c>
      <c r="T207">
        <f>_xlfn.ISOWEEKNUM(Table1[[#This Row],[Date]])</f>
        <v>2</v>
      </c>
      <c r="U207" t="str">
        <f>TEXT(Table1[[#This Row],[Expected Business Month]],"YYYY")</f>
        <v>2024</v>
      </c>
    </row>
    <row r="208" spans="1:21" ht="29.1" hidden="1">
      <c r="A208" s="1">
        <v>45301</v>
      </c>
      <c r="B208" t="s">
        <v>1150</v>
      </c>
      <c r="C208" t="s">
        <v>63</v>
      </c>
      <c r="D208" t="s">
        <v>64</v>
      </c>
      <c r="E208" t="s">
        <v>14</v>
      </c>
      <c r="F208" t="s">
        <v>1151</v>
      </c>
      <c r="G208" s="9" t="s">
        <v>1152</v>
      </c>
      <c r="H208">
        <v>0</v>
      </c>
      <c r="I208">
        <v>0</v>
      </c>
      <c r="J208" s="21">
        <v>45566</v>
      </c>
      <c r="K208" s="6" t="s">
        <v>67</v>
      </c>
      <c r="L208" t="s">
        <v>9</v>
      </c>
      <c r="M208" t="s">
        <v>9</v>
      </c>
      <c r="N208" t="s">
        <v>991</v>
      </c>
      <c r="S208" t="str">
        <f>TEXT(Table1[[#This Row],[Date]],"MMM-YY")</f>
        <v>Jan-24</v>
      </c>
      <c r="T208">
        <f>_xlfn.ISOWEEKNUM(Table1[[#This Row],[Date]])</f>
        <v>2</v>
      </c>
      <c r="U208" t="str">
        <f>TEXT(Table1[[#This Row],[Expected Business Month]],"YYYY")</f>
        <v>2024</v>
      </c>
    </row>
    <row r="209" spans="1:21" hidden="1">
      <c r="A209" s="1">
        <v>45301</v>
      </c>
      <c r="B209" t="s">
        <v>1153</v>
      </c>
      <c r="C209" t="s">
        <v>63</v>
      </c>
      <c r="D209" t="s">
        <v>64</v>
      </c>
      <c r="E209" t="s">
        <v>14</v>
      </c>
      <c r="F209" t="s">
        <v>1154</v>
      </c>
      <c r="G209" s="9" t="s">
        <v>1155</v>
      </c>
      <c r="H209">
        <v>5000</v>
      </c>
      <c r="I209">
        <v>0</v>
      </c>
      <c r="J209" s="21">
        <v>45444</v>
      </c>
      <c r="K209" s="7" t="s">
        <v>67</v>
      </c>
      <c r="L209" t="s">
        <v>9</v>
      </c>
      <c r="M209" t="s">
        <v>9</v>
      </c>
      <c r="N209" t="s">
        <v>602</v>
      </c>
      <c r="S209" t="str">
        <f>TEXT(Table1[[#This Row],[Date]],"MMM-YY")</f>
        <v>Jan-24</v>
      </c>
      <c r="T209">
        <f>_xlfn.ISOWEEKNUM(Table1[[#This Row],[Date]])</f>
        <v>2</v>
      </c>
      <c r="U209" t="str">
        <f>TEXT(Table1[[#This Row],[Expected Business Month]],"YYYY")</f>
        <v>2024</v>
      </c>
    </row>
    <row r="210" spans="1:21" hidden="1">
      <c r="A210" s="1">
        <v>45301</v>
      </c>
      <c r="B210" t="s">
        <v>1156</v>
      </c>
      <c r="C210" t="s">
        <v>63</v>
      </c>
      <c r="D210" t="s">
        <v>20</v>
      </c>
      <c r="E210" t="s">
        <v>18</v>
      </c>
      <c r="F210" t="s">
        <v>1157</v>
      </c>
      <c r="G210" s="9" t="s">
        <v>871</v>
      </c>
      <c r="H210">
        <v>3000</v>
      </c>
      <c r="I210">
        <v>0</v>
      </c>
      <c r="J210" s="21">
        <v>45444</v>
      </c>
      <c r="K210" s="7" t="s">
        <v>67</v>
      </c>
      <c r="L210" t="s">
        <v>9</v>
      </c>
      <c r="M210" t="s">
        <v>9</v>
      </c>
      <c r="N210" t="s">
        <v>602</v>
      </c>
      <c r="S210" t="str">
        <f>TEXT(Table1[[#This Row],[Date]],"MMM-YY")</f>
        <v>Jan-24</v>
      </c>
      <c r="T210">
        <f>_xlfn.ISOWEEKNUM(Table1[[#This Row],[Date]])</f>
        <v>2</v>
      </c>
      <c r="U210" t="str">
        <f>TEXT(Table1[[#This Row],[Expected Business Month]],"YYYY")</f>
        <v>2024</v>
      </c>
    </row>
    <row r="211" spans="1:21" hidden="1">
      <c r="A211" s="1">
        <v>45301</v>
      </c>
      <c r="B211" t="s">
        <v>1158</v>
      </c>
      <c r="C211" t="s">
        <v>96</v>
      </c>
      <c r="D211" t="s">
        <v>20</v>
      </c>
      <c r="E211" t="s">
        <v>18</v>
      </c>
      <c r="F211" t="s">
        <v>1159</v>
      </c>
      <c r="G211" s="9" t="s">
        <v>1160</v>
      </c>
      <c r="H211">
        <v>0</v>
      </c>
      <c r="I211">
        <v>0</v>
      </c>
      <c r="J211" s="21">
        <v>45444</v>
      </c>
      <c r="K211" s="7" t="s">
        <v>67</v>
      </c>
      <c r="L211" t="s">
        <v>9</v>
      </c>
      <c r="M211" t="s">
        <v>9</v>
      </c>
      <c r="N211" t="s">
        <v>602</v>
      </c>
      <c r="S211" t="str">
        <f>TEXT(Table1[[#This Row],[Date]],"MMM-YY")</f>
        <v>Jan-24</v>
      </c>
      <c r="T211">
        <f>_xlfn.ISOWEEKNUM(Table1[[#This Row],[Date]])</f>
        <v>2</v>
      </c>
      <c r="U211" t="str">
        <f>TEXT(Table1[[#This Row],[Expected Business Month]],"YYYY")</f>
        <v>2024</v>
      </c>
    </row>
    <row r="212" spans="1:21" hidden="1">
      <c r="A212" s="1">
        <v>45301</v>
      </c>
      <c r="B212" t="s">
        <v>1161</v>
      </c>
      <c r="C212" t="s">
        <v>96</v>
      </c>
      <c r="D212" t="s">
        <v>64</v>
      </c>
      <c r="E212" t="s">
        <v>26</v>
      </c>
      <c r="F212" t="s">
        <v>1162</v>
      </c>
      <c r="G212" s="9" t="s">
        <v>1163</v>
      </c>
      <c r="H212">
        <v>10000</v>
      </c>
      <c r="I212">
        <v>0</v>
      </c>
      <c r="J212" s="21">
        <v>45444</v>
      </c>
      <c r="K212" s="7" t="s">
        <v>67</v>
      </c>
      <c r="L212" t="s">
        <v>9</v>
      </c>
      <c r="M212" t="s">
        <v>9</v>
      </c>
      <c r="N212" t="s">
        <v>602</v>
      </c>
      <c r="S212" t="str">
        <f>TEXT(Table1[[#This Row],[Date]],"MMM-YY")</f>
        <v>Jan-24</v>
      </c>
      <c r="T212">
        <f>_xlfn.ISOWEEKNUM(Table1[[#This Row],[Date]])</f>
        <v>2</v>
      </c>
      <c r="U212" t="str">
        <f>TEXT(Table1[[#This Row],[Expected Business Month]],"YYYY")</f>
        <v>2024</v>
      </c>
    </row>
    <row r="213" spans="1:21" ht="29.1" hidden="1">
      <c r="A213" s="1">
        <v>45301</v>
      </c>
      <c r="B213" t="s">
        <v>1164</v>
      </c>
      <c r="C213" t="s">
        <v>96</v>
      </c>
      <c r="D213" t="s">
        <v>64</v>
      </c>
      <c r="E213" t="s">
        <v>13</v>
      </c>
      <c r="F213" t="s">
        <v>1165</v>
      </c>
      <c r="G213" s="9" t="s">
        <v>1113</v>
      </c>
      <c r="H213">
        <v>20000</v>
      </c>
      <c r="I213">
        <v>0</v>
      </c>
      <c r="J213" s="21">
        <v>45444</v>
      </c>
      <c r="K213" s="7" t="s">
        <v>67</v>
      </c>
      <c r="L213" t="s">
        <v>9</v>
      </c>
      <c r="M213" t="s">
        <v>9</v>
      </c>
      <c r="N213" t="s">
        <v>602</v>
      </c>
      <c r="S213" t="str">
        <f>TEXT(Table1[[#This Row],[Date]],"MMM-YY")</f>
        <v>Jan-24</v>
      </c>
      <c r="T213">
        <f>_xlfn.ISOWEEKNUM(Table1[[#This Row],[Date]])</f>
        <v>2</v>
      </c>
      <c r="U213" t="str">
        <f>TEXT(Table1[[#This Row],[Expected Business Month]],"YYYY")</f>
        <v>2024</v>
      </c>
    </row>
    <row r="214" spans="1:21" hidden="1">
      <c r="A214" s="1">
        <v>45301</v>
      </c>
      <c r="B214" t="s">
        <v>1166</v>
      </c>
      <c r="C214" t="s">
        <v>96</v>
      </c>
      <c r="D214" t="s">
        <v>64</v>
      </c>
      <c r="E214" t="s">
        <v>28</v>
      </c>
      <c r="F214" t="s">
        <v>1167</v>
      </c>
      <c r="G214" s="9" t="s">
        <v>1168</v>
      </c>
      <c r="H214">
        <v>2000</v>
      </c>
      <c r="I214">
        <v>0</v>
      </c>
      <c r="J214" s="21">
        <v>45444</v>
      </c>
      <c r="K214" s="7" t="s">
        <v>67</v>
      </c>
      <c r="L214" t="s">
        <v>9</v>
      </c>
      <c r="M214" t="s">
        <v>9</v>
      </c>
      <c r="N214" t="s">
        <v>602</v>
      </c>
      <c r="S214" t="str">
        <f>TEXT(Table1[[#This Row],[Date]],"MMM-YY")</f>
        <v>Jan-24</v>
      </c>
      <c r="T214">
        <f>_xlfn.ISOWEEKNUM(Table1[[#This Row],[Date]])</f>
        <v>2</v>
      </c>
      <c r="U214" t="str">
        <f>TEXT(Table1[[#This Row],[Expected Business Month]],"YYYY")</f>
        <v>2024</v>
      </c>
    </row>
    <row r="215" spans="1:21" hidden="1">
      <c r="A215" s="1">
        <v>45302</v>
      </c>
      <c r="B215" t="s">
        <v>1169</v>
      </c>
      <c r="C215" t="s">
        <v>63</v>
      </c>
      <c r="D215" t="s">
        <v>64</v>
      </c>
      <c r="E215" t="s">
        <v>30</v>
      </c>
      <c r="F215" t="s">
        <v>1170</v>
      </c>
      <c r="G215" s="9" t="s">
        <v>1171</v>
      </c>
      <c r="H215">
        <v>300000</v>
      </c>
      <c r="I215">
        <v>0</v>
      </c>
      <c r="J215" s="21">
        <v>45323</v>
      </c>
      <c r="K215" s="7" t="s">
        <v>67</v>
      </c>
      <c r="L215" t="s">
        <v>9</v>
      </c>
      <c r="M215" t="s">
        <v>9</v>
      </c>
      <c r="N215" t="s">
        <v>1172</v>
      </c>
      <c r="S215" t="str">
        <f>TEXT(Table1[[#This Row],[Date]],"MMM-YY")</f>
        <v>Jan-24</v>
      </c>
      <c r="T215">
        <f>_xlfn.ISOWEEKNUM(Table1[[#This Row],[Date]])</f>
        <v>2</v>
      </c>
      <c r="U215" t="str">
        <f>TEXT(Table1[[#This Row],[Expected Business Month]],"YYYY")</f>
        <v>2024</v>
      </c>
    </row>
    <row r="216" spans="1:21" hidden="1">
      <c r="A216" s="1">
        <v>45302</v>
      </c>
      <c r="B216" t="s">
        <v>1173</v>
      </c>
      <c r="C216" t="s">
        <v>96</v>
      </c>
      <c r="D216" t="s">
        <v>20</v>
      </c>
      <c r="E216" t="s">
        <v>23</v>
      </c>
      <c r="F216" t="s">
        <v>1174</v>
      </c>
      <c r="G216" s="9" t="s">
        <v>1175</v>
      </c>
      <c r="H216">
        <v>8400</v>
      </c>
      <c r="I216">
        <v>8400</v>
      </c>
      <c r="J216" s="21">
        <v>45292</v>
      </c>
      <c r="K216" s="7" t="s">
        <v>67</v>
      </c>
      <c r="L216" t="s">
        <v>68</v>
      </c>
      <c r="M216" t="s">
        <v>69</v>
      </c>
      <c r="S216" t="str">
        <f>TEXT(Table1[[#This Row],[Date]],"MMM-YY")</f>
        <v>Jan-24</v>
      </c>
      <c r="T216">
        <f>_xlfn.ISOWEEKNUM(Table1[[#This Row],[Date]])</f>
        <v>2</v>
      </c>
      <c r="U216" t="str">
        <f>TEXT(Table1[[#This Row],[Expected Business Month]],"YYYY")</f>
        <v>2024</v>
      </c>
    </row>
    <row r="217" spans="1:21" hidden="1">
      <c r="A217" s="1">
        <v>45302</v>
      </c>
      <c r="B217" t="s">
        <v>1176</v>
      </c>
      <c r="C217" t="s">
        <v>96</v>
      </c>
      <c r="D217" t="s">
        <v>64</v>
      </c>
      <c r="E217" t="s">
        <v>26</v>
      </c>
      <c r="F217" t="s">
        <v>464</v>
      </c>
      <c r="G217" s="9" t="s">
        <v>1177</v>
      </c>
      <c r="H217">
        <v>300000</v>
      </c>
      <c r="I217">
        <v>0</v>
      </c>
      <c r="J217" s="21">
        <v>45292</v>
      </c>
      <c r="K217" s="7" t="s">
        <v>67</v>
      </c>
      <c r="L217" t="s">
        <v>9</v>
      </c>
      <c r="M217" t="s">
        <v>9</v>
      </c>
      <c r="N217" t="s">
        <v>1178</v>
      </c>
      <c r="S217" t="str">
        <f>TEXT(Table1[[#This Row],[Date]],"MMM-YY")</f>
        <v>Jan-24</v>
      </c>
      <c r="T217">
        <f>_xlfn.ISOWEEKNUM(Table1[[#This Row],[Date]])</f>
        <v>2</v>
      </c>
      <c r="U217" t="str">
        <f>TEXT(Table1[[#This Row],[Expected Business Month]],"YYYY")</f>
        <v>2024</v>
      </c>
    </row>
    <row r="218" spans="1:21" hidden="1">
      <c r="A218" s="1">
        <v>45302</v>
      </c>
      <c r="B218" t="s">
        <v>1179</v>
      </c>
      <c r="C218" t="s">
        <v>63</v>
      </c>
      <c r="D218" t="s">
        <v>20</v>
      </c>
      <c r="E218" t="s">
        <v>23</v>
      </c>
      <c r="F218" t="s">
        <v>1180</v>
      </c>
      <c r="G218" s="9" t="s">
        <v>1181</v>
      </c>
      <c r="H218">
        <v>10000</v>
      </c>
      <c r="I218">
        <v>10000</v>
      </c>
      <c r="J218" s="21">
        <v>45292</v>
      </c>
      <c r="K218" s="7" t="s">
        <v>67</v>
      </c>
      <c r="L218" t="s">
        <v>68</v>
      </c>
      <c r="M218" t="s">
        <v>69</v>
      </c>
      <c r="S218" t="str">
        <f>TEXT(Table1[[#This Row],[Date]],"MMM-YY")</f>
        <v>Jan-24</v>
      </c>
      <c r="T218">
        <f>_xlfn.ISOWEEKNUM(Table1[[#This Row],[Date]])</f>
        <v>2</v>
      </c>
      <c r="U218" t="str">
        <f>TEXT(Table1[[#This Row],[Expected Business Month]],"YYYY")</f>
        <v>2024</v>
      </c>
    </row>
    <row r="219" spans="1:21" ht="29.1" hidden="1">
      <c r="A219" s="1">
        <v>45302</v>
      </c>
      <c r="B219" t="s">
        <v>1182</v>
      </c>
      <c r="C219" t="s">
        <v>63</v>
      </c>
      <c r="D219" t="s">
        <v>64</v>
      </c>
      <c r="E219" t="s">
        <v>25</v>
      </c>
      <c r="F219" t="s">
        <v>1183</v>
      </c>
      <c r="G219" s="9" t="s">
        <v>1184</v>
      </c>
      <c r="H219">
        <v>5000</v>
      </c>
      <c r="I219">
        <v>0</v>
      </c>
      <c r="J219" s="21">
        <v>45444</v>
      </c>
      <c r="K219" s="7" t="s">
        <v>67</v>
      </c>
      <c r="L219" t="s">
        <v>9</v>
      </c>
      <c r="M219" t="s">
        <v>9</v>
      </c>
      <c r="N219" t="s">
        <v>602</v>
      </c>
      <c r="S219" t="str">
        <f>TEXT(Table1[[#This Row],[Date]],"MMM-YY")</f>
        <v>Jan-24</v>
      </c>
      <c r="T219">
        <f>_xlfn.ISOWEEKNUM(Table1[[#This Row],[Date]])</f>
        <v>2</v>
      </c>
      <c r="U219" t="str">
        <f>TEXT(Table1[[#This Row],[Expected Business Month]],"YYYY")</f>
        <v>2024</v>
      </c>
    </row>
    <row r="220" spans="1:21" ht="29.1" hidden="1">
      <c r="A220" s="1">
        <v>45302</v>
      </c>
      <c r="B220" t="s">
        <v>1185</v>
      </c>
      <c r="C220" t="s">
        <v>63</v>
      </c>
      <c r="D220" t="s">
        <v>20</v>
      </c>
      <c r="E220" t="s">
        <v>31</v>
      </c>
      <c r="F220" t="s">
        <v>1186</v>
      </c>
      <c r="G220" s="9" t="s">
        <v>1187</v>
      </c>
      <c r="H220">
        <v>500000</v>
      </c>
      <c r="I220">
        <v>0</v>
      </c>
      <c r="J220" s="21">
        <v>45292</v>
      </c>
      <c r="K220" s="7" t="s">
        <v>67</v>
      </c>
      <c r="L220" t="s">
        <v>9</v>
      </c>
      <c r="M220" t="s">
        <v>9</v>
      </c>
      <c r="N220" t="s">
        <v>831</v>
      </c>
      <c r="S220" t="str">
        <f>TEXT(Table1[[#This Row],[Date]],"MMM-YY")</f>
        <v>Jan-24</v>
      </c>
      <c r="T220">
        <f>_xlfn.ISOWEEKNUM(Table1[[#This Row],[Date]])</f>
        <v>2</v>
      </c>
      <c r="U220" t="str">
        <f>TEXT(Table1[[#This Row],[Expected Business Month]],"YYYY")</f>
        <v>2024</v>
      </c>
    </row>
    <row r="221" spans="1:21" hidden="1">
      <c r="A221" s="1">
        <v>45303</v>
      </c>
      <c r="B221" t="s">
        <v>1188</v>
      </c>
      <c r="C221" t="s">
        <v>63</v>
      </c>
      <c r="D221" t="s">
        <v>64</v>
      </c>
      <c r="E221" t="s">
        <v>27</v>
      </c>
      <c r="F221" t="s">
        <v>1189</v>
      </c>
      <c r="G221" s="9" t="s">
        <v>1190</v>
      </c>
      <c r="H221">
        <v>10000</v>
      </c>
      <c r="I221">
        <v>0</v>
      </c>
      <c r="J221" s="21">
        <v>45566</v>
      </c>
      <c r="K221" s="7" t="s">
        <v>67</v>
      </c>
      <c r="L221" t="s">
        <v>9</v>
      </c>
      <c r="M221" t="s">
        <v>9</v>
      </c>
      <c r="N221" t="s">
        <v>991</v>
      </c>
      <c r="S221" t="str">
        <f>TEXT(Table1[[#This Row],[Date]],"MMM-YY")</f>
        <v>Jan-24</v>
      </c>
      <c r="T221">
        <f>_xlfn.ISOWEEKNUM(Table1[[#This Row],[Date]])</f>
        <v>2</v>
      </c>
      <c r="U221" t="str">
        <f>TEXT(Table1[[#This Row],[Expected Business Month]],"YYYY")</f>
        <v>2024</v>
      </c>
    </row>
    <row r="222" spans="1:21" hidden="1">
      <c r="A222" s="1">
        <v>45303</v>
      </c>
      <c r="B222" t="s">
        <v>1191</v>
      </c>
      <c r="C222" t="s">
        <v>63</v>
      </c>
      <c r="D222" t="s">
        <v>64</v>
      </c>
      <c r="E222" t="s">
        <v>30</v>
      </c>
      <c r="F222" t="s">
        <v>1192</v>
      </c>
      <c r="G222" s="9" t="s">
        <v>1193</v>
      </c>
      <c r="H222">
        <v>12000</v>
      </c>
      <c r="I222">
        <v>0</v>
      </c>
      <c r="J222" s="21">
        <v>45566</v>
      </c>
      <c r="K222" s="7" t="s">
        <v>67</v>
      </c>
      <c r="L222" t="s">
        <v>9</v>
      </c>
      <c r="M222" t="s">
        <v>9</v>
      </c>
      <c r="N222" t="s">
        <v>586</v>
      </c>
      <c r="S222" t="str">
        <f>TEXT(Table1[[#This Row],[Date]],"MMM-YY")</f>
        <v>Jan-24</v>
      </c>
      <c r="T222">
        <f>_xlfn.ISOWEEKNUM(Table1[[#This Row],[Date]])</f>
        <v>2</v>
      </c>
      <c r="U222" t="str">
        <f>TEXT(Table1[[#This Row],[Expected Business Month]],"YYYY")</f>
        <v>2024</v>
      </c>
    </row>
    <row r="223" spans="1:21" hidden="1">
      <c r="A223" s="1">
        <v>45303</v>
      </c>
      <c r="B223" t="s">
        <v>1194</v>
      </c>
      <c r="C223" t="s">
        <v>96</v>
      </c>
      <c r="D223" t="s">
        <v>20</v>
      </c>
      <c r="E223" t="s">
        <v>23</v>
      </c>
      <c r="F223" t="s">
        <v>1195</v>
      </c>
      <c r="G223" s="9" t="s">
        <v>1196</v>
      </c>
      <c r="H223">
        <v>8000</v>
      </c>
      <c r="I223">
        <v>8000</v>
      </c>
      <c r="J223" s="21">
        <v>45292</v>
      </c>
      <c r="K223" s="7" t="s">
        <v>67</v>
      </c>
      <c r="L223" t="s">
        <v>68</v>
      </c>
      <c r="M223" t="s">
        <v>69</v>
      </c>
      <c r="S223" t="str">
        <f>TEXT(Table1[[#This Row],[Date]],"MMM-YY")</f>
        <v>Jan-24</v>
      </c>
      <c r="T223">
        <f>_xlfn.ISOWEEKNUM(Table1[[#This Row],[Date]])</f>
        <v>2</v>
      </c>
      <c r="U223" t="str">
        <f>TEXT(Table1[[#This Row],[Expected Business Month]],"YYYY")</f>
        <v>2024</v>
      </c>
    </row>
    <row r="224" spans="1:21" hidden="1">
      <c r="A224" s="1">
        <v>45303</v>
      </c>
      <c r="B224" t="s">
        <v>1197</v>
      </c>
      <c r="C224" t="s">
        <v>63</v>
      </c>
      <c r="D224" t="s">
        <v>64</v>
      </c>
      <c r="E224" t="s">
        <v>17</v>
      </c>
      <c r="F224" t="s">
        <v>946</v>
      </c>
      <c r="G224" s="9" t="s">
        <v>1198</v>
      </c>
      <c r="H224">
        <v>10000</v>
      </c>
      <c r="I224">
        <v>0</v>
      </c>
      <c r="J224" s="21">
        <v>45383</v>
      </c>
      <c r="K224" s="7" t="s">
        <v>67</v>
      </c>
      <c r="L224" t="s">
        <v>9</v>
      </c>
      <c r="M224" t="s">
        <v>9</v>
      </c>
      <c r="N224" t="s">
        <v>586</v>
      </c>
      <c r="S224" t="str">
        <f>TEXT(Table1[[#This Row],[Date]],"MMM-YY")</f>
        <v>Jan-24</v>
      </c>
      <c r="T224">
        <f>_xlfn.ISOWEEKNUM(Table1[[#This Row],[Date]])</f>
        <v>2</v>
      </c>
      <c r="U224" t="str">
        <f>TEXT(Table1[[#This Row],[Expected Business Month]],"YYYY")</f>
        <v>2024</v>
      </c>
    </row>
    <row r="225" spans="1:21" hidden="1">
      <c r="A225" s="1">
        <v>45303</v>
      </c>
      <c r="B225" t="s">
        <v>1199</v>
      </c>
      <c r="C225" t="s">
        <v>63</v>
      </c>
      <c r="D225" t="s">
        <v>618</v>
      </c>
      <c r="E225" t="s">
        <v>18</v>
      </c>
      <c r="F225" t="s">
        <v>1200</v>
      </c>
      <c r="G225" s="9" t="s">
        <v>1201</v>
      </c>
      <c r="H225">
        <v>12000</v>
      </c>
      <c r="I225">
        <v>0</v>
      </c>
      <c r="J225" s="21">
        <v>45566</v>
      </c>
      <c r="K225" s="7" t="s">
        <v>67</v>
      </c>
      <c r="L225" t="s">
        <v>9</v>
      </c>
      <c r="M225" t="s">
        <v>9</v>
      </c>
      <c r="N225" t="s">
        <v>586</v>
      </c>
      <c r="O225">
        <v>2400</v>
      </c>
      <c r="S225" t="str">
        <f>TEXT(Table1[[#This Row],[Date]],"MMM-YY")</f>
        <v>Jan-24</v>
      </c>
      <c r="T225">
        <f>_xlfn.ISOWEEKNUM(Table1[[#This Row],[Date]])</f>
        <v>2</v>
      </c>
      <c r="U225" t="str">
        <f>TEXT(Table1[[#This Row],[Expected Business Month]],"YYYY")</f>
        <v>2024</v>
      </c>
    </row>
    <row r="226" spans="1:21" hidden="1">
      <c r="A226" s="1">
        <v>45304</v>
      </c>
      <c r="B226" t="s">
        <v>1202</v>
      </c>
      <c r="C226" t="s">
        <v>96</v>
      </c>
      <c r="D226" t="s">
        <v>1203</v>
      </c>
      <c r="E226" t="s">
        <v>23</v>
      </c>
      <c r="F226" t="s">
        <v>1204</v>
      </c>
      <c r="G226" s="9" t="s">
        <v>1205</v>
      </c>
      <c r="H226">
        <v>2800</v>
      </c>
      <c r="I226">
        <v>2800</v>
      </c>
      <c r="J226" s="21">
        <v>45292</v>
      </c>
      <c r="K226" s="7" t="s">
        <v>67</v>
      </c>
      <c r="L226" t="s">
        <v>68</v>
      </c>
      <c r="M226" t="s">
        <v>69</v>
      </c>
      <c r="O226" t="s">
        <v>1206</v>
      </c>
      <c r="S226" t="str">
        <f>TEXT(Table1[[#This Row],[Date]],"MMM-YY")</f>
        <v>Jan-24</v>
      </c>
      <c r="T226">
        <f>_xlfn.ISOWEEKNUM(Table1[[#This Row],[Date]])</f>
        <v>2</v>
      </c>
      <c r="U226" t="str">
        <f>TEXT(Table1[[#This Row],[Expected Business Month]],"YYYY")</f>
        <v>2024</v>
      </c>
    </row>
    <row r="227" spans="1:21" hidden="1">
      <c r="A227" s="1">
        <v>45304</v>
      </c>
      <c r="B227" t="s">
        <v>1207</v>
      </c>
      <c r="C227" t="s">
        <v>96</v>
      </c>
      <c r="D227" t="s">
        <v>1203</v>
      </c>
      <c r="E227" t="s">
        <v>23</v>
      </c>
      <c r="F227" t="s">
        <v>1208</v>
      </c>
      <c r="G227" s="9" t="s">
        <v>1209</v>
      </c>
      <c r="H227">
        <v>2500</v>
      </c>
      <c r="I227">
        <v>2500</v>
      </c>
      <c r="J227" s="21">
        <v>45292</v>
      </c>
      <c r="K227" s="7" t="s">
        <v>67</v>
      </c>
      <c r="L227" t="s">
        <v>68</v>
      </c>
      <c r="M227" t="s">
        <v>69</v>
      </c>
      <c r="O227" t="s">
        <v>1206</v>
      </c>
      <c r="S227" t="str">
        <f>TEXT(Table1[[#This Row],[Date]],"MMM-YY")</f>
        <v>Jan-24</v>
      </c>
      <c r="T227">
        <f>_xlfn.ISOWEEKNUM(Table1[[#This Row],[Date]])</f>
        <v>2</v>
      </c>
      <c r="U227" t="str">
        <f>TEXT(Table1[[#This Row],[Expected Business Month]],"YYYY")</f>
        <v>2024</v>
      </c>
    </row>
    <row r="228" spans="1:21" hidden="1">
      <c r="A228" s="1">
        <v>45304</v>
      </c>
      <c r="B228" t="s">
        <v>1210</v>
      </c>
      <c r="C228" t="s">
        <v>96</v>
      </c>
      <c r="D228" t="s">
        <v>20</v>
      </c>
      <c r="E228" t="s">
        <v>23</v>
      </c>
      <c r="F228" t="s">
        <v>371</v>
      </c>
      <c r="G228" s="9" t="s">
        <v>1211</v>
      </c>
      <c r="H228">
        <v>15000</v>
      </c>
      <c r="I228">
        <v>0</v>
      </c>
      <c r="J228" s="21">
        <v>45292</v>
      </c>
      <c r="K228" s="7" t="s">
        <v>67</v>
      </c>
      <c r="L228" t="s">
        <v>9</v>
      </c>
      <c r="M228" t="s">
        <v>9</v>
      </c>
      <c r="N228" t="s">
        <v>1212</v>
      </c>
      <c r="O228">
        <v>3000</v>
      </c>
      <c r="S228" t="str">
        <f>TEXT(Table1[[#This Row],[Date]],"MMM-YY")</f>
        <v>Jan-24</v>
      </c>
      <c r="T228">
        <f>_xlfn.ISOWEEKNUM(Table1[[#This Row],[Date]])</f>
        <v>2</v>
      </c>
      <c r="U228" t="str">
        <f>TEXT(Table1[[#This Row],[Expected Business Month]],"YYYY")</f>
        <v>2024</v>
      </c>
    </row>
    <row r="229" spans="1:21" ht="29.1" hidden="1">
      <c r="A229" s="1">
        <v>45304</v>
      </c>
      <c r="B229" t="s">
        <v>324</v>
      </c>
      <c r="C229" t="s">
        <v>96</v>
      </c>
      <c r="D229" t="s">
        <v>64</v>
      </c>
      <c r="E229" t="s">
        <v>38</v>
      </c>
      <c r="F229" t="s">
        <v>325</v>
      </c>
      <c r="G229" s="9" t="s">
        <v>1213</v>
      </c>
      <c r="H229">
        <v>53487</v>
      </c>
      <c r="I229">
        <v>53487</v>
      </c>
      <c r="J229" s="21">
        <v>45292</v>
      </c>
      <c r="K229" s="7" t="s">
        <v>99</v>
      </c>
      <c r="L229" t="s">
        <v>68</v>
      </c>
      <c r="M229" t="s">
        <v>69</v>
      </c>
      <c r="O229">
        <v>0</v>
      </c>
      <c r="S229" t="str">
        <f>TEXT(Table1[[#This Row],[Date]],"MMM-YY")</f>
        <v>Jan-24</v>
      </c>
      <c r="T229">
        <f>_xlfn.ISOWEEKNUM(Table1[[#This Row],[Date]])</f>
        <v>2</v>
      </c>
      <c r="U229" t="str">
        <f>TEXT(Table1[[#This Row],[Expected Business Month]],"YYYY")</f>
        <v>2024</v>
      </c>
    </row>
    <row r="230" spans="1:21" hidden="1">
      <c r="A230" s="1">
        <v>45304</v>
      </c>
      <c r="B230" t="s">
        <v>1214</v>
      </c>
      <c r="C230" t="s">
        <v>96</v>
      </c>
      <c r="D230" t="s">
        <v>64</v>
      </c>
      <c r="E230" t="s">
        <v>17</v>
      </c>
      <c r="F230" t="s">
        <v>1215</v>
      </c>
      <c r="G230" s="9" t="s">
        <v>1216</v>
      </c>
      <c r="H230">
        <v>5000</v>
      </c>
      <c r="I230">
        <v>0</v>
      </c>
      <c r="J230" s="21">
        <v>45566</v>
      </c>
      <c r="K230" s="7" t="s">
        <v>67</v>
      </c>
      <c r="L230" t="s">
        <v>9</v>
      </c>
      <c r="M230" t="s">
        <v>9</v>
      </c>
      <c r="N230" t="s">
        <v>586</v>
      </c>
      <c r="O230">
        <v>1000</v>
      </c>
      <c r="S230" t="str">
        <f>TEXT(Table1[[#This Row],[Date]],"MMM-YY")</f>
        <v>Jan-24</v>
      </c>
      <c r="T230">
        <f>_xlfn.ISOWEEKNUM(Table1[[#This Row],[Date]])</f>
        <v>2</v>
      </c>
      <c r="U230" t="str">
        <f>TEXT(Table1[[#This Row],[Expected Business Month]],"YYYY")</f>
        <v>2024</v>
      </c>
    </row>
    <row r="231" spans="1:21" hidden="1">
      <c r="A231" s="1">
        <v>45305</v>
      </c>
      <c r="B231" t="s">
        <v>1217</v>
      </c>
      <c r="C231" t="s">
        <v>96</v>
      </c>
      <c r="D231" t="s">
        <v>20</v>
      </c>
      <c r="E231" t="s">
        <v>23</v>
      </c>
      <c r="F231" t="s">
        <v>1218</v>
      </c>
      <c r="G231" s="9" t="s">
        <v>1211</v>
      </c>
      <c r="H231">
        <v>10500</v>
      </c>
      <c r="I231">
        <v>0</v>
      </c>
      <c r="J231" s="21">
        <v>45292</v>
      </c>
      <c r="K231" s="7" t="s">
        <v>67</v>
      </c>
      <c r="L231" t="s">
        <v>9</v>
      </c>
      <c r="M231" t="s">
        <v>9</v>
      </c>
      <c r="N231" t="s">
        <v>1212</v>
      </c>
      <c r="O231">
        <v>2100</v>
      </c>
      <c r="S231" t="str">
        <f>TEXT(Table1[[#This Row],[Date]],"MMM-YY")</f>
        <v>Jan-24</v>
      </c>
      <c r="T231">
        <f>_xlfn.ISOWEEKNUM(Table1[[#This Row],[Date]])</f>
        <v>2</v>
      </c>
      <c r="U231" t="str">
        <f>TEXT(Table1[[#This Row],[Expected Business Month]],"YYYY")</f>
        <v>2024</v>
      </c>
    </row>
    <row r="232" spans="1:21" hidden="1">
      <c r="A232" s="1">
        <v>45305</v>
      </c>
      <c r="B232" t="s">
        <v>1219</v>
      </c>
      <c r="C232" t="s">
        <v>96</v>
      </c>
      <c r="D232" t="s">
        <v>64</v>
      </c>
      <c r="E232" t="s">
        <v>26</v>
      </c>
      <c r="F232" t="s">
        <v>1220</v>
      </c>
      <c r="G232" s="9" t="s">
        <v>1221</v>
      </c>
      <c r="H232">
        <v>5000</v>
      </c>
      <c r="I232">
        <v>0</v>
      </c>
      <c r="J232" s="21">
        <v>45566</v>
      </c>
      <c r="K232" s="7" t="s">
        <v>67</v>
      </c>
      <c r="L232" t="s">
        <v>9</v>
      </c>
      <c r="M232" t="s">
        <v>9</v>
      </c>
      <c r="N232" t="s">
        <v>586</v>
      </c>
      <c r="O232">
        <v>1000</v>
      </c>
      <c r="S232" t="str">
        <f>TEXT(Table1[[#This Row],[Date]],"MMM-YY")</f>
        <v>Jan-24</v>
      </c>
      <c r="T232">
        <f>_xlfn.ISOWEEKNUM(Table1[[#This Row],[Date]])</f>
        <v>2</v>
      </c>
      <c r="U232" t="str">
        <f>TEXT(Table1[[#This Row],[Expected Business Month]],"YYYY")</f>
        <v>2024</v>
      </c>
    </row>
    <row r="233" spans="1:21" hidden="1">
      <c r="A233" s="1">
        <v>45305</v>
      </c>
      <c r="B233" t="s">
        <v>1222</v>
      </c>
      <c r="C233" t="s">
        <v>96</v>
      </c>
      <c r="D233" t="s">
        <v>64</v>
      </c>
      <c r="E233" t="s">
        <v>26</v>
      </c>
      <c r="F233" t="s">
        <v>1024</v>
      </c>
      <c r="G233" s="9" t="s">
        <v>1221</v>
      </c>
      <c r="H233">
        <v>6000</v>
      </c>
      <c r="I233">
        <v>0</v>
      </c>
      <c r="J233" s="21">
        <v>45505</v>
      </c>
      <c r="K233" s="7" t="s">
        <v>67</v>
      </c>
      <c r="L233" t="s">
        <v>9</v>
      </c>
      <c r="M233" t="s">
        <v>9</v>
      </c>
      <c r="N233" t="s">
        <v>680</v>
      </c>
      <c r="O233">
        <v>1200</v>
      </c>
      <c r="S233" t="str">
        <f>TEXT(Table1[[#This Row],[Date]],"MMM-YY")</f>
        <v>Jan-24</v>
      </c>
      <c r="T233">
        <f>_xlfn.ISOWEEKNUM(Table1[[#This Row],[Date]])</f>
        <v>2</v>
      </c>
      <c r="U233" t="str">
        <f>TEXT(Table1[[#This Row],[Expected Business Month]],"YYYY")</f>
        <v>2024</v>
      </c>
    </row>
    <row r="234" spans="1:21" hidden="1">
      <c r="A234" s="1">
        <v>45306</v>
      </c>
      <c r="B234" t="s">
        <v>1223</v>
      </c>
      <c r="C234" t="s">
        <v>96</v>
      </c>
      <c r="D234" t="s">
        <v>64</v>
      </c>
      <c r="E234" t="s">
        <v>14</v>
      </c>
      <c r="F234" t="s">
        <v>1224</v>
      </c>
      <c r="G234" s="9" t="s">
        <v>1225</v>
      </c>
      <c r="H234">
        <v>10000</v>
      </c>
      <c r="I234">
        <v>0</v>
      </c>
      <c r="J234" s="21">
        <v>45505</v>
      </c>
      <c r="K234" s="7" t="s">
        <v>67</v>
      </c>
      <c r="L234" t="s">
        <v>9</v>
      </c>
      <c r="M234" t="s">
        <v>9</v>
      </c>
      <c r="N234" t="s">
        <v>680</v>
      </c>
      <c r="O234">
        <v>2000</v>
      </c>
      <c r="S234" t="str">
        <f>TEXT(Table1[[#This Row],[Date]],"MMM-YY")</f>
        <v>Jan-24</v>
      </c>
      <c r="T234">
        <f>_xlfn.ISOWEEKNUM(Table1[[#This Row],[Date]])</f>
        <v>3</v>
      </c>
      <c r="U234" t="str">
        <f>TEXT(Table1[[#This Row],[Expected Business Month]],"YYYY")</f>
        <v>2024</v>
      </c>
    </row>
    <row r="235" spans="1:21" hidden="1">
      <c r="A235" s="1">
        <v>45306</v>
      </c>
      <c r="B235" t="s">
        <v>1226</v>
      </c>
      <c r="C235" t="s">
        <v>96</v>
      </c>
      <c r="D235" t="s">
        <v>64</v>
      </c>
      <c r="E235" t="s">
        <v>31</v>
      </c>
      <c r="F235" t="s">
        <v>1227</v>
      </c>
      <c r="G235" s="9" t="s">
        <v>1225</v>
      </c>
      <c r="H235">
        <v>10000</v>
      </c>
      <c r="I235">
        <v>0</v>
      </c>
      <c r="J235" s="21">
        <v>45352</v>
      </c>
      <c r="K235" s="7" t="s">
        <v>67</v>
      </c>
      <c r="L235" t="s">
        <v>9</v>
      </c>
      <c r="M235" t="s">
        <v>9</v>
      </c>
      <c r="N235" t="s">
        <v>586</v>
      </c>
      <c r="O235">
        <v>2000</v>
      </c>
      <c r="S235" t="str">
        <f>TEXT(Table1[[#This Row],[Date]],"MMM-YY")</f>
        <v>Jan-24</v>
      </c>
      <c r="T235">
        <f>_xlfn.ISOWEEKNUM(Table1[[#This Row],[Date]])</f>
        <v>3</v>
      </c>
      <c r="U235" t="str">
        <f>TEXT(Table1[[#This Row],[Expected Business Month]],"YYYY")</f>
        <v>2024</v>
      </c>
    </row>
    <row r="236" spans="1:21" hidden="1">
      <c r="A236" s="1">
        <v>45307</v>
      </c>
      <c r="B236" t="s">
        <v>1228</v>
      </c>
      <c r="C236" t="s">
        <v>96</v>
      </c>
      <c r="D236" t="s">
        <v>20</v>
      </c>
      <c r="E236" t="s">
        <v>23</v>
      </c>
      <c r="F236" t="s">
        <v>1229</v>
      </c>
      <c r="G236" s="9" t="s">
        <v>1230</v>
      </c>
      <c r="H236">
        <v>30000</v>
      </c>
      <c r="I236">
        <v>0</v>
      </c>
      <c r="J236" s="21">
        <v>45292</v>
      </c>
      <c r="K236" s="7" t="s">
        <v>67</v>
      </c>
      <c r="L236" t="s">
        <v>9</v>
      </c>
      <c r="M236" t="s">
        <v>9</v>
      </c>
      <c r="N236" t="s">
        <v>1212</v>
      </c>
      <c r="O236">
        <v>6000</v>
      </c>
      <c r="S236" t="str">
        <f>TEXT(Table1[[#This Row],[Date]],"MMM-YY")</f>
        <v>Jan-24</v>
      </c>
      <c r="T236">
        <f>_xlfn.ISOWEEKNUM(Table1[[#This Row],[Date]])</f>
        <v>3</v>
      </c>
      <c r="U236" t="str">
        <f>TEXT(Table1[[#This Row],[Expected Business Month]],"YYYY")</f>
        <v>2024</v>
      </c>
    </row>
    <row r="237" spans="1:21" hidden="1">
      <c r="A237" s="1">
        <v>45307</v>
      </c>
      <c r="B237" t="s">
        <v>1231</v>
      </c>
      <c r="C237" t="s">
        <v>63</v>
      </c>
      <c r="D237" t="s">
        <v>20</v>
      </c>
      <c r="E237" t="s">
        <v>18</v>
      </c>
      <c r="F237" t="s">
        <v>1232</v>
      </c>
      <c r="G237" s="9" t="s">
        <v>1233</v>
      </c>
      <c r="H237">
        <v>100000</v>
      </c>
      <c r="I237">
        <v>0</v>
      </c>
      <c r="J237" s="21">
        <v>45323</v>
      </c>
      <c r="K237" s="7" t="s">
        <v>67</v>
      </c>
      <c r="L237" t="s">
        <v>9</v>
      </c>
      <c r="M237" t="s">
        <v>9</v>
      </c>
      <c r="N237" t="s">
        <v>1234</v>
      </c>
      <c r="O237">
        <v>20000</v>
      </c>
      <c r="R237" t="s">
        <v>1235</v>
      </c>
      <c r="S237" t="str">
        <f>TEXT(Table1[[#This Row],[Date]],"MMM-YY")</f>
        <v>Jan-24</v>
      </c>
      <c r="T237">
        <f>_xlfn.ISOWEEKNUM(Table1[[#This Row],[Date]])</f>
        <v>3</v>
      </c>
      <c r="U237" t="str">
        <f>TEXT(Table1[[#This Row],[Expected Business Month]],"YYYY")</f>
        <v>2024</v>
      </c>
    </row>
    <row r="238" spans="1:21" hidden="1">
      <c r="A238" s="1">
        <v>45307</v>
      </c>
      <c r="B238" t="s">
        <v>1236</v>
      </c>
      <c r="C238" t="s">
        <v>96</v>
      </c>
      <c r="D238" t="s">
        <v>64</v>
      </c>
      <c r="E238" t="s">
        <v>32</v>
      </c>
      <c r="F238" t="s">
        <v>1237</v>
      </c>
      <c r="G238" s="9" t="s">
        <v>1238</v>
      </c>
      <c r="H238">
        <v>10000</v>
      </c>
      <c r="I238">
        <v>10000</v>
      </c>
      <c r="J238" s="21">
        <v>45292</v>
      </c>
      <c r="K238" s="7" t="s">
        <v>67</v>
      </c>
      <c r="L238" t="s">
        <v>68</v>
      </c>
      <c r="M238" t="s">
        <v>69</v>
      </c>
      <c r="O238">
        <v>2000</v>
      </c>
      <c r="S238" t="str">
        <f>TEXT(Table1[[#This Row],[Date]],"MMM-YY")</f>
        <v>Jan-24</v>
      </c>
      <c r="T238">
        <f>_xlfn.ISOWEEKNUM(Table1[[#This Row],[Date]])</f>
        <v>3</v>
      </c>
      <c r="U238" t="str">
        <f>TEXT(Table1[[#This Row],[Expected Business Month]],"YYYY")</f>
        <v>2024</v>
      </c>
    </row>
    <row r="239" spans="1:21" ht="29.1" hidden="1">
      <c r="A239" s="1">
        <v>45307</v>
      </c>
      <c r="B239" t="s">
        <v>1239</v>
      </c>
      <c r="C239" t="s">
        <v>63</v>
      </c>
      <c r="D239" t="s">
        <v>64</v>
      </c>
      <c r="E239" t="s">
        <v>28</v>
      </c>
      <c r="F239" t="s">
        <v>1240</v>
      </c>
      <c r="G239" s="9" t="s">
        <v>1241</v>
      </c>
      <c r="H239">
        <v>10000</v>
      </c>
      <c r="I239">
        <v>0</v>
      </c>
      <c r="J239" s="21">
        <v>45505</v>
      </c>
      <c r="K239" s="7" t="s">
        <v>67</v>
      </c>
      <c r="L239" t="s">
        <v>9</v>
      </c>
      <c r="M239" t="s">
        <v>9</v>
      </c>
      <c r="N239" t="s">
        <v>680</v>
      </c>
      <c r="O239">
        <v>2000</v>
      </c>
      <c r="S239" t="str">
        <f>TEXT(Table1[[#This Row],[Date]],"MMM-YY")</f>
        <v>Jan-24</v>
      </c>
      <c r="T239">
        <f>_xlfn.ISOWEEKNUM(Table1[[#This Row],[Date]])</f>
        <v>3</v>
      </c>
      <c r="U239" t="str">
        <f>TEXT(Table1[[#This Row],[Expected Business Month]],"YYYY")</f>
        <v>2024</v>
      </c>
    </row>
    <row r="240" spans="1:21" hidden="1">
      <c r="A240" s="1">
        <v>45307</v>
      </c>
      <c r="B240" t="s">
        <v>1242</v>
      </c>
      <c r="C240" t="s">
        <v>63</v>
      </c>
      <c r="D240" t="s">
        <v>64</v>
      </c>
      <c r="E240" t="s">
        <v>20</v>
      </c>
      <c r="F240" t="s">
        <v>1243</v>
      </c>
      <c r="G240" s="9" t="s">
        <v>1244</v>
      </c>
      <c r="H240">
        <v>8000</v>
      </c>
      <c r="I240">
        <v>0</v>
      </c>
      <c r="J240" s="21">
        <v>45352</v>
      </c>
      <c r="K240" s="7" t="s">
        <v>67</v>
      </c>
      <c r="L240" t="s">
        <v>9</v>
      </c>
      <c r="M240" t="s">
        <v>9</v>
      </c>
      <c r="N240" t="s">
        <v>1245</v>
      </c>
      <c r="O240">
        <v>1600</v>
      </c>
      <c r="S240" t="str">
        <f>TEXT(Table1[[#This Row],[Date]],"MMM-YY")</f>
        <v>Jan-24</v>
      </c>
      <c r="T240">
        <f>_xlfn.ISOWEEKNUM(Table1[[#This Row],[Date]])</f>
        <v>3</v>
      </c>
      <c r="U240" t="str">
        <f>TEXT(Table1[[#This Row],[Expected Business Month]],"YYYY")</f>
        <v>2024</v>
      </c>
    </row>
    <row r="241" spans="1:21" ht="29.1" hidden="1">
      <c r="A241" s="1">
        <v>45308</v>
      </c>
      <c r="B241" t="s">
        <v>1246</v>
      </c>
      <c r="C241" t="s">
        <v>63</v>
      </c>
      <c r="D241" t="s">
        <v>618</v>
      </c>
      <c r="E241" t="s">
        <v>18</v>
      </c>
      <c r="F241" t="s">
        <v>1247</v>
      </c>
      <c r="G241" s="9" t="s">
        <v>1248</v>
      </c>
      <c r="H241">
        <v>50000</v>
      </c>
      <c r="I241">
        <v>0</v>
      </c>
      <c r="J241" s="21">
        <v>45352</v>
      </c>
      <c r="K241" s="7" t="s">
        <v>67</v>
      </c>
      <c r="L241" t="s">
        <v>9</v>
      </c>
      <c r="M241" t="s">
        <v>9</v>
      </c>
      <c r="N241" t="s">
        <v>1212</v>
      </c>
      <c r="O241">
        <v>10000</v>
      </c>
      <c r="S241" t="str">
        <f>TEXT(Table1[[#This Row],[Date]],"MMM-YY")</f>
        <v>Jan-24</v>
      </c>
      <c r="T241">
        <f>_xlfn.ISOWEEKNUM(Table1[[#This Row],[Date]])</f>
        <v>3</v>
      </c>
      <c r="U241" t="str">
        <f>TEXT(Table1[[#This Row],[Expected Business Month]],"YYYY")</f>
        <v>2024</v>
      </c>
    </row>
    <row r="242" spans="1:21" hidden="1">
      <c r="A242" s="1">
        <v>45308</v>
      </c>
      <c r="B242" t="s">
        <v>1249</v>
      </c>
      <c r="C242" t="s">
        <v>63</v>
      </c>
      <c r="D242" t="s">
        <v>64</v>
      </c>
      <c r="E242" t="s">
        <v>20</v>
      </c>
      <c r="F242" t="s">
        <v>1250</v>
      </c>
      <c r="G242" s="9" t="s">
        <v>1251</v>
      </c>
      <c r="H242">
        <v>10000</v>
      </c>
      <c r="I242">
        <v>0</v>
      </c>
      <c r="J242" s="21">
        <v>45292</v>
      </c>
      <c r="K242" s="7" t="s">
        <v>67</v>
      </c>
      <c r="L242" t="s">
        <v>9</v>
      </c>
      <c r="M242" t="s">
        <v>9</v>
      </c>
      <c r="N242" t="s">
        <v>602</v>
      </c>
      <c r="O242">
        <v>2000</v>
      </c>
      <c r="S242" t="str">
        <f>TEXT(Table1[[#This Row],[Date]],"MMM-YY")</f>
        <v>Jan-24</v>
      </c>
      <c r="T242">
        <f>_xlfn.ISOWEEKNUM(Table1[[#This Row],[Date]])</f>
        <v>3</v>
      </c>
      <c r="U242" t="str">
        <f>TEXT(Table1[[#This Row],[Expected Business Month]],"YYYY")</f>
        <v>2024</v>
      </c>
    </row>
    <row r="243" spans="1:21" hidden="1">
      <c r="A243" s="1">
        <v>45308</v>
      </c>
      <c r="B243" t="s">
        <v>1252</v>
      </c>
      <c r="C243" t="s">
        <v>96</v>
      </c>
      <c r="D243" t="s">
        <v>20</v>
      </c>
      <c r="E243" t="s">
        <v>23</v>
      </c>
      <c r="F243" t="s">
        <v>1253</v>
      </c>
      <c r="G243" s="9" t="s">
        <v>1254</v>
      </c>
      <c r="H243">
        <v>10000</v>
      </c>
      <c r="I243">
        <v>0</v>
      </c>
      <c r="J243" s="21">
        <v>45292</v>
      </c>
      <c r="K243" s="7" t="s">
        <v>67</v>
      </c>
      <c r="L243" t="s">
        <v>9</v>
      </c>
      <c r="M243" t="s">
        <v>9</v>
      </c>
      <c r="N243" t="s">
        <v>602</v>
      </c>
      <c r="O243">
        <v>2000</v>
      </c>
      <c r="S243" t="str">
        <f>TEXT(Table1[[#This Row],[Date]],"MMM-YY")</f>
        <v>Jan-24</v>
      </c>
      <c r="T243">
        <f>_xlfn.ISOWEEKNUM(Table1[[#This Row],[Date]])</f>
        <v>3</v>
      </c>
      <c r="U243" t="str">
        <f>TEXT(Table1[[#This Row],[Expected Business Month]],"YYYY")</f>
        <v>2024</v>
      </c>
    </row>
    <row r="244" spans="1:21" hidden="1">
      <c r="A244" s="1">
        <v>45308</v>
      </c>
      <c r="B244" t="s">
        <v>1255</v>
      </c>
      <c r="C244" t="s">
        <v>63</v>
      </c>
      <c r="D244" t="s">
        <v>64</v>
      </c>
      <c r="E244" t="s">
        <v>14</v>
      </c>
      <c r="F244" t="s">
        <v>1256</v>
      </c>
      <c r="G244" s="9" t="s">
        <v>1257</v>
      </c>
      <c r="H244">
        <v>10000</v>
      </c>
      <c r="I244">
        <v>0</v>
      </c>
      <c r="J244" s="21">
        <v>45505</v>
      </c>
      <c r="K244" s="7" t="s">
        <v>67</v>
      </c>
      <c r="L244" t="s">
        <v>9</v>
      </c>
      <c r="M244" t="s">
        <v>9</v>
      </c>
      <c r="N244" t="s">
        <v>680</v>
      </c>
      <c r="O244">
        <v>2000</v>
      </c>
      <c r="S244" t="str">
        <f>TEXT(Table1[[#This Row],[Date]],"MMM-YY")</f>
        <v>Jan-24</v>
      </c>
      <c r="T244">
        <f>_xlfn.ISOWEEKNUM(Table1[[#This Row],[Date]])</f>
        <v>3</v>
      </c>
      <c r="U244" t="str">
        <f>TEXT(Table1[[#This Row],[Expected Business Month]],"YYYY")</f>
        <v>2024</v>
      </c>
    </row>
    <row r="245" spans="1:21" hidden="1">
      <c r="A245" s="1">
        <v>45309</v>
      </c>
      <c r="B245" t="s">
        <v>1258</v>
      </c>
      <c r="C245" t="s">
        <v>63</v>
      </c>
      <c r="D245" t="s">
        <v>105</v>
      </c>
      <c r="E245" t="s">
        <v>18</v>
      </c>
      <c r="F245" t="s">
        <v>1259</v>
      </c>
      <c r="G245" s="9" t="s">
        <v>1260</v>
      </c>
      <c r="H245">
        <v>10000</v>
      </c>
      <c r="I245">
        <v>0</v>
      </c>
      <c r="J245" s="21">
        <v>45505</v>
      </c>
      <c r="K245" s="7" t="s">
        <v>67</v>
      </c>
      <c r="L245" t="s">
        <v>9</v>
      </c>
      <c r="M245" t="s">
        <v>9</v>
      </c>
      <c r="N245" t="s">
        <v>680</v>
      </c>
      <c r="O245">
        <v>2000</v>
      </c>
      <c r="S245" t="str">
        <f>TEXT(Table1[[#This Row],[Date]],"MMM-YY")</f>
        <v>Jan-24</v>
      </c>
      <c r="T245">
        <f>_xlfn.ISOWEEKNUM(Table1[[#This Row],[Date]])</f>
        <v>3</v>
      </c>
      <c r="U245" t="str">
        <f>TEXT(Table1[[#This Row],[Expected Business Month]],"YYYY")</f>
        <v>2024</v>
      </c>
    </row>
    <row r="246" spans="1:21" hidden="1">
      <c r="A246" s="1">
        <v>45309</v>
      </c>
      <c r="B246" t="s">
        <v>1261</v>
      </c>
      <c r="C246" t="s">
        <v>63</v>
      </c>
      <c r="D246" t="s">
        <v>64</v>
      </c>
      <c r="E246" t="s">
        <v>16</v>
      </c>
      <c r="F246" t="s">
        <v>1262</v>
      </c>
      <c r="G246" s="9" t="s">
        <v>1263</v>
      </c>
      <c r="H246">
        <v>8000</v>
      </c>
      <c r="I246">
        <v>0</v>
      </c>
      <c r="J246" s="21">
        <v>45505</v>
      </c>
      <c r="K246" s="7" t="s">
        <v>67</v>
      </c>
      <c r="L246" t="s">
        <v>9</v>
      </c>
      <c r="M246" t="s">
        <v>9</v>
      </c>
      <c r="N246" t="s">
        <v>680</v>
      </c>
      <c r="O246">
        <v>1600</v>
      </c>
      <c r="S246" t="str">
        <f>TEXT(Table1[[#This Row],[Date]],"MMM-YY")</f>
        <v>Jan-24</v>
      </c>
      <c r="T246">
        <f>_xlfn.ISOWEEKNUM(Table1[[#This Row],[Date]])</f>
        <v>3</v>
      </c>
      <c r="U246" t="str">
        <f>TEXT(Table1[[#This Row],[Expected Business Month]],"YYYY")</f>
        <v>2024</v>
      </c>
    </row>
    <row r="247" spans="1:21" ht="29.1" hidden="1">
      <c r="A247" s="1">
        <v>45309</v>
      </c>
      <c r="B247" t="s">
        <v>1264</v>
      </c>
      <c r="C247" t="s">
        <v>96</v>
      </c>
      <c r="D247" t="s">
        <v>64</v>
      </c>
      <c r="E247" t="s">
        <v>26</v>
      </c>
      <c r="F247" t="s">
        <v>1265</v>
      </c>
      <c r="G247" s="9" t="s">
        <v>1266</v>
      </c>
      <c r="H247">
        <v>12000</v>
      </c>
      <c r="I247">
        <v>0</v>
      </c>
      <c r="J247" s="21">
        <v>45383</v>
      </c>
      <c r="K247" s="7" t="s">
        <v>67</v>
      </c>
      <c r="L247" t="s">
        <v>9</v>
      </c>
      <c r="M247" t="s">
        <v>9</v>
      </c>
      <c r="N247" t="s">
        <v>586</v>
      </c>
      <c r="O247">
        <v>2400</v>
      </c>
      <c r="S247" t="str">
        <f>TEXT(Table1[[#This Row],[Date]],"MMM-YY")</f>
        <v>Jan-24</v>
      </c>
      <c r="T247">
        <f>_xlfn.ISOWEEKNUM(Table1[[#This Row],[Date]])</f>
        <v>3</v>
      </c>
      <c r="U247" t="str">
        <f>TEXT(Table1[[#This Row],[Expected Business Month]],"YYYY")</f>
        <v>2024</v>
      </c>
    </row>
    <row r="248" spans="1:21" hidden="1">
      <c r="A248" s="1">
        <v>45310</v>
      </c>
      <c r="B248" t="s">
        <v>1267</v>
      </c>
      <c r="C248" t="s">
        <v>96</v>
      </c>
      <c r="D248" t="s">
        <v>64</v>
      </c>
      <c r="E248" t="s">
        <v>14</v>
      </c>
      <c r="F248" t="s">
        <v>1268</v>
      </c>
      <c r="G248" s="9" t="s">
        <v>1269</v>
      </c>
      <c r="H248">
        <v>4000</v>
      </c>
      <c r="I248">
        <v>0</v>
      </c>
      <c r="J248" s="21">
        <v>45505</v>
      </c>
      <c r="K248" s="7" t="s">
        <v>67</v>
      </c>
      <c r="L248" t="s">
        <v>9</v>
      </c>
      <c r="M248" t="s">
        <v>9</v>
      </c>
      <c r="N248" t="s">
        <v>680</v>
      </c>
      <c r="O248">
        <v>800</v>
      </c>
      <c r="S248" t="str">
        <f>TEXT(Table1[[#This Row],[Date]],"MMM-YY")</f>
        <v>Jan-24</v>
      </c>
      <c r="T248">
        <f>_xlfn.ISOWEEKNUM(Table1[[#This Row],[Date]])</f>
        <v>3</v>
      </c>
      <c r="U248" t="str">
        <f>TEXT(Table1[[#This Row],[Expected Business Month]],"YYYY")</f>
        <v>2024</v>
      </c>
    </row>
    <row r="249" spans="1:21" hidden="1">
      <c r="A249" s="1">
        <v>45310</v>
      </c>
      <c r="B249" t="s">
        <v>1270</v>
      </c>
      <c r="C249" t="s">
        <v>96</v>
      </c>
      <c r="D249" t="s">
        <v>64</v>
      </c>
      <c r="E249" t="s">
        <v>26</v>
      </c>
      <c r="F249" t="s">
        <v>1271</v>
      </c>
      <c r="G249" s="9" t="s">
        <v>1136</v>
      </c>
      <c r="H249">
        <v>10000</v>
      </c>
      <c r="I249">
        <v>0</v>
      </c>
      <c r="J249" s="21">
        <v>45474</v>
      </c>
      <c r="K249" s="7" t="s">
        <v>67</v>
      </c>
      <c r="L249" t="s">
        <v>9</v>
      </c>
      <c r="M249" t="s">
        <v>9</v>
      </c>
      <c r="N249" t="s">
        <v>586</v>
      </c>
      <c r="O249">
        <v>2000</v>
      </c>
      <c r="S249" t="str">
        <f>TEXT(Table1[[#This Row],[Date]],"MMM-YY")</f>
        <v>Jan-24</v>
      </c>
      <c r="T249">
        <f>_xlfn.ISOWEEKNUM(Table1[[#This Row],[Date]])</f>
        <v>3</v>
      </c>
      <c r="U249" t="str">
        <f>TEXT(Table1[[#This Row],[Expected Business Month]],"YYYY")</f>
        <v>2024</v>
      </c>
    </row>
    <row r="250" spans="1:21" hidden="1">
      <c r="A250" s="1">
        <v>45310</v>
      </c>
      <c r="B250" t="s">
        <v>1272</v>
      </c>
      <c r="C250" t="s">
        <v>96</v>
      </c>
      <c r="D250" t="s">
        <v>64</v>
      </c>
      <c r="E250" t="s">
        <v>14</v>
      </c>
      <c r="F250" t="s">
        <v>1273</v>
      </c>
      <c r="G250" s="9" t="s">
        <v>1136</v>
      </c>
      <c r="H250">
        <v>5000</v>
      </c>
      <c r="I250">
        <v>0</v>
      </c>
      <c r="J250" s="21">
        <v>45505</v>
      </c>
      <c r="K250" s="7" t="s">
        <v>67</v>
      </c>
      <c r="L250" t="s">
        <v>9</v>
      </c>
      <c r="M250" t="s">
        <v>9</v>
      </c>
      <c r="N250" t="s">
        <v>680</v>
      </c>
      <c r="O250">
        <v>1000</v>
      </c>
      <c r="S250" t="str">
        <f>TEXT(Table1[[#This Row],[Date]],"MMM-YY")</f>
        <v>Jan-24</v>
      </c>
      <c r="T250">
        <f>_xlfn.ISOWEEKNUM(Table1[[#This Row],[Date]])</f>
        <v>3</v>
      </c>
      <c r="U250" t="str">
        <f>TEXT(Table1[[#This Row],[Expected Business Month]],"YYYY")</f>
        <v>2024</v>
      </c>
    </row>
    <row r="251" spans="1:21" ht="29.1" hidden="1">
      <c r="A251" s="1">
        <v>45310</v>
      </c>
      <c r="B251" t="s">
        <v>1274</v>
      </c>
      <c r="C251" t="s">
        <v>96</v>
      </c>
      <c r="D251" t="s">
        <v>64</v>
      </c>
      <c r="E251" t="s">
        <v>26</v>
      </c>
      <c r="F251" t="s">
        <v>1275</v>
      </c>
      <c r="G251" s="9" t="s">
        <v>1276</v>
      </c>
      <c r="H251">
        <v>10000</v>
      </c>
      <c r="I251">
        <v>0</v>
      </c>
      <c r="J251" s="21">
        <v>45444</v>
      </c>
      <c r="K251" s="7" t="s">
        <v>67</v>
      </c>
      <c r="L251" t="s">
        <v>9</v>
      </c>
      <c r="M251" t="s">
        <v>9</v>
      </c>
      <c r="N251" t="s">
        <v>602</v>
      </c>
      <c r="O251">
        <v>2000</v>
      </c>
      <c r="S251" t="str">
        <f>TEXT(Table1[[#This Row],[Date]],"MMM-YY")</f>
        <v>Jan-24</v>
      </c>
      <c r="T251">
        <f>_xlfn.ISOWEEKNUM(Table1[[#This Row],[Date]])</f>
        <v>3</v>
      </c>
      <c r="U251" t="str">
        <f>TEXT(Table1[[#This Row],[Expected Business Month]],"YYYY")</f>
        <v>2024</v>
      </c>
    </row>
    <row r="252" spans="1:21" hidden="1">
      <c r="A252" s="1">
        <v>45310</v>
      </c>
      <c r="B252" t="s">
        <v>1277</v>
      </c>
      <c r="C252" t="s">
        <v>96</v>
      </c>
      <c r="D252" t="s">
        <v>64</v>
      </c>
      <c r="E252" t="s">
        <v>26</v>
      </c>
      <c r="F252" t="s">
        <v>1278</v>
      </c>
      <c r="G252" s="9" t="s">
        <v>1279</v>
      </c>
      <c r="H252">
        <v>4000</v>
      </c>
      <c r="I252">
        <v>0</v>
      </c>
      <c r="J252" s="21">
        <v>45383</v>
      </c>
      <c r="K252" s="7" t="s">
        <v>67</v>
      </c>
      <c r="L252" t="s">
        <v>9</v>
      </c>
      <c r="M252" t="s">
        <v>9</v>
      </c>
      <c r="N252" t="s">
        <v>602</v>
      </c>
      <c r="O252">
        <v>800</v>
      </c>
      <c r="S252" t="str">
        <f>TEXT(Table1[[#This Row],[Date]],"MMM-YY")</f>
        <v>Jan-24</v>
      </c>
      <c r="T252">
        <f>_xlfn.ISOWEEKNUM(Table1[[#This Row],[Date]])</f>
        <v>3</v>
      </c>
      <c r="U252" t="str">
        <f>TEXT(Table1[[#This Row],[Expected Business Month]],"YYYY")</f>
        <v>2024</v>
      </c>
    </row>
    <row r="253" spans="1:21" hidden="1">
      <c r="A253" s="1">
        <v>45312</v>
      </c>
      <c r="B253" t="s">
        <v>1280</v>
      </c>
      <c r="C253" t="s">
        <v>96</v>
      </c>
      <c r="D253" t="s">
        <v>20</v>
      </c>
      <c r="E253" t="s">
        <v>19</v>
      </c>
      <c r="F253" t="s">
        <v>1281</v>
      </c>
      <c r="G253" s="9" t="s">
        <v>1282</v>
      </c>
      <c r="H253">
        <v>57000</v>
      </c>
      <c r="I253">
        <v>57000</v>
      </c>
      <c r="J253" s="21">
        <v>45292</v>
      </c>
      <c r="K253" s="7" t="s">
        <v>67</v>
      </c>
      <c r="L253" t="s">
        <v>68</v>
      </c>
      <c r="M253" t="s">
        <v>9</v>
      </c>
      <c r="N253" t="s">
        <v>586</v>
      </c>
      <c r="O253">
        <v>11400</v>
      </c>
      <c r="S253" t="str">
        <f>TEXT(Table1[[#This Row],[Date]],"MMM-YY")</f>
        <v>Jan-24</v>
      </c>
      <c r="T253">
        <f>_xlfn.ISOWEEKNUM(Table1[[#This Row],[Date]])</f>
        <v>3</v>
      </c>
      <c r="U253" t="str">
        <f>TEXT(Table1[[#This Row],[Expected Business Month]],"YYYY")</f>
        <v>2024</v>
      </c>
    </row>
    <row r="254" spans="1:21" hidden="1">
      <c r="A254" s="1">
        <v>45312</v>
      </c>
      <c r="B254" t="s">
        <v>330</v>
      </c>
      <c r="C254" t="s">
        <v>96</v>
      </c>
      <c r="D254" t="s">
        <v>20</v>
      </c>
      <c r="E254" t="s">
        <v>23</v>
      </c>
      <c r="F254" t="s">
        <v>1262</v>
      </c>
      <c r="G254" s="9" t="s">
        <v>1283</v>
      </c>
      <c r="H254">
        <v>6500</v>
      </c>
      <c r="I254">
        <v>0</v>
      </c>
      <c r="J254" s="21">
        <v>45292</v>
      </c>
      <c r="K254" s="7" t="s">
        <v>67</v>
      </c>
      <c r="L254" t="s">
        <v>9</v>
      </c>
      <c r="M254" t="s">
        <v>9</v>
      </c>
      <c r="N254" t="s">
        <v>680</v>
      </c>
      <c r="O254">
        <v>1300</v>
      </c>
      <c r="S254" t="str">
        <f>TEXT(Table1[[#This Row],[Date]],"MMM-YY")</f>
        <v>Jan-24</v>
      </c>
      <c r="T254">
        <f>_xlfn.ISOWEEKNUM(Table1[[#This Row],[Date]])</f>
        <v>3</v>
      </c>
      <c r="U254" t="str">
        <f>TEXT(Table1[[#This Row],[Expected Business Month]],"YYYY")</f>
        <v>2024</v>
      </c>
    </row>
    <row r="255" spans="1:21" hidden="1">
      <c r="A255" s="1">
        <v>45312</v>
      </c>
      <c r="B255" t="s">
        <v>1284</v>
      </c>
      <c r="C255" t="s">
        <v>96</v>
      </c>
      <c r="D255" t="s">
        <v>20</v>
      </c>
      <c r="E255" t="s">
        <v>23</v>
      </c>
      <c r="F255" t="s">
        <v>153</v>
      </c>
      <c r="G255" s="9" t="s">
        <v>1285</v>
      </c>
      <c r="H255">
        <v>30000</v>
      </c>
      <c r="I255">
        <v>0</v>
      </c>
      <c r="J255" s="21">
        <v>45292</v>
      </c>
      <c r="K255" s="6" t="s">
        <v>99</v>
      </c>
      <c r="L255" t="s">
        <v>9</v>
      </c>
      <c r="M255" t="s">
        <v>9</v>
      </c>
      <c r="N255" t="s">
        <v>680</v>
      </c>
      <c r="O255">
        <v>6000</v>
      </c>
      <c r="S255" t="str">
        <f>TEXT(Table1[[#This Row],[Date]],"MMM-YY")</f>
        <v>Jan-24</v>
      </c>
      <c r="T255">
        <f>_xlfn.ISOWEEKNUM(Table1[[#This Row],[Date]])</f>
        <v>3</v>
      </c>
      <c r="U255" t="str">
        <f>TEXT(Table1[[#This Row],[Expected Business Month]],"YYYY")</f>
        <v>2024</v>
      </c>
    </row>
    <row r="256" spans="1:21" hidden="1">
      <c r="A256" s="1">
        <v>45312</v>
      </c>
      <c r="B256" t="s">
        <v>1286</v>
      </c>
      <c r="C256" t="s">
        <v>96</v>
      </c>
      <c r="D256" t="s">
        <v>20</v>
      </c>
      <c r="E256" t="s">
        <v>23</v>
      </c>
      <c r="F256" t="s">
        <v>73</v>
      </c>
      <c r="G256" s="9" t="s">
        <v>1287</v>
      </c>
      <c r="H256">
        <v>12000</v>
      </c>
      <c r="I256">
        <v>0</v>
      </c>
      <c r="J256" s="21">
        <v>45292</v>
      </c>
      <c r="K256" s="6" t="s">
        <v>67</v>
      </c>
      <c r="L256" t="s">
        <v>9</v>
      </c>
      <c r="M256" t="s">
        <v>9</v>
      </c>
      <c r="N256" t="s">
        <v>586</v>
      </c>
      <c r="O256">
        <v>2400</v>
      </c>
      <c r="S256" t="str">
        <f>TEXT(Table1[[#This Row],[Date]],"MMM-YY")</f>
        <v>Jan-24</v>
      </c>
      <c r="T256">
        <f>_xlfn.ISOWEEKNUM(Table1[[#This Row],[Date]])</f>
        <v>3</v>
      </c>
      <c r="U256" t="str">
        <f>TEXT(Table1[[#This Row],[Expected Business Month]],"YYYY")</f>
        <v>2024</v>
      </c>
    </row>
    <row r="257" spans="1:21" hidden="1">
      <c r="A257" s="1">
        <v>45313</v>
      </c>
      <c r="B257" t="s">
        <v>324</v>
      </c>
      <c r="C257" t="s">
        <v>96</v>
      </c>
      <c r="D257" t="s">
        <v>64</v>
      </c>
      <c r="E257" t="s">
        <v>38</v>
      </c>
      <c r="F257" t="s">
        <v>325</v>
      </c>
      <c r="G257" s="9" t="s">
        <v>1288</v>
      </c>
      <c r="H257">
        <v>49329</v>
      </c>
      <c r="I257">
        <v>49329</v>
      </c>
      <c r="J257" s="21">
        <v>45292</v>
      </c>
      <c r="K257" s="7" t="s">
        <v>99</v>
      </c>
      <c r="L257" t="s">
        <v>68</v>
      </c>
      <c r="M257" t="s">
        <v>9</v>
      </c>
      <c r="N257" t="s">
        <v>602</v>
      </c>
      <c r="O257">
        <v>0</v>
      </c>
      <c r="S257" t="str">
        <f>TEXT(Table1[[#This Row],[Date]],"MMM-YY")</f>
        <v>Jan-24</v>
      </c>
      <c r="T257">
        <f>_xlfn.ISOWEEKNUM(Table1[[#This Row],[Date]])</f>
        <v>4</v>
      </c>
      <c r="U257" t="str">
        <f>TEXT(Table1[[#This Row],[Expected Business Month]],"YYYY")</f>
        <v>2024</v>
      </c>
    </row>
    <row r="258" spans="1:21" hidden="1">
      <c r="A258" s="1">
        <v>45313</v>
      </c>
      <c r="B258" t="s">
        <v>1289</v>
      </c>
      <c r="C258" t="s">
        <v>96</v>
      </c>
      <c r="D258" t="s">
        <v>20</v>
      </c>
      <c r="E258" t="s">
        <v>18</v>
      </c>
      <c r="F258" t="s">
        <v>1290</v>
      </c>
      <c r="G258" s="9" t="s">
        <v>1291</v>
      </c>
      <c r="H258">
        <v>5000</v>
      </c>
      <c r="I258">
        <v>0</v>
      </c>
      <c r="J258" s="21">
        <v>45505</v>
      </c>
      <c r="K258" s="7" t="s">
        <v>67</v>
      </c>
      <c r="L258" t="s">
        <v>9</v>
      </c>
      <c r="M258" t="s">
        <v>9</v>
      </c>
      <c r="N258" t="s">
        <v>586</v>
      </c>
      <c r="O258">
        <v>1000</v>
      </c>
      <c r="S258" t="str">
        <f>TEXT(Table1[[#This Row],[Date]],"MMM-YY")</f>
        <v>Jan-24</v>
      </c>
      <c r="T258">
        <f>_xlfn.ISOWEEKNUM(Table1[[#This Row],[Date]])</f>
        <v>4</v>
      </c>
      <c r="U258" t="str">
        <f>TEXT(Table1[[#This Row],[Expected Business Month]],"YYYY")</f>
        <v>2024</v>
      </c>
    </row>
    <row r="259" spans="1:21" hidden="1">
      <c r="A259" s="1">
        <v>45313</v>
      </c>
      <c r="B259" t="s">
        <v>1106</v>
      </c>
      <c r="C259" t="s">
        <v>96</v>
      </c>
      <c r="D259" t="s">
        <v>64</v>
      </c>
      <c r="E259" t="s">
        <v>26</v>
      </c>
      <c r="F259" t="s">
        <v>1292</v>
      </c>
      <c r="G259" s="9" t="s">
        <v>1291</v>
      </c>
      <c r="H259">
        <v>6000</v>
      </c>
      <c r="I259">
        <v>0</v>
      </c>
      <c r="J259" s="21">
        <v>45505</v>
      </c>
      <c r="K259" s="7" t="s">
        <v>67</v>
      </c>
      <c r="L259" t="s">
        <v>9</v>
      </c>
      <c r="M259" t="s">
        <v>9</v>
      </c>
      <c r="N259" t="s">
        <v>586</v>
      </c>
      <c r="O259">
        <v>1200</v>
      </c>
      <c r="S259" t="str">
        <f>TEXT(Table1[[#This Row],[Date]],"MMM-YY")</f>
        <v>Jan-24</v>
      </c>
      <c r="T259">
        <f>_xlfn.ISOWEEKNUM(Table1[[#This Row],[Date]])</f>
        <v>4</v>
      </c>
      <c r="U259" t="str">
        <f>TEXT(Table1[[#This Row],[Expected Business Month]],"YYYY")</f>
        <v>2024</v>
      </c>
    </row>
    <row r="260" spans="1:21" hidden="1">
      <c r="A260" s="1">
        <v>45313</v>
      </c>
      <c r="B260" t="s">
        <v>1293</v>
      </c>
      <c r="C260" t="s">
        <v>96</v>
      </c>
      <c r="D260" t="s">
        <v>20</v>
      </c>
      <c r="E260" t="s">
        <v>18</v>
      </c>
      <c r="F260" t="s">
        <v>1294</v>
      </c>
      <c r="G260" s="9" t="s">
        <v>1291</v>
      </c>
      <c r="H260">
        <v>5000</v>
      </c>
      <c r="I260">
        <v>0</v>
      </c>
      <c r="J260" s="21">
        <v>45383</v>
      </c>
      <c r="K260" s="7" t="s">
        <v>67</v>
      </c>
      <c r="L260" t="s">
        <v>9</v>
      </c>
      <c r="M260" t="s">
        <v>9</v>
      </c>
      <c r="N260" t="s">
        <v>586</v>
      </c>
      <c r="O260">
        <v>1000</v>
      </c>
      <c r="S260" t="str">
        <f>TEXT(Table1[[#This Row],[Date]],"MMM-YY")</f>
        <v>Jan-24</v>
      </c>
      <c r="T260">
        <f>_xlfn.ISOWEEKNUM(Table1[[#This Row],[Date]])</f>
        <v>4</v>
      </c>
      <c r="U260" t="str">
        <f>TEXT(Table1[[#This Row],[Expected Business Month]],"YYYY")</f>
        <v>2024</v>
      </c>
    </row>
    <row r="261" spans="1:21" hidden="1">
      <c r="A261" s="1">
        <v>45313</v>
      </c>
      <c r="B261" t="s">
        <v>1295</v>
      </c>
      <c r="C261" t="s">
        <v>96</v>
      </c>
      <c r="D261" t="s">
        <v>20</v>
      </c>
      <c r="E261" t="s">
        <v>18</v>
      </c>
      <c r="F261" t="s">
        <v>1296</v>
      </c>
      <c r="G261" s="9" t="s">
        <v>1297</v>
      </c>
      <c r="H261">
        <v>3000</v>
      </c>
      <c r="I261">
        <v>0</v>
      </c>
      <c r="J261" s="21">
        <v>45352</v>
      </c>
      <c r="K261" s="7" t="s">
        <v>67</v>
      </c>
      <c r="L261" t="s">
        <v>9</v>
      </c>
      <c r="M261" t="s">
        <v>9</v>
      </c>
      <c r="N261" t="s">
        <v>831</v>
      </c>
      <c r="O261">
        <v>600</v>
      </c>
      <c r="S261" t="str">
        <f>TEXT(Table1[[#This Row],[Date]],"MMM-YY")</f>
        <v>Jan-24</v>
      </c>
      <c r="T261">
        <f>_xlfn.ISOWEEKNUM(Table1[[#This Row],[Date]])</f>
        <v>4</v>
      </c>
      <c r="U261" t="str">
        <f>TEXT(Table1[[#This Row],[Expected Business Month]],"YYYY")</f>
        <v>2024</v>
      </c>
    </row>
    <row r="262" spans="1:21" hidden="1">
      <c r="A262" s="1">
        <v>45314</v>
      </c>
      <c r="B262" t="s">
        <v>1298</v>
      </c>
      <c r="C262" t="s">
        <v>63</v>
      </c>
      <c r="D262" t="s">
        <v>64</v>
      </c>
      <c r="E262" t="s">
        <v>10</v>
      </c>
      <c r="F262" t="s">
        <v>1299</v>
      </c>
      <c r="G262" s="9" t="s">
        <v>1297</v>
      </c>
      <c r="H262">
        <v>10000</v>
      </c>
      <c r="I262">
        <v>0</v>
      </c>
      <c r="J262" s="21">
        <v>45505</v>
      </c>
      <c r="K262" s="7" t="s">
        <v>67</v>
      </c>
      <c r="L262" t="s">
        <v>9</v>
      </c>
      <c r="M262" t="s">
        <v>9</v>
      </c>
      <c r="N262" t="s">
        <v>586</v>
      </c>
      <c r="O262">
        <v>2000</v>
      </c>
      <c r="S262" t="str">
        <f>TEXT(Table1[[#This Row],[Date]],"MMM-YY")</f>
        <v>Jan-24</v>
      </c>
      <c r="T262">
        <f>_xlfn.ISOWEEKNUM(Table1[[#This Row],[Date]])</f>
        <v>4</v>
      </c>
      <c r="U262" t="str">
        <f>TEXT(Table1[[#This Row],[Expected Business Month]],"YYYY")</f>
        <v>2024</v>
      </c>
    </row>
    <row r="263" spans="1:21" hidden="1">
      <c r="A263" s="1">
        <v>45314</v>
      </c>
      <c r="B263" t="s">
        <v>330</v>
      </c>
      <c r="C263" t="s">
        <v>96</v>
      </c>
      <c r="D263" t="s">
        <v>20</v>
      </c>
      <c r="E263" t="s">
        <v>23</v>
      </c>
      <c r="F263" t="s">
        <v>1300</v>
      </c>
      <c r="G263" s="9" t="s">
        <v>1301</v>
      </c>
      <c r="H263">
        <v>5700</v>
      </c>
      <c r="I263">
        <v>5700</v>
      </c>
      <c r="J263" s="21">
        <v>45292</v>
      </c>
      <c r="K263" s="7" t="s">
        <v>67</v>
      </c>
      <c r="L263" t="s">
        <v>68</v>
      </c>
      <c r="M263" t="s">
        <v>69</v>
      </c>
      <c r="O263">
        <v>1140</v>
      </c>
      <c r="S263" t="str">
        <f>TEXT(Table1[[#This Row],[Date]],"MMM-YY")</f>
        <v>Jan-24</v>
      </c>
      <c r="T263">
        <f>_xlfn.ISOWEEKNUM(Table1[[#This Row],[Date]])</f>
        <v>4</v>
      </c>
      <c r="U263" t="str">
        <f>TEXT(Table1[[#This Row],[Expected Business Month]],"YYYY")</f>
        <v>2024</v>
      </c>
    </row>
    <row r="264" spans="1:21" hidden="1">
      <c r="A264" s="1">
        <v>45314</v>
      </c>
      <c r="B264" t="s">
        <v>1302</v>
      </c>
      <c r="C264" t="s">
        <v>63</v>
      </c>
      <c r="D264" t="s">
        <v>64</v>
      </c>
      <c r="E264" t="s">
        <v>27</v>
      </c>
      <c r="F264" t="s">
        <v>1303</v>
      </c>
      <c r="G264" s="9" t="s">
        <v>1257</v>
      </c>
      <c r="H264">
        <v>15000</v>
      </c>
      <c r="I264">
        <v>0</v>
      </c>
      <c r="J264" s="21">
        <v>45505</v>
      </c>
      <c r="K264" s="7" t="s">
        <v>67</v>
      </c>
      <c r="L264" t="s">
        <v>9</v>
      </c>
      <c r="M264" t="s">
        <v>9</v>
      </c>
      <c r="N264" t="s">
        <v>586</v>
      </c>
      <c r="O264">
        <v>3000</v>
      </c>
      <c r="S264" t="str">
        <f>TEXT(Table1[[#This Row],[Date]],"MMM-YY")</f>
        <v>Jan-24</v>
      </c>
      <c r="T264">
        <f>_xlfn.ISOWEEKNUM(Table1[[#This Row],[Date]])</f>
        <v>4</v>
      </c>
      <c r="U264" t="str">
        <f>TEXT(Table1[[#This Row],[Expected Business Month]],"YYYY")</f>
        <v>2024</v>
      </c>
    </row>
    <row r="265" spans="1:21" hidden="1">
      <c r="A265" s="1">
        <v>45314</v>
      </c>
      <c r="B265" t="s">
        <v>1304</v>
      </c>
      <c r="C265" t="s">
        <v>63</v>
      </c>
      <c r="D265" t="s">
        <v>64</v>
      </c>
      <c r="E265" t="s">
        <v>27</v>
      </c>
      <c r="F265" t="s">
        <v>1305</v>
      </c>
      <c r="G265" s="9" t="s">
        <v>1291</v>
      </c>
      <c r="H265">
        <v>5000</v>
      </c>
      <c r="I265">
        <v>0</v>
      </c>
      <c r="J265" s="21">
        <v>45444</v>
      </c>
      <c r="K265" s="7" t="s">
        <v>67</v>
      </c>
      <c r="L265" t="s">
        <v>9</v>
      </c>
      <c r="M265" t="s">
        <v>9</v>
      </c>
      <c r="N265" t="s">
        <v>602</v>
      </c>
      <c r="O265">
        <v>1000</v>
      </c>
      <c r="S265" t="str">
        <f>TEXT(Table1[[#This Row],[Date]],"MMM-YY")</f>
        <v>Jan-24</v>
      </c>
      <c r="T265">
        <f>_xlfn.ISOWEEKNUM(Table1[[#This Row],[Date]])</f>
        <v>4</v>
      </c>
      <c r="U265" t="str">
        <f>TEXT(Table1[[#This Row],[Expected Business Month]],"YYYY")</f>
        <v>2024</v>
      </c>
    </row>
    <row r="266" spans="1:21" hidden="1">
      <c r="A266" s="1">
        <v>45314</v>
      </c>
      <c r="B266" t="s">
        <v>1306</v>
      </c>
      <c r="C266" t="s">
        <v>63</v>
      </c>
      <c r="D266" t="s">
        <v>64</v>
      </c>
      <c r="E266" t="s">
        <v>27</v>
      </c>
      <c r="F266" t="s">
        <v>1307</v>
      </c>
      <c r="G266" s="9" t="s">
        <v>1308</v>
      </c>
      <c r="H266">
        <v>8000</v>
      </c>
      <c r="I266">
        <v>0</v>
      </c>
      <c r="J266" s="21">
        <v>45352</v>
      </c>
      <c r="K266" s="7" t="s">
        <v>67</v>
      </c>
      <c r="L266" t="s">
        <v>9</v>
      </c>
      <c r="M266" t="s">
        <v>9</v>
      </c>
      <c r="N266" t="s">
        <v>831</v>
      </c>
      <c r="O266">
        <v>1600</v>
      </c>
      <c r="S266" t="str">
        <f>TEXT(Table1[[#This Row],[Date]],"MMM-YY")</f>
        <v>Jan-24</v>
      </c>
      <c r="T266">
        <f>_xlfn.ISOWEEKNUM(Table1[[#This Row],[Date]])</f>
        <v>4</v>
      </c>
      <c r="U266" t="str">
        <f>TEXT(Table1[[#This Row],[Expected Business Month]],"YYYY")</f>
        <v>2024</v>
      </c>
    </row>
    <row r="267" spans="1:21" hidden="1">
      <c r="A267" s="1">
        <v>45315</v>
      </c>
      <c r="B267" t="s">
        <v>1309</v>
      </c>
      <c r="C267" t="s">
        <v>96</v>
      </c>
      <c r="D267" t="s">
        <v>64</v>
      </c>
      <c r="E267" t="s">
        <v>25</v>
      </c>
      <c r="F267" t="s">
        <v>1310</v>
      </c>
      <c r="G267" s="9" t="s">
        <v>1311</v>
      </c>
      <c r="H267">
        <v>15000</v>
      </c>
      <c r="I267">
        <v>15000</v>
      </c>
      <c r="J267" s="21">
        <v>45292</v>
      </c>
      <c r="K267" s="7" t="s">
        <v>67</v>
      </c>
      <c r="L267" t="s">
        <v>68</v>
      </c>
      <c r="M267" t="s">
        <v>69</v>
      </c>
      <c r="O267">
        <v>3000</v>
      </c>
      <c r="S267" t="str">
        <f>TEXT(Table1[[#This Row],[Date]],"MMM-YY")</f>
        <v>Jan-24</v>
      </c>
      <c r="T267">
        <f>_xlfn.ISOWEEKNUM(Table1[[#This Row],[Date]])</f>
        <v>4</v>
      </c>
      <c r="U267" t="str">
        <f>TEXT(Table1[[#This Row],[Expected Business Month]],"YYYY")</f>
        <v>2024</v>
      </c>
    </row>
    <row r="268" spans="1:21" ht="29.1" hidden="1">
      <c r="A268" s="1">
        <v>45315</v>
      </c>
      <c r="B268" t="s">
        <v>1312</v>
      </c>
      <c r="C268" t="s">
        <v>63</v>
      </c>
      <c r="D268" t="s">
        <v>64</v>
      </c>
      <c r="E268" t="s">
        <v>26</v>
      </c>
      <c r="F268" t="s">
        <v>1313</v>
      </c>
      <c r="G268" s="9" t="s">
        <v>1314</v>
      </c>
      <c r="H268">
        <v>10000</v>
      </c>
      <c r="I268">
        <v>0</v>
      </c>
      <c r="J268" s="21">
        <v>45505</v>
      </c>
      <c r="K268" s="7" t="s">
        <v>67</v>
      </c>
      <c r="L268" t="s">
        <v>9</v>
      </c>
      <c r="M268" t="s">
        <v>9</v>
      </c>
      <c r="N268" t="s">
        <v>586</v>
      </c>
      <c r="O268">
        <v>2000</v>
      </c>
      <c r="S268" t="str">
        <f>TEXT(Table1[[#This Row],[Date]],"MMM-YY")</f>
        <v>Jan-24</v>
      </c>
      <c r="T268">
        <f>_xlfn.ISOWEEKNUM(Table1[[#This Row],[Date]])</f>
        <v>4</v>
      </c>
      <c r="U268" t="str">
        <f>TEXT(Table1[[#This Row],[Expected Business Month]],"YYYY")</f>
        <v>2024</v>
      </c>
    </row>
    <row r="269" spans="1:21" hidden="1">
      <c r="A269" s="1">
        <v>45315</v>
      </c>
      <c r="B269" t="s">
        <v>1315</v>
      </c>
      <c r="C269" t="s">
        <v>96</v>
      </c>
      <c r="D269" t="s">
        <v>20</v>
      </c>
      <c r="E269" t="s">
        <v>23</v>
      </c>
      <c r="F269" t="s">
        <v>1316</v>
      </c>
      <c r="G269" s="9" t="s">
        <v>1317</v>
      </c>
      <c r="H269">
        <v>28163</v>
      </c>
      <c r="I269">
        <v>0</v>
      </c>
      <c r="J269" s="21">
        <v>45292</v>
      </c>
      <c r="K269" s="6" t="s">
        <v>99</v>
      </c>
      <c r="L269" t="s">
        <v>9</v>
      </c>
      <c r="M269" t="s">
        <v>9</v>
      </c>
      <c r="N269" t="s">
        <v>1145</v>
      </c>
      <c r="O269">
        <v>5632.6</v>
      </c>
      <c r="S269" t="str">
        <f>TEXT(Table1[[#This Row],[Date]],"MMM-YY")</f>
        <v>Jan-24</v>
      </c>
      <c r="T269">
        <f>_xlfn.ISOWEEKNUM(Table1[[#This Row],[Date]])</f>
        <v>4</v>
      </c>
      <c r="U269" t="str">
        <f>TEXT(Table1[[#This Row],[Expected Business Month]],"YYYY")</f>
        <v>2024</v>
      </c>
    </row>
    <row r="270" spans="1:21" hidden="1">
      <c r="A270" s="1">
        <v>45315</v>
      </c>
      <c r="B270" t="s">
        <v>1318</v>
      </c>
      <c r="C270" t="s">
        <v>96</v>
      </c>
      <c r="D270" t="s">
        <v>64</v>
      </c>
      <c r="E270" t="s">
        <v>26</v>
      </c>
      <c r="F270" t="s">
        <v>1319</v>
      </c>
      <c r="G270" s="9" t="s">
        <v>1320</v>
      </c>
      <c r="H270">
        <v>30000</v>
      </c>
      <c r="I270">
        <v>0</v>
      </c>
      <c r="J270" s="21">
        <v>45505</v>
      </c>
      <c r="K270" s="7" t="s">
        <v>67</v>
      </c>
      <c r="L270" t="s">
        <v>9</v>
      </c>
      <c r="M270" t="s">
        <v>9</v>
      </c>
      <c r="N270" t="s">
        <v>586</v>
      </c>
      <c r="O270">
        <v>6000</v>
      </c>
      <c r="S270" t="str">
        <f>TEXT(Table1[[#This Row],[Date]],"MMM-YY")</f>
        <v>Jan-24</v>
      </c>
      <c r="T270">
        <f>_xlfn.ISOWEEKNUM(Table1[[#This Row],[Date]])</f>
        <v>4</v>
      </c>
      <c r="U270" t="str">
        <f>TEXT(Table1[[#This Row],[Expected Business Month]],"YYYY")</f>
        <v>2024</v>
      </c>
    </row>
    <row r="271" spans="1:21" hidden="1">
      <c r="A271" s="1">
        <v>45315</v>
      </c>
      <c r="B271" t="s">
        <v>1321</v>
      </c>
      <c r="C271" t="s">
        <v>63</v>
      </c>
      <c r="D271" t="s">
        <v>105</v>
      </c>
      <c r="E271" t="s">
        <v>18</v>
      </c>
      <c r="F271" t="s">
        <v>744</v>
      </c>
      <c r="G271" s="9" t="s">
        <v>1322</v>
      </c>
      <c r="H271">
        <v>10000</v>
      </c>
      <c r="I271">
        <v>0</v>
      </c>
      <c r="J271" s="21">
        <v>45444</v>
      </c>
      <c r="K271" s="7" t="s">
        <v>67</v>
      </c>
      <c r="L271" t="s">
        <v>9</v>
      </c>
      <c r="M271" t="s">
        <v>9</v>
      </c>
      <c r="N271" t="s">
        <v>602</v>
      </c>
      <c r="O271">
        <v>2000</v>
      </c>
      <c r="S271" t="str">
        <f>TEXT(Table1[[#This Row],[Date]],"MMM-YY")</f>
        <v>Jan-24</v>
      </c>
      <c r="T271">
        <f>_xlfn.ISOWEEKNUM(Table1[[#This Row],[Date]])</f>
        <v>4</v>
      </c>
      <c r="U271" t="str">
        <f>TEXT(Table1[[#This Row],[Expected Business Month]],"YYYY")</f>
        <v>2024</v>
      </c>
    </row>
    <row r="272" spans="1:21" hidden="1">
      <c r="A272" s="1">
        <v>45316</v>
      </c>
      <c r="B272" t="s">
        <v>1323</v>
      </c>
      <c r="C272" t="s">
        <v>96</v>
      </c>
      <c r="D272" t="s">
        <v>20</v>
      </c>
      <c r="E272" t="s">
        <v>23</v>
      </c>
      <c r="F272" t="s">
        <v>1324</v>
      </c>
      <c r="G272" s="9" t="s">
        <v>1325</v>
      </c>
      <c r="H272">
        <v>7000</v>
      </c>
      <c r="I272">
        <v>7000</v>
      </c>
      <c r="J272" s="21">
        <v>45292</v>
      </c>
      <c r="K272" s="7" t="s">
        <v>67</v>
      </c>
      <c r="L272" t="s">
        <v>68</v>
      </c>
      <c r="M272" t="s">
        <v>69</v>
      </c>
      <c r="O272">
        <v>1400</v>
      </c>
      <c r="S272" t="str">
        <f>TEXT(Table1[[#This Row],[Date]],"MMM-YY")</f>
        <v>Jan-24</v>
      </c>
      <c r="T272">
        <f>_xlfn.ISOWEEKNUM(Table1[[#This Row],[Date]])</f>
        <v>4</v>
      </c>
      <c r="U272" t="str">
        <f>TEXT(Table1[[#This Row],[Expected Business Month]],"YYYY")</f>
        <v>2024</v>
      </c>
    </row>
    <row r="273" spans="1:21" hidden="1">
      <c r="A273" s="1">
        <v>45316</v>
      </c>
      <c r="B273" t="s">
        <v>1326</v>
      </c>
      <c r="C273" t="s">
        <v>96</v>
      </c>
      <c r="D273" t="s">
        <v>20</v>
      </c>
      <c r="E273" t="s">
        <v>23</v>
      </c>
      <c r="F273" t="s">
        <v>1327</v>
      </c>
      <c r="G273" s="9" t="s">
        <v>1328</v>
      </c>
      <c r="H273">
        <v>10500</v>
      </c>
      <c r="I273">
        <v>10500</v>
      </c>
      <c r="J273" s="21">
        <v>45292</v>
      </c>
      <c r="K273" s="7" t="s">
        <v>67</v>
      </c>
      <c r="L273" t="s">
        <v>68</v>
      </c>
      <c r="M273" t="s">
        <v>69</v>
      </c>
      <c r="O273">
        <v>2100</v>
      </c>
      <c r="S273" t="str">
        <f>TEXT(Table1[[#This Row],[Date]],"MMM-YY")</f>
        <v>Jan-24</v>
      </c>
      <c r="T273">
        <f>_xlfn.ISOWEEKNUM(Table1[[#This Row],[Date]])</f>
        <v>4</v>
      </c>
      <c r="U273" t="str">
        <f>TEXT(Table1[[#This Row],[Expected Business Month]],"YYYY")</f>
        <v>2024</v>
      </c>
    </row>
    <row r="274" spans="1:21" hidden="1">
      <c r="A274" s="1">
        <v>45316</v>
      </c>
      <c r="B274" t="s">
        <v>1329</v>
      </c>
      <c r="C274" t="s">
        <v>63</v>
      </c>
      <c r="D274" t="s">
        <v>105</v>
      </c>
      <c r="E274" t="s">
        <v>18</v>
      </c>
      <c r="F274" t="s">
        <v>1330</v>
      </c>
      <c r="G274" s="9" t="s">
        <v>1331</v>
      </c>
      <c r="H274">
        <v>6000</v>
      </c>
      <c r="I274">
        <v>0</v>
      </c>
      <c r="J274" s="21">
        <v>45444</v>
      </c>
      <c r="K274" s="7" t="s">
        <v>67</v>
      </c>
      <c r="L274" t="s">
        <v>9</v>
      </c>
      <c r="M274" t="s">
        <v>9</v>
      </c>
      <c r="N274" t="s">
        <v>602</v>
      </c>
      <c r="O274">
        <v>1200</v>
      </c>
      <c r="S274" t="str">
        <f>TEXT(Table1[[#This Row],[Date]],"MMM-YY")</f>
        <v>Jan-24</v>
      </c>
      <c r="T274">
        <f>_xlfn.ISOWEEKNUM(Table1[[#This Row],[Date]])</f>
        <v>4</v>
      </c>
      <c r="U274" t="str">
        <f>TEXT(Table1[[#This Row],[Expected Business Month]],"YYYY")</f>
        <v>2024</v>
      </c>
    </row>
    <row r="275" spans="1:21" hidden="1">
      <c r="A275" s="1">
        <v>45316</v>
      </c>
      <c r="B275" t="s">
        <v>1332</v>
      </c>
      <c r="C275" t="s">
        <v>63</v>
      </c>
      <c r="D275" t="s">
        <v>105</v>
      </c>
      <c r="E275" t="s">
        <v>18</v>
      </c>
      <c r="F275" t="s">
        <v>1333</v>
      </c>
      <c r="G275" s="9" t="s">
        <v>1331</v>
      </c>
      <c r="H275">
        <v>10000</v>
      </c>
      <c r="I275">
        <v>0</v>
      </c>
      <c r="J275" s="21">
        <v>45444</v>
      </c>
      <c r="K275" s="7" t="s">
        <v>67</v>
      </c>
      <c r="L275" t="s">
        <v>9</v>
      </c>
      <c r="M275" t="s">
        <v>9</v>
      </c>
      <c r="N275" t="s">
        <v>602</v>
      </c>
      <c r="O275">
        <v>2000</v>
      </c>
      <c r="S275" t="str">
        <f>TEXT(Table1[[#This Row],[Date]],"MMM-YY")</f>
        <v>Jan-24</v>
      </c>
      <c r="T275">
        <f>_xlfn.ISOWEEKNUM(Table1[[#This Row],[Date]])</f>
        <v>4</v>
      </c>
      <c r="U275" t="str">
        <f>TEXT(Table1[[#This Row],[Expected Business Month]],"YYYY")</f>
        <v>2024</v>
      </c>
    </row>
    <row r="276" spans="1:21" ht="29.1" hidden="1">
      <c r="A276" s="1">
        <v>45316</v>
      </c>
      <c r="B276" t="s">
        <v>1334</v>
      </c>
      <c r="C276" t="s">
        <v>63</v>
      </c>
      <c r="D276" t="s">
        <v>64</v>
      </c>
      <c r="E276" t="s">
        <v>14</v>
      </c>
      <c r="F276" t="s">
        <v>1335</v>
      </c>
      <c r="G276" s="9" t="s">
        <v>1336</v>
      </c>
      <c r="H276">
        <v>12000</v>
      </c>
      <c r="I276">
        <v>0</v>
      </c>
      <c r="J276" s="21">
        <v>45383</v>
      </c>
      <c r="K276" s="7" t="s">
        <v>67</v>
      </c>
      <c r="L276" t="s">
        <v>9</v>
      </c>
      <c r="M276" t="s">
        <v>9</v>
      </c>
      <c r="N276" t="s">
        <v>586</v>
      </c>
      <c r="O276">
        <v>2400</v>
      </c>
      <c r="S276" t="str">
        <f>TEXT(Table1[[#This Row],[Date]],"MMM-YY")</f>
        <v>Jan-24</v>
      </c>
      <c r="T276">
        <f>_xlfn.ISOWEEKNUM(Table1[[#This Row],[Date]])</f>
        <v>4</v>
      </c>
      <c r="U276" t="str">
        <f>TEXT(Table1[[#This Row],[Expected Business Month]],"YYYY")</f>
        <v>2024</v>
      </c>
    </row>
    <row r="277" spans="1:21" ht="29.1" hidden="1">
      <c r="A277" s="1">
        <v>45316</v>
      </c>
      <c r="B277" t="s">
        <v>1337</v>
      </c>
      <c r="C277" t="s">
        <v>63</v>
      </c>
      <c r="D277" t="s">
        <v>20</v>
      </c>
      <c r="E277" t="s">
        <v>23</v>
      </c>
      <c r="F277" t="s">
        <v>464</v>
      </c>
      <c r="G277" s="9" t="s">
        <v>1336</v>
      </c>
      <c r="H277">
        <v>10000</v>
      </c>
      <c r="I277">
        <v>0</v>
      </c>
      <c r="J277" s="21">
        <v>45323</v>
      </c>
      <c r="K277" s="7" t="s">
        <v>67</v>
      </c>
      <c r="L277" t="s">
        <v>9</v>
      </c>
      <c r="M277" t="s">
        <v>9</v>
      </c>
      <c r="N277" t="s">
        <v>713</v>
      </c>
      <c r="O277">
        <v>2000</v>
      </c>
      <c r="S277" t="str">
        <f>TEXT(Table1[[#This Row],[Date]],"MMM-YY")</f>
        <v>Jan-24</v>
      </c>
      <c r="T277">
        <f>_xlfn.ISOWEEKNUM(Table1[[#This Row],[Date]])</f>
        <v>4</v>
      </c>
      <c r="U277" t="str">
        <f>TEXT(Table1[[#This Row],[Expected Business Month]],"YYYY")</f>
        <v>2024</v>
      </c>
    </row>
    <row r="278" spans="1:21" hidden="1">
      <c r="A278" s="1">
        <v>45317</v>
      </c>
      <c r="B278" t="s">
        <v>1338</v>
      </c>
      <c r="C278" t="s">
        <v>96</v>
      </c>
      <c r="D278" t="s">
        <v>20</v>
      </c>
      <c r="E278" t="s">
        <v>23</v>
      </c>
      <c r="F278" t="s">
        <v>744</v>
      </c>
      <c r="G278" s="9" t="s">
        <v>1339</v>
      </c>
      <c r="H278">
        <v>3000</v>
      </c>
      <c r="I278">
        <v>3000</v>
      </c>
      <c r="J278" s="21">
        <v>45292</v>
      </c>
      <c r="K278" s="7" t="s">
        <v>67</v>
      </c>
      <c r="L278" t="s">
        <v>68</v>
      </c>
      <c r="M278" t="s">
        <v>69</v>
      </c>
      <c r="O278">
        <v>3000</v>
      </c>
      <c r="S278" t="str">
        <f>TEXT(Table1[[#This Row],[Date]],"MMM-YY")</f>
        <v>Jan-24</v>
      </c>
      <c r="T278">
        <f>_xlfn.ISOWEEKNUM(Table1[[#This Row],[Date]])</f>
        <v>4</v>
      </c>
      <c r="U278" t="str">
        <f>TEXT(Table1[[#This Row],[Expected Business Month]],"YYYY")</f>
        <v>2024</v>
      </c>
    </row>
    <row r="279" spans="1:21" ht="29.1" hidden="1">
      <c r="A279" s="1">
        <v>45317</v>
      </c>
      <c r="B279" t="s">
        <v>1340</v>
      </c>
      <c r="C279" t="s">
        <v>96</v>
      </c>
      <c r="D279" t="s">
        <v>20</v>
      </c>
      <c r="E279" t="s">
        <v>23</v>
      </c>
      <c r="F279" t="s">
        <v>1341</v>
      </c>
      <c r="G279" s="9" t="s">
        <v>1342</v>
      </c>
      <c r="H279">
        <v>6500</v>
      </c>
      <c r="I279">
        <v>6500</v>
      </c>
      <c r="J279" s="21">
        <v>45292</v>
      </c>
      <c r="K279" s="7" t="s">
        <v>67</v>
      </c>
      <c r="L279" t="s">
        <v>68</v>
      </c>
      <c r="M279" t="s">
        <v>69</v>
      </c>
      <c r="O279">
        <v>1300</v>
      </c>
      <c r="S279" t="str">
        <f>TEXT(Table1[[#This Row],[Date]],"MMM-YY")</f>
        <v>Jan-24</v>
      </c>
      <c r="T279">
        <f>_xlfn.ISOWEEKNUM(Table1[[#This Row],[Date]])</f>
        <v>4</v>
      </c>
      <c r="U279" t="str">
        <f>TEXT(Table1[[#This Row],[Expected Business Month]],"YYYY")</f>
        <v>2024</v>
      </c>
    </row>
    <row r="280" spans="1:21" hidden="1">
      <c r="A280" s="1">
        <v>45318</v>
      </c>
      <c r="B280" t="s">
        <v>1343</v>
      </c>
      <c r="C280" t="s">
        <v>96</v>
      </c>
      <c r="D280" t="s">
        <v>618</v>
      </c>
      <c r="E280" t="s">
        <v>18</v>
      </c>
      <c r="F280" t="s">
        <v>1344</v>
      </c>
      <c r="G280" s="9" t="s">
        <v>1345</v>
      </c>
      <c r="H280">
        <v>5000</v>
      </c>
      <c r="I280">
        <v>0</v>
      </c>
      <c r="J280" s="21">
        <v>45383</v>
      </c>
      <c r="K280" s="7" t="s">
        <v>67</v>
      </c>
      <c r="L280" t="s">
        <v>9</v>
      </c>
      <c r="M280" t="s">
        <v>9</v>
      </c>
      <c r="N280" t="s">
        <v>586</v>
      </c>
      <c r="O280">
        <v>1000</v>
      </c>
      <c r="S280" t="str">
        <f>TEXT(Table1[[#This Row],[Date]],"MMM-YY")</f>
        <v>Jan-24</v>
      </c>
      <c r="T280">
        <f>_xlfn.ISOWEEKNUM(Table1[[#This Row],[Date]])</f>
        <v>4</v>
      </c>
      <c r="U280" t="str">
        <f>TEXT(Table1[[#This Row],[Expected Business Month]],"YYYY")</f>
        <v>2024</v>
      </c>
    </row>
    <row r="281" spans="1:21" hidden="1">
      <c r="A281" s="1">
        <v>45318</v>
      </c>
      <c r="B281" t="s">
        <v>1346</v>
      </c>
      <c r="C281" t="s">
        <v>96</v>
      </c>
      <c r="D281" t="s">
        <v>20</v>
      </c>
      <c r="E281" t="s">
        <v>18</v>
      </c>
      <c r="F281" t="s">
        <v>1347</v>
      </c>
      <c r="G281" s="9" t="s">
        <v>1345</v>
      </c>
      <c r="H281">
        <v>6000</v>
      </c>
      <c r="I281">
        <v>0</v>
      </c>
      <c r="J281" s="21">
        <v>45352</v>
      </c>
      <c r="K281" s="7" t="s">
        <v>67</v>
      </c>
      <c r="L281" t="s">
        <v>9</v>
      </c>
      <c r="M281" t="s">
        <v>9</v>
      </c>
      <c r="N281" t="s">
        <v>586</v>
      </c>
      <c r="O281">
        <v>1200</v>
      </c>
      <c r="S281" t="str">
        <f>TEXT(Table1[[#This Row],[Date]],"MMM-YY")</f>
        <v>Jan-24</v>
      </c>
      <c r="T281">
        <f>_xlfn.ISOWEEKNUM(Table1[[#This Row],[Date]])</f>
        <v>4</v>
      </c>
      <c r="U281" t="str">
        <f>TEXT(Table1[[#This Row],[Expected Business Month]],"YYYY")</f>
        <v>2024</v>
      </c>
    </row>
    <row r="282" spans="1:21" hidden="1">
      <c r="A282" s="1">
        <v>45319</v>
      </c>
      <c r="B282" t="s">
        <v>1348</v>
      </c>
      <c r="C282" t="s">
        <v>96</v>
      </c>
      <c r="D282" t="s">
        <v>20</v>
      </c>
      <c r="E282" t="s">
        <v>23</v>
      </c>
      <c r="F282" t="s">
        <v>1349</v>
      </c>
      <c r="G282" s="9" t="s">
        <v>1350</v>
      </c>
      <c r="H282">
        <v>28000</v>
      </c>
      <c r="I282">
        <v>0</v>
      </c>
      <c r="J282" s="21">
        <v>45352</v>
      </c>
      <c r="K282" s="7" t="s">
        <v>67</v>
      </c>
      <c r="L282" t="s">
        <v>9</v>
      </c>
      <c r="M282" t="s">
        <v>9</v>
      </c>
      <c r="N282" t="s">
        <v>1351</v>
      </c>
      <c r="O282">
        <v>5600</v>
      </c>
      <c r="S282" t="str">
        <f>TEXT(Table1[[#This Row],[Date]],"MMM-YY")</f>
        <v>Jan-24</v>
      </c>
      <c r="T282">
        <f>_xlfn.ISOWEEKNUM(Table1[[#This Row],[Date]])</f>
        <v>4</v>
      </c>
      <c r="U282" t="str">
        <f>TEXT(Table1[[#This Row],[Expected Business Month]],"YYYY")</f>
        <v>2024</v>
      </c>
    </row>
    <row r="283" spans="1:21" hidden="1">
      <c r="A283" s="1">
        <v>45319</v>
      </c>
      <c r="B283" t="s">
        <v>1352</v>
      </c>
      <c r="C283" t="s">
        <v>96</v>
      </c>
      <c r="D283" t="s">
        <v>64</v>
      </c>
      <c r="E283" t="s">
        <v>26</v>
      </c>
      <c r="F283" t="s">
        <v>1353</v>
      </c>
      <c r="G283" s="9" t="s">
        <v>1291</v>
      </c>
      <c r="H283">
        <v>5000</v>
      </c>
      <c r="I283">
        <v>0</v>
      </c>
      <c r="J283" s="21">
        <v>45383</v>
      </c>
      <c r="K283" s="7" t="s">
        <v>67</v>
      </c>
      <c r="L283" t="s">
        <v>9</v>
      </c>
      <c r="M283" t="s">
        <v>9</v>
      </c>
      <c r="N283" t="s">
        <v>586</v>
      </c>
      <c r="O283">
        <v>1000</v>
      </c>
      <c r="S283" t="str">
        <f>TEXT(Table1[[#This Row],[Date]],"MMM-YY")</f>
        <v>Jan-24</v>
      </c>
      <c r="T283">
        <f>_xlfn.ISOWEEKNUM(Table1[[#This Row],[Date]])</f>
        <v>4</v>
      </c>
      <c r="U283" t="str">
        <f>TEXT(Table1[[#This Row],[Expected Business Month]],"YYYY")</f>
        <v>2024</v>
      </c>
    </row>
    <row r="284" spans="1:21" hidden="1">
      <c r="A284" s="1">
        <v>45319</v>
      </c>
      <c r="B284" t="s">
        <v>1354</v>
      </c>
      <c r="C284" t="s">
        <v>96</v>
      </c>
      <c r="D284" t="s">
        <v>64</v>
      </c>
      <c r="E284" t="s">
        <v>26</v>
      </c>
      <c r="F284" t="s">
        <v>1105</v>
      </c>
      <c r="G284" s="9" t="s">
        <v>1291</v>
      </c>
      <c r="H284">
        <v>4000</v>
      </c>
      <c r="I284">
        <v>0</v>
      </c>
      <c r="J284" s="21">
        <v>45352</v>
      </c>
      <c r="K284" s="7" t="s">
        <v>67</v>
      </c>
      <c r="L284" t="s">
        <v>9</v>
      </c>
      <c r="M284" t="s">
        <v>9</v>
      </c>
      <c r="N284" t="s">
        <v>831</v>
      </c>
      <c r="O284">
        <v>800</v>
      </c>
      <c r="S284" t="str">
        <f>TEXT(Table1[[#This Row],[Date]],"MMM-YY")</f>
        <v>Jan-24</v>
      </c>
      <c r="T284">
        <f>_xlfn.ISOWEEKNUM(Table1[[#This Row],[Date]])</f>
        <v>4</v>
      </c>
      <c r="U284" t="str">
        <f>TEXT(Table1[[#This Row],[Expected Business Month]],"YYYY")</f>
        <v>2024</v>
      </c>
    </row>
    <row r="285" spans="1:21" hidden="1">
      <c r="A285" s="1">
        <v>45319</v>
      </c>
      <c r="B285" t="s">
        <v>1355</v>
      </c>
      <c r="C285" t="s">
        <v>96</v>
      </c>
      <c r="D285" t="s">
        <v>64</v>
      </c>
      <c r="E285" t="s">
        <v>27</v>
      </c>
      <c r="F285" t="s">
        <v>238</v>
      </c>
      <c r="G285" s="9" t="s">
        <v>1291</v>
      </c>
      <c r="H285">
        <v>8000</v>
      </c>
      <c r="I285">
        <v>0</v>
      </c>
      <c r="J285" s="21">
        <v>45505</v>
      </c>
      <c r="K285" s="7" t="s">
        <v>67</v>
      </c>
      <c r="L285" t="s">
        <v>9</v>
      </c>
      <c r="M285" t="s">
        <v>9</v>
      </c>
      <c r="N285" t="s">
        <v>586</v>
      </c>
      <c r="O285">
        <v>1600</v>
      </c>
      <c r="S285" t="str">
        <f>TEXT(Table1[[#This Row],[Date]],"MMM-YY")</f>
        <v>Jan-24</v>
      </c>
      <c r="T285">
        <f>_xlfn.ISOWEEKNUM(Table1[[#This Row],[Date]])</f>
        <v>4</v>
      </c>
      <c r="U285" t="str">
        <f>TEXT(Table1[[#This Row],[Expected Business Month]],"YYYY")</f>
        <v>2024</v>
      </c>
    </row>
    <row r="286" spans="1:21" ht="29.1" hidden="1">
      <c r="A286" s="1">
        <v>45321</v>
      </c>
      <c r="B286" t="s">
        <v>1356</v>
      </c>
      <c r="C286" t="s">
        <v>96</v>
      </c>
      <c r="D286" t="s">
        <v>20</v>
      </c>
      <c r="E286" t="s">
        <v>23</v>
      </c>
      <c r="F286" t="s">
        <v>1357</v>
      </c>
      <c r="G286" s="9" t="s">
        <v>1358</v>
      </c>
      <c r="H286">
        <v>8400</v>
      </c>
      <c r="I286">
        <v>8400</v>
      </c>
      <c r="J286" s="21">
        <v>45292</v>
      </c>
      <c r="K286" s="7" t="s">
        <v>67</v>
      </c>
      <c r="L286" t="s">
        <v>68</v>
      </c>
      <c r="M286" t="s">
        <v>69</v>
      </c>
      <c r="O286">
        <v>1680</v>
      </c>
      <c r="S286" t="str">
        <f>TEXT(Table1[[#This Row],[Date]],"MMM-YY")</f>
        <v>Jan-24</v>
      </c>
      <c r="T286">
        <f>_xlfn.ISOWEEKNUM(Table1[[#This Row],[Date]])</f>
        <v>5</v>
      </c>
      <c r="U286" t="str">
        <f>TEXT(Table1[[#This Row],[Expected Business Month]],"YYYY")</f>
        <v>2024</v>
      </c>
    </row>
    <row r="287" spans="1:21" ht="29.1" hidden="1">
      <c r="A287" s="1">
        <v>45321</v>
      </c>
      <c r="B287" t="s">
        <v>1359</v>
      </c>
      <c r="C287" t="s">
        <v>96</v>
      </c>
      <c r="D287" t="s">
        <v>20</v>
      </c>
      <c r="E287" t="s">
        <v>23</v>
      </c>
      <c r="F287" t="s">
        <v>1360</v>
      </c>
      <c r="G287" s="9" t="s">
        <v>1361</v>
      </c>
      <c r="H287">
        <v>22500</v>
      </c>
      <c r="I287">
        <v>22500</v>
      </c>
      <c r="J287" s="21">
        <v>45292</v>
      </c>
      <c r="K287" s="7" t="s">
        <v>67</v>
      </c>
      <c r="L287" t="s">
        <v>68</v>
      </c>
      <c r="M287" t="s">
        <v>69</v>
      </c>
      <c r="O287">
        <v>4500</v>
      </c>
      <c r="S287" t="str">
        <f>TEXT(Table1[[#This Row],[Date]],"MMM-YY")</f>
        <v>Jan-24</v>
      </c>
      <c r="T287">
        <f>_xlfn.ISOWEEKNUM(Table1[[#This Row],[Date]])</f>
        <v>5</v>
      </c>
      <c r="U287" t="str">
        <f>TEXT(Table1[[#This Row],[Expected Business Month]],"YYYY")</f>
        <v>2024</v>
      </c>
    </row>
    <row r="288" spans="1:21" hidden="1">
      <c r="A288" s="1">
        <v>45322</v>
      </c>
      <c r="B288" t="s">
        <v>324</v>
      </c>
      <c r="C288" t="s">
        <v>96</v>
      </c>
      <c r="D288" t="s">
        <v>64</v>
      </c>
      <c r="E288" t="s">
        <v>38</v>
      </c>
      <c r="F288" t="s">
        <v>325</v>
      </c>
      <c r="G288" s="9" t="s">
        <v>1362</v>
      </c>
      <c r="H288">
        <v>45516</v>
      </c>
      <c r="I288">
        <v>45516</v>
      </c>
      <c r="J288" s="21">
        <v>45292</v>
      </c>
      <c r="K288" s="7" t="s">
        <v>99</v>
      </c>
      <c r="L288" t="s">
        <v>68</v>
      </c>
      <c r="M288" t="s">
        <v>69</v>
      </c>
      <c r="O288">
        <v>0</v>
      </c>
      <c r="S288" t="str">
        <f>TEXT(Table1[[#This Row],[Date]],"MMM-YY")</f>
        <v>Jan-24</v>
      </c>
      <c r="T288">
        <f>_xlfn.ISOWEEKNUM(Table1[[#This Row],[Date]])</f>
        <v>5</v>
      </c>
      <c r="U288" t="str">
        <f>TEXT(Table1[[#This Row],[Expected Business Month]],"YYYY")</f>
        <v>2024</v>
      </c>
    </row>
    <row r="289" spans="1:21" hidden="1">
      <c r="A289" s="1">
        <v>45322</v>
      </c>
      <c r="B289" t="s">
        <v>1363</v>
      </c>
      <c r="C289" t="s">
        <v>96</v>
      </c>
      <c r="D289" t="s">
        <v>64</v>
      </c>
      <c r="E289" t="s">
        <v>25</v>
      </c>
      <c r="F289" t="s">
        <v>1364</v>
      </c>
      <c r="G289" s="9" t="s">
        <v>1365</v>
      </c>
      <c r="H289">
        <v>12400</v>
      </c>
      <c r="I289">
        <v>12400</v>
      </c>
      <c r="J289" s="21">
        <v>45323</v>
      </c>
      <c r="K289" s="7" t="s">
        <v>67</v>
      </c>
      <c r="L289" t="s">
        <v>68</v>
      </c>
      <c r="M289" t="s">
        <v>69</v>
      </c>
      <c r="O289">
        <v>2480</v>
      </c>
      <c r="S289" t="str">
        <f>TEXT(Table1[[#This Row],[Date]],"MMM-YY")</f>
        <v>Jan-24</v>
      </c>
      <c r="T289">
        <f>_xlfn.ISOWEEKNUM(Table1[[#This Row],[Date]])</f>
        <v>5</v>
      </c>
      <c r="U289" t="str">
        <f>TEXT(Table1[[#This Row],[Expected Business Month]],"YYYY")</f>
        <v>2024</v>
      </c>
    </row>
    <row r="290" spans="1:21" hidden="1">
      <c r="A290" s="1">
        <v>45323</v>
      </c>
      <c r="B290" t="s">
        <v>1366</v>
      </c>
      <c r="C290" t="s">
        <v>63</v>
      </c>
      <c r="D290" t="s">
        <v>64</v>
      </c>
      <c r="E290" t="s">
        <v>26</v>
      </c>
      <c r="F290" t="s">
        <v>1367</v>
      </c>
      <c r="G290" s="9" t="s">
        <v>1368</v>
      </c>
      <c r="H290">
        <v>11000</v>
      </c>
      <c r="I290">
        <v>11000</v>
      </c>
      <c r="J290" s="21">
        <v>45323</v>
      </c>
      <c r="K290" s="7" t="s">
        <v>67</v>
      </c>
      <c r="L290" t="s">
        <v>68</v>
      </c>
      <c r="M290" t="s">
        <v>69</v>
      </c>
      <c r="O290">
        <v>2200</v>
      </c>
      <c r="S290" t="str">
        <f>TEXT(Table1[[#This Row],[Date]],"MMM-YY")</f>
        <v>Feb-24</v>
      </c>
      <c r="T290">
        <f>_xlfn.ISOWEEKNUM(Table1[[#This Row],[Date]])</f>
        <v>5</v>
      </c>
      <c r="U290" t="str">
        <f>TEXT(Table1[[#This Row],[Expected Business Month]],"YYYY")</f>
        <v>2024</v>
      </c>
    </row>
    <row r="291" spans="1:21" hidden="1">
      <c r="A291" s="1">
        <v>45323</v>
      </c>
      <c r="B291" t="s">
        <v>1369</v>
      </c>
      <c r="C291" t="s">
        <v>96</v>
      </c>
      <c r="D291" t="s">
        <v>20</v>
      </c>
      <c r="E291" t="s">
        <v>23</v>
      </c>
      <c r="F291" t="s">
        <v>1370</v>
      </c>
      <c r="G291" s="9" t="s">
        <v>1371</v>
      </c>
      <c r="H291">
        <v>8500</v>
      </c>
      <c r="I291">
        <v>0</v>
      </c>
      <c r="J291" s="21">
        <v>45323</v>
      </c>
      <c r="K291" s="7" t="s">
        <v>67</v>
      </c>
      <c r="L291" t="s">
        <v>9</v>
      </c>
      <c r="M291" t="s">
        <v>9</v>
      </c>
      <c r="N291" t="s">
        <v>822</v>
      </c>
      <c r="O291">
        <v>1700</v>
      </c>
      <c r="S291" t="str">
        <f>TEXT(Table1[[#This Row],[Date]],"MMM-YY")</f>
        <v>Feb-24</v>
      </c>
      <c r="T291">
        <f>_xlfn.ISOWEEKNUM(Table1[[#This Row],[Date]])</f>
        <v>5</v>
      </c>
      <c r="U291" t="str">
        <f>TEXT(Table1[[#This Row],[Expected Business Month]],"YYYY")</f>
        <v>2024</v>
      </c>
    </row>
    <row r="292" spans="1:21" hidden="1">
      <c r="A292" s="1">
        <v>45324</v>
      </c>
      <c r="B292" t="s">
        <v>1372</v>
      </c>
      <c r="C292" t="s">
        <v>63</v>
      </c>
      <c r="D292" t="s">
        <v>618</v>
      </c>
      <c r="E292" t="s">
        <v>18</v>
      </c>
      <c r="F292" t="s">
        <v>1373</v>
      </c>
      <c r="G292" s="9" t="s">
        <v>1374</v>
      </c>
      <c r="H292">
        <v>114000</v>
      </c>
      <c r="I292">
        <v>114000</v>
      </c>
      <c r="J292" s="21">
        <v>45323</v>
      </c>
      <c r="K292" s="7" t="s">
        <v>67</v>
      </c>
      <c r="L292" t="s">
        <v>68</v>
      </c>
      <c r="M292" t="s">
        <v>69</v>
      </c>
      <c r="O292">
        <v>22800</v>
      </c>
      <c r="S292" t="str">
        <f>TEXT(Table1[[#This Row],[Date]],"MMM-YY")</f>
        <v>Feb-24</v>
      </c>
      <c r="T292">
        <f>_xlfn.ISOWEEKNUM(Table1[[#This Row],[Date]])</f>
        <v>5</v>
      </c>
      <c r="U292" t="str">
        <f>TEXT(Table1[[#This Row],[Expected Business Month]],"YYYY")</f>
        <v>2024</v>
      </c>
    </row>
    <row r="293" spans="1:21" hidden="1">
      <c r="A293" s="1">
        <v>45324</v>
      </c>
      <c r="B293" t="s">
        <v>1375</v>
      </c>
      <c r="C293" t="s">
        <v>96</v>
      </c>
      <c r="D293" t="s">
        <v>20</v>
      </c>
      <c r="E293" t="s">
        <v>23</v>
      </c>
      <c r="F293" t="s">
        <v>1376</v>
      </c>
      <c r="G293" s="9" t="s">
        <v>1377</v>
      </c>
      <c r="H293">
        <v>12000</v>
      </c>
      <c r="I293">
        <v>0</v>
      </c>
      <c r="J293" s="21">
        <v>45323</v>
      </c>
      <c r="K293" s="7" t="s">
        <v>67</v>
      </c>
      <c r="L293" t="s">
        <v>9</v>
      </c>
      <c r="M293" t="s">
        <v>9</v>
      </c>
      <c r="N293" t="s">
        <v>822</v>
      </c>
      <c r="O293">
        <v>2400</v>
      </c>
      <c r="S293" t="str">
        <f>TEXT(Table1[[#This Row],[Date]],"MMM-YY")</f>
        <v>Feb-24</v>
      </c>
      <c r="T293">
        <f>_xlfn.ISOWEEKNUM(Table1[[#This Row],[Date]])</f>
        <v>5</v>
      </c>
      <c r="U293" t="str">
        <f>TEXT(Table1[[#This Row],[Expected Business Month]],"YYYY")</f>
        <v>2024</v>
      </c>
    </row>
    <row r="294" spans="1:21" hidden="1">
      <c r="A294" s="1">
        <v>45325</v>
      </c>
      <c r="B294" t="s">
        <v>1378</v>
      </c>
      <c r="C294" t="s">
        <v>63</v>
      </c>
      <c r="D294" t="s">
        <v>20</v>
      </c>
      <c r="E294" t="s">
        <v>20</v>
      </c>
      <c r="F294" t="s">
        <v>1379</v>
      </c>
      <c r="G294" s="9" t="s">
        <v>1380</v>
      </c>
      <c r="H294">
        <v>88300</v>
      </c>
      <c r="I294">
        <v>88300</v>
      </c>
      <c r="J294" s="21">
        <v>45323</v>
      </c>
      <c r="K294" s="7" t="s">
        <v>67</v>
      </c>
      <c r="L294" t="s">
        <v>68</v>
      </c>
      <c r="M294" t="s">
        <v>69</v>
      </c>
      <c r="O294">
        <v>17660</v>
      </c>
      <c r="S294" t="str">
        <f>TEXT(Table1[[#This Row],[Date]],"MMM-YY")</f>
        <v>Feb-24</v>
      </c>
      <c r="T294">
        <f>_xlfn.ISOWEEKNUM(Table1[[#This Row],[Date]])</f>
        <v>5</v>
      </c>
      <c r="U294" t="str">
        <f>TEXT(Table1[[#This Row],[Expected Business Month]],"YYYY")</f>
        <v>2024</v>
      </c>
    </row>
    <row r="295" spans="1:21" hidden="1">
      <c r="A295" s="1">
        <v>45326</v>
      </c>
      <c r="B295" t="s">
        <v>1381</v>
      </c>
      <c r="C295" t="s">
        <v>63</v>
      </c>
      <c r="D295" t="s">
        <v>20</v>
      </c>
      <c r="E295" t="s">
        <v>20</v>
      </c>
      <c r="F295" t="s">
        <v>1379</v>
      </c>
      <c r="G295" s="9" t="s">
        <v>1380</v>
      </c>
      <c r="H295">
        <v>105450</v>
      </c>
      <c r="I295">
        <v>105450</v>
      </c>
      <c r="J295" s="21">
        <v>45323</v>
      </c>
      <c r="K295" s="7" t="s">
        <v>67</v>
      </c>
      <c r="L295" t="s">
        <v>68</v>
      </c>
      <c r="M295" t="s">
        <v>69</v>
      </c>
      <c r="O295">
        <v>21090</v>
      </c>
      <c r="S295" t="str">
        <f>TEXT(Table1[[#This Row],[Date]],"MMM-YY")</f>
        <v>Feb-24</v>
      </c>
      <c r="T295">
        <f>_xlfn.ISOWEEKNUM(Table1[[#This Row],[Date]])</f>
        <v>5</v>
      </c>
      <c r="U295" t="str">
        <f>TEXT(Table1[[#This Row],[Expected Business Month]],"YYYY")</f>
        <v>2024</v>
      </c>
    </row>
    <row r="296" spans="1:21" ht="29.1" hidden="1">
      <c r="A296" s="1">
        <v>45327</v>
      </c>
      <c r="B296" t="s">
        <v>1382</v>
      </c>
      <c r="C296" t="s">
        <v>96</v>
      </c>
      <c r="D296" t="s">
        <v>20</v>
      </c>
      <c r="E296" t="s">
        <v>18</v>
      </c>
      <c r="F296" t="s">
        <v>423</v>
      </c>
      <c r="G296" s="9" t="s">
        <v>1383</v>
      </c>
      <c r="H296">
        <v>7000</v>
      </c>
      <c r="I296">
        <v>7000</v>
      </c>
      <c r="J296" s="21">
        <v>45323</v>
      </c>
      <c r="K296" s="7" t="s">
        <v>67</v>
      </c>
      <c r="L296" t="s">
        <v>68</v>
      </c>
      <c r="M296" t="s">
        <v>69</v>
      </c>
      <c r="O296">
        <v>1400</v>
      </c>
      <c r="S296" t="str">
        <f>TEXT(Table1[[#This Row],[Date]],"MMM-YY")</f>
        <v>Feb-24</v>
      </c>
      <c r="T296">
        <f>_xlfn.ISOWEEKNUM(Table1[[#This Row],[Date]])</f>
        <v>6</v>
      </c>
      <c r="U296" t="str">
        <f>TEXT(Table1[[#This Row],[Expected Business Month]],"YYYY")</f>
        <v>2024</v>
      </c>
    </row>
    <row r="297" spans="1:21" hidden="1">
      <c r="A297" s="1">
        <v>45328</v>
      </c>
      <c r="B297" t="s">
        <v>729</v>
      </c>
      <c r="C297" t="s">
        <v>63</v>
      </c>
      <c r="D297" t="s">
        <v>64</v>
      </c>
      <c r="E297" t="s">
        <v>13</v>
      </c>
      <c r="F297" t="s">
        <v>143</v>
      </c>
      <c r="G297" s="9" t="s">
        <v>1384</v>
      </c>
      <c r="H297">
        <v>10000</v>
      </c>
      <c r="I297">
        <v>0</v>
      </c>
      <c r="J297" s="21">
        <v>45352</v>
      </c>
      <c r="K297" s="7" t="s">
        <v>67</v>
      </c>
      <c r="L297" t="s">
        <v>9</v>
      </c>
      <c r="M297" t="s">
        <v>9</v>
      </c>
      <c r="N297" t="s">
        <v>1385</v>
      </c>
      <c r="O297">
        <v>2000</v>
      </c>
      <c r="S297" t="str">
        <f>TEXT(Table1[[#This Row],[Date]],"MMM-YY")</f>
        <v>Feb-24</v>
      </c>
      <c r="T297">
        <f>_xlfn.ISOWEEKNUM(Table1[[#This Row],[Date]])</f>
        <v>6</v>
      </c>
      <c r="U297" t="str">
        <f>TEXT(Table1[[#This Row],[Expected Business Month]],"YYYY")</f>
        <v>2024</v>
      </c>
    </row>
    <row r="298" spans="1:21" hidden="1">
      <c r="A298" s="1">
        <v>45328</v>
      </c>
      <c r="B298" t="s">
        <v>1386</v>
      </c>
      <c r="C298" t="s">
        <v>96</v>
      </c>
      <c r="D298" t="s">
        <v>64</v>
      </c>
      <c r="E298" t="s">
        <v>26</v>
      </c>
      <c r="F298" t="s">
        <v>1387</v>
      </c>
      <c r="G298" s="9" t="s">
        <v>1388</v>
      </c>
      <c r="H298">
        <v>18692</v>
      </c>
      <c r="I298">
        <v>0</v>
      </c>
      <c r="J298" s="21">
        <v>45323</v>
      </c>
      <c r="K298" s="7" t="s">
        <v>67</v>
      </c>
      <c r="L298" t="s">
        <v>9</v>
      </c>
      <c r="M298" t="s">
        <v>9</v>
      </c>
      <c r="N298" t="s">
        <v>822</v>
      </c>
      <c r="O298">
        <v>3738.4</v>
      </c>
      <c r="S298" t="str">
        <f>TEXT(Table1[[#This Row],[Date]],"MMM-YY")</f>
        <v>Feb-24</v>
      </c>
      <c r="T298">
        <f>_xlfn.ISOWEEKNUM(Table1[[#This Row],[Date]])</f>
        <v>6</v>
      </c>
      <c r="U298" t="str">
        <f>TEXT(Table1[[#This Row],[Expected Business Month]],"YYYY")</f>
        <v>2024</v>
      </c>
    </row>
    <row r="299" spans="1:21" hidden="1">
      <c r="A299" s="1">
        <v>45328</v>
      </c>
      <c r="B299" t="s">
        <v>1389</v>
      </c>
      <c r="C299" t="s">
        <v>96</v>
      </c>
      <c r="D299" t="s">
        <v>20</v>
      </c>
      <c r="E299" t="s">
        <v>23</v>
      </c>
      <c r="F299" t="s">
        <v>1390</v>
      </c>
      <c r="G299" s="9" t="s">
        <v>1391</v>
      </c>
      <c r="H299">
        <v>12000</v>
      </c>
      <c r="I299">
        <v>0</v>
      </c>
      <c r="J299" s="21">
        <v>45323</v>
      </c>
      <c r="K299" s="7" t="s">
        <v>67</v>
      </c>
      <c r="L299" t="s">
        <v>9</v>
      </c>
      <c r="M299" t="s">
        <v>9</v>
      </c>
      <c r="N299" t="s">
        <v>822</v>
      </c>
      <c r="O299">
        <v>2400</v>
      </c>
      <c r="S299" t="str">
        <f>TEXT(Table1[[#This Row],[Date]],"MMM-YY")</f>
        <v>Feb-24</v>
      </c>
      <c r="T299">
        <f>_xlfn.ISOWEEKNUM(Table1[[#This Row],[Date]])</f>
        <v>6</v>
      </c>
      <c r="U299" t="str">
        <f>TEXT(Table1[[#This Row],[Expected Business Month]],"YYYY")</f>
        <v>2024</v>
      </c>
    </row>
    <row r="300" spans="1:21" hidden="1">
      <c r="A300" s="1">
        <v>45328</v>
      </c>
      <c r="B300" t="s">
        <v>1392</v>
      </c>
      <c r="C300" t="s">
        <v>63</v>
      </c>
      <c r="D300" t="s">
        <v>64</v>
      </c>
      <c r="E300" t="s">
        <v>26</v>
      </c>
      <c r="F300" t="s">
        <v>1393</v>
      </c>
      <c r="G300" s="9" t="s">
        <v>1394</v>
      </c>
      <c r="H300">
        <v>10000</v>
      </c>
      <c r="I300">
        <v>0</v>
      </c>
      <c r="J300" s="21">
        <v>45505</v>
      </c>
      <c r="K300" s="7" t="s">
        <v>67</v>
      </c>
      <c r="L300" t="s">
        <v>9</v>
      </c>
      <c r="M300" t="s">
        <v>9</v>
      </c>
      <c r="N300" t="s">
        <v>586</v>
      </c>
      <c r="O300">
        <v>2000</v>
      </c>
      <c r="S300" t="str">
        <f>TEXT(Table1[[#This Row],[Date]],"MMM-YY")</f>
        <v>Feb-24</v>
      </c>
      <c r="T300">
        <f>_xlfn.ISOWEEKNUM(Table1[[#This Row],[Date]])</f>
        <v>6</v>
      </c>
      <c r="U300" t="str">
        <f>TEXT(Table1[[#This Row],[Expected Business Month]],"YYYY")</f>
        <v>2024</v>
      </c>
    </row>
    <row r="301" spans="1:21" ht="57.95" hidden="1">
      <c r="A301" s="1">
        <v>45329</v>
      </c>
      <c r="B301" t="s">
        <v>1395</v>
      </c>
      <c r="C301" t="s">
        <v>63</v>
      </c>
      <c r="D301" t="s">
        <v>64</v>
      </c>
      <c r="E301" t="s">
        <v>14</v>
      </c>
      <c r="F301" t="s">
        <v>196</v>
      </c>
      <c r="G301" s="9" t="s">
        <v>1396</v>
      </c>
      <c r="H301">
        <v>30000</v>
      </c>
      <c r="I301">
        <v>0</v>
      </c>
      <c r="J301" s="21">
        <v>45444</v>
      </c>
      <c r="K301" s="7" t="s">
        <v>67</v>
      </c>
      <c r="L301" t="s">
        <v>9</v>
      </c>
      <c r="M301" t="s">
        <v>9</v>
      </c>
      <c r="N301" t="s">
        <v>831</v>
      </c>
      <c r="O301">
        <v>0</v>
      </c>
      <c r="S301" t="str">
        <f>TEXT(Table1[[#This Row],[Date]],"MMM-YY")</f>
        <v>Feb-24</v>
      </c>
      <c r="T301">
        <f>_xlfn.ISOWEEKNUM(Table1[[#This Row],[Date]])</f>
        <v>6</v>
      </c>
      <c r="U301" t="str">
        <f>TEXT(Table1[[#This Row],[Expected Business Month]],"YYYY")</f>
        <v>2024</v>
      </c>
    </row>
    <row r="302" spans="1:21" ht="29.1" hidden="1">
      <c r="A302" s="1">
        <v>45329</v>
      </c>
      <c r="B302" t="s">
        <v>1397</v>
      </c>
      <c r="C302" t="s">
        <v>63</v>
      </c>
      <c r="D302" t="s">
        <v>64</v>
      </c>
      <c r="E302" t="s">
        <v>26</v>
      </c>
      <c r="F302" t="s">
        <v>1398</v>
      </c>
      <c r="G302" s="9" t="s">
        <v>1399</v>
      </c>
      <c r="H302">
        <v>10000</v>
      </c>
      <c r="I302">
        <v>0</v>
      </c>
      <c r="J302" s="21">
        <v>45352</v>
      </c>
      <c r="K302" s="7" t="s">
        <v>67</v>
      </c>
      <c r="L302" t="s">
        <v>9</v>
      </c>
      <c r="M302" t="s">
        <v>9</v>
      </c>
      <c r="N302" t="s">
        <v>586</v>
      </c>
      <c r="O302">
        <v>2000</v>
      </c>
      <c r="S302" t="str">
        <f>TEXT(Table1[[#This Row],[Date]],"MMM-YY")</f>
        <v>Feb-24</v>
      </c>
      <c r="T302">
        <f>_xlfn.ISOWEEKNUM(Table1[[#This Row],[Date]])</f>
        <v>6</v>
      </c>
      <c r="U302" t="str">
        <f>TEXT(Table1[[#This Row],[Expected Business Month]],"YYYY")</f>
        <v>2024</v>
      </c>
    </row>
    <row r="303" spans="1:21" hidden="1">
      <c r="A303" s="1">
        <v>45329</v>
      </c>
      <c r="B303" t="s">
        <v>324</v>
      </c>
      <c r="C303" t="s">
        <v>96</v>
      </c>
      <c r="D303" t="s">
        <v>64</v>
      </c>
      <c r="E303" t="s">
        <v>38</v>
      </c>
      <c r="F303" t="s">
        <v>325</v>
      </c>
      <c r="G303" s="9" t="s">
        <v>1362</v>
      </c>
      <c r="H303">
        <v>40000</v>
      </c>
      <c r="I303">
        <v>40000</v>
      </c>
      <c r="J303" s="21">
        <v>45323</v>
      </c>
      <c r="K303" s="7" t="s">
        <v>99</v>
      </c>
      <c r="L303" t="s">
        <v>68</v>
      </c>
      <c r="M303" t="s">
        <v>69</v>
      </c>
      <c r="O303">
        <v>0</v>
      </c>
      <c r="S303" t="str">
        <f>TEXT(Table1[[#This Row],[Date]],"MMM-YY")</f>
        <v>Feb-24</v>
      </c>
      <c r="T303">
        <f>_xlfn.ISOWEEKNUM(Table1[[#This Row],[Date]])</f>
        <v>6</v>
      </c>
      <c r="U303" t="str">
        <f>TEXT(Table1[[#This Row],[Expected Business Month]],"YYYY")</f>
        <v>2024</v>
      </c>
    </row>
    <row r="304" spans="1:21" hidden="1">
      <c r="A304" s="1">
        <v>45329</v>
      </c>
      <c r="B304" t="s">
        <v>1400</v>
      </c>
      <c r="C304" t="s">
        <v>96</v>
      </c>
      <c r="D304" t="s">
        <v>64</v>
      </c>
      <c r="E304" t="s">
        <v>26</v>
      </c>
      <c r="F304" t="s">
        <v>1401</v>
      </c>
      <c r="G304" s="9" t="s">
        <v>1402</v>
      </c>
      <c r="H304">
        <v>15000</v>
      </c>
      <c r="I304">
        <v>15000</v>
      </c>
      <c r="J304" s="21">
        <v>45323</v>
      </c>
      <c r="K304" s="7" t="s">
        <v>67</v>
      </c>
      <c r="L304" t="s">
        <v>68</v>
      </c>
      <c r="M304" t="s">
        <v>69</v>
      </c>
      <c r="O304">
        <v>3000</v>
      </c>
      <c r="S304" t="str">
        <f>TEXT(Table1[[#This Row],[Date]],"MMM-YY")</f>
        <v>Feb-24</v>
      </c>
      <c r="T304">
        <f>_xlfn.ISOWEEKNUM(Table1[[#This Row],[Date]])</f>
        <v>6</v>
      </c>
      <c r="U304" t="str">
        <f>TEXT(Table1[[#This Row],[Expected Business Month]],"YYYY")</f>
        <v>2024</v>
      </c>
    </row>
    <row r="305" spans="1:21" hidden="1">
      <c r="A305" s="1">
        <v>45330</v>
      </c>
      <c r="B305" t="s">
        <v>1403</v>
      </c>
      <c r="C305" t="s">
        <v>96</v>
      </c>
      <c r="D305" t="s">
        <v>20</v>
      </c>
      <c r="E305" t="s">
        <v>23</v>
      </c>
      <c r="F305" t="s">
        <v>824</v>
      </c>
      <c r="G305" s="9" t="s">
        <v>1404</v>
      </c>
      <c r="H305">
        <v>10500</v>
      </c>
      <c r="I305">
        <v>0</v>
      </c>
      <c r="J305" s="21">
        <v>45323</v>
      </c>
      <c r="K305" s="6" t="s">
        <v>67</v>
      </c>
      <c r="L305" t="s">
        <v>9</v>
      </c>
      <c r="M305" t="s">
        <v>9</v>
      </c>
      <c r="N305" t="s">
        <v>822</v>
      </c>
      <c r="O305">
        <v>2100</v>
      </c>
      <c r="S305" t="str">
        <f>TEXT(Table1[[#This Row],[Date]],"MMM-YY")</f>
        <v>Feb-24</v>
      </c>
      <c r="T305">
        <f>_xlfn.ISOWEEKNUM(Table1[[#This Row],[Date]])</f>
        <v>6</v>
      </c>
      <c r="U305" t="str">
        <f>TEXT(Table1[[#This Row],[Expected Business Month]],"YYYY")</f>
        <v>2024</v>
      </c>
    </row>
    <row r="306" spans="1:21" ht="29.1" hidden="1">
      <c r="A306" s="1">
        <v>45331</v>
      </c>
      <c r="B306" t="s">
        <v>1405</v>
      </c>
      <c r="C306" t="s">
        <v>96</v>
      </c>
      <c r="D306" t="s">
        <v>64</v>
      </c>
      <c r="E306" t="s">
        <v>24</v>
      </c>
      <c r="F306" t="s">
        <v>1406</v>
      </c>
      <c r="G306" s="9" t="s">
        <v>1407</v>
      </c>
      <c r="H306">
        <v>1200000</v>
      </c>
      <c r="I306">
        <v>0</v>
      </c>
      <c r="J306" s="21">
        <v>45323</v>
      </c>
      <c r="K306" s="6" t="s">
        <v>67</v>
      </c>
      <c r="L306" t="s">
        <v>9</v>
      </c>
      <c r="M306" t="s">
        <v>9</v>
      </c>
      <c r="N306" t="s">
        <v>822</v>
      </c>
      <c r="O306">
        <v>240000</v>
      </c>
      <c r="S306" t="str">
        <f>TEXT(Table1[[#This Row],[Date]],"MMM-YY")</f>
        <v>Feb-24</v>
      </c>
      <c r="T306">
        <f>_xlfn.ISOWEEKNUM(Table1[[#This Row],[Date]])</f>
        <v>6</v>
      </c>
      <c r="U306" t="str">
        <f>TEXT(Table1[[#This Row],[Expected Business Month]],"YYYY")</f>
        <v>2024</v>
      </c>
    </row>
    <row r="307" spans="1:21" hidden="1">
      <c r="A307" s="1">
        <v>45331</v>
      </c>
      <c r="B307" t="s">
        <v>1408</v>
      </c>
      <c r="C307" t="s">
        <v>63</v>
      </c>
      <c r="D307" t="s">
        <v>64</v>
      </c>
      <c r="E307" t="s">
        <v>27</v>
      </c>
      <c r="F307" t="s">
        <v>1189</v>
      </c>
      <c r="G307" s="9" t="s">
        <v>1409</v>
      </c>
      <c r="H307">
        <v>10000</v>
      </c>
      <c r="I307">
        <v>0</v>
      </c>
      <c r="J307" s="21">
        <v>45505</v>
      </c>
      <c r="K307" s="6" t="s">
        <v>67</v>
      </c>
      <c r="L307" t="s">
        <v>9</v>
      </c>
      <c r="M307" t="s">
        <v>9</v>
      </c>
      <c r="N307" t="s">
        <v>586</v>
      </c>
      <c r="O307">
        <v>2000</v>
      </c>
      <c r="S307" t="str">
        <f>TEXT(Table1[[#This Row],[Date]],"MMM-YY")</f>
        <v>Feb-24</v>
      </c>
      <c r="T307">
        <f>_xlfn.ISOWEEKNUM(Table1[[#This Row],[Date]])</f>
        <v>6</v>
      </c>
      <c r="U307" t="str">
        <f>TEXT(Table1[[#This Row],[Expected Business Month]],"YYYY")</f>
        <v>2024</v>
      </c>
    </row>
    <row r="308" spans="1:21" ht="29.1" hidden="1">
      <c r="A308" s="1">
        <v>45331</v>
      </c>
      <c r="B308" t="s">
        <v>1410</v>
      </c>
      <c r="C308" t="s">
        <v>63</v>
      </c>
      <c r="D308" t="s">
        <v>64</v>
      </c>
      <c r="E308" t="s">
        <v>33</v>
      </c>
      <c r="F308" t="s">
        <v>1411</v>
      </c>
      <c r="G308" s="9" t="s">
        <v>1412</v>
      </c>
      <c r="H308">
        <v>100000</v>
      </c>
      <c r="I308">
        <v>0</v>
      </c>
      <c r="J308" s="21">
        <v>45352</v>
      </c>
      <c r="K308" s="6" t="s">
        <v>67</v>
      </c>
      <c r="L308" t="s">
        <v>9</v>
      </c>
      <c r="M308" t="s">
        <v>9</v>
      </c>
      <c r="N308" t="s">
        <v>1413</v>
      </c>
      <c r="O308">
        <v>20000</v>
      </c>
      <c r="S308" t="str">
        <f>TEXT(Table1[[#This Row],[Date]],"MMM-YY")</f>
        <v>Feb-24</v>
      </c>
      <c r="T308">
        <f>_xlfn.ISOWEEKNUM(Table1[[#This Row],[Date]])</f>
        <v>6</v>
      </c>
      <c r="U308" t="str">
        <f>TEXT(Table1[[#This Row],[Expected Business Month]],"YYYY")</f>
        <v>2024</v>
      </c>
    </row>
    <row r="309" spans="1:21" hidden="1">
      <c r="A309" s="1">
        <v>45332</v>
      </c>
      <c r="B309" t="s">
        <v>1414</v>
      </c>
      <c r="C309" t="s">
        <v>96</v>
      </c>
      <c r="D309" t="s">
        <v>64</v>
      </c>
      <c r="E309" t="s">
        <v>25</v>
      </c>
      <c r="F309" t="s">
        <v>1415</v>
      </c>
      <c r="G309" s="9" t="s">
        <v>1416</v>
      </c>
      <c r="H309">
        <v>5152</v>
      </c>
      <c r="I309">
        <v>5152</v>
      </c>
      <c r="J309" s="21">
        <v>45323</v>
      </c>
      <c r="K309" s="6" t="s">
        <v>67</v>
      </c>
      <c r="L309" t="s">
        <v>68</v>
      </c>
      <c r="M309" t="s">
        <v>69</v>
      </c>
      <c r="O309">
        <v>1030.4000000000001</v>
      </c>
      <c r="S309" t="str">
        <f>TEXT(Table1[[#This Row],[Date]],"MMM-YY")</f>
        <v>Feb-24</v>
      </c>
      <c r="T309">
        <f>_xlfn.ISOWEEKNUM(Table1[[#This Row],[Date]])</f>
        <v>6</v>
      </c>
      <c r="U309" t="str">
        <f>TEXT(Table1[[#This Row],[Expected Business Month]],"YYYY")</f>
        <v>2024</v>
      </c>
    </row>
    <row r="310" spans="1:21" ht="29.1" hidden="1">
      <c r="A310" s="1">
        <v>45333</v>
      </c>
      <c r="B310" t="s">
        <v>1417</v>
      </c>
      <c r="C310" t="s">
        <v>96</v>
      </c>
      <c r="D310" t="s">
        <v>64</v>
      </c>
      <c r="E310" t="s">
        <v>26</v>
      </c>
      <c r="F310" t="s">
        <v>1281</v>
      </c>
      <c r="G310" s="9" t="s">
        <v>1418</v>
      </c>
      <c r="H310">
        <v>177000</v>
      </c>
      <c r="I310">
        <v>0</v>
      </c>
      <c r="J310" s="21">
        <v>45323</v>
      </c>
      <c r="K310" s="6" t="s">
        <v>67</v>
      </c>
      <c r="L310" t="s">
        <v>9</v>
      </c>
      <c r="M310" t="s">
        <v>9</v>
      </c>
      <c r="N310" t="s">
        <v>822</v>
      </c>
      <c r="O310">
        <v>35400</v>
      </c>
      <c r="S310" t="str">
        <f>TEXT(Table1[[#This Row],[Date]],"MMM-YY")</f>
        <v>Feb-24</v>
      </c>
      <c r="T310">
        <f>_xlfn.ISOWEEKNUM(Table1[[#This Row],[Date]])</f>
        <v>6</v>
      </c>
      <c r="U310" t="str">
        <f>TEXT(Table1[[#This Row],[Expected Business Month]],"YYYY")</f>
        <v>2024</v>
      </c>
    </row>
    <row r="311" spans="1:21" hidden="1">
      <c r="A311" s="1">
        <v>45334</v>
      </c>
      <c r="B311" t="s">
        <v>324</v>
      </c>
      <c r="C311" t="s">
        <v>96</v>
      </c>
      <c r="D311" t="s">
        <v>64</v>
      </c>
      <c r="E311" t="s">
        <v>38</v>
      </c>
      <c r="F311" t="s">
        <v>325</v>
      </c>
      <c r="G311" s="9" t="s">
        <v>1419</v>
      </c>
      <c r="H311">
        <v>44555</v>
      </c>
      <c r="I311">
        <v>44555</v>
      </c>
      <c r="J311" s="21">
        <v>45323</v>
      </c>
      <c r="K311" s="7" t="s">
        <v>99</v>
      </c>
      <c r="L311" t="s">
        <v>68</v>
      </c>
      <c r="M311" t="s">
        <v>69</v>
      </c>
      <c r="O311">
        <v>0</v>
      </c>
      <c r="S311" t="str">
        <f>TEXT(Table1[[#This Row],[Date]],"MMM-YY")</f>
        <v>Feb-24</v>
      </c>
      <c r="T311">
        <f>_xlfn.ISOWEEKNUM(Table1[[#This Row],[Date]])</f>
        <v>7</v>
      </c>
      <c r="U311" t="str">
        <f>TEXT(Table1[[#This Row],[Expected Business Month]],"YYYY")</f>
        <v>2024</v>
      </c>
    </row>
    <row r="312" spans="1:21" hidden="1">
      <c r="A312" s="1">
        <v>45334</v>
      </c>
      <c r="B312" t="s">
        <v>1420</v>
      </c>
      <c r="C312" t="s">
        <v>63</v>
      </c>
      <c r="D312" t="s">
        <v>64</v>
      </c>
      <c r="E312" t="s">
        <v>26</v>
      </c>
      <c r="F312" t="s">
        <v>1421</v>
      </c>
      <c r="G312" s="9" t="s">
        <v>1225</v>
      </c>
      <c r="H312">
        <v>12000</v>
      </c>
      <c r="I312">
        <v>0</v>
      </c>
      <c r="J312" s="21">
        <v>45383</v>
      </c>
      <c r="K312" s="7" t="s">
        <v>67</v>
      </c>
      <c r="L312" t="s">
        <v>9</v>
      </c>
      <c r="M312" t="s">
        <v>9</v>
      </c>
      <c r="N312" t="s">
        <v>586</v>
      </c>
      <c r="O312">
        <v>2400</v>
      </c>
      <c r="S312" t="str">
        <f>TEXT(Table1[[#This Row],[Date]],"MMM-YY")</f>
        <v>Feb-24</v>
      </c>
      <c r="T312">
        <f>_xlfn.ISOWEEKNUM(Table1[[#This Row],[Date]])</f>
        <v>7</v>
      </c>
      <c r="U312" t="str">
        <f>TEXT(Table1[[#This Row],[Expected Business Month]],"YYYY")</f>
        <v>2024</v>
      </c>
    </row>
    <row r="313" spans="1:21" hidden="1">
      <c r="A313" s="1">
        <v>45334</v>
      </c>
      <c r="B313" t="s">
        <v>1422</v>
      </c>
      <c r="C313" t="s">
        <v>63</v>
      </c>
      <c r="D313" t="s">
        <v>64</v>
      </c>
      <c r="E313" t="s">
        <v>26</v>
      </c>
      <c r="F313" t="s">
        <v>106</v>
      </c>
      <c r="G313" s="9" t="s">
        <v>1291</v>
      </c>
      <c r="H313">
        <v>10000</v>
      </c>
      <c r="I313">
        <v>0</v>
      </c>
      <c r="J313" s="21">
        <v>45505</v>
      </c>
      <c r="K313" s="7" t="s">
        <v>67</v>
      </c>
      <c r="L313" t="s">
        <v>9</v>
      </c>
      <c r="M313" t="s">
        <v>9</v>
      </c>
      <c r="N313" t="s">
        <v>586</v>
      </c>
      <c r="O313">
        <v>2000</v>
      </c>
      <c r="S313" t="str">
        <f>TEXT(Table1[[#This Row],[Date]],"MMM-YY")</f>
        <v>Feb-24</v>
      </c>
      <c r="T313">
        <f>_xlfn.ISOWEEKNUM(Table1[[#This Row],[Date]])</f>
        <v>7</v>
      </c>
      <c r="U313" t="str">
        <f>TEXT(Table1[[#This Row],[Expected Business Month]],"YYYY")</f>
        <v>2024</v>
      </c>
    </row>
    <row r="314" spans="1:21" hidden="1">
      <c r="A314" s="1">
        <v>45335</v>
      </c>
      <c r="B314" t="s">
        <v>1423</v>
      </c>
      <c r="C314" t="s">
        <v>63</v>
      </c>
      <c r="D314" t="s">
        <v>64</v>
      </c>
      <c r="E314" t="s">
        <v>26</v>
      </c>
      <c r="F314" t="s">
        <v>1300</v>
      </c>
      <c r="G314" s="9" t="s">
        <v>1424</v>
      </c>
      <c r="H314">
        <v>10000</v>
      </c>
      <c r="I314">
        <v>0</v>
      </c>
      <c r="J314" s="21">
        <v>45505</v>
      </c>
      <c r="K314" s="7" t="s">
        <v>67</v>
      </c>
      <c r="L314" t="s">
        <v>9</v>
      </c>
      <c r="M314" t="s">
        <v>9</v>
      </c>
      <c r="N314" t="s">
        <v>586</v>
      </c>
      <c r="O314">
        <v>2000</v>
      </c>
      <c r="S314" t="str">
        <f>TEXT(Table1[[#This Row],[Date]],"MMM-YY")</f>
        <v>Feb-24</v>
      </c>
      <c r="T314">
        <f>_xlfn.ISOWEEKNUM(Table1[[#This Row],[Date]])</f>
        <v>7</v>
      </c>
      <c r="U314" t="str">
        <f>TEXT(Table1[[#This Row],[Expected Business Month]],"YYYY")</f>
        <v>2024</v>
      </c>
    </row>
    <row r="315" spans="1:21" hidden="1">
      <c r="A315" s="1">
        <v>45335</v>
      </c>
      <c r="B315" t="s">
        <v>1425</v>
      </c>
      <c r="C315" t="s">
        <v>96</v>
      </c>
      <c r="D315" t="s">
        <v>105</v>
      </c>
      <c r="E315" t="s">
        <v>18</v>
      </c>
      <c r="F315" t="s">
        <v>1426</v>
      </c>
      <c r="G315" s="9" t="s">
        <v>1427</v>
      </c>
      <c r="H315">
        <v>30000</v>
      </c>
      <c r="I315">
        <v>0</v>
      </c>
      <c r="J315" s="21">
        <v>45383</v>
      </c>
      <c r="K315" s="7" t="s">
        <v>67</v>
      </c>
      <c r="L315" t="s">
        <v>9</v>
      </c>
      <c r="M315" t="s">
        <v>9</v>
      </c>
      <c r="N315" t="s">
        <v>1428</v>
      </c>
      <c r="O315">
        <v>0</v>
      </c>
      <c r="S315" t="str">
        <f>TEXT(Table1[[#This Row],[Date]],"MMM-YY")</f>
        <v>Feb-24</v>
      </c>
      <c r="T315">
        <f>_xlfn.ISOWEEKNUM(Table1[[#This Row],[Date]])</f>
        <v>7</v>
      </c>
      <c r="U315" t="str">
        <f>TEXT(Table1[[#This Row],[Expected Business Month]],"YYYY")</f>
        <v>2024</v>
      </c>
    </row>
    <row r="316" spans="1:21" hidden="1">
      <c r="A316" s="1">
        <v>45335</v>
      </c>
      <c r="B316" t="s">
        <v>1429</v>
      </c>
      <c r="C316" t="s">
        <v>63</v>
      </c>
      <c r="D316" t="s">
        <v>20</v>
      </c>
      <c r="E316" t="s">
        <v>31</v>
      </c>
      <c r="F316" t="s">
        <v>1430</v>
      </c>
      <c r="G316" s="9" t="s">
        <v>1431</v>
      </c>
      <c r="H316">
        <v>100000</v>
      </c>
      <c r="I316">
        <v>0</v>
      </c>
      <c r="J316" s="21">
        <v>45352</v>
      </c>
      <c r="K316" s="7" t="s">
        <v>67</v>
      </c>
      <c r="L316" t="s">
        <v>9</v>
      </c>
      <c r="M316" t="s">
        <v>9</v>
      </c>
      <c r="N316" t="s">
        <v>1432</v>
      </c>
      <c r="O316">
        <v>20000</v>
      </c>
      <c r="S316" t="str">
        <f>TEXT(Table1[[#This Row],[Date]],"MMM-YY")</f>
        <v>Feb-24</v>
      </c>
      <c r="T316">
        <f>_xlfn.ISOWEEKNUM(Table1[[#This Row],[Date]])</f>
        <v>7</v>
      </c>
      <c r="U316" t="str">
        <f>TEXT(Table1[[#This Row],[Expected Business Month]],"YYYY")</f>
        <v>2024</v>
      </c>
    </row>
    <row r="317" spans="1:21" hidden="1">
      <c r="A317" s="1">
        <v>45335</v>
      </c>
      <c r="B317" t="s">
        <v>1433</v>
      </c>
      <c r="C317" t="s">
        <v>63</v>
      </c>
      <c r="D317" t="s">
        <v>20</v>
      </c>
      <c r="E317" t="s">
        <v>18</v>
      </c>
      <c r="F317" t="s">
        <v>1434</v>
      </c>
      <c r="G317" s="9" t="s">
        <v>1435</v>
      </c>
      <c r="H317">
        <v>20000</v>
      </c>
      <c r="I317">
        <v>0</v>
      </c>
      <c r="J317" s="21">
        <v>45352</v>
      </c>
      <c r="K317" s="7" t="s">
        <v>67</v>
      </c>
      <c r="L317" t="s">
        <v>9</v>
      </c>
      <c r="M317" t="s">
        <v>9</v>
      </c>
      <c r="N317" t="s">
        <v>1436</v>
      </c>
      <c r="O317">
        <v>4000</v>
      </c>
      <c r="S317" t="str">
        <f>TEXT(Table1[[#This Row],[Date]],"MMM-YY")</f>
        <v>Feb-24</v>
      </c>
      <c r="T317">
        <f>_xlfn.ISOWEEKNUM(Table1[[#This Row],[Date]])</f>
        <v>7</v>
      </c>
      <c r="U317" t="str">
        <f>TEXT(Table1[[#This Row],[Expected Business Month]],"YYYY")</f>
        <v>2024</v>
      </c>
    </row>
    <row r="318" spans="1:21" hidden="1">
      <c r="A318" s="1">
        <v>45336</v>
      </c>
      <c r="B318" t="s">
        <v>1437</v>
      </c>
      <c r="C318" t="s">
        <v>63</v>
      </c>
      <c r="D318" t="s">
        <v>64</v>
      </c>
      <c r="E318" t="s">
        <v>26</v>
      </c>
      <c r="F318" t="s">
        <v>93</v>
      </c>
      <c r="G318" s="9" t="s">
        <v>1438</v>
      </c>
      <c r="H318">
        <v>15500</v>
      </c>
      <c r="I318">
        <v>15500</v>
      </c>
      <c r="J318" s="21">
        <v>45323</v>
      </c>
      <c r="K318" s="7" t="s">
        <v>67</v>
      </c>
      <c r="L318" t="s">
        <v>68</v>
      </c>
      <c r="M318" t="s">
        <v>69</v>
      </c>
      <c r="O318">
        <v>12000</v>
      </c>
      <c r="S318" t="str">
        <f>TEXT(Table1[[#This Row],[Date]],"MMM-YY")</f>
        <v>Feb-24</v>
      </c>
      <c r="T318">
        <f>_xlfn.ISOWEEKNUM(Table1[[#This Row],[Date]])</f>
        <v>7</v>
      </c>
      <c r="U318" t="str">
        <f>TEXT(Table1[[#This Row],[Expected Business Month]],"YYYY")</f>
        <v>2024</v>
      </c>
    </row>
    <row r="319" spans="1:21" hidden="1">
      <c r="A319" s="1">
        <v>45336</v>
      </c>
      <c r="B319" t="s">
        <v>1439</v>
      </c>
      <c r="C319" t="s">
        <v>96</v>
      </c>
      <c r="D319" t="s">
        <v>618</v>
      </c>
      <c r="E319" t="s">
        <v>18</v>
      </c>
      <c r="F319" t="s">
        <v>1440</v>
      </c>
      <c r="G319" s="9" t="s">
        <v>1441</v>
      </c>
      <c r="H319">
        <v>100000</v>
      </c>
      <c r="I319">
        <v>0</v>
      </c>
      <c r="J319" s="21">
        <v>45323</v>
      </c>
      <c r="K319" s="7" t="s">
        <v>67</v>
      </c>
      <c r="L319" t="s">
        <v>9</v>
      </c>
      <c r="M319" t="s">
        <v>9</v>
      </c>
      <c r="N319" t="s">
        <v>1442</v>
      </c>
      <c r="O319">
        <v>20000</v>
      </c>
      <c r="S319" t="str">
        <f>TEXT(Table1[[#This Row],[Date]],"MMM-YY")</f>
        <v>Feb-24</v>
      </c>
      <c r="T319">
        <f>_xlfn.ISOWEEKNUM(Table1[[#This Row],[Date]])</f>
        <v>7</v>
      </c>
      <c r="U319" t="str">
        <f>TEXT(Table1[[#This Row],[Expected Business Month]],"YYYY")</f>
        <v>2024</v>
      </c>
    </row>
    <row r="320" spans="1:21" hidden="1">
      <c r="A320" s="1">
        <v>45337</v>
      </c>
      <c r="B320" t="s">
        <v>1443</v>
      </c>
      <c r="C320" t="s">
        <v>63</v>
      </c>
      <c r="D320" t="s">
        <v>64</v>
      </c>
      <c r="E320" t="s">
        <v>13</v>
      </c>
      <c r="F320" t="s">
        <v>1444</v>
      </c>
      <c r="G320" s="9" t="s">
        <v>1445</v>
      </c>
      <c r="H320">
        <v>10000</v>
      </c>
      <c r="I320">
        <v>0</v>
      </c>
      <c r="J320" s="21">
        <v>45352</v>
      </c>
      <c r="K320" s="7" t="s">
        <v>67</v>
      </c>
      <c r="L320" t="s">
        <v>9</v>
      </c>
      <c r="M320" t="s">
        <v>9</v>
      </c>
      <c r="N320" t="s">
        <v>831</v>
      </c>
      <c r="O320">
        <v>2000</v>
      </c>
      <c r="S320" t="str">
        <f>TEXT(Table1[[#This Row],[Date]],"MMM-YY")</f>
        <v>Feb-24</v>
      </c>
      <c r="T320">
        <f>_xlfn.ISOWEEKNUM(Table1[[#This Row],[Date]])</f>
        <v>7</v>
      </c>
      <c r="U320" t="str">
        <f>TEXT(Table1[[#This Row],[Expected Business Month]],"YYYY")</f>
        <v>2024</v>
      </c>
    </row>
    <row r="321" spans="1:21" hidden="1">
      <c r="A321" s="1">
        <v>45337</v>
      </c>
      <c r="B321" t="s">
        <v>1446</v>
      </c>
      <c r="C321" t="s">
        <v>96</v>
      </c>
      <c r="D321" t="s">
        <v>64</v>
      </c>
      <c r="E321" t="s">
        <v>26</v>
      </c>
      <c r="F321" t="s">
        <v>371</v>
      </c>
      <c r="G321" s="9" t="s">
        <v>1447</v>
      </c>
      <c r="H321">
        <v>15000</v>
      </c>
      <c r="I321">
        <v>0</v>
      </c>
      <c r="J321" s="21">
        <v>45323</v>
      </c>
      <c r="K321" s="7" t="s">
        <v>67</v>
      </c>
      <c r="L321" t="s">
        <v>9</v>
      </c>
      <c r="M321" t="s">
        <v>9</v>
      </c>
      <c r="N321" t="s">
        <v>822</v>
      </c>
      <c r="O321">
        <v>3000</v>
      </c>
      <c r="S321" t="str">
        <f>TEXT(Table1[[#This Row],[Date]],"MMM-YY")</f>
        <v>Feb-24</v>
      </c>
      <c r="T321">
        <f>_xlfn.ISOWEEKNUM(Table1[[#This Row],[Date]])</f>
        <v>7</v>
      </c>
      <c r="U321" t="str">
        <f>TEXT(Table1[[#This Row],[Expected Business Month]],"YYYY")</f>
        <v>2024</v>
      </c>
    </row>
    <row r="322" spans="1:21" hidden="1">
      <c r="A322" s="1">
        <v>45337</v>
      </c>
      <c r="B322" t="s">
        <v>1448</v>
      </c>
      <c r="C322" t="s">
        <v>96</v>
      </c>
      <c r="D322" t="s">
        <v>64</v>
      </c>
      <c r="E322" t="s">
        <v>30</v>
      </c>
      <c r="F322" t="s">
        <v>1449</v>
      </c>
      <c r="G322" s="9" t="s">
        <v>1450</v>
      </c>
      <c r="H322">
        <v>30000</v>
      </c>
      <c r="I322">
        <v>0</v>
      </c>
      <c r="J322" s="21">
        <v>45352</v>
      </c>
      <c r="K322" s="7" t="s">
        <v>67</v>
      </c>
      <c r="L322" t="s">
        <v>9</v>
      </c>
      <c r="M322" t="s">
        <v>9</v>
      </c>
      <c r="O322">
        <v>30000</v>
      </c>
      <c r="S322" t="str">
        <f>TEXT(Table1[[#This Row],[Date]],"MMM-YY")</f>
        <v>Feb-24</v>
      </c>
      <c r="T322">
        <f>_xlfn.ISOWEEKNUM(Table1[[#This Row],[Date]])</f>
        <v>7</v>
      </c>
      <c r="U322" t="str">
        <f>TEXT(Table1[[#This Row],[Expected Business Month]],"YYYY")</f>
        <v>2024</v>
      </c>
    </row>
    <row r="323" spans="1:21" ht="29.1" hidden="1">
      <c r="A323" s="1">
        <v>45338</v>
      </c>
      <c r="B323" t="s">
        <v>1451</v>
      </c>
      <c r="C323" t="s">
        <v>96</v>
      </c>
      <c r="D323" t="s">
        <v>64</v>
      </c>
      <c r="E323" t="s">
        <v>16</v>
      </c>
      <c r="F323" t="s">
        <v>1452</v>
      </c>
      <c r="G323" s="9" t="s">
        <v>635</v>
      </c>
      <c r="H323">
        <v>20000</v>
      </c>
      <c r="I323">
        <v>0</v>
      </c>
      <c r="J323" s="21">
        <v>45505</v>
      </c>
      <c r="K323" s="7" t="s">
        <v>67</v>
      </c>
      <c r="L323" t="s">
        <v>9</v>
      </c>
      <c r="M323" t="s">
        <v>9</v>
      </c>
      <c r="N323" t="s">
        <v>586</v>
      </c>
      <c r="O323">
        <v>4000</v>
      </c>
      <c r="S323" t="str">
        <f>TEXT(Table1[[#This Row],[Date]],"MMM-YY")</f>
        <v>Feb-24</v>
      </c>
      <c r="T323">
        <f>_xlfn.ISOWEEKNUM(Table1[[#This Row],[Date]])</f>
        <v>7</v>
      </c>
      <c r="U323" t="str">
        <f>TEXT(Table1[[#This Row],[Expected Business Month]],"YYYY")</f>
        <v>2024</v>
      </c>
    </row>
    <row r="324" spans="1:21" hidden="1">
      <c r="A324" s="1">
        <v>45338</v>
      </c>
      <c r="B324" t="s">
        <v>1453</v>
      </c>
      <c r="C324" t="s">
        <v>63</v>
      </c>
      <c r="D324" t="s">
        <v>618</v>
      </c>
      <c r="E324" t="s">
        <v>18</v>
      </c>
      <c r="F324" t="s">
        <v>1454</v>
      </c>
      <c r="G324" s="9" t="s">
        <v>1409</v>
      </c>
      <c r="H324">
        <v>10000</v>
      </c>
      <c r="I324">
        <v>0</v>
      </c>
      <c r="J324" s="21">
        <v>45383</v>
      </c>
      <c r="K324" s="7" t="s">
        <v>67</v>
      </c>
      <c r="L324" t="s">
        <v>9</v>
      </c>
      <c r="M324" t="s">
        <v>9</v>
      </c>
      <c r="N324" t="s">
        <v>586</v>
      </c>
      <c r="O324">
        <v>2000</v>
      </c>
      <c r="S324" t="str">
        <f>TEXT(Table1[[#This Row],[Date]],"MMM-YY")</f>
        <v>Feb-24</v>
      </c>
      <c r="T324">
        <f>_xlfn.ISOWEEKNUM(Table1[[#This Row],[Date]])</f>
        <v>7</v>
      </c>
      <c r="U324" t="str">
        <f>TEXT(Table1[[#This Row],[Expected Business Month]],"YYYY")</f>
        <v>2024</v>
      </c>
    </row>
    <row r="325" spans="1:21" hidden="1">
      <c r="A325" s="1">
        <v>45338</v>
      </c>
      <c r="B325" t="s">
        <v>1455</v>
      </c>
      <c r="C325" t="s">
        <v>63</v>
      </c>
      <c r="D325" t="s">
        <v>64</v>
      </c>
      <c r="E325" t="s">
        <v>26</v>
      </c>
      <c r="F325" t="s">
        <v>1456</v>
      </c>
      <c r="G325" s="9" t="s">
        <v>1457</v>
      </c>
      <c r="H325">
        <v>12000</v>
      </c>
      <c r="I325">
        <v>0</v>
      </c>
      <c r="J325" s="21">
        <v>45505</v>
      </c>
      <c r="K325" s="7" t="s">
        <v>67</v>
      </c>
      <c r="L325" t="s">
        <v>9</v>
      </c>
      <c r="M325" t="s">
        <v>9</v>
      </c>
      <c r="N325" t="s">
        <v>586</v>
      </c>
      <c r="O325">
        <v>2400</v>
      </c>
      <c r="S325" t="str">
        <f>TEXT(Table1[[#This Row],[Date]],"MMM-YY")</f>
        <v>Feb-24</v>
      </c>
      <c r="T325">
        <f>_xlfn.ISOWEEKNUM(Table1[[#This Row],[Date]])</f>
        <v>7</v>
      </c>
      <c r="U325" t="str">
        <f>TEXT(Table1[[#This Row],[Expected Business Month]],"YYYY")</f>
        <v>2024</v>
      </c>
    </row>
    <row r="326" spans="1:21" hidden="1">
      <c r="A326" s="1">
        <v>45338</v>
      </c>
      <c r="B326" t="s">
        <v>1458</v>
      </c>
      <c r="C326" t="s">
        <v>63</v>
      </c>
      <c r="D326" t="s">
        <v>64</v>
      </c>
      <c r="E326" t="s">
        <v>26</v>
      </c>
      <c r="F326" t="s">
        <v>1459</v>
      </c>
      <c r="G326" s="9" t="s">
        <v>1297</v>
      </c>
      <c r="H326">
        <v>10000</v>
      </c>
      <c r="I326">
        <v>0</v>
      </c>
      <c r="J326" s="21">
        <v>45383</v>
      </c>
      <c r="K326" s="7" t="s">
        <v>67</v>
      </c>
      <c r="L326" t="s">
        <v>9</v>
      </c>
      <c r="M326" t="s">
        <v>9</v>
      </c>
      <c r="N326" t="s">
        <v>586</v>
      </c>
      <c r="O326">
        <v>2000</v>
      </c>
      <c r="S326" t="str">
        <f>TEXT(Table1[[#This Row],[Date]],"MMM-YY")</f>
        <v>Feb-24</v>
      </c>
      <c r="T326">
        <f>_xlfn.ISOWEEKNUM(Table1[[#This Row],[Date]])</f>
        <v>7</v>
      </c>
      <c r="U326" t="str">
        <f>TEXT(Table1[[#This Row],[Expected Business Month]],"YYYY")</f>
        <v>2024</v>
      </c>
    </row>
    <row r="327" spans="1:21" hidden="1">
      <c r="A327" s="1">
        <v>45339</v>
      </c>
      <c r="B327" t="s">
        <v>1460</v>
      </c>
      <c r="C327" t="s">
        <v>96</v>
      </c>
      <c r="D327" t="s">
        <v>64</v>
      </c>
      <c r="E327" t="s">
        <v>25</v>
      </c>
      <c r="F327" t="s">
        <v>1461</v>
      </c>
      <c r="G327" s="9" t="s">
        <v>1462</v>
      </c>
      <c r="H327">
        <v>10500</v>
      </c>
      <c r="I327">
        <v>10500</v>
      </c>
      <c r="J327" s="21">
        <v>45323</v>
      </c>
      <c r="K327" s="7" t="s">
        <v>67</v>
      </c>
      <c r="L327" t="s">
        <v>68</v>
      </c>
      <c r="M327" t="s">
        <v>69</v>
      </c>
      <c r="O327">
        <v>2100</v>
      </c>
      <c r="S327" t="str">
        <f>TEXT(Table1[[#This Row],[Date]],"MMM-YY")</f>
        <v>Feb-24</v>
      </c>
      <c r="T327">
        <f>_xlfn.ISOWEEKNUM(Table1[[#This Row],[Date]])</f>
        <v>7</v>
      </c>
      <c r="U327" t="str">
        <f>TEXT(Table1[[#This Row],[Expected Business Month]],"YYYY")</f>
        <v>2024</v>
      </c>
    </row>
    <row r="328" spans="1:21" hidden="1">
      <c r="A328" s="1">
        <v>45339</v>
      </c>
      <c r="B328" t="s">
        <v>245</v>
      </c>
      <c r="C328" t="s">
        <v>96</v>
      </c>
      <c r="D328" t="s">
        <v>20</v>
      </c>
      <c r="E328" t="s">
        <v>23</v>
      </c>
      <c r="F328" t="s">
        <v>1463</v>
      </c>
      <c r="G328" s="9" t="s">
        <v>1464</v>
      </c>
      <c r="H328">
        <v>10000</v>
      </c>
      <c r="I328">
        <v>0</v>
      </c>
      <c r="J328" s="21">
        <v>45323</v>
      </c>
      <c r="K328" s="7" t="s">
        <v>67</v>
      </c>
      <c r="L328" t="s">
        <v>9</v>
      </c>
      <c r="M328" t="s">
        <v>9</v>
      </c>
      <c r="N328" t="s">
        <v>822</v>
      </c>
      <c r="O328">
        <v>2000</v>
      </c>
      <c r="S328" t="str">
        <f>TEXT(Table1[[#This Row],[Date]],"MMM-YY")</f>
        <v>Feb-24</v>
      </c>
      <c r="T328">
        <f>_xlfn.ISOWEEKNUM(Table1[[#This Row],[Date]])</f>
        <v>7</v>
      </c>
      <c r="U328" t="str">
        <f>TEXT(Table1[[#This Row],[Expected Business Month]],"YYYY")</f>
        <v>2024</v>
      </c>
    </row>
    <row r="329" spans="1:21" hidden="1">
      <c r="A329" s="1">
        <v>45340</v>
      </c>
      <c r="B329" t="s">
        <v>132</v>
      </c>
      <c r="C329" t="s">
        <v>96</v>
      </c>
      <c r="D329" t="s">
        <v>20</v>
      </c>
      <c r="E329" t="s">
        <v>23</v>
      </c>
      <c r="F329" t="s">
        <v>1465</v>
      </c>
      <c r="G329" s="9" t="s">
        <v>1466</v>
      </c>
      <c r="H329">
        <v>10000</v>
      </c>
      <c r="I329">
        <v>0</v>
      </c>
      <c r="J329" s="21">
        <v>45323</v>
      </c>
      <c r="K329" s="7" t="s">
        <v>67</v>
      </c>
      <c r="L329" t="s">
        <v>9</v>
      </c>
      <c r="M329" t="s">
        <v>9</v>
      </c>
      <c r="N329" t="s">
        <v>822</v>
      </c>
      <c r="O329">
        <v>2000</v>
      </c>
      <c r="S329" t="str">
        <f>TEXT(Table1[[#This Row],[Date]],"MMM-YY")</f>
        <v>Feb-24</v>
      </c>
      <c r="T329">
        <f>_xlfn.ISOWEEKNUM(Table1[[#This Row],[Date]])</f>
        <v>7</v>
      </c>
      <c r="U329" t="str">
        <f>TEXT(Table1[[#This Row],[Expected Business Month]],"YYYY")</f>
        <v>2024</v>
      </c>
    </row>
    <row r="330" spans="1:21" ht="29.1" hidden="1">
      <c r="A330" s="1">
        <v>45340</v>
      </c>
      <c r="B330" t="s">
        <v>1467</v>
      </c>
      <c r="C330" t="s">
        <v>96</v>
      </c>
      <c r="D330" t="s">
        <v>20</v>
      </c>
      <c r="E330" t="s">
        <v>32</v>
      </c>
      <c r="F330" t="s">
        <v>770</v>
      </c>
      <c r="G330" s="9" t="s">
        <v>1468</v>
      </c>
      <c r="H330">
        <v>12274</v>
      </c>
      <c r="I330">
        <v>12274</v>
      </c>
      <c r="J330" s="21">
        <v>45352</v>
      </c>
      <c r="K330" s="7" t="s">
        <v>67</v>
      </c>
      <c r="L330" t="s">
        <v>68</v>
      </c>
      <c r="M330" t="s">
        <v>69</v>
      </c>
      <c r="O330">
        <v>0</v>
      </c>
      <c r="S330" t="str">
        <f>TEXT(Table1[[#This Row],[Date]],"MMM-YY")</f>
        <v>Feb-24</v>
      </c>
      <c r="T330">
        <f>_xlfn.ISOWEEKNUM(Table1[[#This Row],[Date]])</f>
        <v>7</v>
      </c>
      <c r="U330" t="str">
        <f>TEXT(Table1[[#This Row],[Expected Business Month]],"YYYY")</f>
        <v>2024</v>
      </c>
    </row>
    <row r="331" spans="1:21" hidden="1">
      <c r="A331" s="1">
        <v>45341</v>
      </c>
      <c r="B331" t="s">
        <v>1469</v>
      </c>
      <c r="C331" t="s">
        <v>63</v>
      </c>
      <c r="D331" t="s">
        <v>20</v>
      </c>
      <c r="E331" t="s">
        <v>18</v>
      </c>
      <c r="F331" t="s">
        <v>1470</v>
      </c>
      <c r="G331" s="9" t="s">
        <v>1471</v>
      </c>
      <c r="H331">
        <v>40000</v>
      </c>
      <c r="I331">
        <v>0</v>
      </c>
      <c r="J331" s="21">
        <v>45352</v>
      </c>
      <c r="K331" s="7" t="s">
        <v>67</v>
      </c>
      <c r="L331" t="s">
        <v>9</v>
      </c>
      <c r="M331" t="s">
        <v>9</v>
      </c>
      <c r="N331" t="s">
        <v>1472</v>
      </c>
      <c r="O331">
        <v>8000</v>
      </c>
      <c r="S331" t="str">
        <f>TEXT(Table1[[#This Row],[Date]],"MMM-YY")</f>
        <v>Feb-24</v>
      </c>
      <c r="T331">
        <f>_xlfn.ISOWEEKNUM(Table1[[#This Row],[Date]])</f>
        <v>8</v>
      </c>
      <c r="U331" t="str">
        <f>TEXT(Table1[[#This Row],[Expected Business Month]],"YYYY")</f>
        <v>2024</v>
      </c>
    </row>
    <row r="332" spans="1:21" hidden="1">
      <c r="A332" s="1">
        <v>45341</v>
      </c>
      <c r="B332" t="s">
        <v>1473</v>
      </c>
      <c r="C332" t="s">
        <v>63</v>
      </c>
      <c r="D332" t="s">
        <v>64</v>
      </c>
      <c r="E332" t="s">
        <v>24</v>
      </c>
      <c r="F332" t="s">
        <v>1474</v>
      </c>
      <c r="G332" s="9" t="s">
        <v>1475</v>
      </c>
      <c r="H332">
        <v>50000</v>
      </c>
      <c r="I332">
        <v>0</v>
      </c>
      <c r="J332" s="21">
        <v>45444</v>
      </c>
      <c r="K332" s="7" t="s">
        <v>67</v>
      </c>
      <c r="L332" t="s">
        <v>9</v>
      </c>
      <c r="M332" t="s">
        <v>9</v>
      </c>
      <c r="N332" t="s">
        <v>602</v>
      </c>
      <c r="O332">
        <v>10000</v>
      </c>
      <c r="S332" t="str">
        <f>TEXT(Table1[[#This Row],[Date]],"MMM-YY")</f>
        <v>Feb-24</v>
      </c>
      <c r="T332">
        <f>_xlfn.ISOWEEKNUM(Table1[[#This Row],[Date]])</f>
        <v>8</v>
      </c>
      <c r="U332" t="str">
        <f>TEXT(Table1[[#This Row],[Expected Business Month]],"YYYY")</f>
        <v>2024</v>
      </c>
    </row>
    <row r="333" spans="1:21" hidden="1">
      <c r="A333" s="1">
        <v>45341</v>
      </c>
      <c r="B333" t="s">
        <v>1476</v>
      </c>
      <c r="C333" t="s">
        <v>63</v>
      </c>
      <c r="D333" t="s">
        <v>64</v>
      </c>
      <c r="E333" t="s">
        <v>27</v>
      </c>
      <c r="F333" t="s">
        <v>1477</v>
      </c>
      <c r="G333" s="9" t="s">
        <v>1478</v>
      </c>
      <c r="H333">
        <v>12000</v>
      </c>
      <c r="I333">
        <v>0</v>
      </c>
      <c r="J333" s="21">
        <v>45505</v>
      </c>
      <c r="K333" s="7" t="s">
        <v>67</v>
      </c>
      <c r="L333" t="s">
        <v>9</v>
      </c>
      <c r="M333" t="s">
        <v>9</v>
      </c>
      <c r="N333" t="s">
        <v>586</v>
      </c>
      <c r="O333">
        <v>2400</v>
      </c>
      <c r="S333" t="str">
        <f>TEXT(Table1[[#This Row],[Date]],"MMM-YY")</f>
        <v>Feb-24</v>
      </c>
      <c r="T333">
        <f>_xlfn.ISOWEEKNUM(Table1[[#This Row],[Date]])</f>
        <v>8</v>
      </c>
      <c r="U333" t="str">
        <f>TEXT(Table1[[#This Row],[Expected Business Month]],"YYYY")</f>
        <v>2024</v>
      </c>
    </row>
    <row r="334" spans="1:21" hidden="1">
      <c r="A334" s="1">
        <v>45341</v>
      </c>
      <c r="B334" t="s">
        <v>1479</v>
      </c>
      <c r="C334" t="s">
        <v>96</v>
      </c>
      <c r="D334" t="s">
        <v>20</v>
      </c>
      <c r="E334" t="s">
        <v>23</v>
      </c>
      <c r="F334" t="s">
        <v>1480</v>
      </c>
      <c r="G334" s="9" t="s">
        <v>1481</v>
      </c>
      <c r="H334">
        <v>10500</v>
      </c>
      <c r="I334">
        <v>0</v>
      </c>
      <c r="J334" s="21">
        <v>45323</v>
      </c>
      <c r="K334" s="7" t="s">
        <v>67</v>
      </c>
      <c r="L334" t="s">
        <v>9</v>
      </c>
      <c r="M334" t="s">
        <v>9</v>
      </c>
      <c r="N334" t="s">
        <v>822</v>
      </c>
      <c r="O334">
        <v>2100</v>
      </c>
      <c r="S334" t="str">
        <f>TEXT(Table1[[#This Row],[Date]],"MMM-YY")</f>
        <v>Feb-24</v>
      </c>
      <c r="T334">
        <f>_xlfn.ISOWEEKNUM(Table1[[#This Row],[Date]])</f>
        <v>8</v>
      </c>
      <c r="U334" t="str">
        <f>TEXT(Table1[[#This Row],[Expected Business Month]],"YYYY")</f>
        <v>2024</v>
      </c>
    </row>
    <row r="335" spans="1:21" hidden="1">
      <c r="A335" s="1">
        <v>45341</v>
      </c>
      <c r="B335" t="s">
        <v>324</v>
      </c>
      <c r="C335" t="s">
        <v>96</v>
      </c>
      <c r="D335" t="s">
        <v>64</v>
      </c>
      <c r="E335" t="s">
        <v>38</v>
      </c>
      <c r="F335" t="s">
        <v>325</v>
      </c>
      <c r="G335" s="9" t="s">
        <v>1482</v>
      </c>
      <c r="H335">
        <v>39300</v>
      </c>
      <c r="I335">
        <v>39300</v>
      </c>
      <c r="J335" s="21">
        <v>45323</v>
      </c>
      <c r="K335" s="7" t="s">
        <v>99</v>
      </c>
      <c r="L335" t="s">
        <v>68</v>
      </c>
      <c r="M335" t="s">
        <v>69</v>
      </c>
      <c r="O335">
        <v>0</v>
      </c>
      <c r="S335" t="str">
        <f>TEXT(Table1[[#This Row],[Date]],"MMM-YY")</f>
        <v>Feb-24</v>
      </c>
      <c r="T335">
        <f>_xlfn.ISOWEEKNUM(Table1[[#This Row],[Date]])</f>
        <v>8</v>
      </c>
      <c r="U335" t="str">
        <f>TEXT(Table1[[#This Row],[Expected Business Month]],"YYYY")</f>
        <v>2024</v>
      </c>
    </row>
    <row r="336" spans="1:21" ht="29.1" hidden="1">
      <c r="A336" s="1">
        <v>45342</v>
      </c>
      <c r="B336" t="s">
        <v>1483</v>
      </c>
      <c r="C336" t="s">
        <v>96</v>
      </c>
      <c r="D336" t="s">
        <v>20</v>
      </c>
      <c r="E336" t="s">
        <v>23</v>
      </c>
      <c r="F336" t="s">
        <v>196</v>
      </c>
      <c r="G336" s="9" t="s">
        <v>1484</v>
      </c>
      <c r="H336">
        <v>23000</v>
      </c>
      <c r="I336">
        <v>0</v>
      </c>
      <c r="J336" s="21">
        <v>45352</v>
      </c>
      <c r="K336" s="7" t="s">
        <v>67</v>
      </c>
      <c r="L336" t="s">
        <v>9</v>
      </c>
      <c r="M336" t="s">
        <v>9</v>
      </c>
      <c r="N336" t="s">
        <v>831</v>
      </c>
      <c r="O336">
        <v>4600</v>
      </c>
      <c r="S336" t="str">
        <f>TEXT(Table1[[#This Row],[Date]],"MMM-YY")</f>
        <v>Feb-24</v>
      </c>
      <c r="T336">
        <f>_xlfn.ISOWEEKNUM(Table1[[#This Row],[Date]])</f>
        <v>8</v>
      </c>
      <c r="U336" t="str">
        <f>TEXT(Table1[[#This Row],[Expected Business Month]],"YYYY")</f>
        <v>2024</v>
      </c>
    </row>
    <row r="337" spans="1:21" hidden="1">
      <c r="A337" s="1">
        <v>45342</v>
      </c>
      <c r="B337" t="s">
        <v>1485</v>
      </c>
      <c r="C337" t="s">
        <v>63</v>
      </c>
      <c r="D337" t="s">
        <v>64</v>
      </c>
      <c r="E337" t="s">
        <v>25</v>
      </c>
      <c r="F337" t="s">
        <v>269</v>
      </c>
      <c r="G337" s="9" t="s">
        <v>1291</v>
      </c>
      <c r="H337">
        <v>10000</v>
      </c>
      <c r="I337">
        <v>0</v>
      </c>
      <c r="J337" s="21">
        <v>45383</v>
      </c>
      <c r="K337" s="7" t="s">
        <v>67</v>
      </c>
      <c r="L337" t="s">
        <v>9</v>
      </c>
      <c r="M337" t="s">
        <v>9</v>
      </c>
      <c r="N337" t="s">
        <v>586</v>
      </c>
      <c r="O337">
        <v>2000</v>
      </c>
      <c r="S337" t="str">
        <f>TEXT(Table1[[#This Row],[Date]],"MMM-YY")</f>
        <v>Feb-24</v>
      </c>
      <c r="T337">
        <f>_xlfn.ISOWEEKNUM(Table1[[#This Row],[Date]])</f>
        <v>8</v>
      </c>
      <c r="U337" t="str">
        <f>TEXT(Table1[[#This Row],[Expected Business Month]],"YYYY")</f>
        <v>2024</v>
      </c>
    </row>
    <row r="338" spans="1:21" hidden="1">
      <c r="A338" s="1">
        <v>45342</v>
      </c>
      <c r="B338" t="s">
        <v>1486</v>
      </c>
      <c r="C338" t="s">
        <v>63</v>
      </c>
      <c r="D338" t="s">
        <v>64</v>
      </c>
      <c r="E338" t="s">
        <v>26</v>
      </c>
      <c r="F338" t="s">
        <v>1487</v>
      </c>
      <c r="G338" s="9" t="s">
        <v>1291</v>
      </c>
      <c r="H338">
        <v>12000</v>
      </c>
      <c r="I338">
        <v>0</v>
      </c>
      <c r="J338" s="21">
        <v>45352</v>
      </c>
      <c r="K338" s="7" t="s">
        <v>67</v>
      </c>
      <c r="L338" t="s">
        <v>9</v>
      </c>
      <c r="M338" t="s">
        <v>9</v>
      </c>
      <c r="N338" t="s">
        <v>831</v>
      </c>
      <c r="O338">
        <v>2400</v>
      </c>
      <c r="S338" t="str">
        <f>TEXT(Table1[[#This Row],[Date]],"MMM-YY")</f>
        <v>Feb-24</v>
      </c>
      <c r="T338">
        <f>_xlfn.ISOWEEKNUM(Table1[[#This Row],[Date]])</f>
        <v>8</v>
      </c>
      <c r="U338" t="str">
        <f>TEXT(Table1[[#This Row],[Expected Business Month]],"YYYY")</f>
        <v>2024</v>
      </c>
    </row>
    <row r="339" spans="1:21" hidden="1">
      <c r="A339" s="1">
        <v>45342</v>
      </c>
      <c r="B339" t="s">
        <v>1488</v>
      </c>
      <c r="C339" t="s">
        <v>63</v>
      </c>
      <c r="D339" t="s">
        <v>64</v>
      </c>
      <c r="E339" t="s">
        <v>25</v>
      </c>
      <c r="F339" t="s">
        <v>1489</v>
      </c>
      <c r="G339" s="9" t="s">
        <v>1490</v>
      </c>
      <c r="H339">
        <v>15000</v>
      </c>
      <c r="I339">
        <v>0</v>
      </c>
      <c r="J339" s="21">
        <v>45444</v>
      </c>
      <c r="K339" s="7" t="s">
        <v>67</v>
      </c>
      <c r="L339" t="s">
        <v>9</v>
      </c>
      <c r="M339" t="s">
        <v>9</v>
      </c>
      <c r="N339" t="s">
        <v>602</v>
      </c>
      <c r="O339">
        <v>3000</v>
      </c>
      <c r="S339" t="str">
        <f>TEXT(Table1[[#This Row],[Date]],"MMM-YY")</f>
        <v>Feb-24</v>
      </c>
      <c r="T339">
        <f>_xlfn.ISOWEEKNUM(Table1[[#This Row],[Date]])</f>
        <v>8</v>
      </c>
      <c r="U339" t="str">
        <f>TEXT(Table1[[#This Row],[Expected Business Month]],"YYYY")</f>
        <v>2024</v>
      </c>
    </row>
    <row r="340" spans="1:21" hidden="1">
      <c r="A340" s="1">
        <v>45343</v>
      </c>
      <c r="B340" t="s">
        <v>1491</v>
      </c>
      <c r="C340" t="s">
        <v>63</v>
      </c>
      <c r="D340" t="s">
        <v>64</v>
      </c>
      <c r="E340" t="s">
        <v>25</v>
      </c>
      <c r="F340" t="s">
        <v>1492</v>
      </c>
      <c r="G340" s="9" t="s">
        <v>1493</v>
      </c>
      <c r="H340">
        <v>10000</v>
      </c>
      <c r="I340">
        <v>0</v>
      </c>
      <c r="J340" s="21">
        <v>45444</v>
      </c>
      <c r="K340" s="7" t="s">
        <v>67</v>
      </c>
      <c r="L340" t="s">
        <v>9</v>
      </c>
      <c r="M340" t="s">
        <v>9</v>
      </c>
      <c r="N340" t="s">
        <v>602</v>
      </c>
      <c r="O340">
        <v>2000</v>
      </c>
      <c r="S340" t="str">
        <f>TEXT(Table1[[#This Row],[Date]],"MMM-YY")</f>
        <v>Feb-24</v>
      </c>
      <c r="T340">
        <f>_xlfn.ISOWEEKNUM(Table1[[#This Row],[Date]])</f>
        <v>8</v>
      </c>
      <c r="U340" t="str">
        <f>TEXT(Table1[[#This Row],[Expected Business Month]],"YYYY")</f>
        <v>2024</v>
      </c>
    </row>
    <row r="341" spans="1:21" ht="29.1" hidden="1">
      <c r="A341" s="1">
        <v>45343</v>
      </c>
      <c r="B341" t="s">
        <v>1494</v>
      </c>
      <c r="C341" t="s">
        <v>63</v>
      </c>
      <c r="D341" t="s">
        <v>64</v>
      </c>
      <c r="E341" t="s">
        <v>26</v>
      </c>
      <c r="F341" t="s">
        <v>1495</v>
      </c>
      <c r="G341" s="9" t="s">
        <v>1496</v>
      </c>
      <c r="H341">
        <v>15000</v>
      </c>
      <c r="I341">
        <v>0</v>
      </c>
      <c r="J341" s="21">
        <v>45505</v>
      </c>
      <c r="K341" s="7" t="s">
        <v>67</v>
      </c>
      <c r="L341" t="s">
        <v>9</v>
      </c>
      <c r="M341" t="s">
        <v>9</v>
      </c>
      <c r="N341" t="s">
        <v>586</v>
      </c>
      <c r="O341">
        <v>3000</v>
      </c>
      <c r="S341" t="str">
        <f>TEXT(Table1[[#This Row],[Date]],"MMM-YY")</f>
        <v>Feb-24</v>
      </c>
      <c r="T341">
        <f>_xlfn.ISOWEEKNUM(Table1[[#This Row],[Date]])</f>
        <v>8</v>
      </c>
      <c r="U341" t="str">
        <f>TEXT(Table1[[#This Row],[Expected Business Month]],"YYYY")</f>
        <v>2024</v>
      </c>
    </row>
    <row r="342" spans="1:21" ht="29.1" hidden="1">
      <c r="A342" s="1">
        <v>45343</v>
      </c>
      <c r="B342" t="s">
        <v>1497</v>
      </c>
      <c r="C342" t="s">
        <v>96</v>
      </c>
      <c r="D342" t="s">
        <v>64</v>
      </c>
      <c r="E342" t="s">
        <v>19</v>
      </c>
      <c r="F342" t="s">
        <v>993</v>
      </c>
      <c r="G342" s="9" t="s">
        <v>1498</v>
      </c>
      <c r="H342">
        <v>100000</v>
      </c>
      <c r="I342">
        <v>0</v>
      </c>
      <c r="J342" s="21">
        <v>45352</v>
      </c>
      <c r="K342" s="7" t="s">
        <v>67</v>
      </c>
      <c r="L342" t="s">
        <v>9</v>
      </c>
      <c r="M342" t="s">
        <v>9</v>
      </c>
      <c r="N342" t="s">
        <v>1499</v>
      </c>
      <c r="O342">
        <v>100000</v>
      </c>
      <c r="S342" t="str">
        <f>TEXT(Table1[[#This Row],[Date]],"MMM-YY")</f>
        <v>Feb-24</v>
      </c>
      <c r="T342">
        <f>_xlfn.ISOWEEKNUM(Table1[[#This Row],[Date]])</f>
        <v>8</v>
      </c>
      <c r="U342" t="str">
        <f>TEXT(Table1[[#This Row],[Expected Business Month]],"YYYY")</f>
        <v>2024</v>
      </c>
    </row>
    <row r="343" spans="1:21" ht="29.1" hidden="1">
      <c r="A343" s="1">
        <v>45343</v>
      </c>
      <c r="B343" t="s">
        <v>1500</v>
      </c>
      <c r="C343" t="s">
        <v>63</v>
      </c>
      <c r="D343" t="s">
        <v>64</v>
      </c>
      <c r="E343" t="s">
        <v>26</v>
      </c>
      <c r="F343" t="s">
        <v>1501</v>
      </c>
      <c r="G343" s="9" t="s">
        <v>1502</v>
      </c>
      <c r="H343">
        <v>20000</v>
      </c>
      <c r="I343">
        <v>0</v>
      </c>
      <c r="J343" s="21">
        <v>45352</v>
      </c>
      <c r="K343" s="7" t="s">
        <v>67</v>
      </c>
      <c r="L343" t="s">
        <v>9</v>
      </c>
      <c r="M343" t="s">
        <v>9</v>
      </c>
      <c r="N343" t="s">
        <v>1503</v>
      </c>
      <c r="O343">
        <v>4000</v>
      </c>
      <c r="S343" t="str">
        <f>TEXT(Table1[[#This Row],[Date]],"MMM-YY")</f>
        <v>Feb-24</v>
      </c>
      <c r="T343">
        <f>_xlfn.ISOWEEKNUM(Table1[[#This Row],[Date]])</f>
        <v>8</v>
      </c>
      <c r="U343" t="str">
        <f>TEXT(Table1[[#This Row],[Expected Business Month]],"YYYY")</f>
        <v>2024</v>
      </c>
    </row>
    <row r="344" spans="1:21" hidden="1">
      <c r="A344" s="1">
        <v>45343</v>
      </c>
      <c r="B344" t="s">
        <v>1504</v>
      </c>
      <c r="C344" t="s">
        <v>96</v>
      </c>
      <c r="D344" t="s">
        <v>20</v>
      </c>
      <c r="E344" t="s">
        <v>23</v>
      </c>
      <c r="F344" t="s">
        <v>80</v>
      </c>
      <c r="G344" s="9" t="s">
        <v>1505</v>
      </c>
      <c r="H344">
        <v>10500</v>
      </c>
      <c r="I344">
        <v>0</v>
      </c>
      <c r="J344" s="21">
        <v>45323</v>
      </c>
      <c r="K344" s="6" t="s">
        <v>67</v>
      </c>
      <c r="L344" t="s">
        <v>9</v>
      </c>
      <c r="M344" t="s">
        <v>9</v>
      </c>
      <c r="N344" t="s">
        <v>822</v>
      </c>
      <c r="O344">
        <v>2100</v>
      </c>
      <c r="S344" t="str">
        <f>TEXT(Table1[[#This Row],[Date]],"MMM-YY")</f>
        <v>Feb-24</v>
      </c>
      <c r="T344">
        <f>_xlfn.ISOWEEKNUM(Table1[[#This Row],[Date]])</f>
        <v>8</v>
      </c>
      <c r="U344" t="str">
        <f>TEXT(Table1[[#This Row],[Expected Business Month]],"YYYY")</f>
        <v>2024</v>
      </c>
    </row>
    <row r="345" spans="1:21" hidden="1">
      <c r="A345" s="1">
        <v>45343</v>
      </c>
      <c r="B345" t="s">
        <v>1506</v>
      </c>
      <c r="C345" t="s">
        <v>96</v>
      </c>
      <c r="D345" t="s">
        <v>64</v>
      </c>
      <c r="E345" t="s">
        <v>20</v>
      </c>
      <c r="F345" t="s">
        <v>1507</v>
      </c>
      <c r="G345" s="9" t="s">
        <v>1508</v>
      </c>
      <c r="H345">
        <v>8000</v>
      </c>
      <c r="I345">
        <v>0</v>
      </c>
      <c r="J345" s="21">
        <v>45323</v>
      </c>
      <c r="K345" s="6" t="s">
        <v>67</v>
      </c>
      <c r="L345" t="s">
        <v>9</v>
      </c>
      <c r="M345" t="s">
        <v>9</v>
      </c>
      <c r="N345" t="s">
        <v>831</v>
      </c>
      <c r="O345">
        <v>1600</v>
      </c>
      <c r="S345" t="str">
        <f>TEXT(Table1[[#This Row],[Date]],"MMM-YY")</f>
        <v>Feb-24</v>
      </c>
      <c r="T345">
        <f>_xlfn.ISOWEEKNUM(Table1[[#This Row],[Date]])</f>
        <v>8</v>
      </c>
      <c r="U345" t="str">
        <f>TEXT(Table1[[#This Row],[Expected Business Month]],"YYYY")</f>
        <v>2024</v>
      </c>
    </row>
    <row r="346" spans="1:21" hidden="1">
      <c r="A346" s="1">
        <v>45344</v>
      </c>
      <c r="B346" t="s">
        <v>1509</v>
      </c>
      <c r="C346" t="s">
        <v>63</v>
      </c>
      <c r="D346" t="s">
        <v>105</v>
      </c>
      <c r="E346" t="s">
        <v>18</v>
      </c>
      <c r="F346" t="s">
        <v>1510</v>
      </c>
      <c r="G346" s="9" t="s">
        <v>1291</v>
      </c>
      <c r="H346">
        <v>7000</v>
      </c>
      <c r="I346">
        <v>0</v>
      </c>
      <c r="J346" s="21">
        <v>45383</v>
      </c>
      <c r="K346" s="7" t="s">
        <v>67</v>
      </c>
      <c r="L346" t="s">
        <v>9</v>
      </c>
      <c r="M346" t="s">
        <v>9</v>
      </c>
      <c r="N346" t="s">
        <v>1511</v>
      </c>
      <c r="O346">
        <v>0</v>
      </c>
      <c r="S346" t="str">
        <f>TEXT(Table1[[#This Row],[Date]],"MMM-YY")</f>
        <v>Feb-24</v>
      </c>
      <c r="T346">
        <f>_xlfn.ISOWEEKNUM(Table1[[#This Row],[Date]])</f>
        <v>8</v>
      </c>
      <c r="U346" t="str">
        <f>TEXT(Table1[[#This Row],[Expected Business Month]],"YYYY")</f>
        <v>2024</v>
      </c>
    </row>
    <row r="347" spans="1:21" ht="29.1" hidden="1">
      <c r="A347" s="1">
        <v>45344</v>
      </c>
      <c r="B347" t="s">
        <v>1512</v>
      </c>
      <c r="C347" t="s">
        <v>63</v>
      </c>
      <c r="D347" t="s">
        <v>64</v>
      </c>
      <c r="E347" t="s">
        <v>28</v>
      </c>
      <c r="F347" t="s">
        <v>1513</v>
      </c>
      <c r="G347" s="9" t="s">
        <v>1496</v>
      </c>
      <c r="H347">
        <v>15000</v>
      </c>
      <c r="I347">
        <v>0</v>
      </c>
      <c r="J347" s="21">
        <v>45505</v>
      </c>
      <c r="K347" s="7" t="s">
        <v>67</v>
      </c>
      <c r="L347" t="s">
        <v>9</v>
      </c>
      <c r="M347" t="s">
        <v>9</v>
      </c>
      <c r="N347" t="s">
        <v>586</v>
      </c>
      <c r="O347">
        <v>3000</v>
      </c>
      <c r="S347" t="str">
        <f>TEXT(Table1[[#This Row],[Date]],"MMM-YY")</f>
        <v>Feb-24</v>
      </c>
      <c r="T347">
        <f>_xlfn.ISOWEEKNUM(Table1[[#This Row],[Date]])</f>
        <v>8</v>
      </c>
      <c r="U347" t="str">
        <f>TEXT(Table1[[#This Row],[Expected Business Month]],"YYYY")</f>
        <v>2024</v>
      </c>
    </row>
    <row r="348" spans="1:21" hidden="1">
      <c r="A348" s="1">
        <v>45345</v>
      </c>
      <c r="B348" t="s">
        <v>1514</v>
      </c>
      <c r="C348" t="s">
        <v>96</v>
      </c>
      <c r="D348" t="s">
        <v>20</v>
      </c>
      <c r="E348" t="s">
        <v>16</v>
      </c>
      <c r="F348" t="s">
        <v>1515</v>
      </c>
      <c r="G348" s="9" t="s">
        <v>1516</v>
      </c>
      <c r="H348">
        <v>91389</v>
      </c>
      <c r="I348">
        <v>91389</v>
      </c>
      <c r="J348" s="21">
        <v>45323</v>
      </c>
      <c r="K348" s="7" t="s">
        <v>67</v>
      </c>
      <c r="L348" t="s">
        <v>68</v>
      </c>
      <c r="M348" t="s">
        <v>69</v>
      </c>
      <c r="O348">
        <v>18277.8</v>
      </c>
      <c r="S348" t="str">
        <f>TEXT(Table1[[#This Row],[Date]],"MMM-YY")</f>
        <v>Feb-24</v>
      </c>
      <c r="T348">
        <f>_xlfn.ISOWEEKNUM(Table1[[#This Row],[Date]])</f>
        <v>8</v>
      </c>
      <c r="U348" t="str">
        <f>TEXT(Table1[[#This Row],[Expected Business Month]],"YYYY")</f>
        <v>2024</v>
      </c>
    </row>
    <row r="349" spans="1:21" hidden="1">
      <c r="A349" s="1">
        <v>45345</v>
      </c>
      <c r="B349" t="s">
        <v>132</v>
      </c>
      <c r="C349" t="s">
        <v>96</v>
      </c>
      <c r="D349" t="s">
        <v>20</v>
      </c>
      <c r="E349" t="s">
        <v>23</v>
      </c>
      <c r="F349" t="s">
        <v>1517</v>
      </c>
      <c r="G349" s="9" t="s">
        <v>1518</v>
      </c>
      <c r="H349">
        <v>5100</v>
      </c>
      <c r="I349">
        <v>5100</v>
      </c>
      <c r="J349" s="21">
        <v>45323</v>
      </c>
      <c r="K349" s="7" t="s">
        <v>67</v>
      </c>
      <c r="L349" t="s">
        <v>68</v>
      </c>
      <c r="M349" t="s">
        <v>69</v>
      </c>
      <c r="O349">
        <v>1020</v>
      </c>
      <c r="S349" t="str">
        <f>TEXT(Table1[[#This Row],[Date]],"MMM-YY")</f>
        <v>Feb-24</v>
      </c>
      <c r="T349">
        <f>_xlfn.ISOWEEKNUM(Table1[[#This Row],[Date]])</f>
        <v>8</v>
      </c>
      <c r="U349" t="str">
        <f>TEXT(Table1[[#This Row],[Expected Business Month]],"YYYY")</f>
        <v>2024</v>
      </c>
    </row>
    <row r="350" spans="1:21" ht="29.1" hidden="1">
      <c r="A350" s="1">
        <v>45345</v>
      </c>
      <c r="B350" t="s">
        <v>1519</v>
      </c>
      <c r="C350" t="s">
        <v>63</v>
      </c>
      <c r="D350" t="s">
        <v>64</v>
      </c>
      <c r="E350" t="s">
        <v>16</v>
      </c>
      <c r="F350" t="s">
        <v>1520</v>
      </c>
      <c r="G350" s="9" t="s">
        <v>1521</v>
      </c>
      <c r="H350">
        <v>12000</v>
      </c>
      <c r="I350">
        <v>0</v>
      </c>
      <c r="J350" s="21">
        <v>45505</v>
      </c>
      <c r="K350" s="7" t="s">
        <v>67</v>
      </c>
      <c r="L350" t="s">
        <v>9</v>
      </c>
      <c r="M350" t="s">
        <v>9</v>
      </c>
      <c r="N350" t="s">
        <v>586</v>
      </c>
      <c r="O350">
        <v>2400</v>
      </c>
      <c r="S350" t="str">
        <f>TEXT(Table1[[#This Row],[Date]],"MMM-YY")</f>
        <v>Feb-24</v>
      </c>
      <c r="T350">
        <f>_xlfn.ISOWEEKNUM(Table1[[#This Row],[Date]])</f>
        <v>8</v>
      </c>
      <c r="U350" t="str">
        <f>TEXT(Table1[[#This Row],[Expected Business Month]],"YYYY")</f>
        <v>2024</v>
      </c>
    </row>
    <row r="351" spans="1:21" hidden="1">
      <c r="A351" s="1">
        <v>45348</v>
      </c>
      <c r="B351" t="s">
        <v>1522</v>
      </c>
      <c r="C351" t="s">
        <v>96</v>
      </c>
      <c r="D351" t="s">
        <v>64</v>
      </c>
      <c r="E351" t="s">
        <v>28</v>
      </c>
      <c r="F351" t="s">
        <v>1523</v>
      </c>
      <c r="G351" s="9" t="s">
        <v>1524</v>
      </c>
      <c r="H351">
        <v>2600000</v>
      </c>
      <c r="I351">
        <v>2600000</v>
      </c>
      <c r="J351" s="21">
        <v>45444</v>
      </c>
      <c r="K351" s="7" t="s">
        <v>67</v>
      </c>
      <c r="L351" t="s">
        <v>68</v>
      </c>
      <c r="M351" t="s">
        <v>69</v>
      </c>
      <c r="O351">
        <v>0</v>
      </c>
      <c r="S351" t="str">
        <f>TEXT(Table1[[#This Row],[Date]],"MMM-YY")</f>
        <v>Feb-24</v>
      </c>
      <c r="T351">
        <f>_xlfn.ISOWEEKNUM(Table1[[#This Row],[Date]])</f>
        <v>9</v>
      </c>
      <c r="U351" t="str">
        <f>TEXT(Table1[[#This Row],[Expected Business Month]],"YYYY")</f>
        <v>2024</v>
      </c>
    </row>
    <row r="352" spans="1:21" hidden="1">
      <c r="A352" s="1">
        <v>45348</v>
      </c>
      <c r="B352" t="s">
        <v>1410</v>
      </c>
      <c r="C352" t="s">
        <v>96</v>
      </c>
      <c r="D352" t="s">
        <v>64</v>
      </c>
      <c r="E352" t="s">
        <v>33</v>
      </c>
      <c r="F352" t="s">
        <v>1411</v>
      </c>
      <c r="G352" s="9" t="s">
        <v>1525</v>
      </c>
      <c r="H352">
        <v>0</v>
      </c>
      <c r="I352">
        <v>0</v>
      </c>
      <c r="J352" s="21">
        <v>45352</v>
      </c>
      <c r="K352" s="7" t="s">
        <v>67</v>
      </c>
      <c r="L352" t="s">
        <v>68</v>
      </c>
      <c r="M352" t="s">
        <v>69</v>
      </c>
      <c r="N352" t="s">
        <v>1526</v>
      </c>
      <c r="O352">
        <v>0</v>
      </c>
      <c r="S352" t="str">
        <f>TEXT(Table1[[#This Row],[Date]],"MMM-YY")</f>
        <v>Feb-24</v>
      </c>
      <c r="T352">
        <f>_xlfn.ISOWEEKNUM(Table1[[#This Row],[Date]])</f>
        <v>9</v>
      </c>
      <c r="U352" t="str">
        <f>TEXT(Table1[[#This Row],[Expected Business Month]],"YYYY")</f>
        <v>2024</v>
      </c>
    </row>
    <row r="353" spans="1:21" hidden="1">
      <c r="A353" s="1">
        <v>45348</v>
      </c>
      <c r="B353" t="s">
        <v>1527</v>
      </c>
      <c r="C353" t="s">
        <v>63</v>
      </c>
      <c r="D353" t="s">
        <v>64</v>
      </c>
      <c r="E353" t="s">
        <v>14</v>
      </c>
      <c r="F353" t="s">
        <v>1528</v>
      </c>
      <c r="G353" s="9" t="s">
        <v>1529</v>
      </c>
      <c r="H353">
        <v>100000</v>
      </c>
      <c r="I353">
        <v>0</v>
      </c>
      <c r="J353" s="21">
        <v>45352</v>
      </c>
      <c r="K353" s="7" t="s">
        <v>67</v>
      </c>
      <c r="L353" t="s">
        <v>9</v>
      </c>
      <c r="M353" t="s">
        <v>9</v>
      </c>
      <c r="N353" t="s">
        <v>1530</v>
      </c>
      <c r="O353">
        <v>20000</v>
      </c>
      <c r="S353" t="str">
        <f>TEXT(Table1[[#This Row],[Date]],"MMM-YY")</f>
        <v>Feb-24</v>
      </c>
      <c r="T353">
        <f>_xlfn.ISOWEEKNUM(Table1[[#This Row],[Date]])</f>
        <v>9</v>
      </c>
      <c r="U353" t="str">
        <f>TEXT(Table1[[#This Row],[Expected Business Month]],"YYYY")</f>
        <v>2024</v>
      </c>
    </row>
    <row r="354" spans="1:21" hidden="1">
      <c r="A354" s="1">
        <v>45348</v>
      </c>
      <c r="B354" t="s">
        <v>1531</v>
      </c>
      <c r="C354" t="s">
        <v>63</v>
      </c>
      <c r="D354" t="s">
        <v>64</v>
      </c>
      <c r="E354" t="s">
        <v>13</v>
      </c>
      <c r="F354" t="s">
        <v>1335</v>
      </c>
      <c r="G354" s="9" t="s">
        <v>1532</v>
      </c>
      <c r="H354">
        <v>20000</v>
      </c>
      <c r="I354">
        <v>0</v>
      </c>
      <c r="J354" s="21">
        <v>45383</v>
      </c>
      <c r="K354" s="7" t="s">
        <v>67</v>
      </c>
      <c r="L354" t="s">
        <v>9</v>
      </c>
      <c r="M354" t="s">
        <v>9</v>
      </c>
      <c r="N354" t="s">
        <v>586</v>
      </c>
      <c r="O354">
        <v>4000</v>
      </c>
      <c r="S354" t="str">
        <f>TEXT(Table1[[#This Row],[Date]],"MMM-YY")</f>
        <v>Feb-24</v>
      </c>
      <c r="T354">
        <f>_xlfn.ISOWEEKNUM(Table1[[#This Row],[Date]])</f>
        <v>9</v>
      </c>
      <c r="U354" t="str">
        <f>TEXT(Table1[[#This Row],[Expected Business Month]],"YYYY")</f>
        <v>2024</v>
      </c>
    </row>
    <row r="355" spans="1:21" hidden="1">
      <c r="A355" s="1">
        <v>45349</v>
      </c>
      <c r="B355" t="s">
        <v>1323</v>
      </c>
      <c r="C355" t="s">
        <v>96</v>
      </c>
      <c r="D355" t="s">
        <v>20</v>
      </c>
      <c r="E355" t="s">
        <v>23</v>
      </c>
      <c r="F355" t="s">
        <v>1533</v>
      </c>
      <c r="G355" s="9" t="s">
        <v>1534</v>
      </c>
      <c r="H355">
        <v>9500</v>
      </c>
      <c r="I355">
        <v>9500</v>
      </c>
      <c r="J355" s="21">
        <v>45323</v>
      </c>
      <c r="K355" s="7" t="s">
        <v>67</v>
      </c>
      <c r="L355" t="s">
        <v>68</v>
      </c>
      <c r="M355" t="s">
        <v>69</v>
      </c>
      <c r="O355">
        <v>1900</v>
      </c>
      <c r="S355" t="str">
        <f>TEXT(Table1[[#This Row],[Date]],"MMM-YY")</f>
        <v>Feb-24</v>
      </c>
      <c r="T355">
        <f>_xlfn.ISOWEEKNUM(Table1[[#This Row],[Date]])</f>
        <v>9</v>
      </c>
      <c r="U355" t="str">
        <f>TEXT(Table1[[#This Row],[Expected Business Month]],"YYYY")</f>
        <v>2024</v>
      </c>
    </row>
    <row r="356" spans="1:21" ht="29.1" hidden="1">
      <c r="A356" s="1">
        <v>45349</v>
      </c>
      <c r="B356" t="s">
        <v>324</v>
      </c>
      <c r="C356" t="s">
        <v>96</v>
      </c>
      <c r="D356" t="s">
        <v>64</v>
      </c>
      <c r="E356" t="s">
        <v>38</v>
      </c>
      <c r="F356" t="s">
        <v>325</v>
      </c>
      <c r="G356" s="9" t="s">
        <v>1535</v>
      </c>
      <c r="H356">
        <v>42686</v>
      </c>
      <c r="I356">
        <v>42686</v>
      </c>
      <c r="J356" s="21">
        <v>45323</v>
      </c>
      <c r="K356" s="7" t="s">
        <v>99</v>
      </c>
      <c r="L356" t="s">
        <v>68</v>
      </c>
      <c r="M356" t="s">
        <v>69</v>
      </c>
      <c r="O356">
        <v>0</v>
      </c>
      <c r="S356" t="str">
        <f>TEXT(Table1[[#This Row],[Date]],"MMM-YY")</f>
        <v>Feb-24</v>
      </c>
      <c r="T356">
        <f>_xlfn.ISOWEEKNUM(Table1[[#This Row],[Date]])</f>
        <v>9</v>
      </c>
      <c r="U356" t="str">
        <f>TEXT(Table1[[#This Row],[Expected Business Month]],"YYYY")</f>
        <v>2024</v>
      </c>
    </row>
    <row r="357" spans="1:21" hidden="1">
      <c r="A357" s="1">
        <v>45350</v>
      </c>
      <c r="B357" t="s">
        <v>1536</v>
      </c>
      <c r="C357" t="s">
        <v>96</v>
      </c>
      <c r="D357" t="s">
        <v>64</v>
      </c>
      <c r="E357" t="s">
        <v>26</v>
      </c>
      <c r="F357" t="s">
        <v>1537</v>
      </c>
      <c r="G357" s="9" t="s">
        <v>1538</v>
      </c>
      <c r="H357">
        <v>17643</v>
      </c>
      <c r="I357">
        <v>17643</v>
      </c>
      <c r="J357" s="21">
        <v>45323</v>
      </c>
      <c r="K357" s="7" t="s">
        <v>99</v>
      </c>
      <c r="L357" t="s">
        <v>68</v>
      </c>
      <c r="M357" t="s">
        <v>69</v>
      </c>
      <c r="O357">
        <v>3528.6000000000004</v>
      </c>
      <c r="S357" t="str">
        <f>TEXT(Table1[[#This Row],[Date]],"MMM-YY")</f>
        <v>Feb-24</v>
      </c>
      <c r="T357">
        <f>_xlfn.ISOWEEKNUM(Table1[[#This Row],[Date]])</f>
        <v>9</v>
      </c>
      <c r="U357" t="str">
        <f>TEXT(Table1[[#This Row],[Expected Business Month]],"YYYY")</f>
        <v>2024</v>
      </c>
    </row>
    <row r="358" spans="1:21" hidden="1">
      <c r="A358" s="1">
        <v>45350</v>
      </c>
      <c r="B358" t="s">
        <v>1539</v>
      </c>
      <c r="C358" t="s">
        <v>96</v>
      </c>
      <c r="D358" t="s">
        <v>20</v>
      </c>
      <c r="E358" t="s">
        <v>23</v>
      </c>
      <c r="G358" s="9" t="s">
        <v>1540</v>
      </c>
      <c r="H358">
        <v>10500</v>
      </c>
      <c r="I358">
        <v>0</v>
      </c>
      <c r="J358" s="21">
        <v>45352</v>
      </c>
      <c r="K358" s="7" t="s">
        <v>67</v>
      </c>
      <c r="L358" t="s">
        <v>9</v>
      </c>
      <c r="M358" t="s">
        <v>9</v>
      </c>
      <c r="N358" t="s">
        <v>831</v>
      </c>
      <c r="O358">
        <v>2100</v>
      </c>
      <c r="S358" t="str">
        <f>TEXT(Table1[[#This Row],[Date]],"MMM-YY")</f>
        <v>Feb-24</v>
      </c>
      <c r="T358">
        <f>_xlfn.ISOWEEKNUM(Table1[[#This Row],[Date]])</f>
        <v>9</v>
      </c>
      <c r="U358" t="str">
        <f>TEXT(Table1[[#This Row],[Expected Business Month]],"YYYY")</f>
        <v>2024</v>
      </c>
    </row>
    <row r="359" spans="1:21" hidden="1">
      <c r="A359" s="1">
        <v>45351</v>
      </c>
      <c r="B359" t="s">
        <v>382</v>
      </c>
      <c r="C359" t="s">
        <v>63</v>
      </c>
      <c r="D359" t="s">
        <v>64</v>
      </c>
      <c r="E359" t="s">
        <v>28</v>
      </c>
      <c r="F359" t="s">
        <v>1541</v>
      </c>
      <c r="G359" s="9" t="s">
        <v>1542</v>
      </c>
      <c r="H359">
        <v>30000</v>
      </c>
      <c r="I359">
        <v>0</v>
      </c>
      <c r="J359" s="21">
        <v>45505</v>
      </c>
      <c r="K359" s="7" t="s">
        <v>67</v>
      </c>
      <c r="L359" t="s">
        <v>9</v>
      </c>
      <c r="M359" t="s">
        <v>9</v>
      </c>
      <c r="N359" t="s">
        <v>586</v>
      </c>
      <c r="O359">
        <v>6000</v>
      </c>
      <c r="S359" t="str">
        <f>TEXT(Table1[[#This Row],[Date]],"MMM-YY")</f>
        <v>Feb-24</v>
      </c>
      <c r="T359">
        <f>_xlfn.ISOWEEKNUM(Table1[[#This Row],[Date]])</f>
        <v>9</v>
      </c>
      <c r="U359" t="str">
        <f>TEXT(Table1[[#This Row],[Expected Business Month]],"YYYY")</f>
        <v>2024</v>
      </c>
    </row>
    <row r="360" spans="1:21" hidden="1">
      <c r="A360" s="1">
        <v>45352</v>
      </c>
      <c r="B360" t="s">
        <v>1543</v>
      </c>
      <c r="C360" t="s">
        <v>96</v>
      </c>
      <c r="D360" t="s">
        <v>20</v>
      </c>
      <c r="E360" t="s">
        <v>23</v>
      </c>
      <c r="F360" t="s">
        <v>80</v>
      </c>
      <c r="G360" s="9" t="s">
        <v>1544</v>
      </c>
      <c r="H360">
        <v>21000</v>
      </c>
      <c r="I360">
        <v>0</v>
      </c>
      <c r="J360" s="21">
        <v>45383</v>
      </c>
      <c r="K360" s="7" t="s">
        <v>67</v>
      </c>
      <c r="L360" t="s">
        <v>9</v>
      </c>
      <c r="M360" t="s">
        <v>9</v>
      </c>
      <c r="N360" t="s">
        <v>1545</v>
      </c>
      <c r="O360">
        <v>4200</v>
      </c>
      <c r="S360" t="str">
        <f>TEXT(Table1[[#This Row],[Date]],"MMM-YY")</f>
        <v>Mar-24</v>
      </c>
      <c r="T360">
        <f>_xlfn.ISOWEEKNUM(Table1[[#This Row],[Date]])</f>
        <v>9</v>
      </c>
      <c r="U360" t="str">
        <f>TEXT(Table1[[#This Row],[Expected Business Month]],"YYYY")</f>
        <v>2024</v>
      </c>
    </row>
    <row r="361" spans="1:21" hidden="1">
      <c r="A361" s="1">
        <v>45352</v>
      </c>
      <c r="B361" t="s">
        <v>152</v>
      </c>
      <c r="C361" t="s">
        <v>96</v>
      </c>
      <c r="D361" t="s">
        <v>20</v>
      </c>
      <c r="E361" t="s">
        <v>23</v>
      </c>
      <c r="F361" t="s">
        <v>423</v>
      </c>
      <c r="G361" s="9" t="s">
        <v>1546</v>
      </c>
      <c r="H361">
        <v>20000</v>
      </c>
      <c r="I361">
        <v>0</v>
      </c>
      <c r="J361" s="21">
        <v>45352</v>
      </c>
      <c r="K361" s="7" t="s">
        <v>67</v>
      </c>
      <c r="L361" t="s">
        <v>9</v>
      </c>
      <c r="M361" t="s">
        <v>9</v>
      </c>
      <c r="N361" t="s">
        <v>1547</v>
      </c>
      <c r="O361">
        <v>4000</v>
      </c>
      <c r="S361" t="str">
        <f>TEXT(Table1[[#This Row],[Date]],"MMM-YY")</f>
        <v>Mar-24</v>
      </c>
      <c r="T361">
        <f>_xlfn.ISOWEEKNUM(Table1[[#This Row],[Date]])</f>
        <v>9</v>
      </c>
      <c r="U361" t="str">
        <f>TEXT(Table1[[#This Row],[Expected Business Month]],"YYYY")</f>
        <v>2024</v>
      </c>
    </row>
    <row r="362" spans="1:21" ht="29.1" hidden="1">
      <c r="A362" s="1">
        <v>45352</v>
      </c>
      <c r="B362" t="s">
        <v>1548</v>
      </c>
      <c r="C362" t="s">
        <v>96</v>
      </c>
      <c r="D362" t="s">
        <v>618</v>
      </c>
      <c r="E362" t="s">
        <v>18</v>
      </c>
      <c r="F362" t="s">
        <v>1549</v>
      </c>
      <c r="G362" s="9" t="s">
        <v>1550</v>
      </c>
      <c r="H362">
        <v>1200</v>
      </c>
      <c r="I362">
        <v>1200</v>
      </c>
      <c r="J362" s="21">
        <v>45352</v>
      </c>
      <c r="K362" s="7" t="s">
        <v>67</v>
      </c>
      <c r="L362" t="s">
        <v>68</v>
      </c>
      <c r="M362" t="s">
        <v>69</v>
      </c>
      <c r="O362">
        <v>240</v>
      </c>
      <c r="S362" t="str">
        <f>TEXT(Table1[[#This Row],[Date]],"MMM-YY")</f>
        <v>Mar-24</v>
      </c>
      <c r="T362">
        <f>_xlfn.ISOWEEKNUM(Table1[[#This Row],[Date]])</f>
        <v>9</v>
      </c>
      <c r="U362" t="str">
        <f>TEXT(Table1[[#This Row],[Expected Business Month]],"YYYY")</f>
        <v>2024</v>
      </c>
    </row>
    <row r="363" spans="1:21" ht="29.1" hidden="1">
      <c r="A363" s="1">
        <v>45352</v>
      </c>
      <c r="B363" t="s">
        <v>324</v>
      </c>
      <c r="C363" t="s">
        <v>96</v>
      </c>
      <c r="D363" t="s">
        <v>64</v>
      </c>
      <c r="E363" t="s">
        <v>38</v>
      </c>
      <c r="F363" t="s">
        <v>325</v>
      </c>
      <c r="G363" s="9" t="s">
        <v>1551</v>
      </c>
      <c r="H363">
        <v>45112</v>
      </c>
      <c r="I363">
        <v>45112</v>
      </c>
      <c r="J363" s="21">
        <v>45352</v>
      </c>
      <c r="K363" s="7" t="s">
        <v>67</v>
      </c>
      <c r="L363" t="s">
        <v>68</v>
      </c>
      <c r="M363" t="s">
        <v>69</v>
      </c>
      <c r="O363">
        <v>0</v>
      </c>
      <c r="S363" t="str">
        <f>TEXT(Table1[[#This Row],[Date]],"MMM-YY")</f>
        <v>Mar-24</v>
      </c>
      <c r="T363">
        <f>_xlfn.ISOWEEKNUM(Table1[[#This Row],[Date]])</f>
        <v>9</v>
      </c>
      <c r="U363" t="str">
        <f>TEXT(Table1[[#This Row],[Expected Business Month]],"YYYY")</f>
        <v>2024</v>
      </c>
    </row>
    <row r="364" spans="1:21" hidden="1">
      <c r="A364" s="1">
        <v>45355</v>
      </c>
      <c r="B364" t="s">
        <v>1552</v>
      </c>
      <c r="C364" t="s">
        <v>96</v>
      </c>
      <c r="D364" t="s">
        <v>64</v>
      </c>
      <c r="E364" t="s">
        <v>38</v>
      </c>
      <c r="F364" t="s">
        <v>1360</v>
      </c>
      <c r="G364" s="9" t="s">
        <v>1553</v>
      </c>
      <c r="H364">
        <v>3500</v>
      </c>
      <c r="I364">
        <v>3500</v>
      </c>
      <c r="J364" s="21">
        <v>45352</v>
      </c>
      <c r="K364" s="7" t="s">
        <v>67</v>
      </c>
      <c r="L364" t="s">
        <v>68</v>
      </c>
      <c r="M364" t="s">
        <v>69</v>
      </c>
      <c r="O364">
        <v>700</v>
      </c>
      <c r="S364" t="str">
        <f>TEXT(Table1[[#This Row],[Date]],"MMM-YY")</f>
        <v>Mar-24</v>
      </c>
      <c r="T364">
        <f>_xlfn.ISOWEEKNUM(Table1[[#This Row],[Date]])</f>
        <v>10</v>
      </c>
      <c r="U364" t="str">
        <f>TEXT(Table1[[#This Row],[Expected Business Month]],"YYYY")</f>
        <v>2024</v>
      </c>
    </row>
    <row r="365" spans="1:21" hidden="1">
      <c r="A365" s="1">
        <v>45356</v>
      </c>
      <c r="B365" t="s">
        <v>1554</v>
      </c>
      <c r="C365" t="s">
        <v>96</v>
      </c>
      <c r="D365" t="s">
        <v>64</v>
      </c>
      <c r="E365" t="s">
        <v>32</v>
      </c>
      <c r="F365" t="s">
        <v>1555</v>
      </c>
      <c r="G365" s="9" t="s">
        <v>1291</v>
      </c>
      <c r="H365">
        <v>10000</v>
      </c>
      <c r="I365">
        <v>0</v>
      </c>
      <c r="J365" s="21">
        <v>45444</v>
      </c>
      <c r="K365" s="7" t="s">
        <v>67</v>
      </c>
      <c r="L365" t="s">
        <v>9</v>
      </c>
      <c r="M365" t="s">
        <v>9</v>
      </c>
      <c r="N365" t="s">
        <v>602</v>
      </c>
      <c r="O365">
        <v>2000</v>
      </c>
      <c r="S365" t="str">
        <f>TEXT(Table1[[#This Row],[Date]],"MMM-YY")</f>
        <v>Mar-24</v>
      </c>
      <c r="T365">
        <f>_xlfn.ISOWEEKNUM(Table1[[#This Row],[Date]])</f>
        <v>10</v>
      </c>
      <c r="U365" t="str">
        <f>TEXT(Table1[[#This Row],[Expected Business Month]],"YYYY")</f>
        <v>2024</v>
      </c>
    </row>
    <row r="366" spans="1:21" hidden="1">
      <c r="A366" s="1">
        <v>45356</v>
      </c>
      <c r="B366" t="s">
        <v>1556</v>
      </c>
      <c r="C366" t="s">
        <v>63</v>
      </c>
      <c r="D366" t="s">
        <v>105</v>
      </c>
      <c r="E366" t="s">
        <v>18</v>
      </c>
      <c r="F366" t="s">
        <v>1557</v>
      </c>
      <c r="G366" s="9" t="s">
        <v>1558</v>
      </c>
      <c r="H366">
        <v>40000</v>
      </c>
      <c r="I366">
        <v>0</v>
      </c>
      <c r="J366" s="21">
        <v>45352</v>
      </c>
      <c r="K366" s="7" t="s">
        <v>67</v>
      </c>
      <c r="L366" t="s">
        <v>9</v>
      </c>
      <c r="M366" t="s">
        <v>9</v>
      </c>
      <c r="N366" t="s">
        <v>1559</v>
      </c>
      <c r="O366">
        <v>8000</v>
      </c>
      <c r="S366" t="str">
        <f>TEXT(Table1[[#This Row],[Date]],"MMM-YY")</f>
        <v>Mar-24</v>
      </c>
      <c r="T366">
        <f>_xlfn.ISOWEEKNUM(Table1[[#This Row],[Date]])</f>
        <v>10</v>
      </c>
      <c r="U366" t="str">
        <f>TEXT(Table1[[#This Row],[Expected Business Month]],"YYYY")</f>
        <v>2024</v>
      </c>
    </row>
    <row r="367" spans="1:21" hidden="1">
      <c r="A367" s="1">
        <v>45356</v>
      </c>
      <c r="B367" t="s">
        <v>1560</v>
      </c>
      <c r="C367" t="s">
        <v>96</v>
      </c>
      <c r="D367" t="s">
        <v>105</v>
      </c>
      <c r="E367" t="s">
        <v>18</v>
      </c>
      <c r="F367" t="s">
        <v>1561</v>
      </c>
      <c r="G367" s="9" t="s">
        <v>1291</v>
      </c>
      <c r="H367">
        <v>10000</v>
      </c>
      <c r="I367">
        <v>0</v>
      </c>
      <c r="J367" s="21">
        <v>45505</v>
      </c>
      <c r="K367" s="7" t="s">
        <v>67</v>
      </c>
      <c r="L367" t="s">
        <v>9</v>
      </c>
      <c r="M367" t="s">
        <v>9</v>
      </c>
      <c r="N367" t="s">
        <v>586</v>
      </c>
      <c r="O367">
        <v>2000</v>
      </c>
      <c r="S367" t="str">
        <f>TEXT(Table1[[#This Row],[Date]],"MMM-YY")</f>
        <v>Mar-24</v>
      </c>
      <c r="T367">
        <f>_xlfn.ISOWEEKNUM(Table1[[#This Row],[Date]])</f>
        <v>10</v>
      </c>
      <c r="U367" t="str">
        <f>TEXT(Table1[[#This Row],[Expected Business Month]],"YYYY")</f>
        <v>2024</v>
      </c>
    </row>
    <row r="368" spans="1:21" hidden="1">
      <c r="A368" s="1">
        <v>45357</v>
      </c>
      <c r="B368" t="s">
        <v>1562</v>
      </c>
      <c r="C368" t="s">
        <v>63</v>
      </c>
      <c r="D368" t="s">
        <v>20</v>
      </c>
      <c r="E368" t="s">
        <v>23</v>
      </c>
      <c r="F368" t="s">
        <v>770</v>
      </c>
      <c r="G368" s="9" t="s">
        <v>1563</v>
      </c>
      <c r="H368">
        <v>12500</v>
      </c>
      <c r="I368">
        <v>12500</v>
      </c>
      <c r="J368" s="21">
        <v>45352</v>
      </c>
      <c r="K368" s="7" t="s">
        <v>67</v>
      </c>
      <c r="L368" t="s">
        <v>68</v>
      </c>
      <c r="M368" t="s">
        <v>69</v>
      </c>
      <c r="O368">
        <v>2500</v>
      </c>
      <c r="S368" t="str">
        <f>TEXT(Table1[[#This Row],[Date]],"MMM-YY")</f>
        <v>Mar-24</v>
      </c>
      <c r="T368">
        <f>_xlfn.ISOWEEKNUM(Table1[[#This Row],[Date]])</f>
        <v>10</v>
      </c>
      <c r="U368" t="str">
        <f>TEXT(Table1[[#This Row],[Expected Business Month]],"YYYY")</f>
        <v>2024</v>
      </c>
    </row>
    <row r="369" spans="1:21" hidden="1">
      <c r="A369" s="1">
        <v>45357</v>
      </c>
      <c r="B369" t="s">
        <v>1564</v>
      </c>
      <c r="C369" t="s">
        <v>96</v>
      </c>
      <c r="D369" t="s">
        <v>64</v>
      </c>
      <c r="E369" t="s">
        <v>26</v>
      </c>
      <c r="F369" t="s">
        <v>1565</v>
      </c>
      <c r="G369" s="9" t="s">
        <v>1291</v>
      </c>
      <c r="H369">
        <v>10000</v>
      </c>
      <c r="I369">
        <v>0</v>
      </c>
      <c r="J369" s="21">
        <v>45505</v>
      </c>
      <c r="K369" s="7" t="s">
        <v>67</v>
      </c>
      <c r="L369" t="s">
        <v>9</v>
      </c>
      <c r="M369" t="s">
        <v>9</v>
      </c>
      <c r="N369" t="s">
        <v>586</v>
      </c>
      <c r="O369">
        <v>2000</v>
      </c>
      <c r="S369" t="str">
        <f>TEXT(Table1[[#This Row],[Date]],"MMM-YY")</f>
        <v>Mar-24</v>
      </c>
      <c r="T369">
        <f>_xlfn.ISOWEEKNUM(Table1[[#This Row],[Date]])</f>
        <v>10</v>
      </c>
      <c r="U369" t="str">
        <f>TEXT(Table1[[#This Row],[Expected Business Month]],"YYYY")</f>
        <v>2024</v>
      </c>
    </row>
    <row r="370" spans="1:21" ht="29.1" hidden="1">
      <c r="A370" s="1">
        <v>45357</v>
      </c>
      <c r="B370" t="s">
        <v>1566</v>
      </c>
      <c r="C370" t="s">
        <v>63</v>
      </c>
      <c r="D370" t="s">
        <v>105</v>
      </c>
      <c r="E370" t="s">
        <v>18</v>
      </c>
      <c r="F370" t="s">
        <v>201</v>
      </c>
      <c r="G370" s="9" t="s">
        <v>1567</v>
      </c>
      <c r="H370">
        <v>60000</v>
      </c>
      <c r="I370">
        <v>0</v>
      </c>
      <c r="J370" s="21">
        <v>45352</v>
      </c>
      <c r="K370" s="7" t="s">
        <v>67</v>
      </c>
      <c r="L370" t="s">
        <v>9</v>
      </c>
      <c r="M370" t="s">
        <v>9</v>
      </c>
      <c r="N370" t="s">
        <v>1568</v>
      </c>
      <c r="O370">
        <v>12000</v>
      </c>
      <c r="S370" t="str">
        <f>TEXT(Table1[[#This Row],[Date]],"MMM-YY")</f>
        <v>Mar-24</v>
      </c>
      <c r="T370">
        <f>_xlfn.ISOWEEKNUM(Table1[[#This Row],[Date]])</f>
        <v>10</v>
      </c>
      <c r="U370" t="str">
        <f>TEXT(Table1[[#This Row],[Expected Business Month]],"YYYY")</f>
        <v>2024</v>
      </c>
    </row>
    <row r="371" spans="1:21" hidden="1">
      <c r="A371" s="1">
        <v>45358</v>
      </c>
      <c r="B371" t="s">
        <v>1569</v>
      </c>
      <c r="C371" t="s">
        <v>63</v>
      </c>
      <c r="D371" t="s">
        <v>64</v>
      </c>
      <c r="E371" t="s">
        <v>26</v>
      </c>
      <c r="F371" t="s">
        <v>1570</v>
      </c>
      <c r="G371" s="9" t="s">
        <v>1297</v>
      </c>
      <c r="H371">
        <v>12000</v>
      </c>
      <c r="I371">
        <v>0</v>
      </c>
      <c r="J371" s="21">
        <v>45505</v>
      </c>
      <c r="K371" s="7" t="s">
        <v>67</v>
      </c>
      <c r="L371" t="s">
        <v>9</v>
      </c>
      <c r="M371" t="s">
        <v>9</v>
      </c>
      <c r="N371" t="s">
        <v>586</v>
      </c>
      <c r="O371">
        <v>2400</v>
      </c>
      <c r="S371" t="str">
        <f>TEXT(Table1[[#This Row],[Date]],"MMM-YY")</f>
        <v>Mar-24</v>
      </c>
      <c r="T371">
        <f>_xlfn.ISOWEEKNUM(Table1[[#This Row],[Date]])</f>
        <v>10</v>
      </c>
      <c r="U371" t="str">
        <f>TEXT(Table1[[#This Row],[Expected Business Month]],"YYYY")</f>
        <v>2024</v>
      </c>
    </row>
    <row r="372" spans="1:21" hidden="1">
      <c r="A372" s="1">
        <v>45358</v>
      </c>
      <c r="B372" t="s">
        <v>1571</v>
      </c>
      <c r="C372" t="s">
        <v>63</v>
      </c>
      <c r="D372" t="s">
        <v>20</v>
      </c>
      <c r="E372" t="s">
        <v>23</v>
      </c>
      <c r="F372" t="s">
        <v>1572</v>
      </c>
      <c r="G372" s="9" t="s">
        <v>1291</v>
      </c>
      <c r="H372">
        <v>10000</v>
      </c>
      <c r="I372">
        <v>0</v>
      </c>
      <c r="J372" s="21">
        <v>45505</v>
      </c>
      <c r="K372" s="7" t="s">
        <v>67</v>
      </c>
      <c r="L372" t="s">
        <v>9</v>
      </c>
      <c r="M372" t="s">
        <v>9</v>
      </c>
      <c r="N372" t="s">
        <v>586</v>
      </c>
      <c r="O372">
        <v>2000</v>
      </c>
      <c r="S372" t="str">
        <f>TEXT(Table1[[#This Row],[Date]],"MMM-YY")</f>
        <v>Mar-24</v>
      </c>
      <c r="T372">
        <f>_xlfn.ISOWEEKNUM(Table1[[#This Row],[Date]])</f>
        <v>10</v>
      </c>
      <c r="U372" t="str">
        <f>TEXT(Table1[[#This Row],[Expected Business Month]],"YYYY")</f>
        <v>2024</v>
      </c>
    </row>
    <row r="373" spans="1:21" ht="29.1" hidden="1">
      <c r="A373" s="1">
        <v>45358</v>
      </c>
      <c r="B373" t="s">
        <v>1573</v>
      </c>
      <c r="C373" t="s">
        <v>96</v>
      </c>
      <c r="D373" t="s">
        <v>20</v>
      </c>
      <c r="E373" t="s">
        <v>32</v>
      </c>
      <c r="F373" t="s">
        <v>1574</v>
      </c>
      <c r="G373" s="9" t="s">
        <v>1575</v>
      </c>
      <c r="H373">
        <v>10000</v>
      </c>
      <c r="I373">
        <v>0</v>
      </c>
      <c r="J373" s="21">
        <v>45383</v>
      </c>
      <c r="K373" s="7" t="s">
        <v>67</v>
      </c>
      <c r="L373" t="s">
        <v>9</v>
      </c>
      <c r="M373" t="s">
        <v>9</v>
      </c>
      <c r="N373" t="s">
        <v>586</v>
      </c>
      <c r="O373">
        <v>2000</v>
      </c>
      <c r="S373" t="str">
        <f>TEXT(Table1[[#This Row],[Date]],"MMM-YY")</f>
        <v>Mar-24</v>
      </c>
      <c r="T373">
        <f>_xlfn.ISOWEEKNUM(Table1[[#This Row],[Date]])</f>
        <v>10</v>
      </c>
      <c r="U373" t="str">
        <f>TEXT(Table1[[#This Row],[Expected Business Month]],"YYYY")</f>
        <v>2024</v>
      </c>
    </row>
    <row r="374" spans="1:21" ht="29.1" hidden="1">
      <c r="A374" s="1">
        <v>45358</v>
      </c>
      <c r="B374" t="s">
        <v>1576</v>
      </c>
      <c r="C374" t="s">
        <v>63</v>
      </c>
      <c r="D374" t="s">
        <v>105</v>
      </c>
      <c r="E374" t="s">
        <v>18</v>
      </c>
      <c r="F374" t="s">
        <v>1344</v>
      </c>
      <c r="G374" s="9" t="s">
        <v>1577</v>
      </c>
      <c r="H374">
        <v>12000</v>
      </c>
      <c r="I374">
        <v>0</v>
      </c>
      <c r="J374" s="21">
        <v>45505</v>
      </c>
      <c r="K374" s="7" t="s">
        <v>67</v>
      </c>
      <c r="L374" t="s">
        <v>9</v>
      </c>
      <c r="M374" t="s">
        <v>9</v>
      </c>
      <c r="N374" t="s">
        <v>586</v>
      </c>
      <c r="O374">
        <v>2400</v>
      </c>
      <c r="S374" t="str">
        <f>TEXT(Table1[[#This Row],[Date]],"MMM-YY")</f>
        <v>Mar-24</v>
      </c>
      <c r="T374">
        <f>_xlfn.ISOWEEKNUM(Table1[[#This Row],[Date]])</f>
        <v>10</v>
      </c>
      <c r="U374" t="str">
        <f>TEXT(Table1[[#This Row],[Expected Business Month]],"YYYY")</f>
        <v>2024</v>
      </c>
    </row>
    <row r="375" spans="1:21" ht="29.1" hidden="1">
      <c r="A375" s="1">
        <v>45359</v>
      </c>
      <c r="B375" t="s">
        <v>1578</v>
      </c>
      <c r="C375" t="s">
        <v>63</v>
      </c>
      <c r="D375" t="s">
        <v>64</v>
      </c>
      <c r="E375" t="s">
        <v>33</v>
      </c>
      <c r="F375" t="s">
        <v>1579</v>
      </c>
      <c r="G375" s="9" t="s">
        <v>1580</v>
      </c>
      <c r="H375">
        <v>13000</v>
      </c>
      <c r="I375">
        <v>13000</v>
      </c>
      <c r="J375" s="21">
        <v>45352</v>
      </c>
      <c r="K375" s="7" t="s">
        <v>67</v>
      </c>
      <c r="L375" t="s">
        <v>68</v>
      </c>
      <c r="M375" t="s">
        <v>69</v>
      </c>
      <c r="O375">
        <v>0</v>
      </c>
      <c r="S375" t="str">
        <f>TEXT(Table1[[#This Row],[Date]],"MMM-YY")</f>
        <v>Mar-24</v>
      </c>
      <c r="T375">
        <f>_xlfn.ISOWEEKNUM(Table1[[#This Row],[Date]])</f>
        <v>10</v>
      </c>
      <c r="U375" t="str">
        <f>TEXT(Table1[[#This Row],[Expected Business Month]],"YYYY")</f>
        <v>2024</v>
      </c>
    </row>
    <row r="376" spans="1:21" hidden="1">
      <c r="A376" s="1">
        <v>45359</v>
      </c>
      <c r="B376" t="s">
        <v>1581</v>
      </c>
      <c r="C376" t="s">
        <v>96</v>
      </c>
      <c r="D376" t="s">
        <v>64</v>
      </c>
      <c r="E376" t="s">
        <v>31</v>
      </c>
      <c r="F376" t="s">
        <v>299</v>
      </c>
      <c r="G376" s="9" t="s">
        <v>1582</v>
      </c>
      <c r="H376">
        <v>100000</v>
      </c>
      <c r="I376">
        <v>0</v>
      </c>
      <c r="J376" s="21">
        <v>45352</v>
      </c>
      <c r="K376" s="7" t="s">
        <v>67</v>
      </c>
      <c r="L376" t="s">
        <v>9</v>
      </c>
      <c r="M376" t="s">
        <v>9</v>
      </c>
      <c r="N376" t="s">
        <v>1436</v>
      </c>
      <c r="O376">
        <v>20000</v>
      </c>
      <c r="S376" t="str">
        <f>TEXT(Table1[[#This Row],[Date]],"MMM-YY")</f>
        <v>Mar-24</v>
      </c>
      <c r="T376">
        <f>_xlfn.ISOWEEKNUM(Table1[[#This Row],[Date]])</f>
        <v>10</v>
      </c>
      <c r="U376" t="str">
        <f>TEXT(Table1[[#This Row],[Expected Business Month]],"YYYY")</f>
        <v>2024</v>
      </c>
    </row>
    <row r="377" spans="1:21" hidden="1">
      <c r="A377" s="1">
        <v>45359</v>
      </c>
      <c r="B377" t="s">
        <v>1583</v>
      </c>
      <c r="C377" t="s">
        <v>96</v>
      </c>
      <c r="D377" t="s">
        <v>618</v>
      </c>
      <c r="E377" t="s">
        <v>18</v>
      </c>
      <c r="F377" t="s">
        <v>1584</v>
      </c>
      <c r="G377" s="9" t="s">
        <v>1585</v>
      </c>
      <c r="H377">
        <v>10000</v>
      </c>
      <c r="I377">
        <v>0</v>
      </c>
      <c r="J377" s="21">
        <v>45505</v>
      </c>
      <c r="K377" s="7" t="s">
        <v>67</v>
      </c>
      <c r="L377" t="s">
        <v>9</v>
      </c>
      <c r="M377" t="s">
        <v>9</v>
      </c>
      <c r="N377" t="s">
        <v>586</v>
      </c>
      <c r="O377">
        <v>2000</v>
      </c>
      <c r="S377" t="str">
        <f>TEXT(Table1[[#This Row],[Date]],"MMM-YY")</f>
        <v>Mar-24</v>
      </c>
      <c r="T377">
        <f>_xlfn.ISOWEEKNUM(Table1[[#This Row],[Date]])</f>
        <v>10</v>
      </c>
      <c r="U377" t="str">
        <f>TEXT(Table1[[#This Row],[Expected Business Month]],"YYYY")</f>
        <v>2024</v>
      </c>
    </row>
    <row r="378" spans="1:21" ht="29.1" hidden="1">
      <c r="A378" s="1">
        <v>45359</v>
      </c>
      <c r="B378" t="s">
        <v>1586</v>
      </c>
      <c r="C378" t="s">
        <v>96</v>
      </c>
      <c r="D378" t="s">
        <v>320</v>
      </c>
      <c r="E378" t="s">
        <v>26</v>
      </c>
      <c r="F378" t="s">
        <v>214</v>
      </c>
      <c r="G378" s="9" t="s">
        <v>1587</v>
      </c>
      <c r="H378">
        <v>0</v>
      </c>
      <c r="I378">
        <v>0</v>
      </c>
      <c r="J378" s="21">
        <v>45352</v>
      </c>
      <c r="K378" s="7" t="s">
        <v>67</v>
      </c>
      <c r="L378" t="s">
        <v>68</v>
      </c>
      <c r="M378" t="s">
        <v>69</v>
      </c>
      <c r="N378" t="s">
        <v>1588</v>
      </c>
      <c r="O378">
        <v>0</v>
      </c>
      <c r="S378" t="str">
        <f>TEXT(Table1[[#This Row],[Date]],"MMM-YY")</f>
        <v>Mar-24</v>
      </c>
      <c r="T378">
        <f>_xlfn.ISOWEEKNUM(Table1[[#This Row],[Date]])</f>
        <v>10</v>
      </c>
      <c r="U378" t="str">
        <f>TEXT(Table1[[#This Row],[Expected Business Month]],"YYYY")</f>
        <v>2024</v>
      </c>
    </row>
    <row r="379" spans="1:21" ht="29.1" hidden="1">
      <c r="A379" s="1">
        <v>45359</v>
      </c>
      <c r="B379" t="s">
        <v>1589</v>
      </c>
      <c r="C379" t="s">
        <v>96</v>
      </c>
      <c r="D379" t="s">
        <v>64</v>
      </c>
      <c r="E379" t="s">
        <v>24</v>
      </c>
      <c r="F379" t="s">
        <v>1590</v>
      </c>
      <c r="G379" s="9" t="s">
        <v>1587</v>
      </c>
      <c r="H379">
        <v>80000</v>
      </c>
      <c r="I379">
        <v>0</v>
      </c>
      <c r="J379" s="21">
        <v>45352</v>
      </c>
      <c r="K379" s="7" t="s">
        <v>67</v>
      </c>
      <c r="L379" t="s">
        <v>9</v>
      </c>
      <c r="M379" t="s">
        <v>9</v>
      </c>
      <c r="N379" t="s">
        <v>1530</v>
      </c>
      <c r="O379">
        <v>16000</v>
      </c>
      <c r="S379" t="str">
        <f>TEXT(Table1[[#This Row],[Date]],"MMM-YY")</f>
        <v>Mar-24</v>
      </c>
      <c r="T379">
        <f>_xlfn.ISOWEEKNUM(Table1[[#This Row],[Date]])</f>
        <v>10</v>
      </c>
      <c r="U379" t="str">
        <f>TEXT(Table1[[#This Row],[Expected Business Month]],"YYYY")</f>
        <v>2024</v>
      </c>
    </row>
    <row r="380" spans="1:21" hidden="1">
      <c r="A380" s="1">
        <v>45359</v>
      </c>
      <c r="B380" t="s">
        <v>1591</v>
      </c>
      <c r="C380" t="s">
        <v>63</v>
      </c>
      <c r="D380" t="s">
        <v>64</v>
      </c>
      <c r="E380" t="s">
        <v>26</v>
      </c>
      <c r="F380" t="s">
        <v>1592</v>
      </c>
      <c r="G380" s="9" t="s">
        <v>1593</v>
      </c>
      <c r="H380">
        <v>12000</v>
      </c>
      <c r="I380">
        <v>0</v>
      </c>
      <c r="J380" s="21">
        <v>45505</v>
      </c>
      <c r="K380" s="7" t="s">
        <v>67</v>
      </c>
      <c r="L380" t="s">
        <v>9</v>
      </c>
      <c r="M380" t="s">
        <v>9</v>
      </c>
      <c r="N380" t="s">
        <v>586</v>
      </c>
      <c r="O380">
        <v>2400</v>
      </c>
      <c r="S380" t="str">
        <f>TEXT(Table1[[#This Row],[Date]],"MMM-YY")</f>
        <v>Mar-24</v>
      </c>
      <c r="T380">
        <f>_xlfn.ISOWEEKNUM(Table1[[#This Row],[Date]])</f>
        <v>10</v>
      </c>
      <c r="U380" t="str">
        <f>TEXT(Table1[[#This Row],[Expected Business Month]],"YYYY")</f>
        <v>2024</v>
      </c>
    </row>
    <row r="381" spans="1:21" hidden="1">
      <c r="A381" s="1">
        <v>45359</v>
      </c>
      <c r="B381" t="s">
        <v>1594</v>
      </c>
      <c r="C381" t="s">
        <v>63</v>
      </c>
      <c r="D381" t="s">
        <v>64</v>
      </c>
      <c r="E381" t="s">
        <v>26</v>
      </c>
      <c r="F381" t="s">
        <v>1595</v>
      </c>
      <c r="G381" s="9" t="s">
        <v>1593</v>
      </c>
      <c r="H381">
        <v>10000</v>
      </c>
      <c r="I381">
        <v>0</v>
      </c>
      <c r="J381" s="21">
        <v>45505</v>
      </c>
      <c r="K381" s="7" t="s">
        <v>67</v>
      </c>
      <c r="L381" t="s">
        <v>9</v>
      </c>
      <c r="M381" t="s">
        <v>9</v>
      </c>
      <c r="N381" t="s">
        <v>586</v>
      </c>
      <c r="O381">
        <v>2000</v>
      </c>
      <c r="S381" t="str">
        <f>TEXT(Table1[[#This Row],[Date]],"MMM-YY")</f>
        <v>Mar-24</v>
      </c>
      <c r="T381">
        <f>_xlfn.ISOWEEKNUM(Table1[[#This Row],[Date]])</f>
        <v>10</v>
      </c>
      <c r="U381" t="str">
        <f>TEXT(Table1[[#This Row],[Expected Business Month]],"YYYY")</f>
        <v>2024</v>
      </c>
    </row>
    <row r="382" spans="1:21" hidden="1">
      <c r="A382" s="1">
        <v>45360</v>
      </c>
      <c r="B382" t="s">
        <v>1596</v>
      </c>
      <c r="C382" t="s">
        <v>96</v>
      </c>
      <c r="D382" t="s">
        <v>64</v>
      </c>
      <c r="E382" t="s">
        <v>32</v>
      </c>
      <c r="F382" t="s">
        <v>1597</v>
      </c>
      <c r="G382" s="9" t="s">
        <v>1598</v>
      </c>
      <c r="H382">
        <v>15000</v>
      </c>
      <c r="I382">
        <v>15000</v>
      </c>
      <c r="J382" s="21">
        <v>45352</v>
      </c>
      <c r="K382" s="7" t="s">
        <v>67</v>
      </c>
      <c r="L382" t="s">
        <v>68</v>
      </c>
      <c r="M382" t="s">
        <v>69</v>
      </c>
      <c r="O382">
        <v>3000</v>
      </c>
      <c r="S382" t="str">
        <f>TEXT(Table1[[#This Row],[Date]],"MMM-YY")</f>
        <v>Mar-24</v>
      </c>
      <c r="T382">
        <f>_xlfn.ISOWEEKNUM(Table1[[#This Row],[Date]])</f>
        <v>10</v>
      </c>
      <c r="U382" t="str">
        <f>TEXT(Table1[[#This Row],[Expected Business Month]],"YYYY")</f>
        <v>2024</v>
      </c>
    </row>
    <row r="383" spans="1:21" hidden="1">
      <c r="A383" s="1">
        <v>45362</v>
      </c>
      <c r="B383" t="s">
        <v>1599</v>
      </c>
      <c r="C383" t="s">
        <v>63</v>
      </c>
      <c r="D383" t="s">
        <v>64</v>
      </c>
      <c r="E383" t="s">
        <v>30</v>
      </c>
      <c r="F383" t="s">
        <v>1600</v>
      </c>
      <c r="G383" s="9" t="s">
        <v>1601</v>
      </c>
      <c r="H383">
        <v>120000</v>
      </c>
      <c r="I383">
        <v>0</v>
      </c>
      <c r="J383" s="21">
        <v>45352</v>
      </c>
      <c r="K383" s="7" t="s">
        <v>67</v>
      </c>
      <c r="L383" t="s">
        <v>9</v>
      </c>
      <c r="M383" t="s">
        <v>9</v>
      </c>
      <c r="N383" t="s">
        <v>1602</v>
      </c>
      <c r="O383">
        <v>24000</v>
      </c>
      <c r="S383" t="str">
        <f>TEXT(Table1[[#This Row],[Date]],"MMM-YY")</f>
        <v>Mar-24</v>
      </c>
      <c r="T383">
        <f>_xlfn.ISOWEEKNUM(Table1[[#This Row],[Date]])</f>
        <v>11</v>
      </c>
      <c r="U383" t="str">
        <f>TEXT(Table1[[#This Row],[Expected Business Month]],"YYYY")</f>
        <v>2024</v>
      </c>
    </row>
    <row r="384" spans="1:21" hidden="1">
      <c r="A384" s="1">
        <v>45362</v>
      </c>
      <c r="B384" t="s">
        <v>1603</v>
      </c>
      <c r="C384" t="s">
        <v>63</v>
      </c>
      <c r="D384" t="s">
        <v>20</v>
      </c>
      <c r="E384" t="s">
        <v>20</v>
      </c>
      <c r="F384" t="s">
        <v>1604</v>
      </c>
      <c r="G384" s="9" t="s">
        <v>1605</v>
      </c>
      <c r="H384">
        <v>100000</v>
      </c>
      <c r="I384">
        <v>0</v>
      </c>
      <c r="J384" s="21">
        <v>45352</v>
      </c>
      <c r="K384" s="7" t="s">
        <v>67</v>
      </c>
      <c r="L384" t="s">
        <v>9</v>
      </c>
      <c r="M384" t="s">
        <v>9</v>
      </c>
      <c r="N384" t="s">
        <v>1606</v>
      </c>
      <c r="O384">
        <v>20000</v>
      </c>
      <c r="S384" t="str">
        <f>TEXT(Table1[[#This Row],[Date]],"MMM-YY")</f>
        <v>Mar-24</v>
      </c>
      <c r="T384">
        <f>_xlfn.ISOWEEKNUM(Table1[[#This Row],[Date]])</f>
        <v>11</v>
      </c>
      <c r="U384" t="str">
        <f>TEXT(Table1[[#This Row],[Expected Business Month]],"YYYY")</f>
        <v>2024</v>
      </c>
    </row>
    <row r="385" spans="1:21" hidden="1">
      <c r="A385" s="1">
        <v>45362</v>
      </c>
      <c r="B385" t="s">
        <v>1607</v>
      </c>
      <c r="C385" t="s">
        <v>96</v>
      </c>
      <c r="D385" t="s">
        <v>20</v>
      </c>
      <c r="E385" t="s">
        <v>23</v>
      </c>
      <c r="F385" t="s">
        <v>356</v>
      </c>
      <c r="G385" s="9" t="s">
        <v>1608</v>
      </c>
      <c r="H385">
        <v>5400</v>
      </c>
      <c r="I385">
        <v>5400</v>
      </c>
      <c r="J385" s="21">
        <v>45352</v>
      </c>
      <c r="K385" s="7" t="s">
        <v>67</v>
      </c>
      <c r="L385" t="s">
        <v>68</v>
      </c>
      <c r="M385" t="s">
        <v>69</v>
      </c>
      <c r="O385">
        <v>1080</v>
      </c>
      <c r="S385" t="str">
        <f>TEXT(Table1[[#This Row],[Date]],"MMM-YY")</f>
        <v>Mar-24</v>
      </c>
      <c r="T385">
        <f>_xlfn.ISOWEEKNUM(Table1[[#This Row],[Date]])</f>
        <v>11</v>
      </c>
      <c r="U385" t="str">
        <f>TEXT(Table1[[#This Row],[Expected Business Month]],"YYYY")</f>
        <v>2024</v>
      </c>
    </row>
    <row r="386" spans="1:21" hidden="1">
      <c r="A386" s="1">
        <v>45362</v>
      </c>
      <c r="B386" t="s">
        <v>1609</v>
      </c>
      <c r="C386" t="s">
        <v>63</v>
      </c>
      <c r="D386" t="s">
        <v>20</v>
      </c>
      <c r="E386" t="s">
        <v>20</v>
      </c>
      <c r="F386" t="s">
        <v>214</v>
      </c>
      <c r="G386" s="9" t="s">
        <v>1610</v>
      </c>
      <c r="H386">
        <v>80000</v>
      </c>
      <c r="I386">
        <v>0</v>
      </c>
      <c r="J386" s="21">
        <v>45352</v>
      </c>
      <c r="K386" s="7" t="s">
        <v>67</v>
      </c>
      <c r="L386" t="s">
        <v>9</v>
      </c>
      <c r="M386" t="s">
        <v>9</v>
      </c>
      <c r="N386" t="s">
        <v>1611</v>
      </c>
      <c r="O386">
        <v>16000</v>
      </c>
      <c r="S386" t="str">
        <f>TEXT(Table1[[#This Row],[Date]],"MMM-YY")</f>
        <v>Mar-24</v>
      </c>
      <c r="T386">
        <f>_xlfn.ISOWEEKNUM(Table1[[#This Row],[Date]])</f>
        <v>11</v>
      </c>
      <c r="U386" t="str">
        <f>TEXT(Table1[[#This Row],[Expected Business Month]],"YYYY")</f>
        <v>2024</v>
      </c>
    </row>
    <row r="387" spans="1:21" hidden="1">
      <c r="A387" s="1">
        <v>45362</v>
      </c>
      <c r="B387" t="s">
        <v>1612</v>
      </c>
      <c r="C387" t="s">
        <v>63</v>
      </c>
      <c r="D387" t="s">
        <v>64</v>
      </c>
      <c r="E387" t="s">
        <v>25</v>
      </c>
      <c r="F387" t="s">
        <v>1613</v>
      </c>
      <c r="G387" s="9" t="s">
        <v>1614</v>
      </c>
      <c r="H387">
        <v>10000</v>
      </c>
      <c r="I387">
        <v>0</v>
      </c>
      <c r="J387" s="21">
        <v>45505</v>
      </c>
      <c r="K387" s="7" t="s">
        <v>67</v>
      </c>
      <c r="L387" t="s">
        <v>9</v>
      </c>
      <c r="M387" t="s">
        <v>9</v>
      </c>
      <c r="N387" t="s">
        <v>586</v>
      </c>
      <c r="O387">
        <v>2000</v>
      </c>
      <c r="S387" t="str">
        <f>TEXT(Table1[[#This Row],[Date]],"MMM-YY")</f>
        <v>Mar-24</v>
      </c>
      <c r="T387">
        <f>_xlfn.ISOWEEKNUM(Table1[[#This Row],[Date]])</f>
        <v>11</v>
      </c>
      <c r="U387" t="str">
        <f>TEXT(Table1[[#This Row],[Expected Business Month]],"YYYY")</f>
        <v>2024</v>
      </c>
    </row>
    <row r="388" spans="1:21" hidden="1">
      <c r="A388" s="1">
        <v>45363</v>
      </c>
      <c r="B388" t="s">
        <v>1581</v>
      </c>
      <c r="C388" t="s">
        <v>63</v>
      </c>
      <c r="D388" t="s">
        <v>64</v>
      </c>
      <c r="E388" t="s">
        <v>31</v>
      </c>
      <c r="F388" t="s">
        <v>776</v>
      </c>
      <c r="G388" s="9" t="s">
        <v>1615</v>
      </c>
      <c r="H388">
        <v>200000</v>
      </c>
      <c r="I388" s="13">
        <v>0</v>
      </c>
      <c r="J388" s="21">
        <v>45352</v>
      </c>
      <c r="K388" s="7" t="s">
        <v>67</v>
      </c>
      <c r="L388" t="s">
        <v>9</v>
      </c>
      <c r="M388" t="s">
        <v>9</v>
      </c>
      <c r="N388" t="s">
        <v>1616</v>
      </c>
      <c r="O388">
        <v>40000</v>
      </c>
      <c r="S388" t="str">
        <f>TEXT(Table1[[#This Row],[Date]],"MMM-YY")</f>
        <v>Mar-24</v>
      </c>
      <c r="T388">
        <f>_xlfn.ISOWEEKNUM(Table1[[#This Row],[Date]])</f>
        <v>11</v>
      </c>
      <c r="U388" t="str">
        <f>TEXT(Table1[[#This Row],[Expected Business Month]],"YYYY")</f>
        <v>2024</v>
      </c>
    </row>
    <row r="389" spans="1:21" hidden="1">
      <c r="A389" s="1">
        <v>45363</v>
      </c>
      <c r="B389" t="s">
        <v>1617</v>
      </c>
      <c r="C389" t="s">
        <v>96</v>
      </c>
      <c r="D389" t="s">
        <v>64</v>
      </c>
      <c r="E389" t="s">
        <v>32</v>
      </c>
      <c r="F389" t="s">
        <v>73</v>
      </c>
      <c r="G389" s="9" t="s">
        <v>1618</v>
      </c>
      <c r="H389">
        <v>100000</v>
      </c>
      <c r="I389">
        <v>0</v>
      </c>
      <c r="J389" s="21">
        <v>45352</v>
      </c>
      <c r="K389" s="7" t="s">
        <v>67</v>
      </c>
      <c r="L389" t="s">
        <v>9</v>
      </c>
      <c r="M389" t="s">
        <v>9</v>
      </c>
      <c r="N389" t="s">
        <v>1619</v>
      </c>
      <c r="O389">
        <v>20000</v>
      </c>
      <c r="S389" t="str">
        <f>TEXT(Table1[[#This Row],[Date]],"MMM-YY")</f>
        <v>Mar-24</v>
      </c>
      <c r="T389">
        <f>_xlfn.ISOWEEKNUM(Table1[[#This Row],[Date]])</f>
        <v>11</v>
      </c>
      <c r="U389" t="str">
        <f>TEXT(Table1[[#This Row],[Expected Business Month]],"YYYY")</f>
        <v>2024</v>
      </c>
    </row>
    <row r="390" spans="1:21" ht="29.1" hidden="1">
      <c r="A390" s="1">
        <v>45363</v>
      </c>
      <c r="B390" t="s">
        <v>1620</v>
      </c>
      <c r="C390" t="s">
        <v>63</v>
      </c>
      <c r="D390" t="s">
        <v>64</v>
      </c>
      <c r="E390" t="s">
        <v>26</v>
      </c>
      <c r="F390" t="s">
        <v>1621</v>
      </c>
      <c r="G390" s="9" t="s">
        <v>1622</v>
      </c>
      <c r="H390">
        <v>12000</v>
      </c>
      <c r="I390">
        <v>0</v>
      </c>
      <c r="J390" s="21">
        <v>45383</v>
      </c>
      <c r="K390" s="7" t="s">
        <v>67</v>
      </c>
      <c r="L390" t="s">
        <v>9</v>
      </c>
      <c r="M390" t="s">
        <v>9</v>
      </c>
      <c r="N390" t="s">
        <v>586</v>
      </c>
      <c r="O390">
        <v>2400</v>
      </c>
      <c r="S390" t="str">
        <f>TEXT(Table1[[#This Row],[Date]],"MMM-YY")</f>
        <v>Mar-24</v>
      </c>
      <c r="T390">
        <f>_xlfn.ISOWEEKNUM(Table1[[#This Row],[Date]])</f>
        <v>11</v>
      </c>
      <c r="U390" t="str">
        <f>TEXT(Table1[[#This Row],[Expected Business Month]],"YYYY")</f>
        <v>2024</v>
      </c>
    </row>
    <row r="391" spans="1:21" ht="43.5" hidden="1">
      <c r="A391" s="1">
        <v>45364</v>
      </c>
      <c r="B391" t="s">
        <v>1623</v>
      </c>
      <c r="C391" t="s">
        <v>63</v>
      </c>
      <c r="D391" t="s">
        <v>64</v>
      </c>
      <c r="E391" t="s">
        <v>26</v>
      </c>
      <c r="F391" t="s">
        <v>1624</v>
      </c>
      <c r="G391" s="9" t="s">
        <v>1625</v>
      </c>
      <c r="H391">
        <v>0</v>
      </c>
      <c r="I391">
        <v>0</v>
      </c>
      <c r="J391" s="21">
        <v>45352</v>
      </c>
      <c r="K391" s="7" t="s">
        <v>67</v>
      </c>
      <c r="L391" t="s">
        <v>68</v>
      </c>
      <c r="M391" t="s">
        <v>69</v>
      </c>
      <c r="N391" t="s">
        <v>1626</v>
      </c>
      <c r="O391">
        <v>0</v>
      </c>
      <c r="S391" t="str">
        <f>TEXT(Table1[[#This Row],[Date]],"MMM-YY")</f>
        <v>Mar-24</v>
      </c>
      <c r="T391">
        <f>_xlfn.ISOWEEKNUM(Table1[[#This Row],[Date]])</f>
        <v>11</v>
      </c>
      <c r="U391" t="str">
        <f>TEXT(Table1[[#This Row],[Expected Business Month]],"YYYY")</f>
        <v>2024</v>
      </c>
    </row>
    <row r="392" spans="1:21" ht="29.1" hidden="1">
      <c r="A392" s="1">
        <v>45364</v>
      </c>
      <c r="B392" t="s">
        <v>1627</v>
      </c>
      <c r="C392" t="s">
        <v>96</v>
      </c>
      <c r="D392" t="s">
        <v>20</v>
      </c>
      <c r="E392" t="s">
        <v>20</v>
      </c>
      <c r="F392" t="s">
        <v>1127</v>
      </c>
      <c r="G392" s="9" t="s">
        <v>1628</v>
      </c>
      <c r="H392">
        <v>50000</v>
      </c>
      <c r="I392">
        <v>0</v>
      </c>
      <c r="J392" s="21">
        <v>45352</v>
      </c>
      <c r="K392" s="7" t="s">
        <v>67</v>
      </c>
      <c r="L392" t="s">
        <v>9</v>
      </c>
      <c r="M392" t="s">
        <v>9</v>
      </c>
      <c r="N392" t="s">
        <v>1602</v>
      </c>
      <c r="O392">
        <v>10000</v>
      </c>
      <c r="S392" t="str">
        <f>TEXT(Table1[[#This Row],[Date]],"MMM-YY")</f>
        <v>Mar-24</v>
      </c>
      <c r="T392">
        <f>_xlfn.ISOWEEKNUM(Table1[[#This Row],[Date]])</f>
        <v>11</v>
      </c>
      <c r="U392" t="str">
        <f>TEXT(Table1[[#This Row],[Expected Business Month]],"YYYY")</f>
        <v>2024</v>
      </c>
    </row>
    <row r="393" spans="1:21" hidden="1">
      <c r="A393" s="1">
        <v>45364</v>
      </c>
      <c r="B393" t="s">
        <v>1629</v>
      </c>
      <c r="C393" t="s">
        <v>96</v>
      </c>
      <c r="D393" t="s">
        <v>37</v>
      </c>
      <c r="E393" t="s">
        <v>20</v>
      </c>
      <c r="F393" t="s">
        <v>1630</v>
      </c>
      <c r="G393" s="9" t="s">
        <v>1631</v>
      </c>
      <c r="H393">
        <v>100000</v>
      </c>
      <c r="I393">
        <v>0</v>
      </c>
      <c r="J393" s="21">
        <v>45352</v>
      </c>
      <c r="K393" s="7" t="s">
        <v>67</v>
      </c>
      <c r="L393" t="s">
        <v>9</v>
      </c>
      <c r="M393" t="s">
        <v>9</v>
      </c>
      <c r="N393" t="s">
        <v>1632</v>
      </c>
      <c r="O393">
        <v>20000</v>
      </c>
      <c r="S393" t="str">
        <f>TEXT(Table1[[#This Row],[Date]],"MMM-YY")</f>
        <v>Mar-24</v>
      </c>
      <c r="T393">
        <f>_xlfn.ISOWEEKNUM(Table1[[#This Row],[Date]])</f>
        <v>11</v>
      </c>
      <c r="U393" t="str">
        <f>TEXT(Table1[[#This Row],[Expected Business Month]],"YYYY")</f>
        <v>2024</v>
      </c>
    </row>
    <row r="394" spans="1:21" hidden="1">
      <c r="A394" s="1">
        <v>45364</v>
      </c>
      <c r="B394" t="s">
        <v>324</v>
      </c>
      <c r="C394" t="s">
        <v>96</v>
      </c>
      <c r="D394" t="s">
        <v>64</v>
      </c>
      <c r="E394" t="s">
        <v>38</v>
      </c>
      <c r="F394" t="s">
        <v>325</v>
      </c>
      <c r="G394" s="9" t="s">
        <v>1633</v>
      </c>
      <c r="H394">
        <v>11553</v>
      </c>
      <c r="I394">
        <v>11553</v>
      </c>
      <c r="J394" s="21">
        <v>45352</v>
      </c>
      <c r="K394" s="7" t="s">
        <v>99</v>
      </c>
      <c r="L394" t="s">
        <v>68</v>
      </c>
      <c r="M394" t="s">
        <v>69</v>
      </c>
      <c r="O394">
        <v>0</v>
      </c>
      <c r="S394" t="str">
        <f>TEXT(Table1[[#This Row],[Date]],"MMM-YY")</f>
        <v>Mar-24</v>
      </c>
      <c r="T394">
        <f>_xlfn.ISOWEEKNUM(Table1[[#This Row],[Date]])</f>
        <v>11</v>
      </c>
      <c r="U394" t="str">
        <f>TEXT(Table1[[#This Row],[Expected Business Month]],"YYYY")</f>
        <v>2024</v>
      </c>
    </row>
    <row r="395" spans="1:21" ht="29.1" hidden="1">
      <c r="A395" s="1">
        <v>45364</v>
      </c>
      <c r="B395" t="s">
        <v>1634</v>
      </c>
      <c r="C395" t="s">
        <v>96</v>
      </c>
      <c r="D395" t="s">
        <v>20</v>
      </c>
      <c r="E395" t="s">
        <v>23</v>
      </c>
      <c r="F395" t="s">
        <v>1635</v>
      </c>
      <c r="G395" s="9" t="s">
        <v>1636</v>
      </c>
      <c r="H395">
        <v>8000</v>
      </c>
      <c r="I395">
        <v>8000</v>
      </c>
      <c r="J395" s="21">
        <v>45352</v>
      </c>
      <c r="K395" s="7" t="s">
        <v>99</v>
      </c>
      <c r="L395" t="s">
        <v>68</v>
      </c>
      <c r="M395" t="s">
        <v>69</v>
      </c>
      <c r="O395">
        <v>0</v>
      </c>
      <c r="S395" t="str">
        <f>TEXT(Table1[[#This Row],[Date]],"MMM-YY")</f>
        <v>Mar-24</v>
      </c>
      <c r="T395">
        <f>_xlfn.ISOWEEKNUM(Table1[[#This Row],[Date]])</f>
        <v>11</v>
      </c>
      <c r="U395" t="str">
        <f>TEXT(Table1[[#This Row],[Expected Business Month]],"YYYY")</f>
        <v>2024</v>
      </c>
    </row>
    <row r="396" spans="1:21" ht="29.1" hidden="1">
      <c r="A396" s="1">
        <v>45364</v>
      </c>
      <c r="B396" t="s">
        <v>1637</v>
      </c>
      <c r="C396" t="s">
        <v>63</v>
      </c>
      <c r="D396" t="s">
        <v>618</v>
      </c>
      <c r="E396" t="s">
        <v>18</v>
      </c>
      <c r="F396" t="s">
        <v>1638</v>
      </c>
      <c r="G396" s="9" t="s">
        <v>1639</v>
      </c>
      <c r="H396">
        <v>12000</v>
      </c>
      <c r="I396">
        <v>0</v>
      </c>
      <c r="J396" s="21">
        <v>45383</v>
      </c>
      <c r="K396" s="7" t="s">
        <v>67</v>
      </c>
      <c r="L396" t="s">
        <v>9</v>
      </c>
      <c r="M396" t="s">
        <v>9</v>
      </c>
      <c r="N396" t="s">
        <v>586</v>
      </c>
      <c r="O396">
        <v>2400</v>
      </c>
      <c r="S396" t="str">
        <f>TEXT(Table1[[#This Row],[Date]],"MMM-YY")</f>
        <v>Mar-24</v>
      </c>
      <c r="T396">
        <f>_xlfn.ISOWEEKNUM(Table1[[#This Row],[Date]])</f>
        <v>11</v>
      </c>
      <c r="U396" t="str">
        <f>TEXT(Table1[[#This Row],[Expected Business Month]],"YYYY")</f>
        <v>2024</v>
      </c>
    </row>
    <row r="397" spans="1:21" hidden="1">
      <c r="A397" s="1">
        <v>45364</v>
      </c>
      <c r="B397" t="s">
        <v>1640</v>
      </c>
      <c r="C397" t="s">
        <v>63</v>
      </c>
      <c r="D397" t="s">
        <v>1641</v>
      </c>
      <c r="E397" t="s">
        <v>41</v>
      </c>
      <c r="F397" t="s">
        <v>1642</v>
      </c>
      <c r="G397" s="9" t="s">
        <v>1643</v>
      </c>
      <c r="H397">
        <v>15000</v>
      </c>
      <c r="I397">
        <v>15000</v>
      </c>
      <c r="J397" s="21">
        <v>45352</v>
      </c>
      <c r="K397" s="7" t="s">
        <v>67</v>
      </c>
      <c r="L397" t="s">
        <v>68</v>
      </c>
      <c r="M397" t="s">
        <v>69</v>
      </c>
      <c r="O397">
        <v>0</v>
      </c>
      <c r="S397" t="str">
        <f>TEXT(Table1[[#This Row],[Date]],"MMM-YY")</f>
        <v>Mar-24</v>
      </c>
      <c r="T397">
        <f>_xlfn.ISOWEEKNUM(Table1[[#This Row],[Date]])</f>
        <v>11</v>
      </c>
      <c r="U397" t="str">
        <f>TEXT(Table1[[#This Row],[Expected Business Month]],"YYYY")</f>
        <v>2024</v>
      </c>
    </row>
    <row r="398" spans="1:21" hidden="1">
      <c r="A398" s="1">
        <v>45365</v>
      </c>
      <c r="B398" t="s">
        <v>1644</v>
      </c>
      <c r="C398" t="s">
        <v>63</v>
      </c>
      <c r="D398" t="s">
        <v>64</v>
      </c>
      <c r="E398" t="s">
        <v>28</v>
      </c>
      <c r="F398" t="s">
        <v>1645</v>
      </c>
      <c r="G398" s="9" t="s">
        <v>1646</v>
      </c>
      <c r="H398">
        <v>20000</v>
      </c>
      <c r="I398">
        <v>0</v>
      </c>
      <c r="J398" s="21">
        <v>45505</v>
      </c>
      <c r="K398" s="7" t="s">
        <v>67</v>
      </c>
      <c r="L398" t="s">
        <v>9</v>
      </c>
      <c r="M398" t="s">
        <v>9</v>
      </c>
      <c r="N398" t="s">
        <v>586</v>
      </c>
      <c r="O398">
        <v>4000</v>
      </c>
      <c r="S398" t="str">
        <f>TEXT(Table1[[#This Row],[Date]],"MMM-YY")</f>
        <v>Mar-24</v>
      </c>
      <c r="T398">
        <f>_xlfn.ISOWEEKNUM(Table1[[#This Row],[Date]])</f>
        <v>11</v>
      </c>
      <c r="U398" t="str">
        <f>TEXT(Table1[[#This Row],[Expected Business Month]],"YYYY")</f>
        <v>2024</v>
      </c>
    </row>
    <row r="399" spans="1:21" hidden="1">
      <c r="A399" s="1">
        <v>45365</v>
      </c>
      <c r="B399" t="s">
        <v>1647</v>
      </c>
      <c r="C399" t="s">
        <v>63</v>
      </c>
      <c r="D399" t="s">
        <v>64</v>
      </c>
      <c r="E399" t="s">
        <v>28</v>
      </c>
      <c r="F399" t="s">
        <v>441</v>
      </c>
      <c r="G399" s="9" t="s">
        <v>1646</v>
      </c>
      <c r="H399">
        <v>15000</v>
      </c>
      <c r="I399">
        <v>0</v>
      </c>
      <c r="J399" s="21">
        <v>45505</v>
      </c>
      <c r="K399" s="7" t="s">
        <v>67</v>
      </c>
      <c r="L399" t="s">
        <v>9</v>
      </c>
      <c r="M399" t="s">
        <v>9</v>
      </c>
      <c r="N399" t="s">
        <v>586</v>
      </c>
      <c r="O399">
        <v>3000</v>
      </c>
      <c r="S399" t="str">
        <f>TEXT(Table1[[#This Row],[Date]],"MMM-YY")</f>
        <v>Mar-24</v>
      </c>
      <c r="T399">
        <f>_xlfn.ISOWEEKNUM(Table1[[#This Row],[Date]])</f>
        <v>11</v>
      </c>
      <c r="U399" t="str">
        <f>TEXT(Table1[[#This Row],[Expected Business Month]],"YYYY")</f>
        <v>2024</v>
      </c>
    </row>
    <row r="400" spans="1:21" ht="29.1" hidden="1">
      <c r="A400" s="1">
        <v>45365</v>
      </c>
      <c r="B400" t="s">
        <v>1648</v>
      </c>
      <c r="C400" t="s">
        <v>63</v>
      </c>
      <c r="D400" t="s">
        <v>64</v>
      </c>
      <c r="E400" t="s">
        <v>26</v>
      </c>
      <c r="F400" t="s">
        <v>1186</v>
      </c>
      <c r="G400" s="9" t="s">
        <v>1496</v>
      </c>
      <c r="H400">
        <v>10000</v>
      </c>
      <c r="I400">
        <v>0</v>
      </c>
      <c r="J400" s="21">
        <v>45383</v>
      </c>
      <c r="K400" s="7" t="s">
        <v>67</v>
      </c>
      <c r="L400" t="s">
        <v>9</v>
      </c>
      <c r="M400" t="s">
        <v>9</v>
      </c>
      <c r="N400" t="s">
        <v>586</v>
      </c>
      <c r="O400">
        <v>2000</v>
      </c>
      <c r="S400" t="str">
        <f>TEXT(Table1[[#This Row],[Date]],"MMM-YY")</f>
        <v>Mar-24</v>
      </c>
      <c r="T400">
        <f>_xlfn.ISOWEEKNUM(Table1[[#This Row],[Date]])</f>
        <v>11</v>
      </c>
      <c r="U400" t="str">
        <f>TEXT(Table1[[#This Row],[Expected Business Month]],"YYYY")</f>
        <v>2024</v>
      </c>
    </row>
    <row r="401" spans="1:21" hidden="1">
      <c r="A401" s="1">
        <v>45366</v>
      </c>
      <c r="B401" t="s">
        <v>1649</v>
      </c>
      <c r="C401" t="s">
        <v>96</v>
      </c>
      <c r="D401" t="s">
        <v>20</v>
      </c>
      <c r="E401" t="s">
        <v>15</v>
      </c>
      <c r="F401" t="s">
        <v>1650</v>
      </c>
      <c r="G401" s="9" t="s">
        <v>1651</v>
      </c>
      <c r="H401">
        <v>12427</v>
      </c>
      <c r="I401">
        <v>12427</v>
      </c>
      <c r="J401" s="21">
        <v>45352</v>
      </c>
      <c r="K401" s="7" t="s">
        <v>99</v>
      </c>
      <c r="L401" t="s">
        <v>68</v>
      </c>
      <c r="M401" t="s">
        <v>69</v>
      </c>
      <c r="O401">
        <v>12420</v>
      </c>
      <c r="S401" t="str">
        <f>TEXT(Table1[[#This Row],[Date]],"MMM-YY")</f>
        <v>Mar-24</v>
      </c>
      <c r="T401">
        <f>_xlfn.ISOWEEKNUM(Table1[[#This Row],[Date]])</f>
        <v>11</v>
      </c>
      <c r="U401" t="str">
        <f>TEXT(Table1[[#This Row],[Expected Business Month]],"YYYY")</f>
        <v>2024</v>
      </c>
    </row>
    <row r="402" spans="1:21" hidden="1">
      <c r="A402" s="1">
        <v>45366</v>
      </c>
      <c r="B402" t="s">
        <v>1649</v>
      </c>
      <c r="C402" t="s">
        <v>96</v>
      </c>
      <c r="D402" t="s">
        <v>20</v>
      </c>
      <c r="E402" t="s">
        <v>15</v>
      </c>
      <c r="F402" t="s">
        <v>1650</v>
      </c>
      <c r="G402" s="9" t="s">
        <v>1652</v>
      </c>
      <c r="H402">
        <v>21372</v>
      </c>
      <c r="I402">
        <v>21372</v>
      </c>
      <c r="J402" s="21">
        <v>45352</v>
      </c>
      <c r="K402" s="7" t="s">
        <v>99</v>
      </c>
      <c r="L402" t="s">
        <v>68</v>
      </c>
      <c r="M402" t="s">
        <v>69</v>
      </c>
      <c r="O402">
        <v>21372</v>
      </c>
      <c r="S402" t="str">
        <f>TEXT(Table1[[#This Row],[Date]],"MMM-YY")</f>
        <v>Mar-24</v>
      </c>
      <c r="T402">
        <f>_xlfn.ISOWEEKNUM(Table1[[#This Row],[Date]])</f>
        <v>11</v>
      </c>
      <c r="U402" t="str">
        <f>TEXT(Table1[[#This Row],[Expected Business Month]],"YYYY")</f>
        <v>2024</v>
      </c>
    </row>
    <row r="403" spans="1:21" ht="29.1" hidden="1">
      <c r="A403" s="1">
        <v>45366</v>
      </c>
      <c r="B403" t="s">
        <v>1653</v>
      </c>
      <c r="C403" t="s">
        <v>96</v>
      </c>
      <c r="D403" t="s">
        <v>105</v>
      </c>
      <c r="E403" t="s">
        <v>18</v>
      </c>
      <c r="F403" t="s">
        <v>1654</v>
      </c>
      <c r="G403" s="9" t="s">
        <v>1655</v>
      </c>
      <c r="H403">
        <v>127000</v>
      </c>
      <c r="I403">
        <v>0</v>
      </c>
      <c r="J403" s="21">
        <v>45352</v>
      </c>
      <c r="K403" s="7" t="s">
        <v>67</v>
      </c>
      <c r="L403" t="s">
        <v>9</v>
      </c>
      <c r="M403" t="s">
        <v>9</v>
      </c>
      <c r="N403" t="s">
        <v>1656</v>
      </c>
      <c r="O403">
        <v>0</v>
      </c>
      <c r="S403" t="str">
        <f>TEXT(Table1[[#This Row],[Date]],"MMM-YY")</f>
        <v>Mar-24</v>
      </c>
      <c r="T403">
        <f>_xlfn.ISOWEEKNUM(Table1[[#This Row],[Date]])</f>
        <v>11</v>
      </c>
      <c r="U403" t="str">
        <f>TEXT(Table1[[#This Row],[Expected Business Month]],"YYYY")</f>
        <v>2024</v>
      </c>
    </row>
    <row r="404" spans="1:21" hidden="1">
      <c r="A404" s="1">
        <v>45367</v>
      </c>
      <c r="B404" t="s">
        <v>1649</v>
      </c>
      <c r="C404" t="s">
        <v>96</v>
      </c>
      <c r="D404" t="s">
        <v>20</v>
      </c>
      <c r="E404" t="s">
        <v>15</v>
      </c>
      <c r="F404" t="s">
        <v>1650</v>
      </c>
      <c r="G404" s="9" t="s">
        <v>1657</v>
      </c>
      <c r="H404">
        <v>51930</v>
      </c>
      <c r="I404">
        <v>51930</v>
      </c>
      <c r="J404" s="21">
        <v>45352</v>
      </c>
      <c r="K404" s="7" t="s">
        <v>99</v>
      </c>
      <c r="L404" t="s">
        <v>68</v>
      </c>
      <c r="M404" t="s">
        <v>69</v>
      </c>
      <c r="O404">
        <v>51930</v>
      </c>
      <c r="S404" t="str">
        <f>TEXT(Table1[[#This Row],[Date]],"MMM-YY")</f>
        <v>Mar-24</v>
      </c>
      <c r="T404">
        <f>_xlfn.ISOWEEKNUM(Table1[[#This Row],[Date]])</f>
        <v>11</v>
      </c>
      <c r="U404" t="str">
        <f>TEXT(Table1[[#This Row],[Expected Business Month]],"YYYY")</f>
        <v>2024</v>
      </c>
    </row>
    <row r="405" spans="1:21" hidden="1">
      <c r="A405" s="1">
        <v>45367</v>
      </c>
      <c r="B405" t="s">
        <v>1548</v>
      </c>
      <c r="C405" t="s">
        <v>96</v>
      </c>
      <c r="D405" t="s">
        <v>20</v>
      </c>
      <c r="E405" t="s">
        <v>23</v>
      </c>
      <c r="F405" t="s">
        <v>1658</v>
      </c>
      <c r="G405" s="9" t="s">
        <v>1659</v>
      </c>
      <c r="H405">
        <v>3200</v>
      </c>
      <c r="I405">
        <v>3200</v>
      </c>
      <c r="J405" s="21">
        <v>45352</v>
      </c>
      <c r="K405" s="7" t="s">
        <v>67</v>
      </c>
      <c r="L405" t="s">
        <v>68</v>
      </c>
      <c r="M405" t="s">
        <v>69</v>
      </c>
      <c r="O405">
        <v>640</v>
      </c>
      <c r="S405" t="str">
        <f>TEXT(Table1[[#This Row],[Date]],"MMM-YY")</f>
        <v>Mar-24</v>
      </c>
      <c r="T405">
        <f>_xlfn.ISOWEEKNUM(Table1[[#This Row],[Date]])</f>
        <v>11</v>
      </c>
      <c r="U405" t="str">
        <f>TEXT(Table1[[#This Row],[Expected Business Month]],"YYYY")</f>
        <v>2024</v>
      </c>
    </row>
    <row r="406" spans="1:21" hidden="1">
      <c r="A406" s="1">
        <v>45367</v>
      </c>
      <c r="B406" t="s">
        <v>1660</v>
      </c>
      <c r="C406" t="s">
        <v>96</v>
      </c>
      <c r="D406" t="s">
        <v>105</v>
      </c>
      <c r="E406" t="s">
        <v>18</v>
      </c>
      <c r="F406" t="s">
        <v>1661</v>
      </c>
      <c r="G406" s="9" t="s">
        <v>1662</v>
      </c>
      <c r="H406">
        <v>20000</v>
      </c>
      <c r="I406">
        <v>0</v>
      </c>
      <c r="J406" s="21">
        <v>45352</v>
      </c>
      <c r="K406" s="7" t="s">
        <v>67</v>
      </c>
      <c r="L406" t="s">
        <v>9</v>
      </c>
      <c r="M406" t="s">
        <v>9</v>
      </c>
      <c r="N406" t="s">
        <v>1663</v>
      </c>
      <c r="O406">
        <v>4000</v>
      </c>
      <c r="S406" t="str">
        <f>TEXT(Table1[[#This Row],[Date]],"MMM-YY")</f>
        <v>Mar-24</v>
      </c>
      <c r="T406">
        <f>_xlfn.ISOWEEKNUM(Table1[[#This Row],[Date]])</f>
        <v>11</v>
      </c>
      <c r="U406" t="str">
        <f>TEXT(Table1[[#This Row],[Expected Business Month]],"YYYY")</f>
        <v>2024</v>
      </c>
    </row>
    <row r="407" spans="1:21" hidden="1">
      <c r="A407" s="1">
        <v>45368</v>
      </c>
      <c r="B407" t="s">
        <v>1664</v>
      </c>
      <c r="C407" t="s">
        <v>96</v>
      </c>
      <c r="D407" t="s">
        <v>20</v>
      </c>
      <c r="E407" t="s">
        <v>23</v>
      </c>
      <c r="F407" t="s">
        <v>1665</v>
      </c>
      <c r="G407" s="9" t="s">
        <v>1666</v>
      </c>
      <c r="H407">
        <v>11000</v>
      </c>
      <c r="I407">
        <v>0</v>
      </c>
      <c r="J407" s="21">
        <v>45352</v>
      </c>
      <c r="K407" s="7" t="s">
        <v>67</v>
      </c>
      <c r="L407" t="s">
        <v>9</v>
      </c>
      <c r="M407" t="s">
        <v>9</v>
      </c>
      <c r="N407" t="s">
        <v>1212</v>
      </c>
      <c r="O407">
        <v>0</v>
      </c>
      <c r="S407" t="str">
        <f>TEXT(Table1[[#This Row],[Date]],"MMM-YY")</f>
        <v>Mar-24</v>
      </c>
      <c r="T407">
        <f>_xlfn.ISOWEEKNUM(Table1[[#This Row],[Date]])</f>
        <v>11</v>
      </c>
      <c r="U407" t="str">
        <f>TEXT(Table1[[#This Row],[Expected Business Month]],"YYYY")</f>
        <v>2024</v>
      </c>
    </row>
    <row r="408" spans="1:21" hidden="1">
      <c r="A408" s="1">
        <v>45368</v>
      </c>
      <c r="B408" t="s">
        <v>1649</v>
      </c>
      <c r="C408" t="s">
        <v>96</v>
      </c>
      <c r="D408" t="s">
        <v>20</v>
      </c>
      <c r="E408" t="s">
        <v>15</v>
      </c>
      <c r="F408" t="s">
        <v>1650</v>
      </c>
      <c r="G408" s="9" t="s">
        <v>1667</v>
      </c>
      <c r="H408">
        <v>82548</v>
      </c>
      <c r="I408">
        <v>82548</v>
      </c>
      <c r="J408" s="21">
        <v>45352</v>
      </c>
      <c r="K408" s="7" t="s">
        <v>99</v>
      </c>
      <c r="L408" t="s">
        <v>68</v>
      </c>
      <c r="M408" t="s">
        <v>69</v>
      </c>
      <c r="O408">
        <v>82548</v>
      </c>
      <c r="S408" t="str">
        <f>TEXT(Table1[[#This Row],[Date]],"MMM-YY")</f>
        <v>Mar-24</v>
      </c>
      <c r="T408">
        <f>_xlfn.ISOWEEKNUM(Table1[[#This Row],[Date]])</f>
        <v>11</v>
      </c>
      <c r="U408" t="str">
        <f>TEXT(Table1[[#This Row],[Expected Business Month]],"YYYY")</f>
        <v>2024</v>
      </c>
    </row>
    <row r="409" spans="1:21" hidden="1">
      <c r="A409" s="1">
        <v>45369</v>
      </c>
      <c r="B409" t="s">
        <v>330</v>
      </c>
      <c r="C409" t="s">
        <v>96</v>
      </c>
      <c r="D409" t="s">
        <v>20</v>
      </c>
      <c r="E409" t="s">
        <v>23</v>
      </c>
      <c r="F409" t="s">
        <v>1253</v>
      </c>
      <c r="G409" s="9" t="s">
        <v>1668</v>
      </c>
      <c r="H409">
        <v>4000</v>
      </c>
      <c r="I409">
        <v>4000</v>
      </c>
      <c r="J409" s="21">
        <v>45352</v>
      </c>
      <c r="K409" s="7" t="s">
        <v>67</v>
      </c>
      <c r="L409" t="s">
        <v>68</v>
      </c>
      <c r="M409" t="s">
        <v>69</v>
      </c>
      <c r="O409">
        <v>0</v>
      </c>
      <c r="S409" t="str">
        <f>TEXT(Table1[[#This Row],[Date]],"MMM-YY")</f>
        <v>Mar-24</v>
      </c>
      <c r="T409">
        <f>_xlfn.ISOWEEKNUM(Table1[[#This Row],[Date]])</f>
        <v>12</v>
      </c>
      <c r="U409" t="str">
        <f>TEXT(Table1[[#This Row],[Expected Business Month]],"YYYY")</f>
        <v>2024</v>
      </c>
    </row>
    <row r="410" spans="1:21" hidden="1">
      <c r="A410" s="1">
        <v>45369</v>
      </c>
      <c r="B410" t="s">
        <v>1649</v>
      </c>
      <c r="C410" t="s">
        <v>96</v>
      </c>
      <c r="D410" t="s">
        <v>20</v>
      </c>
      <c r="E410" t="s">
        <v>15</v>
      </c>
      <c r="F410" t="s">
        <v>1650</v>
      </c>
      <c r="G410" s="9" t="s">
        <v>1669</v>
      </c>
      <c r="H410">
        <v>18552</v>
      </c>
      <c r="I410">
        <v>18552</v>
      </c>
      <c r="J410" s="21">
        <v>45352</v>
      </c>
      <c r="K410" s="7" t="s">
        <v>99</v>
      </c>
      <c r="L410" t="s">
        <v>68</v>
      </c>
      <c r="M410" t="s">
        <v>69</v>
      </c>
      <c r="O410">
        <v>18552</v>
      </c>
      <c r="S410" t="str">
        <f>TEXT(Table1[[#This Row],[Date]],"MMM-YY")</f>
        <v>Mar-24</v>
      </c>
      <c r="T410">
        <f>_xlfn.ISOWEEKNUM(Table1[[#This Row],[Date]])</f>
        <v>12</v>
      </c>
      <c r="U410" t="str">
        <f>TEXT(Table1[[#This Row],[Expected Business Month]],"YYYY")</f>
        <v>2024</v>
      </c>
    </row>
    <row r="411" spans="1:21" hidden="1">
      <c r="A411" s="1">
        <v>45369</v>
      </c>
      <c r="B411" t="s">
        <v>1552</v>
      </c>
      <c r="C411" t="s">
        <v>96</v>
      </c>
      <c r="D411" t="s">
        <v>20</v>
      </c>
      <c r="E411" t="s">
        <v>23</v>
      </c>
      <c r="F411" t="s">
        <v>1670</v>
      </c>
      <c r="G411" s="9" t="s">
        <v>1671</v>
      </c>
      <c r="H411">
        <v>20000</v>
      </c>
      <c r="I411">
        <v>0</v>
      </c>
      <c r="J411" s="21">
        <v>45352</v>
      </c>
      <c r="K411" s="7" t="s">
        <v>67</v>
      </c>
      <c r="L411" t="s">
        <v>9</v>
      </c>
      <c r="M411" t="s">
        <v>9</v>
      </c>
      <c r="N411" t="s">
        <v>1212</v>
      </c>
      <c r="O411">
        <v>4000</v>
      </c>
      <c r="S411" t="str">
        <f>TEXT(Table1[[#This Row],[Date]],"MMM-YY")</f>
        <v>Mar-24</v>
      </c>
      <c r="T411">
        <f>_xlfn.ISOWEEKNUM(Table1[[#This Row],[Date]])</f>
        <v>12</v>
      </c>
      <c r="U411" t="str">
        <f>TEXT(Table1[[#This Row],[Expected Business Month]],"YYYY")</f>
        <v>2024</v>
      </c>
    </row>
    <row r="412" spans="1:21" hidden="1">
      <c r="A412" s="1">
        <v>45369</v>
      </c>
      <c r="B412" t="s">
        <v>1672</v>
      </c>
      <c r="C412" t="s">
        <v>96</v>
      </c>
      <c r="D412" t="s">
        <v>20</v>
      </c>
      <c r="E412" t="s">
        <v>23</v>
      </c>
      <c r="F412" t="s">
        <v>1673</v>
      </c>
      <c r="G412" s="9" t="s">
        <v>1674</v>
      </c>
      <c r="H412">
        <v>12000</v>
      </c>
      <c r="I412">
        <v>12000</v>
      </c>
      <c r="J412" s="21">
        <v>45352</v>
      </c>
      <c r="K412" s="7" t="s">
        <v>99</v>
      </c>
      <c r="L412" t="s">
        <v>68</v>
      </c>
      <c r="M412" t="s">
        <v>69</v>
      </c>
      <c r="O412">
        <v>2400</v>
      </c>
      <c r="S412" t="str">
        <f>TEXT(Table1[[#This Row],[Date]],"MMM-YY")</f>
        <v>Mar-24</v>
      </c>
      <c r="T412">
        <f>_xlfn.ISOWEEKNUM(Table1[[#This Row],[Date]])</f>
        <v>12</v>
      </c>
      <c r="U412" t="str">
        <f>TEXT(Table1[[#This Row],[Expected Business Month]],"YYYY")</f>
        <v>2024</v>
      </c>
    </row>
    <row r="413" spans="1:21" hidden="1">
      <c r="A413" s="1">
        <v>45369</v>
      </c>
      <c r="B413" t="s">
        <v>1675</v>
      </c>
      <c r="C413" t="s">
        <v>96</v>
      </c>
      <c r="D413" t="s">
        <v>20</v>
      </c>
      <c r="E413" t="s">
        <v>23</v>
      </c>
      <c r="F413" t="s">
        <v>1676</v>
      </c>
      <c r="G413" s="9" t="s">
        <v>1677</v>
      </c>
      <c r="H413">
        <v>8000</v>
      </c>
      <c r="I413">
        <v>8000</v>
      </c>
      <c r="J413" s="21">
        <v>45352</v>
      </c>
      <c r="K413" s="7" t="s">
        <v>99</v>
      </c>
      <c r="L413" t="s">
        <v>68</v>
      </c>
      <c r="M413" t="s">
        <v>69</v>
      </c>
      <c r="O413">
        <v>0</v>
      </c>
      <c r="S413" t="str">
        <f>TEXT(Table1[[#This Row],[Date]],"MMM-YY")</f>
        <v>Mar-24</v>
      </c>
      <c r="T413">
        <f>_xlfn.ISOWEEKNUM(Table1[[#This Row],[Date]])</f>
        <v>12</v>
      </c>
      <c r="U413" t="str">
        <f>TEXT(Table1[[#This Row],[Expected Business Month]],"YYYY")</f>
        <v>2024</v>
      </c>
    </row>
    <row r="414" spans="1:21" hidden="1">
      <c r="A414" s="1">
        <v>45369</v>
      </c>
      <c r="B414" t="s">
        <v>1678</v>
      </c>
      <c r="C414" t="s">
        <v>96</v>
      </c>
      <c r="D414" t="s">
        <v>64</v>
      </c>
      <c r="E414" t="s">
        <v>38</v>
      </c>
      <c r="F414" t="s">
        <v>325</v>
      </c>
      <c r="G414" s="9" t="s">
        <v>1679</v>
      </c>
      <c r="H414">
        <v>40491</v>
      </c>
      <c r="I414">
        <v>40491</v>
      </c>
      <c r="J414" s="21">
        <v>45352</v>
      </c>
      <c r="K414" s="7" t="s">
        <v>99</v>
      </c>
      <c r="L414" t="s">
        <v>68</v>
      </c>
      <c r="M414" t="s">
        <v>69</v>
      </c>
      <c r="O414">
        <v>0</v>
      </c>
      <c r="S414" t="str">
        <f>TEXT(Table1[[#This Row],[Date]],"MMM-YY")</f>
        <v>Mar-24</v>
      </c>
      <c r="T414">
        <f>_xlfn.ISOWEEKNUM(Table1[[#This Row],[Date]])</f>
        <v>12</v>
      </c>
      <c r="U414" t="str">
        <f>TEXT(Table1[[#This Row],[Expected Business Month]],"YYYY")</f>
        <v>2024</v>
      </c>
    </row>
    <row r="415" spans="1:21" hidden="1">
      <c r="A415" s="1">
        <v>45369</v>
      </c>
      <c r="B415" t="s">
        <v>1680</v>
      </c>
      <c r="C415" t="s">
        <v>96</v>
      </c>
      <c r="D415" t="s">
        <v>64</v>
      </c>
      <c r="E415" t="s">
        <v>38</v>
      </c>
      <c r="F415" t="s">
        <v>1186</v>
      </c>
      <c r="G415" s="39">
        <v>45365</v>
      </c>
      <c r="H415">
        <v>10080</v>
      </c>
      <c r="I415">
        <v>10080</v>
      </c>
      <c r="J415" s="21">
        <v>45352</v>
      </c>
      <c r="K415" s="7" t="s">
        <v>67</v>
      </c>
      <c r="L415" t="s">
        <v>68</v>
      </c>
      <c r="M415" t="s">
        <v>69</v>
      </c>
      <c r="O415">
        <v>10080</v>
      </c>
      <c r="S415" t="str">
        <f>TEXT(Table1[[#This Row],[Date]],"MMM-YY")</f>
        <v>Mar-24</v>
      </c>
      <c r="T415">
        <f>_xlfn.ISOWEEKNUM(Table1[[#This Row],[Date]])</f>
        <v>12</v>
      </c>
      <c r="U415" t="str">
        <f>TEXT(Table1[[#This Row],[Expected Business Month]],"YYYY")</f>
        <v>2024</v>
      </c>
    </row>
    <row r="416" spans="1:21" hidden="1">
      <c r="A416" s="1">
        <v>45369</v>
      </c>
      <c r="B416" t="s">
        <v>1680</v>
      </c>
      <c r="C416" t="s">
        <v>96</v>
      </c>
      <c r="D416" t="s">
        <v>64</v>
      </c>
      <c r="E416" t="s">
        <v>38</v>
      </c>
      <c r="F416" t="s">
        <v>1186</v>
      </c>
      <c r="G416" s="39">
        <v>45366</v>
      </c>
      <c r="H416">
        <v>28926</v>
      </c>
      <c r="I416">
        <v>28926</v>
      </c>
      <c r="J416" s="21">
        <v>45352</v>
      </c>
      <c r="K416" s="7" t="s">
        <v>67</v>
      </c>
      <c r="L416" t="s">
        <v>68</v>
      </c>
      <c r="M416" t="s">
        <v>69</v>
      </c>
      <c r="O416">
        <v>28926</v>
      </c>
      <c r="S416" t="str">
        <f>TEXT(Table1[[#This Row],[Date]],"MMM-YY")</f>
        <v>Mar-24</v>
      </c>
      <c r="T416">
        <f>_xlfn.ISOWEEKNUM(Table1[[#This Row],[Date]])</f>
        <v>12</v>
      </c>
      <c r="U416" t="str">
        <f>TEXT(Table1[[#This Row],[Expected Business Month]],"YYYY")</f>
        <v>2024</v>
      </c>
    </row>
    <row r="417" spans="1:21" hidden="1">
      <c r="A417" s="1">
        <v>45369</v>
      </c>
      <c r="B417" t="s">
        <v>1680</v>
      </c>
      <c r="C417" t="s">
        <v>96</v>
      </c>
      <c r="D417" t="s">
        <v>64</v>
      </c>
      <c r="E417" t="s">
        <v>38</v>
      </c>
      <c r="F417" t="s">
        <v>1186</v>
      </c>
      <c r="G417" s="39">
        <v>45367</v>
      </c>
      <c r="H417">
        <v>28517</v>
      </c>
      <c r="I417">
        <v>28517</v>
      </c>
      <c r="J417" s="21">
        <v>45352</v>
      </c>
      <c r="K417" s="7" t="s">
        <v>67</v>
      </c>
      <c r="L417" t="s">
        <v>68</v>
      </c>
      <c r="M417" t="s">
        <v>69</v>
      </c>
      <c r="O417">
        <v>28517</v>
      </c>
      <c r="S417" t="str">
        <f>TEXT(Table1[[#This Row],[Date]],"MMM-YY")</f>
        <v>Mar-24</v>
      </c>
      <c r="T417">
        <f>_xlfn.ISOWEEKNUM(Table1[[#This Row],[Date]])</f>
        <v>12</v>
      </c>
      <c r="U417" t="str">
        <f>TEXT(Table1[[#This Row],[Expected Business Month]],"YYYY")</f>
        <v>2024</v>
      </c>
    </row>
    <row r="418" spans="1:21" hidden="1">
      <c r="A418" s="1">
        <v>45369</v>
      </c>
      <c r="B418" t="s">
        <v>1680</v>
      </c>
      <c r="C418" t="s">
        <v>96</v>
      </c>
      <c r="D418" t="s">
        <v>64</v>
      </c>
      <c r="E418" t="s">
        <v>38</v>
      </c>
      <c r="F418" t="s">
        <v>1186</v>
      </c>
      <c r="G418" s="39">
        <v>45368</v>
      </c>
      <c r="H418">
        <v>4095</v>
      </c>
      <c r="I418">
        <v>4095</v>
      </c>
      <c r="J418" s="21">
        <v>45352</v>
      </c>
      <c r="K418" s="7" t="s">
        <v>67</v>
      </c>
      <c r="L418" t="s">
        <v>68</v>
      </c>
      <c r="M418" t="s">
        <v>69</v>
      </c>
      <c r="O418">
        <v>4095</v>
      </c>
      <c r="S418" t="str">
        <f>TEXT(Table1[[#This Row],[Date]],"MMM-YY")</f>
        <v>Mar-24</v>
      </c>
      <c r="T418">
        <f>_xlfn.ISOWEEKNUM(Table1[[#This Row],[Date]])</f>
        <v>12</v>
      </c>
      <c r="U418" t="str">
        <f>TEXT(Table1[[#This Row],[Expected Business Month]],"YYYY")</f>
        <v>2024</v>
      </c>
    </row>
    <row r="419" spans="1:21" hidden="1">
      <c r="A419" s="1">
        <v>45369</v>
      </c>
      <c r="B419" t="s">
        <v>1680</v>
      </c>
      <c r="C419" t="s">
        <v>96</v>
      </c>
      <c r="D419" t="s">
        <v>64</v>
      </c>
      <c r="E419" t="s">
        <v>38</v>
      </c>
      <c r="F419" t="s">
        <v>1186</v>
      </c>
      <c r="G419" s="39">
        <v>45369</v>
      </c>
      <c r="H419">
        <v>11939</v>
      </c>
      <c r="I419">
        <v>11939</v>
      </c>
      <c r="J419" s="21">
        <v>45352</v>
      </c>
      <c r="K419" s="7" t="s">
        <v>67</v>
      </c>
      <c r="L419" t="s">
        <v>68</v>
      </c>
      <c r="M419" t="s">
        <v>69</v>
      </c>
      <c r="O419">
        <v>11939</v>
      </c>
      <c r="S419" t="str">
        <f>TEXT(Table1[[#This Row],[Date]],"MMM-YY")</f>
        <v>Mar-24</v>
      </c>
      <c r="T419">
        <f>_xlfn.ISOWEEKNUM(Table1[[#This Row],[Date]])</f>
        <v>12</v>
      </c>
      <c r="U419" t="str">
        <f>TEXT(Table1[[#This Row],[Expected Business Month]],"YYYY")</f>
        <v>2024</v>
      </c>
    </row>
    <row r="420" spans="1:21" hidden="1">
      <c r="A420" s="1">
        <v>45370</v>
      </c>
      <c r="B420" t="s">
        <v>1681</v>
      </c>
      <c r="C420" t="s">
        <v>63</v>
      </c>
      <c r="D420" t="s">
        <v>64</v>
      </c>
      <c r="E420" t="s">
        <v>27</v>
      </c>
      <c r="F420" t="s">
        <v>1189</v>
      </c>
      <c r="G420" s="9" t="s">
        <v>1682</v>
      </c>
      <c r="H420">
        <v>20000</v>
      </c>
      <c r="I420">
        <v>0</v>
      </c>
      <c r="J420" s="21">
        <v>45505</v>
      </c>
      <c r="K420" s="7" t="s">
        <v>67</v>
      </c>
      <c r="L420" t="s">
        <v>9</v>
      </c>
      <c r="M420" t="s">
        <v>9</v>
      </c>
      <c r="N420" t="s">
        <v>586</v>
      </c>
      <c r="O420">
        <v>2000</v>
      </c>
      <c r="S420" t="str">
        <f>TEXT(Table1[[#This Row],[Date]],"MMM-YY")</f>
        <v>Mar-24</v>
      </c>
      <c r="T420">
        <f>_xlfn.ISOWEEKNUM(Table1[[#This Row],[Date]])</f>
        <v>12</v>
      </c>
      <c r="U420" t="str">
        <f>TEXT(Table1[[#This Row],[Expected Business Month]],"YYYY")</f>
        <v>2024</v>
      </c>
    </row>
    <row r="421" spans="1:21" hidden="1">
      <c r="A421" s="1">
        <v>45370</v>
      </c>
      <c r="B421" t="s">
        <v>1649</v>
      </c>
      <c r="C421" t="s">
        <v>96</v>
      </c>
      <c r="D421" t="s">
        <v>20</v>
      </c>
      <c r="E421" t="s">
        <v>15</v>
      </c>
      <c r="F421" t="s">
        <v>1650</v>
      </c>
      <c r="G421" s="39" t="s">
        <v>1683</v>
      </c>
      <c r="H421">
        <v>16920</v>
      </c>
      <c r="I421">
        <v>16920</v>
      </c>
      <c r="J421" s="21">
        <v>45352</v>
      </c>
      <c r="K421" s="7" t="s">
        <v>99</v>
      </c>
      <c r="L421" t="s">
        <v>68</v>
      </c>
      <c r="M421" t="s">
        <v>69</v>
      </c>
      <c r="O421">
        <v>16920</v>
      </c>
      <c r="S421" t="str">
        <f>TEXT(Table1[[#This Row],[Date]],"MMM-YY")</f>
        <v>Mar-24</v>
      </c>
      <c r="T421">
        <f>_xlfn.ISOWEEKNUM(Table1[[#This Row],[Date]])</f>
        <v>12</v>
      </c>
      <c r="U421" t="str">
        <f>TEXT(Table1[[#This Row],[Expected Business Month]],"YYYY")</f>
        <v>2024</v>
      </c>
    </row>
    <row r="422" spans="1:21" hidden="1">
      <c r="A422" s="1">
        <v>45370</v>
      </c>
      <c r="B422" t="s">
        <v>1680</v>
      </c>
      <c r="C422" t="s">
        <v>96</v>
      </c>
      <c r="D422" t="s">
        <v>64</v>
      </c>
      <c r="E422" t="s">
        <v>38</v>
      </c>
      <c r="F422" t="s">
        <v>1186</v>
      </c>
      <c r="G422" s="38">
        <v>45370</v>
      </c>
      <c r="H422">
        <v>11257</v>
      </c>
      <c r="I422">
        <v>11257</v>
      </c>
      <c r="J422" s="21">
        <v>45352</v>
      </c>
      <c r="K422" s="7" t="s">
        <v>67</v>
      </c>
      <c r="L422" t="s">
        <v>68</v>
      </c>
      <c r="M422" t="s">
        <v>69</v>
      </c>
      <c r="O422">
        <v>11257</v>
      </c>
      <c r="S422" t="str">
        <f>TEXT(Table1[[#This Row],[Date]],"MMM-YY")</f>
        <v>Mar-24</v>
      </c>
      <c r="T422">
        <f>_xlfn.ISOWEEKNUM(Table1[[#This Row],[Date]])</f>
        <v>12</v>
      </c>
      <c r="U422" t="str">
        <f>TEXT(Table1[[#This Row],[Expected Business Month]],"YYYY")</f>
        <v>2024</v>
      </c>
    </row>
    <row r="423" spans="1:21" hidden="1">
      <c r="A423" s="1">
        <v>45370</v>
      </c>
      <c r="B423" t="s">
        <v>1194</v>
      </c>
      <c r="C423" t="s">
        <v>63</v>
      </c>
      <c r="D423" t="s">
        <v>20</v>
      </c>
      <c r="E423" t="s">
        <v>23</v>
      </c>
      <c r="F423" t="s">
        <v>1275</v>
      </c>
      <c r="G423" s="9" t="s">
        <v>1684</v>
      </c>
      <c r="H423">
        <v>18000</v>
      </c>
      <c r="I423">
        <v>18000</v>
      </c>
      <c r="J423" s="21">
        <v>45352</v>
      </c>
      <c r="K423" s="7" t="s">
        <v>67</v>
      </c>
      <c r="L423" t="s">
        <v>68</v>
      </c>
      <c r="M423" t="s">
        <v>69</v>
      </c>
      <c r="O423">
        <v>0</v>
      </c>
      <c r="S423" t="str">
        <f>TEXT(Table1[[#This Row],[Date]],"MMM-YY")</f>
        <v>Mar-24</v>
      </c>
      <c r="T423">
        <f>_xlfn.ISOWEEKNUM(Table1[[#This Row],[Date]])</f>
        <v>12</v>
      </c>
      <c r="U423" t="str">
        <f>TEXT(Table1[[#This Row],[Expected Business Month]],"YYYY")</f>
        <v>2024</v>
      </c>
    </row>
    <row r="424" spans="1:21" hidden="1">
      <c r="A424" s="1">
        <v>45370</v>
      </c>
      <c r="B424" t="s">
        <v>1685</v>
      </c>
      <c r="C424" t="s">
        <v>96</v>
      </c>
      <c r="D424" t="s">
        <v>20</v>
      </c>
      <c r="E424" t="s">
        <v>23</v>
      </c>
      <c r="F424" t="s">
        <v>1686</v>
      </c>
      <c r="G424" s="38" t="s">
        <v>1687</v>
      </c>
      <c r="H424">
        <v>8000</v>
      </c>
      <c r="I424">
        <v>8000</v>
      </c>
      <c r="J424" s="21">
        <v>45352</v>
      </c>
      <c r="K424" s="7" t="s">
        <v>67</v>
      </c>
      <c r="L424" t="s">
        <v>68</v>
      </c>
      <c r="M424" t="s">
        <v>69</v>
      </c>
      <c r="O424">
        <v>0</v>
      </c>
      <c r="S424" t="str">
        <f>TEXT(Table1[[#This Row],[Date]],"MMM-YY")</f>
        <v>Mar-24</v>
      </c>
      <c r="T424">
        <f>_xlfn.ISOWEEKNUM(Table1[[#This Row],[Date]])</f>
        <v>12</v>
      </c>
      <c r="U424" t="str">
        <f>TEXT(Table1[[#This Row],[Expected Business Month]],"YYYY")</f>
        <v>2024</v>
      </c>
    </row>
    <row r="425" spans="1:21" hidden="1">
      <c r="A425" s="1">
        <v>45371</v>
      </c>
      <c r="B425" t="s">
        <v>1688</v>
      </c>
      <c r="C425" t="s">
        <v>96</v>
      </c>
      <c r="D425" t="s">
        <v>20</v>
      </c>
      <c r="E425" t="s">
        <v>23</v>
      </c>
      <c r="F425" t="s">
        <v>371</v>
      </c>
      <c r="G425" s="9" t="s">
        <v>1689</v>
      </c>
      <c r="H425">
        <v>6340</v>
      </c>
      <c r="I425">
        <v>6340</v>
      </c>
      <c r="J425" s="21">
        <v>45352</v>
      </c>
      <c r="K425" s="7" t="s">
        <v>67</v>
      </c>
      <c r="L425" t="s">
        <v>68</v>
      </c>
      <c r="M425" t="s">
        <v>69</v>
      </c>
      <c r="O425">
        <v>1268</v>
      </c>
      <c r="S425" t="str">
        <f>TEXT(Table1[[#This Row],[Date]],"MMM-YY")</f>
        <v>Mar-24</v>
      </c>
      <c r="T425">
        <f>_xlfn.ISOWEEKNUM(Table1[[#This Row],[Date]])</f>
        <v>12</v>
      </c>
      <c r="U425" t="str">
        <f>TEXT(Table1[[#This Row],[Expected Business Month]],"YYYY")</f>
        <v>2024</v>
      </c>
    </row>
    <row r="426" spans="1:21" hidden="1">
      <c r="A426" s="1">
        <v>45371</v>
      </c>
      <c r="B426" t="s">
        <v>1649</v>
      </c>
      <c r="C426" t="s">
        <v>96</v>
      </c>
      <c r="D426" t="s">
        <v>20</v>
      </c>
      <c r="E426" t="s">
        <v>15</v>
      </c>
      <c r="F426" t="s">
        <v>1650</v>
      </c>
      <c r="G426" s="9" t="s">
        <v>1690</v>
      </c>
      <c r="H426">
        <v>21534</v>
      </c>
      <c r="I426">
        <v>21534</v>
      </c>
      <c r="J426" s="21">
        <v>45352</v>
      </c>
      <c r="K426" s="7" t="s">
        <v>99</v>
      </c>
      <c r="L426" t="s">
        <v>68</v>
      </c>
      <c r="M426" t="s">
        <v>69</v>
      </c>
      <c r="O426">
        <v>21534</v>
      </c>
      <c r="S426" t="str">
        <f>TEXT(Table1[[#This Row],[Date]],"MMM-YY")</f>
        <v>Mar-24</v>
      </c>
      <c r="T426">
        <f>_xlfn.ISOWEEKNUM(Table1[[#This Row],[Date]])</f>
        <v>12</v>
      </c>
      <c r="U426" t="str">
        <f>TEXT(Table1[[#This Row],[Expected Business Month]],"YYYY")</f>
        <v>2024</v>
      </c>
    </row>
    <row r="427" spans="1:21" hidden="1">
      <c r="A427" s="1">
        <v>45371</v>
      </c>
      <c r="B427" t="s">
        <v>1680</v>
      </c>
      <c r="C427" t="s">
        <v>96</v>
      </c>
      <c r="D427" t="s">
        <v>64</v>
      </c>
      <c r="E427" t="s">
        <v>38</v>
      </c>
      <c r="F427" t="s">
        <v>1186</v>
      </c>
      <c r="G427" s="39">
        <v>45371</v>
      </c>
      <c r="H427">
        <v>11257</v>
      </c>
      <c r="I427">
        <v>11257</v>
      </c>
      <c r="J427" s="21">
        <v>45352</v>
      </c>
      <c r="K427" s="7" t="s">
        <v>67</v>
      </c>
      <c r="L427" t="s">
        <v>68</v>
      </c>
      <c r="M427" t="s">
        <v>69</v>
      </c>
      <c r="O427">
        <v>11257</v>
      </c>
      <c r="S427" t="str">
        <f>TEXT(Table1[[#This Row],[Date]],"MMM-YY")</f>
        <v>Mar-24</v>
      </c>
      <c r="T427">
        <f>_xlfn.ISOWEEKNUM(Table1[[#This Row],[Date]])</f>
        <v>12</v>
      </c>
      <c r="U427" t="str">
        <f>TEXT(Table1[[#This Row],[Expected Business Month]],"YYYY")</f>
        <v>2024</v>
      </c>
    </row>
    <row r="428" spans="1:21" hidden="1">
      <c r="A428" s="1">
        <v>45371</v>
      </c>
      <c r="B428" t="s">
        <v>1691</v>
      </c>
      <c r="C428" t="s">
        <v>63</v>
      </c>
      <c r="D428" t="s">
        <v>64</v>
      </c>
      <c r="E428" t="s">
        <v>26</v>
      </c>
      <c r="F428" t="s">
        <v>1692</v>
      </c>
      <c r="G428" s="9" t="s">
        <v>1693</v>
      </c>
      <c r="H428">
        <v>200000</v>
      </c>
      <c r="I428">
        <v>0</v>
      </c>
      <c r="J428" s="21">
        <v>45383</v>
      </c>
      <c r="K428" s="7" t="s">
        <v>67</v>
      </c>
      <c r="L428" t="s">
        <v>9</v>
      </c>
      <c r="M428" t="s">
        <v>9</v>
      </c>
      <c r="N428" t="s">
        <v>1694</v>
      </c>
      <c r="O428">
        <v>40000</v>
      </c>
      <c r="S428" t="str">
        <f>TEXT(Table1[[#This Row],[Date]],"MMM-YY")</f>
        <v>Mar-24</v>
      </c>
      <c r="T428">
        <f>_xlfn.ISOWEEKNUM(Table1[[#This Row],[Date]])</f>
        <v>12</v>
      </c>
      <c r="U428" t="str">
        <f>TEXT(Table1[[#This Row],[Expected Business Month]],"YYYY")</f>
        <v>2024</v>
      </c>
    </row>
    <row r="429" spans="1:21" hidden="1">
      <c r="A429" s="1">
        <v>45371</v>
      </c>
      <c r="B429" t="s">
        <v>1695</v>
      </c>
      <c r="C429" t="s">
        <v>63</v>
      </c>
      <c r="D429" t="s">
        <v>64</v>
      </c>
      <c r="E429" t="s">
        <v>26</v>
      </c>
      <c r="F429" t="s">
        <v>1624</v>
      </c>
      <c r="G429" s="9" t="s">
        <v>1696</v>
      </c>
      <c r="H429">
        <v>22000</v>
      </c>
      <c r="I429">
        <v>0</v>
      </c>
      <c r="J429" s="21">
        <v>45413</v>
      </c>
      <c r="K429" s="7" t="s">
        <v>67</v>
      </c>
      <c r="L429" t="s">
        <v>9</v>
      </c>
      <c r="M429" t="s">
        <v>9</v>
      </c>
      <c r="N429" t="s">
        <v>1697</v>
      </c>
      <c r="O429">
        <v>0</v>
      </c>
      <c r="S429" t="str">
        <f>TEXT(Table1[[#This Row],[Date]],"MMM-YY")</f>
        <v>Mar-24</v>
      </c>
      <c r="T429">
        <f>_xlfn.ISOWEEKNUM(Table1[[#This Row],[Date]])</f>
        <v>12</v>
      </c>
      <c r="U429" t="str">
        <f>TEXT(Table1[[#This Row],[Expected Business Month]],"YYYY")</f>
        <v>2024</v>
      </c>
    </row>
    <row r="430" spans="1:21" ht="29.1" hidden="1">
      <c r="A430" s="1">
        <v>45371</v>
      </c>
      <c r="B430" t="s">
        <v>1698</v>
      </c>
      <c r="C430" t="s">
        <v>63</v>
      </c>
      <c r="D430" t="s">
        <v>105</v>
      </c>
      <c r="E430" t="s">
        <v>18</v>
      </c>
      <c r="F430" t="s">
        <v>1699</v>
      </c>
      <c r="G430" s="9" t="s">
        <v>1700</v>
      </c>
      <c r="H430">
        <v>46000</v>
      </c>
      <c r="I430">
        <v>0</v>
      </c>
      <c r="J430" s="21">
        <v>45383</v>
      </c>
      <c r="K430" s="7" t="s">
        <v>67</v>
      </c>
      <c r="L430" t="s">
        <v>9</v>
      </c>
      <c r="M430" t="s">
        <v>9</v>
      </c>
      <c r="N430" t="s">
        <v>1701</v>
      </c>
      <c r="O430">
        <v>9000</v>
      </c>
      <c r="S430" t="str">
        <f>TEXT(Table1[[#This Row],[Date]],"MMM-YY")</f>
        <v>Mar-24</v>
      </c>
      <c r="T430">
        <f>_xlfn.ISOWEEKNUM(Table1[[#This Row],[Date]])</f>
        <v>12</v>
      </c>
      <c r="U430" t="str">
        <f>TEXT(Table1[[#This Row],[Expected Business Month]],"YYYY")</f>
        <v>2024</v>
      </c>
    </row>
    <row r="431" spans="1:21" hidden="1">
      <c r="A431" s="1">
        <v>45371</v>
      </c>
      <c r="B431" t="s">
        <v>1702</v>
      </c>
      <c r="C431" t="s">
        <v>96</v>
      </c>
      <c r="D431" t="s">
        <v>64</v>
      </c>
      <c r="E431" t="s">
        <v>38</v>
      </c>
      <c r="F431" t="s">
        <v>1703</v>
      </c>
      <c r="G431" s="9" t="s">
        <v>1704</v>
      </c>
      <c r="H431">
        <v>50000</v>
      </c>
      <c r="I431">
        <v>0</v>
      </c>
      <c r="J431" s="21">
        <v>45352</v>
      </c>
      <c r="K431" s="7" t="s">
        <v>67</v>
      </c>
      <c r="L431" t="s">
        <v>9</v>
      </c>
      <c r="M431" t="s">
        <v>9</v>
      </c>
      <c r="N431" t="s">
        <v>1705</v>
      </c>
      <c r="O431">
        <v>50000</v>
      </c>
      <c r="S431" t="str">
        <f>TEXT(Table1[[#This Row],[Date]],"MMM-YY")</f>
        <v>Mar-24</v>
      </c>
      <c r="T431">
        <f>_xlfn.ISOWEEKNUM(Table1[[#This Row],[Date]])</f>
        <v>12</v>
      </c>
      <c r="U431" t="str">
        <f>TEXT(Table1[[#This Row],[Expected Business Month]],"YYYY")</f>
        <v>2024</v>
      </c>
    </row>
    <row r="432" spans="1:21" hidden="1">
      <c r="A432" s="1">
        <v>45372</v>
      </c>
      <c r="B432" t="s">
        <v>1649</v>
      </c>
      <c r="C432" t="s">
        <v>96</v>
      </c>
      <c r="D432" t="s">
        <v>20</v>
      </c>
      <c r="E432" t="s">
        <v>15</v>
      </c>
      <c r="F432" t="s">
        <v>1650</v>
      </c>
      <c r="G432" s="9" t="s">
        <v>1706</v>
      </c>
      <c r="H432">
        <v>22535</v>
      </c>
      <c r="I432">
        <v>22535</v>
      </c>
      <c r="J432" s="21">
        <v>45352</v>
      </c>
      <c r="K432" s="7" t="s">
        <v>99</v>
      </c>
      <c r="L432" t="s">
        <v>68</v>
      </c>
      <c r="M432" t="s">
        <v>69</v>
      </c>
      <c r="O432">
        <v>22535</v>
      </c>
      <c r="S432" t="str">
        <f>TEXT(Table1[[#This Row],[Date]],"MMM-YY")</f>
        <v>Mar-24</v>
      </c>
      <c r="T432">
        <f>_xlfn.ISOWEEKNUM(Table1[[#This Row],[Date]])</f>
        <v>12</v>
      </c>
      <c r="U432" t="str">
        <f>TEXT(Table1[[#This Row],[Expected Business Month]],"YYYY")</f>
        <v>2024</v>
      </c>
    </row>
    <row r="433" spans="1:21" hidden="1">
      <c r="A433" s="1">
        <v>45372</v>
      </c>
      <c r="B433" t="s">
        <v>1680</v>
      </c>
      <c r="C433" t="s">
        <v>96</v>
      </c>
      <c r="D433" t="s">
        <v>64</v>
      </c>
      <c r="E433" t="s">
        <v>38</v>
      </c>
      <c r="F433" t="s">
        <v>1186</v>
      </c>
      <c r="G433" s="39">
        <v>45372</v>
      </c>
      <c r="H433">
        <v>11275</v>
      </c>
      <c r="I433">
        <v>11275</v>
      </c>
      <c r="J433" s="21">
        <v>45352</v>
      </c>
      <c r="K433" s="7" t="s">
        <v>67</v>
      </c>
      <c r="L433" t="s">
        <v>68</v>
      </c>
      <c r="M433" t="s">
        <v>69</v>
      </c>
      <c r="O433">
        <v>11275</v>
      </c>
      <c r="S433" t="str">
        <f>TEXT(Table1[[#This Row],[Date]],"MMM-YY")</f>
        <v>Mar-24</v>
      </c>
      <c r="T433">
        <f>_xlfn.ISOWEEKNUM(Table1[[#This Row],[Date]])</f>
        <v>12</v>
      </c>
      <c r="U433" t="str">
        <f>TEXT(Table1[[#This Row],[Expected Business Month]],"YYYY")</f>
        <v>2024</v>
      </c>
    </row>
    <row r="434" spans="1:21" ht="29.1" hidden="1">
      <c r="A434" s="1">
        <v>45372</v>
      </c>
      <c r="B434" t="s">
        <v>471</v>
      </c>
      <c r="C434" t="s">
        <v>63</v>
      </c>
      <c r="D434" t="s">
        <v>64</v>
      </c>
      <c r="E434" t="s">
        <v>26</v>
      </c>
      <c r="F434" t="s">
        <v>1707</v>
      </c>
      <c r="G434" s="9" t="s">
        <v>1708</v>
      </c>
      <c r="H434">
        <v>22740</v>
      </c>
      <c r="I434">
        <v>22740</v>
      </c>
      <c r="J434" s="21">
        <v>45352</v>
      </c>
      <c r="K434" s="7" t="s">
        <v>67</v>
      </c>
      <c r="L434" t="s">
        <v>68</v>
      </c>
      <c r="M434" t="s">
        <v>69</v>
      </c>
      <c r="O434">
        <v>22740</v>
      </c>
      <c r="S434" t="str">
        <f>TEXT(Table1[[#This Row],[Date]],"MMM-YY")</f>
        <v>Mar-24</v>
      </c>
      <c r="T434">
        <f>_xlfn.ISOWEEKNUM(Table1[[#This Row],[Date]])</f>
        <v>12</v>
      </c>
      <c r="U434" t="str">
        <f>TEXT(Table1[[#This Row],[Expected Business Month]],"YYYY")</f>
        <v>2024</v>
      </c>
    </row>
    <row r="435" spans="1:21" hidden="1">
      <c r="A435" s="1">
        <v>45372</v>
      </c>
      <c r="B435" t="s">
        <v>1634</v>
      </c>
      <c r="C435" t="s">
        <v>96</v>
      </c>
      <c r="D435" t="s">
        <v>20</v>
      </c>
      <c r="E435" t="s">
        <v>23</v>
      </c>
      <c r="F435" t="s">
        <v>1709</v>
      </c>
      <c r="G435" s="9" t="s">
        <v>1446</v>
      </c>
      <c r="H435">
        <v>3000</v>
      </c>
      <c r="I435">
        <v>3000</v>
      </c>
      <c r="J435" s="21">
        <v>45352</v>
      </c>
      <c r="K435" s="7" t="s">
        <v>99</v>
      </c>
      <c r="L435" t="s">
        <v>68</v>
      </c>
      <c r="M435" t="s">
        <v>69</v>
      </c>
      <c r="O435">
        <v>0</v>
      </c>
      <c r="S435" t="str">
        <f>TEXT(Table1[[#This Row],[Date]],"MMM-YY")</f>
        <v>Mar-24</v>
      </c>
      <c r="T435">
        <f>_xlfn.ISOWEEKNUM(Table1[[#This Row],[Date]])</f>
        <v>12</v>
      </c>
      <c r="U435" t="str">
        <f>TEXT(Table1[[#This Row],[Expected Business Month]],"YYYY")</f>
        <v>2024</v>
      </c>
    </row>
    <row r="436" spans="1:21" hidden="1">
      <c r="A436" s="1">
        <v>45372</v>
      </c>
      <c r="B436" t="s">
        <v>1710</v>
      </c>
      <c r="C436" t="s">
        <v>96</v>
      </c>
      <c r="D436" t="s">
        <v>64</v>
      </c>
      <c r="E436" t="s">
        <v>26</v>
      </c>
      <c r="F436" t="s">
        <v>1711</v>
      </c>
      <c r="G436" s="9" t="s">
        <v>1712</v>
      </c>
      <c r="H436">
        <v>30000</v>
      </c>
      <c r="I436">
        <v>0</v>
      </c>
      <c r="J436" s="21">
        <v>45413</v>
      </c>
      <c r="K436" s="7" t="s">
        <v>67</v>
      </c>
      <c r="L436" t="s">
        <v>9</v>
      </c>
      <c r="M436" t="s">
        <v>9</v>
      </c>
      <c r="N436" t="s">
        <v>707</v>
      </c>
      <c r="O436">
        <v>6000</v>
      </c>
      <c r="S436" t="str">
        <f>TEXT(Table1[[#This Row],[Date]],"MMM-YY")</f>
        <v>Mar-24</v>
      </c>
      <c r="T436">
        <f>_xlfn.ISOWEEKNUM(Table1[[#This Row],[Date]])</f>
        <v>12</v>
      </c>
      <c r="U436" t="str">
        <f>TEXT(Table1[[#This Row],[Expected Business Month]],"YYYY")</f>
        <v>2024</v>
      </c>
    </row>
    <row r="437" spans="1:21" hidden="1">
      <c r="A437" s="1">
        <v>45372</v>
      </c>
      <c r="B437" t="s">
        <v>1713</v>
      </c>
      <c r="C437" t="s">
        <v>63</v>
      </c>
      <c r="D437" t="s">
        <v>64</v>
      </c>
      <c r="E437" t="s">
        <v>26</v>
      </c>
      <c r="F437" t="s">
        <v>1714</v>
      </c>
      <c r="G437" s="9" t="s">
        <v>1715</v>
      </c>
      <c r="H437">
        <v>100000</v>
      </c>
      <c r="I437">
        <v>0</v>
      </c>
      <c r="J437" s="21">
        <v>45383</v>
      </c>
      <c r="K437" s="7" t="s">
        <v>67</v>
      </c>
      <c r="L437" t="s">
        <v>9</v>
      </c>
      <c r="M437" t="s">
        <v>9</v>
      </c>
      <c r="N437" t="s">
        <v>1212</v>
      </c>
      <c r="O437">
        <v>20000</v>
      </c>
      <c r="S437" t="str">
        <f>TEXT(Table1[[#This Row],[Date]],"MMM-YY")</f>
        <v>Mar-24</v>
      </c>
      <c r="T437">
        <f>_xlfn.ISOWEEKNUM(Table1[[#This Row],[Date]])</f>
        <v>12</v>
      </c>
      <c r="U437" t="str">
        <f>TEXT(Table1[[#This Row],[Expected Business Month]],"YYYY")</f>
        <v>2024</v>
      </c>
    </row>
    <row r="438" spans="1:21" hidden="1">
      <c r="A438" s="1">
        <v>45373</v>
      </c>
      <c r="B438" t="s">
        <v>1649</v>
      </c>
      <c r="C438" t="s">
        <v>96</v>
      </c>
      <c r="D438" t="s">
        <v>20</v>
      </c>
      <c r="E438" t="s">
        <v>15</v>
      </c>
      <c r="F438" t="s">
        <v>1650</v>
      </c>
      <c r="G438" s="9" t="s">
        <v>1716</v>
      </c>
      <c r="H438">
        <v>40368</v>
      </c>
      <c r="I438">
        <v>40368</v>
      </c>
      <c r="J438" s="21">
        <v>45352</v>
      </c>
      <c r="K438" s="7" t="s">
        <v>99</v>
      </c>
      <c r="L438" t="s">
        <v>68</v>
      </c>
      <c r="M438" t="s">
        <v>69</v>
      </c>
      <c r="O438">
        <v>40368</v>
      </c>
      <c r="S438" t="str">
        <f>TEXT(Table1[[#This Row],[Date]],"MMM-YY")</f>
        <v>Mar-24</v>
      </c>
      <c r="T438">
        <f>_xlfn.ISOWEEKNUM(Table1[[#This Row],[Date]])</f>
        <v>12</v>
      </c>
      <c r="U438" t="str">
        <f>TEXT(Table1[[#This Row],[Expected Business Month]],"YYYY")</f>
        <v>2024</v>
      </c>
    </row>
    <row r="439" spans="1:21" hidden="1">
      <c r="A439" s="1">
        <v>45373</v>
      </c>
      <c r="B439" t="s">
        <v>1680</v>
      </c>
      <c r="C439" t="s">
        <v>96</v>
      </c>
      <c r="D439" t="s">
        <v>64</v>
      </c>
      <c r="E439" t="s">
        <v>38</v>
      </c>
      <c r="F439" t="s">
        <v>1186</v>
      </c>
      <c r="G439" s="39">
        <v>45373</v>
      </c>
      <c r="H439">
        <v>9145</v>
      </c>
      <c r="I439">
        <v>9145</v>
      </c>
      <c r="J439" s="21">
        <v>45352</v>
      </c>
      <c r="K439" s="7" t="s">
        <v>67</v>
      </c>
      <c r="L439" t="s">
        <v>68</v>
      </c>
      <c r="M439" t="s">
        <v>69</v>
      </c>
      <c r="O439">
        <v>9145</v>
      </c>
      <c r="S439" t="str">
        <f>TEXT(Table1[[#This Row],[Date]],"MMM-YY")</f>
        <v>Mar-24</v>
      </c>
      <c r="T439">
        <f>_xlfn.ISOWEEKNUM(Table1[[#This Row],[Date]])</f>
        <v>12</v>
      </c>
      <c r="U439" t="str">
        <f>TEXT(Table1[[#This Row],[Expected Business Month]],"YYYY")</f>
        <v>2024</v>
      </c>
    </row>
    <row r="440" spans="1:21" hidden="1">
      <c r="A440" s="1">
        <v>45373</v>
      </c>
      <c r="B440" t="s">
        <v>471</v>
      </c>
      <c r="C440" t="s">
        <v>96</v>
      </c>
      <c r="D440" t="s">
        <v>64</v>
      </c>
      <c r="E440" t="s">
        <v>26</v>
      </c>
      <c r="F440" t="s">
        <v>1707</v>
      </c>
      <c r="G440" s="39">
        <v>45373</v>
      </c>
      <c r="H440">
        <v>29500</v>
      </c>
      <c r="I440">
        <v>29500</v>
      </c>
      <c r="J440" s="21">
        <v>45352</v>
      </c>
      <c r="K440" s="7" t="s">
        <v>67</v>
      </c>
      <c r="L440" t="s">
        <v>68</v>
      </c>
      <c r="M440" t="s">
        <v>69</v>
      </c>
      <c r="O440">
        <v>29500</v>
      </c>
      <c r="S440" t="str">
        <f>TEXT(Table1[[#This Row],[Date]],"MMM-YY")</f>
        <v>Mar-24</v>
      </c>
      <c r="T440">
        <f>_xlfn.ISOWEEKNUM(Table1[[#This Row],[Date]])</f>
        <v>12</v>
      </c>
      <c r="U440" t="str">
        <f>TEXT(Table1[[#This Row],[Expected Business Month]],"YYYY")</f>
        <v>2024</v>
      </c>
    </row>
    <row r="441" spans="1:21" ht="29.1" hidden="1">
      <c r="A441" s="1">
        <v>45373</v>
      </c>
      <c r="B441" t="s">
        <v>1717</v>
      </c>
      <c r="C441" t="s">
        <v>63</v>
      </c>
      <c r="D441" t="s">
        <v>64</v>
      </c>
      <c r="E441" t="s">
        <v>14</v>
      </c>
      <c r="F441" t="s">
        <v>1718</v>
      </c>
      <c r="G441" s="9" t="s">
        <v>1719</v>
      </c>
      <c r="H441">
        <v>12000</v>
      </c>
      <c r="I441">
        <v>0</v>
      </c>
      <c r="J441" s="21">
        <v>45505</v>
      </c>
      <c r="K441" s="7" t="s">
        <v>67</v>
      </c>
      <c r="L441" t="s">
        <v>9</v>
      </c>
      <c r="M441" t="s">
        <v>9</v>
      </c>
      <c r="N441" t="s">
        <v>586</v>
      </c>
      <c r="O441">
        <v>2400</v>
      </c>
      <c r="S441" t="str">
        <f>TEXT(Table1[[#This Row],[Date]],"MMM-YY")</f>
        <v>Mar-24</v>
      </c>
      <c r="T441">
        <f>_xlfn.ISOWEEKNUM(Table1[[#This Row],[Date]])</f>
        <v>12</v>
      </c>
      <c r="U441" t="str">
        <f>TEXT(Table1[[#This Row],[Expected Business Month]],"YYYY")</f>
        <v>2024</v>
      </c>
    </row>
    <row r="442" spans="1:21" ht="29.1" hidden="1">
      <c r="A442" s="1">
        <v>45373</v>
      </c>
      <c r="B442" t="s">
        <v>1720</v>
      </c>
      <c r="C442" t="s">
        <v>63</v>
      </c>
      <c r="D442" t="s">
        <v>64</v>
      </c>
      <c r="E442" t="s">
        <v>28</v>
      </c>
      <c r="F442" t="s">
        <v>1721</v>
      </c>
      <c r="G442" s="9" t="s">
        <v>1719</v>
      </c>
      <c r="H442">
        <v>20000</v>
      </c>
      <c r="I442">
        <v>0</v>
      </c>
      <c r="J442" s="21">
        <v>45505</v>
      </c>
      <c r="K442" s="7" t="s">
        <v>67</v>
      </c>
      <c r="L442" t="s">
        <v>9</v>
      </c>
      <c r="M442" t="s">
        <v>9</v>
      </c>
      <c r="N442" t="s">
        <v>586</v>
      </c>
      <c r="O442">
        <v>4000</v>
      </c>
      <c r="S442" t="str">
        <f>TEXT(Table1[[#This Row],[Date]],"MMM-YY")</f>
        <v>Mar-24</v>
      </c>
      <c r="T442">
        <f>_xlfn.ISOWEEKNUM(Table1[[#This Row],[Date]])</f>
        <v>12</v>
      </c>
      <c r="U442" t="str">
        <f>TEXT(Table1[[#This Row],[Expected Business Month]],"YYYY")</f>
        <v>2024</v>
      </c>
    </row>
    <row r="443" spans="1:21" hidden="1">
      <c r="A443" s="1">
        <v>45374</v>
      </c>
      <c r="B443" t="s">
        <v>1649</v>
      </c>
      <c r="C443" t="s">
        <v>96</v>
      </c>
      <c r="D443" t="s">
        <v>20</v>
      </c>
      <c r="E443" t="s">
        <v>15</v>
      </c>
      <c r="F443" t="s">
        <v>1650</v>
      </c>
      <c r="G443" s="9" t="s">
        <v>1722</v>
      </c>
      <c r="H443">
        <v>57408</v>
      </c>
      <c r="I443">
        <v>57408</v>
      </c>
      <c r="J443" s="21">
        <v>45352</v>
      </c>
      <c r="K443" s="8" t="s">
        <v>99</v>
      </c>
      <c r="L443" t="s">
        <v>68</v>
      </c>
      <c r="M443" t="s">
        <v>69</v>
      </c>
      <c r="O443">
        <v>57408</v>
      </c>
      <c r="S443" t="str">
        <f>TEXT(Table1[[#This Row],[Date]],"MMM-YY")</f>
        <v>Mar-24</v>
      </c>
      <c r="T443">
        <f>_xlfn.ISOWEEKNUM(Table1[[#This Row],[Date]])</f>
        <v>12</v>
      </c>
      <c r="U443" t="str">
        <f>TEXT(Table1[[#This Row],[Expected Business Month]],"YYYY")</f>
        <v>2024</v>
      </c>
    </row>
    <row r="444" spans="1:21" hidden="1">
      <c r="A444" s="1">
        <v>45374</v>
      </c>
      <c r="B444" t="s">
        <v>1680</v>
      </c>
      <c r="C444" t="s">
        <v>96</v>
      </c>
      <c r="D444" t="s">
        <v>64</v>
      </c>
      <c r="E444" t="s">
        <v>38</v>
      </c>
      <c r="F444" t="s">
        <v>1186</v>
      </c>
      <c r="G444" s="39">
        <v>45374</v>
      </c>
      <c r="H444">
        <v>22513</v>
      </c>
      <c r="I444">
        <v>22513</v>
      </c>
      <c r="J444" s="21">
        <v>45352</v>
      </c>
      <c r="K444" s="7" t="s">
        <v>67</v>
      </c>
      <c r="L444" t="s">
        <v>68</v>
      </c>
      <c r="M444" t="s">
        <v>69</v>
      </c>
      <c r="O444">
        <v>22513</v>
      </c>
      <c r="S444" t="str">
        <f>TEXT(Table1[[#This Row],[Date]],"MMM-YY")</f>
        <v>Mar-24</v>
      </c>
      <c r="T444">
        <f>_xlfn.ISOWEEKNUM(Table1[[#This Row],[Date]])</f>
        <v>12</v>
      </c>
      <c r="U444" t="str">
        <f>TEXT(Table1[[#This Row],[Expected Business Month]],"YYYY")</f>
        <v>2024</v>
      </c>
    </row>
    <row r="445" spans="1:21" hidden="1">
      <c r="A445" s="1">
        <v>45374</v>
      </c>
      <c r="B445" t="s">
        <v>1723</v>
      </c>
      <c r="C445" t="s">
        <v>96</v>
      </c>
      <c r="D445" t="s">
        <v>20</v>
      </c>
      <c r="E445" t="s">
        <v>23</v>
      </c>
      <c r="F445" t="s">
        <v>1724</v>
      </c>
      <c r="G445" s="9" t="s">
        <v>1725</v>
      </c>
      <c r="H445">
        <v>5000</v>
      </c>
      <c r="I445">
        <v>5000</v>
      </c>
      <c r="J445" s="21">
        <v>45352</v>
      </c>
      <c r="K445" s="7" t="s">
        <v>67</v>
      </c>
      <c r="L445" t="s">
        <v>68</v>
      </c>
      <c r="M445" t="s">
        <v>69</v>
      </c>
      <c r="O445">
        <v>1000</v>
      </c>
      <c r="S445" t="str">
        <f>TEXT(Table1[[#This Row],[Date]],"MMM-YY")</f>
        <v>Mar-24</v>
      </c>
      <c r="T445">
        <f>_xlfn.ISOWEEKNUM(Table1[[#This Row],[Date]])</f>
        <v>12</v>
      </c>
      <c r="U445" t="str">
        <f>TEXT(Table1[[#This Row],[Expected Business Month]],"YYYY")</f>
        <v>2024</v>
      </c>
    </row>
    <row r="446" spans="1:21" hidden="1">
      <c r="A446" s="1">
        <v>45374</v>
      </c>
      <c r="B446" t="s">
        <v>1726</v>
      </c>
      <c r="C446" t="s">
        <v>96</v>
      </c>
      <c r="D446" t="s">
        <v>20</v>
      </c>
      <c r="E446" t="s">
        <v>23</v>
      </c>
      <c r="F446" t="s">
        <v>1727</v>
      </c>
      <c r="G446" s="9" t="s">
        <v>1725</v>
      </c>
      <c r="H446">
        <v>8000</v>
      </c>
      <c r="I446">
        <v>8000</v>
      </c>
      <c r="J446" s="21">
        <v>45352</v>
      </c>
      <c r="K446" s="7" t="s">
        <v>67</v>
      </c>
      <c r="L446" t="s">
        <v>68</v>
      </c>
      <c r="M446" t="s">
        <v>69</v>
      </c>
      <c r="O446">
        <v>0</v>
      </c>
      <c r="S446" t="str">
        <f>TEXT(Table1[[#This Row],[Date]],"MMM-YY")</f>
        <v>Mar-24</v>
      </c>
      <c r="T446">
        <f>_xlfn.ISOWEEKNUM(Table1[[#This Row],[Date]])</f>
        <v>12</v>
      </c>
      <c r="U446" t="str">
        <f>TEXT(Table1[[#This Row],[Expected Business Month]],"YYYY")</f>
        <v>2024</v>
      </c>
    </row>
    <row r="447" spans="1:21" hidden="1">
      <c r="A447" s="1">
        <v>45375</v>
      </c>
      <c r="B447" t="s">
        <v>1649</v>
      </c>
      <c r="C447" t="s">
        <v>96</v>
      </c>
      <c r="D447" t="s">
        <v>20</v>
      </c>
      <c r="E447" t="s">
        <v>15</v>
      </c>
      <c r="F447" t="s">
        <v>1650</v>
      </c>
      <c r="G447" s="9" t="s">
        <v>1728</v>
      </c>
      <c r="H447">
        <v>55092</v>
      </c>
      <c r="I447">
        <v>55092</v>
      </c>
      <c r="J447" s="21">
        <v>45352</v>
      </c>
      <c r="K447" s="7" t="s">
        <v>99</v>
      </c>
      <c r="L447" t="s">
        <v>68</v>
      </c>
      <c r="M447" t="s">
        <v>69</v>
      </c>
      <c r="O447">
        <v>55092</v>
      </c>
      <c r="S447" t="str">
        <f>TEXT(Table1[[#This Row],[Date]],"MMM-YY")</f>
        <v>Mar-24</v>
      </c>
      <c r="T447">
        <f>_xlfn.ISOWEEKNUM(Table1[[#This Row],[Date]])</f>
        <v>12</v>
      </c>
      <c r="U447" t="str">
        <f>TEXT(Table1[[#This Row],[Expected Business Month]],"YYYY")</f>
        <v>2024</v>
      </c>
    </row>
    <row r="448" spans="1:21" hidden="1">
      <c r="A448" s="1">
        <v>45375</v>
      </c>
      <c r="B448" t="s">
        <v>1680</v>
      </c>
      <c r="C448" t="s">
        <v>96</v>
      </c>
      <c r="D448" t="s">
        <v>64</v>
      </c>
      <c r="E448" t="s">
        <v>38</v>
      </c>
      <c r="F448" t="s">
        <v>1186</v>
      </c>
      <c r="G448" s="39">
        <v>45375</v>
      </c>
      <c r="H448">
        <v>13781</v>
      </c>
      <c r="I448">
        <v>13781</v>
      </c>
      <c r="J448" s="21">
        <v>45352</v>
      </c>
      <c r="K448" s="7" t="s">
        <v>67</v>
      </c>
      <c r="L448" t="s">
        <v>68</v>
      </c>
      <c r="M448" t="s">
        <v>69</v>
      </c>
      <c r="O448">
        <v>13781</v>
      </c>
      <c r="S448" t="str">
        <f>TEXT(Table1[[#This Row],[Date]],"MMM-YY")</f>
        <v>Mar-24</v>
      </c>
      <c r="T448">
        <f>_xlfn.ISOWEEKNUM(Table1[[#This Row],[Date]])</f>
        <v>12</v>
      </c>
      <c r="U448" t="str">
        <f>TEXT(Table1[[#This Row],[Expected Business Month]],"YYYY")</f>
        <v>2024</v>
      </c>
    </row>
    <row r="449" spans="1:21" hidden="1">
      <c r="A449" s="1">
        <v>45376</v>
      </c>
      <c r="B449" t="s">
        <v>1194</v>
      </c>
      <c r="C449" t="s">
        <v>96</v>
      </c>
      <c r="D449" t="s">
        <v>20</v>
      </c>
      <c r="E449" t="s">
        <v>23</v>
      </c>
      <c r="F449" t="s">
        <v>1729</v>
      </c>
      <c r="G449" s="39">
        <v>45379</v>
      </c>
      <c r="H449">
        <v>8000</v>
      </c>
      <c r="I449">
        <v>8000</v>
      </c>
      <c r="J449" s="21">
        <v>45352</v>
      </c>
      <c r="K449" s="7" t="s">
        <v>67</v>
      </c>
      <c r="L449" t="s">
        <v>68</v>
      </c>
      <c r="M449" t="s">
        <v>69</v>
      </c>
      <c r="O449">
        <v>0</v>
      </c>
      <c r="S449" t="str">
        <f>TEXT(Table1[[#This Row],[Date]],"MMM-YY")</f>
        <v>Mar-24</v>
      </c>
      <c r="T449">
        <f>_xlfn.ISOWEEKNUM(Table1[[#This Row],[Date]])</f>
        <v>13</v>
      </c>
      <c r="U449" t="str">
        <f>TEXT(Table1[[#This Row],[Expected Business Month]],"YYYY")</f>
        <v>2024</v>
      </c>
    </row>
    <row r="450" spans="1:21" hidden="1">
      <c r="A450" s="1">
        <v>45376</v>
      </c>
      <c r="B450" t="s">
        <v>1649</v>
      </c>
      <c r="C450" t="s">
        <v>96</v>
      </c>
      <c r="D450" t="s">
        <v>20</v>
      </c>
      <c r="E450" t="s">
        <v>15</v>
      </c>
      <c r="F450" t="s">
        <v>1650</v>
      </c>
      <c r="G450" s="9" t="s">
        <v>1730</v>
      </c>
      <c r="H450">
        <v>11784</v>
      </c>
      <c r="I450">
        <v>11784</v>
      </c>
      <c r="J450" s="21">
        <v>45352</v>
      </c>
      <c r="K450" s="7" t="s">
        <v>99</v>
      </c>
      <c r="L450" t="s">
        <v>68</v>
      </c>
      <c r="M450" t="s">
        <v>69</v>
      </c>
      <c r="O450">
        <v>11784</v>
      </c>
      <c r="S450" t="str">
        <f>TEXT(Table1[[#This Row],[Date]],"MMM-YY")</f>
        <v>Mar-24</v>
      </c>
      <c r="T450">
        <f>_xlfn.ISOWEEKNUM(Table1[[#This Row],[Date]])</f>
        <v>13</v>
      </c>
      <c r="U450" t="str">
        <f>TEXT(Table1[[#This Row],[Expected Business Month]],"YYYY")</f>
        <v>2024</v>
      </c>
    </row>
    <row r="451" spans="1:21" hidden="1">
      <c r="A451" s="1">
        <v>45376</v>
      </c>
      <c r="B451" t="s">
        <v>1680</v>
      </c>
      <c r="C451" t="s">
        <v>96</v>
      </c>
      <c r="D451" t="s">
        <v>64</v>
      </c>
      <c r="E451" t="s">
        <v>38</v>
      </c>
      <c r="F451" t="s">
        <v>1186</v>
      </c>
      <c r="G451" s="39">
        <v>45376</v>
      </c>
      <c r="H451">
        <v>5048</v>
      </c>
      <c r="I451">
        <v>5048</v>
      </c>
      <c r="J451" s="21">
        <v>45352</v>
      </c>
      <c r="K451" s="7" t="s">
        <v>67</v>
      </c>
      <c r="L451" t="s">
        <v>68</v>
      </c>
      <c r="M451" t="s">
        <v>69</v>
      </c>
      <c r="O451">
        <v>5048</v>
      </c>
      <c r="S451" t="str">
        <f>TEXT(Table1[[#This Row],[Date]],"MMM-YY")</f>
        <v>Mar-24</v>
      </c>
      <c r="T451">
        <f>_xlfn.ISOWEEKNUM(Table1[[#This Row],[Date]])</f>
        <v>13</v>
      </c>
      <c r="U451" t="str">
        <f>TEXT(Table1[[#This Row],[Expected Business Month]],"YYYY")</f>
        <v>2024</v>
      </c>
    </row>
    <row r="452" spans="1:21" hidden="1">
      <c r="A452" s="1">
        <v>45376</v>
      </c>
      <c r="B452" t="s">
        <v>471</v>
      </c>
      <c r="C452" t="s">
        <v>96</v>
      </c>
      <c r="D452" t="s">
        <v>64</v>
      </c>
      <c r="E452" t="s">
        <v>26</v>
      </c>
      <c r="F452" t="s">
        <v>1707</v>
      </c>
      <c r="G452" s="39">
        <v>45376</v>
      </c>
      <c r="H452">
        <v>8350</v>
      </c>
      <c r="I452">
        <v>8350</v>
      </c>
      <c r="J452" s="21">
        <v>45352</v>
      </c>
      <c r="K452" s="7" t="s">
        <v>67</v>
      </c>
      <c r="L452" t="s">
        <v>68</v>
      </c>
      <c r="M452" t="s">
        <v>69</v>
      </c>
      <c r="O452">
        <v>8350</v>
      </c>
      <c r="S452" t="str">
        <f>TEXT(Table1[[#This Row],[Date]],"MMM-YY")</f>
        <v>Mar-24</v>
      </c>
      <c r="T452">
        <f>_xlfn.ISOWEEKNUM(Table1[[#This Row],[Date]])</f>
        <v>13</v>
      </c>
      <c r="U452" t="str">
        <f>TEXT(Table1[[#This Row],[Expected Business Month]],"YYYY")</f>
        <v>2024</v>
      </c>
    </row>
    <row r="453" spans="1:21" hidden="1">
      <c r="A453" s="1">
        <v>45376</v>
      </c>
      <c r="B453" t="s">
        <v>1731</v>
      </c>
      <c r="C453" t="s">
        <v>96</v>
      </c>
      <c r="D453" t="s">
        <v>64</v>
      </c>
      <c r="E453" t="s">
        <v>16</v>
      </c>
      <c r="F453" t="s">
        <v>1515</v>
      </c>
      <c r="G453" s="39">
        <v>45376</v>
      </c>
      <c r="H453">
        <v>244000</v>
      </c>
      <c r="I453">
        <v>244000</v>
      </c>
      <c r="J453" s="21">
        <v>45352</v>
      </c>
      <c r="K453" s="7" t="s">
        <v>67</v>
      </c>
      <c r="L453" t="s">
        <v>68</v>
      </c>
      <c r="M453" t="s">
        <v>69</v>
      </c>
      <c r="O453">
        <v>2400</v>
      </c>
      <c r="S453" t="str">
        <f>TEXT(Table1[[#This Row],[Date]],"MMM-YY")</f>
        <v>Mar-24</v>
      </c>
      <c r="T453">
        <f>_xlfn.ISOWEEKNUM(Table1[[#This Row],[Date]])</f>
        <v>13</v>
      </c>
      <c r="U453" t="str">
        <f>TEXT(Table1[[#This Row],[Expected Business Month]],"YYYY")</f>
        <v>2024</v>
      </c>
    </row>
    <row r="454" spans="1:21" ht="29.1" hidden="1">
      <c r="A454" s="1">
        <v>45377</v>
      </c>
      <c r="B454" t="s">
        <v>324</v>
      </c>
      <c r="C454" t="s">
        <v>96</v>
      </c>
      <c r="D454" t="s">
        <v>64</v>
      </c>
      <c r="E454" t="s">
        <v>38</v>
      </c>
      <c r="F454" t="s">
        <v>325</v>
      </c>
      <c r="G454" s="9" t="s">
        <v>1732</v>
      </c>
      <c r="H454">
        <v>40000</v>
      </c>
      <c r="I454">
        <v>40000</v>
      </c>
      <c r="J454" s="21">
        <v>45352</v>
      </c>
      <c r="K454" s="7" t="s">
        <v>99</v>
      </c>
      <c r="L454" t="s">
        <v>68</v>
      </c>
      <c r="M454" t="s">
        <v>69</v>
      </c>
      <c r="O454">
        <v>0</v>
      </c>
      <c r="S454" t="str">
        <f>TEXT(Table1[[#This Row],[Date]],"MMM-YY")</f>
        <v>Mar-24</v>
      </c>
      <c r="T454">
        <f>_xlfn.ISOWEEKNUM(Table1[[#This Row],[Date]])</f>
        <v>13</v>
      </c>
      <c r="U454" t="str">
        <f>TEXT(Table1[[#This Row],[Expected Business Month]],"YYYY")</f>
        <v>2024</v>
      </c>
    </row>
    <row r="455" spans="1:21" hidden="1">
      <c r="A455" s="1">
        <v>45377</v>
      </c>
      <c r="B455" t="s">
        <v>1649</v>
      </c>
      <c r="C455" t="s">
        <v>96</v>
      </c>
      <c r="D455" t="s">
        <v>20</v>
      </c>
      <c r="E455" t="s">
        <v>15</v>
      </c>
      <c r="F455" t="s">
        <v>1650</v>
      </c>
      <c r="G455" s="9" t="s">
        <v>1733</v>
      </c>
      <c r="H455">
        <v>15314</v>
      </c>
      <c r="I455">
        <v>15314</v>
      </c>
      <c r="J455" s="21">
        <v>45352</v>
      </c>
      <c r="K455" s="7" t="s">
        <v>99</v>
      </c>
      <c r="L455" t="s">
        <v>68</v>
      </c>
      <c r="M455" t="s">
        <v>69</v>
      </c>
      <c r="O455">
        <v>15314</v>
      </c>
      <c r="S455" t="str">
        <f>TEXT(Table1[[#This Row],[Date]],"MMM-YY")</f>
        <v>Mar-24</v>
      </c>
      <c r="T455">
        <f>_xlfn.ISOWEEKNUM(Table1[[#This Row],[Date]])</f>
        <v>13</v>
      </c>
      <c r="U455" t="str">
        <f>TEXT(Table1[[#This Row],[Expected Business Month]],"YYYY")</f>
        <v>2024</v>
      </c>
    </row>
    <row r="456" spans="1:21" hidden="1">
      <c r="A456" s="1">
        <v>45377</v>
      </c>
      <c r="B456" t="s">
        <v>471</v>
      </c>
      <c r="C456" t="s">
        <v>96</v>
      </c>
      <c r="D456" t="s">
        <v>64</v>
      </c>
      <c r="E456" t="s">
        <v>26</v>
      </c>
      <c r="F456" t="s">
        <v>1707</v>
      </c>
      <c r="G456" s="39">
        <v>45377</v>
      </c>
      <c r="H456">
        <v>14060</v>
      </c>
      <c r="I456">
        <v>14060</v>
      </c>
      <c r="J456" s="21">
        <v>45352</v>
      </c>
      <c r="K456" s="7" t="s">
        <v>67</v>
      </c>
      <c r="L456" t="s">
        <v>68</v>
      </c>
      <c r="M456" t="s">
        <v>69</v>
      </c>
      <c r="O456">
        <v>14060</v>
      </c>
      <c r="S456" t="str">
        <f>TEXT(Table1[[#This Row],[Date]],"MMM-YY")</f>
        <v>Mar-24</v>
      </c>
      <c r="T456">
        <f>_xlfn.ISOWEEKNUM(Table1[[#This Row],[Date]])</f>
        <v>13</v>
      </c>
      <c r="U456" t="str">
        <f>TEXT(Table1[[#This Row],[Expected Business Month]],"YYYY")</f>
        <v>2024</v>
      </c>
    </row>
    <row r="457" spans="1:21" hidden="1">
      <c r="A457" s="1">
        <v>45377</v>
      </c>
      <c r="B457" t="s">
        <v>1680</v>
      </c>
      <c r="C457" t="s">
        <v>96</v>
      </c>
      <c r="D457" t="s">
        <v>64</v>
      </c>
      <c r="E457" t="s">
        <v>38</v>
      </c>
      <c r="F457" t="s">
        <v>1186</v>
      </c>
      <c r="G457" s="39">
        <v>45377</v>
      </c>
      <c r="H457">
        <v>6891</v>
      </c>
      <c r="I457">
        <v>6891</v>
      </c>
      <c r="J457" s="21">
        <v>45352</v>
      </c>
      <c r="K457" s="7" t="s">
        <v>67</v>
      </c>
      <c r="L457" t="s">
        <v>68</v>
      </c>
      <c r="M457" t="s">
        <v>69</v>
      </c>
      <c r="O457">
        <v>6891</v>
      </c>
      <c r="S457" t="str">
        <f>TEXT(Table1[[#This Row],[Date]],"MMM-YY")</f>
        <v>Mar-24</v>
      </c>
      <c r="T457">
        <f>_xlfn.ISOWEEKNUM(Table1[[#This Row],[Date]])</f>
        <v>13</v>
      </c>
      <c r="U457" t="str">
        <f>TEXT(Table1[[#This Row],[Expected Business Month]],"YYYY")</f>
        <v>2024</v>
      </c>
    </row>
    <row r="458" spans="1:21" ht="29.1" hidden="1">
      <c r="A458" s="1">
        <v>45377</v>
      </c>
      <c r="B458" t="s">
        <v>1734</v>
      </c>
      <c r="C458" t="s">
        <v>63</v>
      </c>
      <c r="D458" t="s">
        <v>64</v>
      </c>
      <c r="E458" t="s">
        <v>14</v>
      </c>
      <c r="F458" t="s">
        <v>1735</v>
      </c>
      <c r="G458" s="9" t="s">
        <v>1719</v>
      </c>
      <c r="H458">
        <v>10000</v>
      </c>
      <c r="I458">
        <v>0</v>
      </c>
      <c r="J458" s="21">
        <v>45383</v>
      </c>
      <c r="K458" s="7" t="s">
        <v>67</v>
      </c>
      <c r="L458" t="s">
        <v>9</v>
      </c>
      <c r="M458" t="s">
        <v>9</v>
      </c>
      <c r="N458" t="s">
        <v>586</v>
      </c>
      <c r="O458">
        <v>2000</v>
      </c>
      <c r="S458" t="str">
        <f>TEXT(Table1[[#This Row],[Date]],"MMM-YY")</f>
        <v>Mar-24</v>
      </c>
      <c r="T458">
        <f>_xlfn.ISOWEEKNUM(Table1[[#This Row],[Date]])</f>
        <v>13</v>
      </c>
      <c r="U458" t="str">
        <f>TEXT(Table1[[#This Row],[Expected Business Month]],"YYYY")</f>
        <v>2024</v>
      </c>
    </row>
    <row r="459" spans="1:21" ht="29.1" hidden="1">
      <c r="A459" s="1">
        <v>45377</v>
      </c>
      <c r="B459" t="s">
        <v>1736</v>
      </c>
      <c r="C459" t="s">
        <v>63</v>
      </c>
      <c r="D459" t="s">
        <v>64</v>
      </c>
      <c r="E459" t="s">
        <v>26</v>
      </c>
      <c r="F459" t="s">
        <v>1737</v>
      </c>
      <c r="G459" s="9" t="s">
        <v>1719</v>
      </c>
      <c r="H459">
        <v>12000</v>
      </c>
      <c r="I459">
        <v>0</v>
      </c>
      <c r="J459" s="21">
        <v>45383</v>
      </c>
      <c r="K459" s="7" t="s">
        <v>67</v>
      </c>
      <c r="L459" t="s">
        <v>9</v>
      </c>
      <c r="M459" t="s">
        <v>9</v>
      </c>
      <c r="N459" t="s">
        <v>586</v>
      </c>
      <c r="O459">
        <v>2400</v>
      </c>
      <c r="S459" t="str">
        <f>TEXT(Table1[[#This Row],[Date]],"MMM-YY")</f>
        <v>Mar-24</v>
      </c>
      <c r="T459">
        <f>_xlfn.ISOWEEKNUM(Table1[[#This Row],[Date]])</f>
        <v>13</v>
      </c>
      <c r="U459" t="str">
        <f>TEXT(Table1[[#This Row],[Expected Business Month]],"YYYY")</f>
        <v>2024</v>
      </c>
    </row>
    <row r="460" spans="1:21" hidden="1">
      <c r="A460" s="1">
        <v>45378</v>
      </c>
      <c r="B460" t="s">
        <v>1649</v>
      </c>
      <c r="C460" t="s">
        <v>96</v>
      </c>
      <c r="D460" t="s">
        <v>20</v>
      </c>
      <c r="E460" t="s">
        <v>15</v>
      </c>
      <c r="F460" t="s">
        <v>1650</v>
      </c>
      <c r="G460" s="9" t="s">
        <v>1738</v>
      </c>
      <c r="H460">
        <v>13758</v>
      </c>
      <c r="I460">
        <v>13758</v>
      </c>
      <c r="J460" s="21">
        <v>45352</v>
      </c>
      <c r="K460" s="7" t="s">
        <v>99</v>
      </c>
      <c r="L460" t="s">
        <v>68</v>
      </c>
      <c r="M460" t="s">
        <v>69</v>
      </c>
      <c r="O460">
        <v>13758</v>
      </c>
      <c r="S460" t="str">
        <f>TEXT(Table1[[#This Row],[Date]],"MMM-YY")</f>
        <v>Mar-24</v>
      </c>
      <c r="T460">
        <f>_xlfn.ISOWEEKNUM(Table1[[#This Row],[Date]])</f>
        <v>13</v>
      </c>
      <c r="U460" t="str">
        <f>TEXT(Table1[[#This Row],[Expected Business Month]],"YYYY")</f>
        <v>2024</v>
      </c>
    </row>
    <row r="461" spans="1:21" hidden="1">
      <c r="A461" s="1">
        <v>45378</v>
      </c>
      <c r="B461" t="s">
        <v>471</v>
      </c>
      <c r="C461" t="s">
        <v>96</v>
      </c>
      <c r="D461" t="s">
        <v>64</v>
      </c>
      <c r="E461" t="s">
        <v>26</v>
      </c>
      <c r="F461" t="s">
        <v>1707</v>
      </c>
      <c r="G461" s="39">
        <v>45378</v>
      </c>
      <c r="H461">
        <v>7810</v>
      </c>
      <c r="I461">
        <v>7810</v>
      </c>
      <c r="J461" s="21">
        <v>45352</v>
      </c>
      <c r="K461" s="7" t="s">
        <v>67</v>
      </c>
      <c r="L461" t="s">
        <v>68</v>
      </c>
      <c r="M461" t="s">
        <v>69</v>
      </c>
      <c r="O461">
        <v>7810</v>
      </c>
      <c r="S461" t="str">
        <f>TEXT(Table1[[#This Row],[Date]],"MMM-YY")</f>
        <v>Mar-24</v>
      </c>
      <c r="T461">
        <f>_xlfn.ISOWEEKNUM(Table1[[#This Row],[Date]])</f>
        <v>13</v>
      </c>
      <c r="U461" t="str">
        <f>TEXT(Table1[[#This Row],[Expected Business Month]],"YYYY")</f>
        <v>2024</v>
      </c>
    </row>
    <row r="462" spans="1:21" hidden="1">
      <c r="A462" s="1">
        <v>45378</v>
      </c>
      <c r="B462" t="s">
        <v>1680</v>
      </c>
      <c r="C462" t="s">
        <v>96</v>
      </c>
      <c r="D462" t="s">
        <v>64</v>
      </c>
      <c r="E462" t="s">
        <v>38</v>
      </c>
      <c r="F462" t="s">
        <v>1186</v>
      </c>
      <c r="G462" s="39">
        <v>45378</v>
      </c>
      <c r="H462">
        <v>6891</v>
      </c>
      <c r="I462">
        <v>6891</v>
      </c>
      <c r="J462" s="21">
        <v>45352</v>
      </c>
      <c r="K462" s="7" t="s">
        <v>67</v>
      </c>
      <c r="L462" t="s">
        <v>68</v>
      </c>
      <c r="M462" t="s">
        <v>69</v>
      </c>
      <c r="O462">
        <v>6891</v>
      </c>
      <c r="S462" t="str">
        <f>TEXT(Table1[[#This Row],[Date]],"MMM-YY")</f>
        <v>Mar-24</v>
      </c>
      <c r="T462">
        <f>_xlfn.ISOWEEKNUM(Table1[[#This Row],[Date]])</f>
        <v>13</v>
      </c>
      <c r="U462" t="str">
        <f>TEXT(Table1[[#This Row],[Expected Business Month]],"YYYY")</f>
        <v>2024</v>
      </c>
    </row>
    <row r="463" spans="1:21" ht="29.1" hidden="1">
      <c r="A463" s="1">
        <v>45378</v>
      </c>
      <c r="B463" t="s">
        <v>1739</v>
      </c>
      <c r="C463" t="s">
        <v>63</v>
      </c>
      <c r="D463" t="s">
        <v>64</v>
      </c>
      <c r="E463" t="s">
        <v>26</v>
      </c>
      <c r="F463" t="s">
        <v>1740</v>
      </c>
      <c r="G463" s="9" t="s">
        <v>1719</v>
      </c>
      <c r="H463">
        <v>10000</v>
      </c>
      <c r="I463">
        <v>0</v>
      </c>
      <c r="J463" s="21">
        <v>45383</v>
      </c>
      <c r="K463" s="7" t="s">
        <v>67</v>
      </c>
      <c r="L463" t="s">
        <v>9</v>
      </c>
      <c r="M463" t="s">
        <v>9</v>
      </c>
      <c r="N463" t="s">
        <v>586</v>
      </c>
      <c r="O463">
        <v>2000</v>
      </c>
      <c r="S463" t="str">
        <f>TEXT(Table1[[#This Row],[Date]],"MMM-YY")</f>
        <v>Mar-24</v>
      </c>
      <c r="T463">
        <f>_xlfn.ISOWEEKNUM(Table1[[#This Row],[Date]])</f>
        <v>13</v>
      </c>
      <c r="U463" t="str">
        <f>TEXT(Table1[[#This Row],[Expected Business Month]],"YYYY")</f>
        <v>2024</v>
      </c>
    </row>
    <row r="464" spans="1:21" hidden="1">
      <c r="A464" s="1">
        <v>45378</v>
      </c>
      <c r="B464" t="s">
        <v>1741</v>
      </c>
      <c r="C464" t="s">
        <v>63</v>
      </c>
      <c r="D464" t="s">
        <v>64</v>
      </c>
      <c r="E464" t="s">
        <v>26</v>
      </c>
      <c r="F464" t="s">
        <v>998</v>
      </c>
      <c r="G464" s="9" t="s">
        <v>1742</v>
      </c>
      <c r="H464">
        <v>132500</v>
      </c>
      <c r="I464">
        <v>0</v>
      </c>
      <c r="J464" s="21">
        <v>45383</v>
      </c>
      <c r="K464" s="7" t="s">
        <v>67</v>
      </c>
      <c r="L464" t="s">
        <v>9</v>
      </c>
      <c r="M464" t="s">
        <v>9</v>
      </c>
      <c r="N464" t="s">
        <v>602</v>
      </c>
      <c r="O464">
        <v>59500</v>
      </c>
      <c r="S464" t="str">
        <f>TEXT(Table1[[#This Row],[Date]],"MMM-YY")</f>
        <v>Mar-24</v>
      </c>
      <c r="T464">
        <f>_xlfn.ISOWEEKNUM(Table1[[#This Row],[Date]])</f>
        <v>13</v>
      </c>
      <c r="U464" t="str">
        <f>TEXT(Table1[[#This Row],[Expected Business Month]],"YYYY")</f>
        <v>2024</v>
      </c>
    </row>
    <row r="465" spans="1:21" hidden="1">
      <c r="A465" s="1">
        <v>45379</v>
      </c>
      <c r="B465" t="s">
        <v>1649</v>
      </c>
      <c r="C465" t="s">
        <v>96</v>
      </c>
      <c r="D465" t="s">
        <v>20</v>
      </c>
      <c r="E465" t="s">
        <v>15</v>
      </c>
      <c r="F465" t="s">
        <v>1650</v>
      </c>
      <c r="G465" s="9" t="s">
        <v>1743</v>
      </c>
      <c r="H465">
        <v>12084</v>
      </c>
      <c r="I465">
        <v>12084</v>
      </c>
      <c r="J465" s="21">
        <v>45352</v>
      </c>
      <c r="K465" s="7" t="s">
        <v>99</v>
      </c>
      <c r="L465" t="s">
        <v>68</v>
      </c>
      <c r="M465" t="s">
        <v>69</v>
      </c>
      <c r="O465">
        <v>12084</v>
      </c>
      <c r="S465" t="str">
        <f>TEXT(Table1[[#This Row],[Date]],"MMM-YY")</f>
        <v>Mar-24</v>
      </c>
      <c r="T465">
        <f>_xlfn.ISOWEEKNUM(Table1[[#This Row],[Date]])</f>
        <v>13</v>
      </c>
      <c r="U465" t="str">
        <f>TEXT(Table1[[#This Row],[Expected Business Month]],"YYYY")</f>
        <v>2024</v>
      </c>
    </row>
    <row r="466" spans="1:21" hidden="1">
      <c r="A466" s="1">
        <v>45379</v>
      </c>
      <c r="B466" t="s">
        <v>471</v>
      </c>
      <c r="C466" t="s">
        <v>96</v>
      </c>
      <c r="D466" t="s">
        <v>64</v>
      </c>
      <c r="E466" t="s">
        <v>26</v>
      </c>
      <c r="F466" t="s">
        <v>1707</v>
      </c>
      <c r="G466" s="39">
        <v>45379</v>
      </c>
      <c r="H466">
        <v>7520</v>
      </c>
      <c r="I466">
        <v>7520</v>
      </c>
      <c r="J466" s="21">
        <v>45352</v>
      </c>
      <c r="K466" s="7" t="s">
        <v>67</v>
      </c>
      <c r="L466" t="s">
        <v>68</v>
      </c>
      <c r="M466" t="s">
        <v>69</v>
      </c>
      <c r="O466">
        <v>7520</v>
      </c>
      <c r="S466" t="str">
        <f>TEXT(Table1[[#This Row],[Date]],"MMM-YY")</f>
        <v>Mar-24</v>
      </c>
      <c r="T466">
        <f>_xlfn.ISOWEEKNUM(Table1[[#This Row],[Date]])</f>
        <v>13</v>
      </c>
      <c r="U466" t="str">
        <f>TEXT(Table1[[#This Row],[Expected Business Month]],"YYYY")</f>
        <v>2024</v>
      </c>
    </row>
    <row r="467" spans="1:21" hidden="1">
      <c r="A467" s="1">
        <v>45379</v>
      </c>
      <c r="B467" t="s">
        <v>1680</v>
      </c>
      <c r="C467" t="s">
        <v>96</v>
      </c>
      <c r="D467" t="s">
        <v>64</v>
      </c>
      <c r="E467" t="s">
        <v>38</v>
      </c>
      <c r="F467" t="s">
        <v>1186</v>
      </c>
      <c r="G467" s="39">
        <v>45379</v>
      </c>
      <c r="H467">
        <v>8733</v>
      </c>
      <c r="I467">
        <v>8733</v>
      </c>
      <c r="J467" s="21">
        <v>45352</v>
      </c>
      <c r="K467" s="7" t="s">
        <v>67</v>
      </c>
      <c r="L467" t="s">
        <v>68</v>
      </c>
      <c r="M467" t="s">
        <v>69</v>
      </c>
      <c r="O467">
        <v>8733</v>
      </c>
      <c r="S467" t="str">
        <f>TEXT(Table1[[#This Row],[Date]],"MMM-YY")</f>
        <v>Mar-24</v>
      </c>
      <c r="T467">
        <f>_xlfn.ISOWEEKNUM(Table1[[#This Row],[Date]])</f>
        <v>13</v>
      </c>
      <c r="U467" t="str">
        <f>TEXT(Table1[[#This Row],[Expected Business Month]],"YYYY")</f>
        <v>2024</v>
      </c>
    </row>
    <row r="468" spans="1:21" hidden="1">
      <c r="A468" s="1">
        <v>45379</v>
      </c>
      <c r="B468" t="s">
        <v>1744</v>
      </c>
      <c r="C468" t="s">
        <v>96</v>
      </c>
      <c r="D468" t="s">
        <v>64</v>
      </c>
      <c r="E468" t="s">
        <v>26</v>
      </c>
      <c r="F468" t="s">
        <v>1745</v>
      </c>
      <c r="G468" s="9" t="s">
        <v>1409</v>
      </c>
      <c r="H468">
        <v>10000</v>
      </c>
      <c r="I468">
        <v>0</v>
      </c>
      <c r="J468" s="21">
        <v>45505</v>
      </c>
      <c r="K468" s="7" t="s">
        <v>67</v>
      </c>
      <c r="L468" t="s">
        <v>9</v>
      </c>
      <c r="M468" t="s">
        <v>9</v>
      </c>
      <c r="N468" t="s">
        <v>586</v>
      </c>
      <c r="O468">
        <v>2000</v>
      </c>
      <c r="S468" t="str">
        <f>TEXT(Table1[[#This Row],[Date]],"MMM-YY")</f>
        <v>Mar-24</v>
      </c>
      <c r="T468">
        <f>_xlfn.ISOWEEKNUM(Table1[[#This Row],[Date]])</f>
        <v>13</v>
      </c>
      <c r="U468" t="str">
        <f>TEXT(Table1[[#This Row],[Expected Business Month]],"YYYY")</f>
        <v>2024</v>
      </c>
    </row>
    <row r="469" spans="1:21" hidden="1">
      <c r="A469" s="1">
        <v>45379</v>
      </c>
      <c r="B469" t="s">
        <v>1746</v>
      </c>
      <c r="C469" t="s">
        <v>63</v>
      </c>
      <c r="D469" t="s">
        <v>64</v>
      </c>
      <c r="E469" t="s">
        <v>26</v>
      </c>
      <c r="F469" t="s">
        <v>1747</v>
      </c>
      <c r="G469" s="9" t="s">
        <v>1478</v>
      </c>
      <c r="H469">
        <v>8000</v>
      </c>
      <c r="I469">
        <v>0</v>
      </c>
      <c r="J469" s="21">
        <v>45383</v>
      </c>
      <c r="K469" s="7" t="s">
        <v>67</v>
      </c>
      <c r="L469" t="s">
        <v>9</v>
      </c>
      <c r="M469" t="s">
        <v>9</v>
      </c>
      <c r="N469" t="s">
        <v>586</v>
      </c>
      <c r="O469">
        <v>1600</v>
      </c>
      <c r="S469" t="str">
        <f>TEXT(Table1[[#This Row],[Date]],"MMM-YY")</f>
        <v>Mar-24</v>
      </c>
      <c r="T469">
        <f>_xlfn.ISOWEEKNUM(Table1[[#This Row],[Date]])</f>
        <v>13</v>
      </c>
      <c r="U469" t="str">
        <f>TEXT(Table1[[#This Row],[Expected Business Month]],"YYYY")</f>
        <v>2024</v>
      </c>
    </row>
    <row r="470" spans="1:21" hidden="1">
      <c r="A470" s="1">
        <v>45380</v>
      </c>
      <c r="B470" t="s">
        <v>1649</v>
      </c>
      <c r="C470" t="s">
        <v>96</v>
      </c>
      <c r="D470" t="s">
        <v>20</v>
      </c>
      <c r="E470" t="s">
        <v>15</v>
      </c>
      <c r="F470" t="s">
        <v>1650</v>
      </c>
      <c r="G470" s="9" t="s">
        <v>1748</v>
      </c>
      <c r="H470">
        <v>27576</v>
      </c>
      <c r="I470">
        <v>27576</v>
      </c>
      <c r="J470" s="21">
        <v>45352</v>
      </c>
      <c r="K470" s="7" t="s">
        <v>99</v>
      </c>
      <c r="L470" t="s">
        <v>68</v>
      </c>
      <c r="M470" t="s">
        <v>69</v>
      </c>
      <c r="O470">
        <v>27576</v>
      </c>
      <c r="S470" t="str">
        <f>TEXT(Table1[[#This Row],[Date]],"MMM-YY")</f>
        <v>Mar-24</v>
      </c>
      <c r="T470">
        <f>_xlfn.ISOWEEKNUM(Table1[[#This Row],[Date]])</f>
        <v>13</v>
      </c>
      <c r="U470" t="str">
        <f>TEXT(Table1[[#This Row],[Expected Business Month]],"YYYY")</f>
        <v>2024</v>
      </c>
    </row>
    <row r="471" spans="1:21" hidden="1">
      <c r="A471" s="1">
        <v>45380</v>
      </c>
      <c r="B471" t="s">
        <v>471</v>
      </c>
      <c r="C471" t="s">
        <v>96</v>
      </c>
      <c r="D471" t="s">
        <v>64</v>
      </c>
      <c r="E471" t="s">
        <v>26</v>
      </c>
      <c r="F471" t="s">
        <v>1707</v>
      </c>
      <c r="G471" s="39">
        <v>45380</v>
      </c>
      <c r="H471">
        <v>4010</v>
      </c>
      <c r="I471">
        <v>4010</v>
      </c>
      <c r="J471" s="21">
        <v>45352</v>
      </c>
      <c r="K471" s="7" t="s">
        <v>67</v>
      </c>
      <c r="L471" t="s">
        <v>68</v>
      </c>
      <c r="M471" t="s">
        <v>69</v>
      </c>
      <c r="O471">
        <v>4010</v>
      </c>
      <c r="S471" t="str">
        <f>TEXT(Table1[[#This Row],[Date]],"MMM-YY")</f>
        <v>Mar-24</v>
      </c>
      <c r="T471">
        <f>_xlfn.ISOWEEKNUM(Table1[[#This Row],[Date]])</f>
        <v>13</v>
      </c>
      <c r="U471" t="str">
        <f>TEXT(Table1[[#This Row],[Expected Business Month]],"YYYY")</f>
        <v>2024</v>
      </c>
    </row>
    <row r="472" spans="1:21" hidden="1">
      <c r="A472" s="1">
        <v>45380</v>
      </c>
      <c r="B472" t="s">
        <v>1680</v>
      </c>
      <c r="C472" t="s">
        <v>96</v>
      </c>
      <c r="D472" t="s">
        <v>64</v>
      </c>
      <c r="E472" t="s">
        <v>38</v>
      </c>
      <c r="F472" t="s">
        <v>1186</v>
      </c>
      <c r="G472" s="39">
        <v>45380</v>
      </c>
      <c r="H472">
        <v>10200</v>
      </c>
      <c r="I472">
        <v>10200</v>
      </c>
      <c r="J472" s="21">
        <v>45352</v>
      </c>
      <c r="K472" s="7" t="s">
        <v>67</v>
      </c>
      <c r="L472" t="s">
        <v>68</v>
      </c>
      <c r="M472" t="s">
        <v>69</v>
      </c>
      <c r="O472">
        <v>10200</v>
      </c>
      <c r="S472" t="str">
        <f>TEXT(Table1[[#This Row],[Date]],"MMM-YY")</f>
        <v>Mar-24</v>
      </c>
      <c r="T472">
        <f>_xlfn.ISOWEEKNUM(Table1[[#This Row],[Date]])</f>
        <v>13</v>
      </c>
      <c r="U472" t="str">
        <f>TEXT(Table1[[#This Row],[Expected Business Month]],"YYYY")</f>
        <v>2024</v>
      </c>
    </row>
    <row r="473" spans="1:21" hidden="1">
      <c r="A473" s="1">
        <v>45380</v>
      </c>
      <c r="B473" t="s">
        <v>1749</v>
      </c>
      <c r="C473" t="s">
        <v>96</v>
      </c>
      <c r="D473" t="s">
        <v>20</v>
      </c>
      <c r="E473" t="s">
        <v>23</v>
      </c>
      <c r="F473" t="s">
        <v>1750</v>
      </c>
      <c r="G473" s="9" t="s">
        <v>1751</v>
      </c>
      <c r="H473">
        <v>2700</v>
      </c>
      <c r="I473">
        <v>2700</v>
      </c>
      <c r="J473" s="21">
        <v>45352</v>
      </c>
      <c r="K473" s="7" t="s">
        <v>67</v>
      </c>
      <c r="L473" t="s">
        <v>68</v>
      </c>
      <c r="M473" t="s">
        <v>69</v>
      </c>
      <c r="O473">
        <v>0</v>
      </c>
      <c r="S473" t="str">
        <f>TEXT(Table1[[#This Row],[Date]],"MMM-YY")</f>
        <v>Mar-24</v>
      </c>
      <c r="T473">
        <f>_xlfn.ISOWEEKNUM(Table1[[#This Row],[Date]])</f>
        <v>13</v>
      </c>
      <c r="U473" t="str">
        <f>TEXT(Table1[[#This Row],[Expected Business Month]],"YYYY")</f>
        <v>2024</v>
      </c>
    </row>
    <row r="474" spans="1:21" hidden="1">
      <c r="A474" s="1">
        <v>45380</v>
      </c>
      <c r="B474" t="s">
        <v>1752</v>
      </c>
      <c r="C474" t="s">
        <v>96</v>
      </c>
      <c r="D474" t="s">
        <v>20</v>
      </c>
      <c r="E474" t="s">
        <v>23</v>
      </c>
      <c r="F474" t="s">
        <v>1753</v>
      </c>
      <c r="G474" s="9" t="s">
        <v>1754</v>
      </c>
      <c r="H474">
        <v>4600</v>
      </c>
      <c r="I474">
        <v>4600</v>
      </c>
      <c r="J474" s="21">
        <v>45352</v>
      </c>
      <c r="K474" s="7" t="s">
        <v>99</v>
      </c>
      <c r="L474" t="s">
        <v>68</v>
      </c>
      <c r="M474" t="s">
        <v>69</v>
      </c>
      <c r="O474">
        <v>0</v>
      </c>
      <c r="S474" t="str">
        <f>TEXT(Table1[[#This Row],[Date]],"MMM-YY")</f>
        <v>Mar-24</v>
      </c>
      <c r="T474">
        <f>_xlfn.ISOWEEKNUM(Table1[[#This Row],[Date]])</f>
        <v>13</v>
      </c>
      <c r="U474" t="str">
        <f>TEXT(Table1[[#This Row],[Expected Business Month]],"YYYY")</f>
        <v>2024</v>
      </c>
    </row>
    <row r="475" spans="1:21" hidden="1">
      <c r="A475" s="1">
        <v>45380</v>
      </c>
      <c r="B475" t="s">
        <v>1755</v>
      </c>
      <c r="C475" t="s">
        <v>63</v>
      </c>
      <c r="D475" t="s">
        <v>64</v>
      </c>
      <c r="E475" t="s">
        <v>27</v>
      </c>
      <c r="F475" t="s">
        <v>946</v>
      </c>
      <c r="G475" s="9" t="s">
        <v>1756</v>
      </c>
      <c r="H475">
        <v>12000</v>
      </c>
      <c r="I475">
        <v>0</v>
      </c>
      <c r="J475" s="21">
        <v>45505</v>
      </c>
      <c r="K475" s="7" t="s">
        <v>67</v>
      </c>
      <c r="L475" t="s">
        <v>9</v>
      </c>
      <c r="M475" t="s">
        <v>9</v>
      </c>
      <c r="N475" t="s">
        <v>586</v>
      </c>
      <c r="O475">
        <v>2400</v>
      </c>
      <c r="S475" t="str">
        <f>TEXT(Table1[[#This Row],[Date]],"MMM-YY")</f>
        <v>Mar-24</v>
      </c>
      <c r="T475">
        <f>_xlfn.ISOWEEKNUM(Table1[[#This Row],[Date]])</f>
        <v>13</v>
      </c>
      <c r="U475" t="str">
        <f>TEXT(Table1[[#This Row],[Expected Business Month]],"YYYY")</f>
        <v>2024</v>
      </c>
    </row>
    <row r="476" spans="1:21" hidden="1">
      <c r="A476" s="1">
        <v>45381</v>
      </c>
      <c r="B476" t="s">
        <v>1680</v>
      </c>
      <c r="C476" t="s">
        <v>96</v>
      </c>
      <c r="D476" t="s">
        <v>64</v>
      </c>
      <c r="E476" t="s">
        <v>38</v>
      </c>
      <c r="F476" t="s">
        <v>1186</v>
      </c>
      <c r="G476" s="39">
        <v>45381</v>
      </c>
      <c r="H476">
        <v>13781</v>
      </c>
      <c r="I476">
        <v>13781</v>
      </c>
      <c r="J476" s="21">
        <v>45352</v>
      </c>
      <c r="K476" s="7" t="s">
        <v>67</v>
      </c>
      <c r="L476" t="s">
        <v>68</v>
      </c>
      <c r="M476" t="s">
        <v>69</v>
      </c>
      <c r="O476">
        <v>13781</v>
      </c>
      <c r="S476" t="str">
        <f>TEXT(Table1[[#This Row],[Date]],"MMM-YY")</f>
        <v>Mar-24</v>
      </c>
      <c r="T476">
        <f>_xlfn.ISOWEEKNUM(Table1[[#This Row],[Date]])</f>
        <v>13</v>
      </c>
      <c r="U476" t="str">
        <f>TEXT(Table1[[#This Row],[Expected Business Month]],"YYYY")</f>
        <v>2024</v>
      </c>
    </row>
    <row r="477" spans="1:21" hidden="1">
      <c r="A477" s="1">
        <v>45381</v>
      </c>
      <c r="B477" t="s">
        <v>1649</v>
      </c>
      <c r="C477" t="s">
        <v>96</v>
      </c>
      <c r="D477" t="s">
        <v>20</v>
      </c>
      <c r="E477" t="s">
        <v>15</v>
      </c>
      <c r="F477" t="s">
        <v>1650</v>
      </c>
      <c r="G477" s="9" t="s">
        <v>1757</v>
      </c>
      <c r="H477">
        <v>34002</v>
      </c>
      <c r="I477">
        <v>34002</v>
      </c>
      <c r="J477" s="21">
        <v>45352</v>
      </c>
      <c r="K477" s="7" t="s">
        <v>99</v>
      </c>
      <c r="L477" t="s">
        <v>68</v>
      </c>
      <c r="M477" t="s">
        <v>69</v>
      </c>
      <c r="O477">
        <v>34002</v>
      </c>
      <c r="S477" t="str">
        <f>TEXT(Table1[[#This Row],[Date]],"MMM-YY")</f>
        <v>Mar-24</v>
      </c>
      <c r="T477">
        <f>_xlfn.ISOWEEKNUM(Table1[[#This Row],[Date]])</f>
        <v>13</v>
      </c>
      <c r="U477" t="str">
        <f>TEXT(Table1[[#This Row],[Expected Business Month]],"YYYY")</f>
        <v>2024</v>
      </c>
    </row>
    <row r="478" spans="1:21" hidden="1">
      <c r="A478" s="1">
        <v>45382</v>
      </c>
      <c r="B478" t="s">
        <v>1680</v>
      </c>
      <c r="C478" t="s">
        <v>96</v>
      </c>
      <c r="D478" t="s">
        <v>64</v>
      </c>
      <c r="E478" t="s">
        <v>38</v>
      </c>
      <c r="F478" t="s">
        <v>1186</v>
      </c>
      <c r="G478" s="39">
        <v>45382</v>
      </c>
      <c r="H478">
        <v>11939</v>
      </c>
      <c r="I478">
        <v>11939</v>
      </c>
      <c r="J478" s="21">
        <v>45352</v>
      </c>
      <c r="K478" s="7" t="s">
        <v>67</v>
      </c>
      <c r="L478" t="s">
        <v>68</v>
      </c>
      <c r="M478" t="s">
        <v>69</v>
      </c>
      <c r="O478">
        <v>11939</v>
      </c>
      <c r="S478" t="str">
        <f>TEXT(Table1[[#This Row],[Date]],"MMM-YY")</f>
        <v>Mar-24</v>
      </c>
      <c r="T478">
        <f>_xlfn.ISOWEEKNUM(Table1[[#This Row],[Date]])</f>
        <v>13</v>
      </c>
      <c r="U478" t="str">
        <f>TEXT(Table1[[#This Row],[Expected Business Month]],"YYYY")</f>
        <v>2024</v>
      </c>
    </row>
    <row r="479" spans="1:21" hidden="1">
      <c r="A479" s="1">
        <v>45382</v>
      </c>
      <c r="B479" t="s">
        <v>1758</v>
      </c>
      <c r="C479" t="s">
        <v>96</v>
      </c>
      <c r="D479" t="s">
        <v>20</v>
      </c>
      <c r="E479" t="s">
        <v>15</v>
      </c>
      <c r="F479" t="s">
        <v>139</v>
      </c>
      <c r="G479" s="9" t="s">
        <v>1759</v>
      </c>
      <c r="H479">
        <v>111833</v>
      </c>
      <c r="I479">
        <v>111833</v>
      </c>
      <c r="J479" s="21">
        <v>45352</v>
      </c>
      <c r="K479" s="7" t="s">
        <v>67</v>
      </c>
      <c r="L479" t="s">
        <v>68</v>
      </c>
      <c r="M479" t="s">
        <v>69</v>
      </c>
      <c r="O479">
        <v>111833</v>
      </c>
      <c r="S479" t="str">
        <f>TEXT(Table1[[#This Row],[Date]],"MMM-YY")</f>
        <v>Mar-24</v>
      </c>
      <c r="T479">
        <f>_xlfn.ISOWEEKNUM(Table1[[#This Row],[Date]])</f>
        <v>13</v>
      </c>
      <c r="U479" t="str">
        <f>TEXT(Table1[[#This Row],[Expected Business Month]],"YYYY")</f>
        <v>2024</v>
      </c>
    </row>
    <row r="480" spans="1:21" hidden="1">
      <c r="A480" s="1">
        <v>45382</v>
      </c>
      <c r="B480" t="s">
        <v>1760</v>
      </c>
      <c r="C480" t="s">
        <v>96</v>
      </c>
      <c r="D480" t="s">
        <v>20</v>
      </c>
      <c r="E480" t="s">
        <v>23</v>
      </c>
      <c r="F480" t="s">
        <v>1761</v>
      </c>
      <c r="G480" s="9" t="s">
        <v>1762</v>
      </c>
      <c r="H480">
        <v>5000</v>
      </c>
      <c r="I480">
        <v>5000</v>
      </c>
      <c r="J480" s="21">
        <v>45352</v>
      </c>
      <c r="K480" s="7" t="s">
        <v>67</v>
      </c>
      <c r="L480" t="s">
        <v>68</v>
      </c>
      <c r="M480" t="s">
        <v>69</v>
      </c>
      <c r="O480">
        <v>1200</v>
      </c>
      <c r="S480" t="str">
        <f>TEXT(Table1[[#This Row],[Date]],"MMM-YY")</f>
        <v>Mar-24</v>
      </c>
      <c r="T480">
        <f>_xlfn.ISOWEEKNUM(Table1[[#This Row],[Date]])</f>
        <v>13</v>
      </c>
      <c r="U480" t="str">
        <f>TEXT(Table1[[#This Row],[Expected Business Month]],"YYYY")</f>
        <v>2024</v>
      </c>
    </row>
    <row r="481" spans="1:21" hidden="1">
      <c r="A481" s="1">
        <v>45382</v>
      </c>
      <c r="B481" t="s">
        <v>1763</v>
      </c>
      <c r="C481" t="s">
        <v>96</v>
      </c>
      <c r="D481" t="s">
        <v>20</v>
      </c>
      <c r="E481" t="s">
        <v>23</v>
      </c>
      <c r="F481" t="s">
        <v>1764</v>
      </c>
      <c r="G481" s="9" t="s">
        <v>1765</v>
      </c>
      <c r="H481">
        <v>7500</v>
      </c>
      <c r="I481">
        <v>0</v>
      </c>
      <c r="J481" s="21">
        <v>45383</v>
      </c>
      <c r="K481" s="7" t="s">
        <v>67</v>
      </c>
      <c r="L481" t="s">
        <v>9</v>
      </c>
      <c r="M481" t="s">
        <v>9</v>
      </c>
      <c r="O481">
        <v>0</v>
      </c>
      <c r="S481" t="str">
        <f>TEXT(Table1[[#This Row],[Date]],"MMM-YY")</f>
        <v>Mar-24</v>
      </c>
      <c r="T481">
        <f>_xlfn.ISOWEEKNUM(Table1[[#This Row],[Date]])</f>
        <v>13</v>
      </c>
      <c r="U481" t="str">
        <f>TEXT(Table1[[#This Row],[Expected Business Month]],"YYYY")</f>
        <v>2024</v>
      </c>
    </row>
    <row r="482" spans="1:21" hidden="1">
      <c r="A482" s="1">
        <v>45382</v>
      </c>
      <c r="B482" t="s">
        <v>1649</v>
      </c>
      <c r="C482" t="s">
        <v>96</v>
      </c>
      <c r="D482" t="s">
        <v>20</v>
      </c>
      <c r="E482" t="s">
        <v>15</v>
      </c>
      <c r="F482" t="s">
        <v>1650</v>
      </c>
      <c r="G482" s="9" t="s">
        <v>1766</v>
      </c>
      <c r="H482">
        <v>29772</v>
      </c>
      <c r="I482">
        <v>29772</v>
      </c>
      <c r="J482" s="21">
        <v>45352</v>
      </c>
      <c r="K482" s="7" t="s">
        <v>99</v>
      </c>
      <c r="L482" t="s">
        <v>68</v>
      </c>
      <c r="M482" t="s">
        <v>69</v>
      </c>
      <c r="O482">
        <v>29772</v>
      </c>
      <c r="S482" t="str">
        <f>TEXT(Table1[[#This Row],[Date]],"MMM-YY")</f>
        <v>Mar-24</v>
      </c>
      <c r="T482">
        <f>_xlfn.ISOWEEKNUM(Table1[[#This Row],[Date]])</f>
        <v>13</v>
      </c>
      <c r="U482" t="str">
        <f>TEXT(Table1[[#This Row],[Expected Business Month]],"YYYY")</f>
        <v>2024</v>
      </c>
    </row>
    <row r="483" spans="1:21" hidden="1">
      <c r="A483" s="1">
        <v>45383</v>
      </c>
      <c r="B483" t="s">
        <v>1649</v>
      </c>
      <c r="C483" t="s">
        <v>96</v>
      </c>
      <c r="D483" t="s">
        <v>20</v>
      </c>
      <c r="E483" t="s">
        <v>15</v>
      </c>
      <c r="F483" t="s">
        <v>1650</v>
      </c>
      <c r="G483" s="9" t="s">
        <v>1767</v>
      </c>
      <c r="H483">
        <v>16176</v>
      </c>
      <c r="I483">
        <v>16176</v>
      </c>
      <c r="J483" s="21">
        <v>45383</v>
      </c>
      <c r="K483" s="7" t="s">
        <v>99</v>
      </c>
      <c r="L483" t="s">
        <v>68</v>
      </c>
      <c r="M483" t="s">
        <v>69</v>
      </c>
      <c r="O483">
        <v>16176</v>
      </c>
      <c r="S483" t="str">
        <f>TEXT(Table1[[#This Row],[Date]],"MMM-YY")</f>
        <v>Apr-24</v>
      </c>
      <c r="T483">
        <f>_xlfn.ISOWEEKNUM(Table1[[#This Row],[Date]])</f>
        <v>14</v>
      </c>
      <c r="U483" t="str">
        <f>TEXT(Table1[[#This Row],[Expected Business Month]],"YYYY")</f>
        <v>2024</v>
      </c>
    </row>
    <row r="484" spans="1:21" hidden="1">
      <c r="A484" s="1">
        <v>45383</v>
      </c>
      <c r="B484" t="s">
        <v>1680</v>
      </c>
      <c r="C484" t="s">
        <v>96</v>
      </c>
      <c r="D484" t="s">
        <v>64</v>
      </c>
      <c r="E484" t="s">
        <v>38</v>
      </c>
      <c r="F484" t="s">
        <v>1186</v>
      </c>
      <c r="G484" s="9">
        <v>45383</v>
      </c>
      <c r="H484">
        <v>11939</v>
      </c>
      <c r="I484">
        <v>11939</v>
      </c>
      <c r="J484" s="21">
        <v>45383</v>
      </c>
      <c r="K484" s="7" t="s">
        <v>67</v>
      </c>
      <c r="L484" t="s">
        <v>68</v>
      </c>
      <c r="M484" t="s">
        <v>69</v>
      </c>
      <c r="O484">
        <v>11939</v>
      </c>
      <c r="S484" t="str">
        <f>TEXT(Table1[[#This Row],[Date]],"MMM-YY")</f>
        <v>Apr-24</v>
      </c>
      <c r="T484">
        <f>_xlfn.ISOWEEKNUM(Table1[[#This Row],[Date]])</f>
        <v>14</v>
      </c>
      <c r="U484" t="str">
        <f>TEXT(Table1[[#This Row],[Expected Business Month]],"YYYY")</f>
        <v>2024</v>
      </c>
    </row>
    <row r="485" spans="1:21" hidden="1">
      <c r="A485" s="1">
        <v>45383</v>
      </c>
      <c r="B485" t="s">
        <v>471</v>
      </c>
      <c r="C485" t="s">
        <v>96</v>
      </c>
      <c r="D485" t="s">
        <v>64</v>
      </c>
      <c r="E485" t="s">
        <v>26</v>
      </c>
      <c r="F485" t="s">
        <v>1707</v>
      </c>
      <c r="G485" s="9">
        <v>45383</v>
      </c>
      <c r="H485">
        <v>7890</v>
      </c>
      <c r="I485">
        <v>7890</v>
      </c>
      <c r="J485" s="21">
        <v>45383</v>
      </c>
      <c r="K485" s="7" t="s">
        <v>67</v>
      </c>
      <c r="L485" t="s">
        <v>68</v>
      </c>
      <c r="M485" t="s">
        <v>69</v>
      </c>
      <c r="O485">
        <v>7890</v>
      </c>
      <c r="S485" t="str">
        <f>TEXT(Table1[[#This Row],[Date]],"MMM-YY")</f>
        <v>Apr-24</v>
      </c>
      <c r="T485">
        <f>_xlfn.ISOWEEKNUM(Table1[[#This Row],[Date]])</f>
        <v>14</v>
      </c>
      <c r="U485" t="str">
        <f>TEXT(Table1[[#This Row],[Expected Business Month]],"YYYY")</f>
        <v>2024</v>
      </c>
    </row>
    <row r="486" spans="1:21" hidden="1">
      <c r="A486" s="1">
        <v>45384</v>
      </c>
      <c r="B486" t="s">
        <v>1649</v>
      </c>
      <c r="C486" t="s">
        <v>96</v>
      </c>
      <c r="D486" t="s">
        <v>20</v>
      </c>
      <c r="E486" t="s">
        <v>15</v>
      </c>
      <c r="F486" t="s">
        <v>1650</v>
      </c>
      <c r="G486" s="9" t="s">
        <v>1768</v>
      </c>
      <c r="H486">
        <v>7614</v>
      </c>
      <c r="I486">
        <v>7614</v>
      </c>
      <c r="J486" s="21">
        <v>45383</v>
      </c>
      <c r="K486" s="7" t="s">
        <v>99</v>
      </c>
      <c r="L486" t="s">
        <v>68</v>
      </c>
      <c r="M486" t="s">
        <v>69</v>
      </c>
      <c r="O486">
        <v>7614</v>
      </c>
      <c r="S486" t="str">
        <f>TEXT(Table1[[#This Row],[Date]],"MMM-YY")</f>
        <v>Apr-24</v>
      </c>
      <c r="T486">
        <f>_xlfn.ISOWEEKNUM(Table1[[#This Row],[Date]])</f>
        <v>14</v>
      </c>
      <c r="U486" t="str">
        <f>TEXT(Table1[[#This Row],[Expected Business Month]],"YYYY")</f>
        <v>2024</v>
      </c>
    </row>
    <row r="487" spans="1:21" hidden="1">
      <c r="A487" s="1">
        <v>45384</v>
      </c>
      <c r="B487" t="s">
        <v>1680</v>
      </c>
      <c r="C487" t="s">
        <v>96</v>
      </c>
      <c r="D487" t="s">
        <v>64</v>
      </c>
      <c r="E487" t="s">
        <v>38</v>
      </c>
      <c r="F487" t="s">
        <v>1186</v>
      </c>
      <c r="G487" s="39">
        <v>45384</v>
      </c>
      <c r="H487">
        <v>5048</v>
      </c>
      <c r="I487">
        <v>5048</v>
      </c>
      <c r="J487" s="21">
        <v>45383</v>
      </c>
      <c r="K487" s="7" t="s">
        <v>67</v>
      </c>
      <c r="L487" t="s">
        <v>68</v>
      </c>
      <c r="M487" t="s">
        <v>69</v>
      </c>
      <c r="O487">
        <v>5048</v>
      </c>
      <c r="S487" t="str">
        <f>TEXT(Table1[[#This Row],[Date]],"MMM-YY")</f>
        <v>Apr-24</v>
      </c>
      <c r="T487">
        <f>_xlfn.ISOWEEKNUM(Table1[[#This Row],[Date]])</f>
        <v>14</v>
      </c>
      <c r="U487" t="str">
        <f>TEXT(Table1[[#This Row],[Expected Business Month]],"YYYY")</f>
        <v>2024</v>
      </c>
    </row>
    <row r="488" spans="1:21" hidden="1">
      <c r="A488" s="1">
        <v>45384</v>
      </c>
      <c r="B488" t="s">
        <v>471</v>
      </c>
      <c r="C488" t="s">
        <v>96</v>
      </c>
      <c r="D488" t="s">
        <v>64</v>
      </c>
      <c r="E488" t="s">
        <v>26</v>
      </c>
      <c r="F488" t="s">
        <v>1707</v>
      </c>
      <c r="G488" s="39">
        <v>45384</v>
      </c>
      <c r="H488">
        <v>7200</v>
      </c>
      <c r="I488">
        <v>7200</v>
      </c>
      <c r="J488" s="21">
        <v>45383</v>
      </c>
      <c r="K488" s="7" t="s">
        <v>67</v>
      </c>
      <c r="L488" t="s">
        <v>68</v>
      </c>
      <c r="M488" t="s">
        <v>69</v>
      </c>
      <c r="O488">
        <v>7200</v>
      </c>
      <c r="S488" t="str">
        <f>TEXT(Table1[[#This Row],[Date]],"MMM-YY")</f>
        <v>Apr-24</v>
      </c>
      <c r="T488">
        <f>_xlfn.ISOWEEKNUM(Table1[[#This Row],[Date]])</f>
        <v>14</v>
      </c>
      <c r="U488" t="str">
        <f>TEXT(Table1[[#This Row],[Expected Business Month]],"YYYY")</f>
        <v>2024</v>
      </c>
    </row>
    <row r="489" spans="1:21" hidden="1">
      <c r="A489" s="1">
        <v>45384</v>
      </c>
      <c r="B489" t="s">
        <v>1769</v>
      </c>
      <c r="C489" t="s">
        <v>63</v>
      </c>
      <c r="D489" t="s">
        <v>64</v>
      </c>
      <c r="E489" t="s">
        <v>26</v>
      </c>
      <c r="F489" t="s">
        <v>637</v>
      </c>
      <c r="G489" s="9" t="s">
        <v>1770</v>
      </c>
      <c r="H489">
        <v>6000</v>
      </c>
      <c r="I489">
        <v>6000</v>
      </c>
      <c r="J489" s="21">
        <v>45383</v>
      </c>
      <c r="K489" s="7" t="s">
        <v>67</v>
      </c>
      <c r="L489" t="s">
        <v>68</v>
      </c>
      <c r="M489" t="s">
        <v>69</v>
      </c>
      <c r="O489">
        <v>0</v>
      </c>
      <c r="S489" t="str">
        <f>TEXT(Table1[[#This Row],[Date]],"MMM-YY")</f>
        <v>Apr-24</v>
      </c>
      <c r="T489">
        <f>_xlfn.ISOWEEKNUM(Table1[[#This Row],[Date]])</f>
        <v>14</v>
      </c>
      <c r="U489" t="str">
        <f>TEXT(Table1[[#This Row],[Expected Business Month]],"YYYY")</f>
        <v>2024</v>
      </c>
    </row>
    <row r="490" spans="1:21" hidden="1">
      <c r="A490" s="1">
        <v>45384</v>
      </c>
      <c r="B490" t="s">
        <v>1771</v>
      </c>
      <c r="C490" t="s">
        <v>63</v>
      </c>
      <c r="D490" t="s">
        <v>64</v>
      </c>
      <c r="E490" t="s">
        <v>26</v>
      </c>
      <c r="F490" t="s">
        <v>1772</v>
      </c>
      <c r="G490" s="39" t="s">
        <v>1773</v>
      </c>
      <c r="H490">
        <v>47308</v>
      </c>
      <c r="I490">
        <v>47308</v>
      </c>
      <c r="J490" s="21">
        <v>45383</v>
      </c>
      <c r="K490" s="7" t="s">
        <v>67</v>
      </c>
      <c r="L490" t="s">
        <v>68</v>
      </c>
      <c r="M490" t="s">
        <v>69</v>
      </c>
      <c r="O490">
        <v>47308</v>
      </c>
      <c r="S490" t="str">
        <f>TEXT(Table1[[#This Row],[Date]],"MMM-YY")</f>
        <v>Apr-24</v>
      </c>
      <c r="T490">
        <f>_xlfn.ISOWEEKNUM(Table1[[#This Row],[Date]])</f>
        <v>14</v>
      </c>
      <c r="U490" t="str">
        <f>TEXT(Table1[[#This Row],[Expected Business Month]],"YYYY")</f>
        <v>2024</v>
      </c>
    </row>
    <row r="491" spans="1:21" hidden="1">
      <c r="A491" s="1">
        <v>45384</v>
      </c>
      <c r="B491" t="s">
        <v>1774</v>
      </c>
      <c r="C491" t="s">
        <v>63</v>
      </c>
      <c r="D491" t="s">
        <v>64</v>
      </c>
      <c r="E491" t="s">
        <v>26</v>
      </c>
      <c r="F491" t="s">
        <v>1775</v>
      </c>
      <c r="G491" s="9" t="s">
        <v>1773</v>
      </c>
      <c r="H491">
        <v>20000</v>
      </c>
      <c r="I491">
        <v>20000</v>
      </c>
      <c r="J491" s="21">
        <v>45383</v>
      </c>
      <c r="K491" s="7" t="s">
        <v>67</v>
      </c>
      <c r="L491" t="s">
        <v>68</v>
      </c>
      <c r="M491" t="s">
        <v>69</v>
      </c>
      <c r="O491">
        <v>20000</v>
      </c>
      <c r="S491" t="str">
        <f>TEXT(Table1[[#This Row],[Date]],"MMM-YY")</f>
        <v>Apr-24</v>
      </c>
      <c r="T491">
        <f>_xlfn.ISOWEEKNUM(Table1[[#This Row],[Date]])</f>
        <v>14</v>
      </c>
      <c r="U491" t="str">
        <f>TEXT(Table1[[#This Row],[Expected Business Month]],"YYYY")</f>
        <v>2024</v>
      </c>
    </row>
    <row r="492" spans="1:21" hidden="1">
      <c r="A492" s="1">
        <v>45384</v>
      </c>
      <c r="B492" t="s">
        <v>1776</v>
      </c>
      <c r="C492" t="s">
        <v>63</v>
      </c>
      <c r="D492" t="s">
        <v>64</v>
      </c>
      <c r="E492" t="s">
        <v>26</v>
      </c>
      <c r="F492" t="s">
        <v>784</v>
      </c>
      <c r="G492" s="9" t="s">
        <v>1773</v>
      </c>
      <c r="H492">
        <v>4000</v>
      </c>
      <c r="I492">
        <v>4000</v>
      </c>
      <c r="J492" s="21">
        <v>45383</v>
      </c>
      <c r="K492" s="7" t="s">
        <v>67</v>
      </c>
      <c r="L492" t="s">
        <v>68</v>
      </c>
      <c r="M492" t="s">
        <v>69</v>
      </c>
      <c r="O492">
        <v>4000</v>
      </c>
      <c r="S492" t="str">
        <f>TEXT(Table1[[#This Row],[Date]],"MMM-YY")</f>
        <v>Apr-24</v>
      </c>
      <c r="T492">
        <f>_xlfn.ISOWEEKNUM(Table1[[#This Row],[Date]])</f>
        <v>14</v>
      </c>
      <c r="U492" t="str">
        <f>TEXT(Table1[[#This Row],[Expected Business Month]],"YYYY")</f>
        <v>2024</v>
      </c>
    </row>
    <row r="493" spans="1:21" hidden="1">
      <c r="A493" s="1">
        <v>45385</v>
      </c>
      <c r="B493" t="s">
        <v>1777</v>
      </c>
      <c r="C493" t="s">
        <v>96</v>
      </c>
      <c r="D493" t="s">
        <v>20</v>
      </c>
      <c r="E493" t="s">
        <v>23</v>
      </c>
      <c r="F493" t="s">
        <v>106</v>
      </c>
      <c r="G493" s="9" t="s">
        <v>1778</v>
      </c>
      <c r="H493">
        <v>10500</v>
      </c>
      <c r="I493">
        <v>10500</v>
      </c>
      <c r="J493" s="21">
        <v>45383</v>
      </c>
      <c r="K493" s="7" t="s">
        <v>67</v>
      </c>
      <c r="L493" t="s">
        <v>68</v>
      </c>
      <c r="M493" t="s">
        <v>69</v>
      </c>
      <c r="O493">
        <v>0</v>
      </c>
      <c r="S493" t="str">
        <f>TEXT(Table1[[#This Row],[Date]],"MMM-YY")</f>
        <v>Apr-24</v>
      </c>
      <c r="T493">
        <f>_xlfn.ISOWEEKNUM(Table1[[#This Row],[Date]])</f>
        <v>14</v>
      </c>
      <c r="U493" t="str">
        <f>TEXT(Table1[[#This Row],[Expected Business Month]],"YYYY")</f>
        <v>2024</v>
      </c>
    </row>
    <row r="494" spans="1:21" hidden="1">
      <c r="A494" s="1">
        <v>45385</v>
      </c>
      <c r="B494" t="s">
        <v>471</v>
      </c>
      <c r="C494" t="s">
        <v>96</v>
      </c>
      <c r="D494" t="s">
        <v>64</v>
      </c>
      <c r="E494" t="s">
        <v>26</v>
      </c>
      <c r="F494" t="s">
        <v>1707</v>
      </c>
      <c r="G494" s="39">
        <v>45385</v>
      </c>
      <c r="H494">
        <v>6559</v>
      </c>
      <c r="I494">
        <v>6559</v>
      </c>
      <c r="J494" s="21">
        <v>45383</v>
      </c>
      <c r="K494" s="7" t="s">
        <v>67</v>
      </c>
      <c r="L494" t="s">
        <v>68</v>
      </c>
      <c r="M494" t="s">
        <v>69</v>
      </c>
      <c r="O494">
        <v>6559</v>
      </c>
      <c r="S494" t="str">
        <f>TEXT(Table1[[#This Row],[Date]],"MMM-YY")</f>
        <v>Apr-24</v>
      </c>
      <c r="T494">
        <f>_xlfn.ISOWEEKNUM(Table1[[#This Row],[Date]])</f>
        <v>14</v>
      </c>
      <c r="U494" t="str">
        <f>TEXT(Table1[[#This Row],[Expected Business Month]],"YYYY")</f>
        <v>2024</v>
      </c>
    </row>
    <row r="495" spans="1:21" hidden="1">
      <c r="A495" s="1">
        <v>45385</v>
      </c>
      <c r="B495" t="s">
        <v>1649</v>
      </c>
      <c r="C495" t="s">
        <v>96</v>
      </c>
      <c r="D495" t="s">
        <v>20</v>
      </c>
      <c r="E495" t="s">
        <v>15</v>
      </c>
      <c r="F495" t="s">
        <v>1650</v>
      </c>
      <c r="G495" s="39" t="s">
        <v>1779</v>
      </c>
      <c r="H495">
        <v>9246</v>
      </c>
      <c r="I495">
        <v>9246</v>
      </c>
      <c r="J495" s="21">
        <v>45383</v>
      </c>
      <c r="K495" s="7" t="s">
        <v>99</v>
      </c>
      <c r="L495" t="s">
        <v>68</v>
      </c>
      <c r="M495" t="s">
        <v>69</v>
      </c>
      <c r="O495">
        <v>9246</v>
      </c>
      <c r="S495" t="str">
        <f>TEXT(Table1[[#This Row],[Date]],"MMM-YY")</f>
        <v>Apr-24</v>
      </c>
      <c r="T495">
        <f>_xlfn.ISOWEEKNUM(Table1[[#This Row],[Date]])</f>
        <v>14</v>
      </c>
      <c r="U495" t="str">
        <f>TEXT(Table1[[#This Row],[Expected Business Month]],"YYYY")</f>
        <v>2024</v>
      </c>
    </row>
    <row r="496" spans="1:21" hidden="1">
      <c r="A496" s="1">
        <v>45385</v>
      </c>
      <c r="B496" t="s">
        <v>1680</v>
      </c>
      <c r="C496" t="s">
        <v>96</v>
      </c>
      <c r="D496" t="s">
        <v>64</v>
      </c>
      <c r="E496" t="s">
        <v>38</v>
      </c>
      <c r="F496" t="s">
        <v>1186</v>
      </c>
      <c r="G496" s="39">
        <v>45385</v>
      </c>
      <c r="H496">
        <v>11257</v>
      </c>
      <c r="I496">
        <v>11257</v>
      </c>
      <c r="J496" s="21">
        <v>45383</v>
      </c>
      <c r="K496" s="7" t="s">
        <v>67</v>
      </c>
      <c r="L496" t="s">
        <v>68</v>
      </c>
      <c r="M496" t="s">
        <v>69</v>
      </c>
      <c r="O496">
        <v>11257</v>
      </c>
      <c r="S496" t="str">
        <f>TEXT(Table1[[#This Row],[Date]],"MMM-YY")</f>
        <v>Apr-24</v>
      </c>
      <c r="T496">
        <f>_xlfn.ISOWEEKNUM(Table1[[#This Row],[Date]])</f>
        <v>14</v>
      </c>
      <c r="U496" t="str">
        <f>TEXT(Table1[[#This Row],[Expected Business Month]],"YYYY")</f>
        <v>2024</v>
      </c>
    </row>
    <row r="497" spans="1:21" ht="29.1" hidden="1">
      <c r="A497" s="1">
        <v>45385</v>
      </c>
      <c r="B497" t="s">
        <v>324</v>
      </c>
      <c r="C497" t="s">
        <v>96</v>
      </c>
      <c r="D497" t="s">
        <v>64</v>
      </c>
      <c r="E497" t="s">
        <v>38</v>
      </c>
      <c r="F497" t="s">
        <v>325</v>
      </c>
      <c r="G497" s="9" t="s">
        <v>1780</v>
      </c>
      <c r="H497">
        <v>39567</v>
      </c>
      <c r="I497">
        <v>39567</v>
      </c>
      <c r="J497" s="21">
        <v>45383</v>
      </c>
      <c r="K497" s="7" t="s">
        <v>99</v>
      </c>
      <c r="L497" t="s">
        <v>68</v>
      </c>
      <c r="M497" t="s">
        <v>69</v>
      </c>
      <c r="O497">
        <v>0</v>
      </c>
      <c r="S497" t="str">
        <f>TEXT(Table1[[#This Row],[Date]],"MMM-YY")</f>
        <v>Apr-24</v>
      </c>
      <c r="T497">
        <f>_xlfn.ISOWEEKNUM(Table1[[#This Row],[Date]])</f>
        <v>14</v>
      </c>
      <c r="U497" t="str">
        <f>TEXT(Table1[[#This Row],[Expected Business Month]],"YYYY")</f>
        <v>2024</v>
      </c>
    </row>
    <row r="498" spans="1:21" hidden="1">
      <c r="A498" s="1">
        <v>45386</v>
      </c>
      <c r="B498" t="s">
        <v>471</v>
      </c>
      <c r="C498" t="s">
        <v>96</v>
      </c>
      <c r="D498" t="s">
        <v>64</v>
      </c>
      <c r="E498" t="s">
        <v>26</v>
      </c>
      <c r="F498" t="s">
        <v>1707</v>
      </c>
      <c r="G498" s="39">
        <v>45386</v>
      </c>
      <c r="H498">
        <v>3669</v>
      </c>
      <c r="I498">
        <v>3669</v>
      </c>
      <c r="J498" s="21">
        <v>45383</v>
      </c>
      <c r="K498" s="7" t="s">
        <v>67</v>
      </c>
      <c r="L498" t="s">
        <v>68</v>
      </c>
      <c r="M498" t="s">
        <v>69</v>
      </c>
      <c r="O498">
        <v>3669</v>
      </c>
      <c r="S498" t="str">
        <f>TEXT(Table1[[#This Row],[Date]],"MMM-YY")</f>
        <v>Apr-24</v>
      </c>
      <c r="T498">
        <f>_xlfn.ISOWEEKNUM(Table1[[#This Row],[Date]])</f>
        <v>14</v>
      </c>
      <c r="U498" t="str">
        <f>TEXT(Table1[[#This Row],[Expected Business Month]],"YYYY")</f>
        <v>2024</v>
      </c>
    </row>
    <row r="499" spans="1:21" hidden="1">
      <c r="A499" s="1">
        <v>45386</v>
      </c>
      <c r="B499" t="s">
        <v>1649</v>
      </c>
      <c r="C499" t="s">
        <v>96</v>
      </c>
      <c r="D499" t="s">
        <v>20</v>
      </c>
      <c r="E499" t="s">
        <v>15</v>
      </c>
      <c r="F499" t="s">
        <v>1650</v>
      </c>
      <c r="G499" s="9" t="s">
        <v>1781</v>
      </c>
      <c r="H499">
        <v>11280</v>
      </c>
      <c r="I499">
        <v>11280</v>
      </c>
      <c r="J499" s="21">
        <v>45383</v>
      </c>
      <c r="K499" s="7" t="s">
        <v>99</v>
      </c>
      <c r="L499" t="s">
        <v>68</v>
      </c>
      <c r="M499" t="s">
        <v>69</v>
      </c>
      <c r="O499">
        <v>11280</v>
      </c>
      <c r="S499" t="str">
        <f>TEXT(Table1[[#This Row],[Date]],"MMM-YY")</f>
        <v>Apr-24</v>
      </c>
      <c r="T499">
        <f>_xlfn.ISOWEEKNUM(Table1[[#This Row],[Date]])</f>
        <v>14</v>
      </c>
      <c r="U499" t="str">
        <f>TEXT(Table1[[#This Row],[Expected Business Month]],"YYYY")</f>
        <v>2024</v>
      </c>
    </row>
    <row r="500" spans="1:21" hidden="1">
      <c r="A500" s="1">
        <v>45386</v>
      </c>
      <c r="B500" t="s">
        <v>1680</v>
      </c>
      <c r="C500" t="s">
        <v>96</v>
      </c>
      <c r="D500" t="s">
        <v>64</v>
      </c>
      <c r="E500" t="s">
        <v>38</v>
      </c>
      <c r="F500" t="s">
        <v>1186</v>
      </c>
      <c r="G500" s="39">
        <v>45386</v>
      </c>
      <c r="H500">
        <v>13781</v>
      </c>
      <c r="I500">
        <v>13781</v>
      </c>
      <c r="J500" s="21">
        <v>45383</v>
      </c>
      <c r="K500" s="7" t="s">
        <v>67</v>
      </c>
      <c r="L500" t="s">
        <v>68</v>
      </c>
      <c r="M500" t="s">
        <v>69</v>
      </c>
      <c r="O500">
        <v>13781</v>
      </c>
      <c r="S500" t="str">
        <f>TEXT(Table1[[#This Row],[Date]],"MMM-YY")</f>
        <v>Apr-24</v>
      </c>
      <c r="T500">
        <f>_xlfn.ISOWEEKNUM(Table1[[#This Row],[Date]])</f>
        <v>14</v>
      </c>
      <c r="U500" t="str">
        <f>TEXT(Table1[[#This Row],[Expected Business Month]],"YYYY")</f>
        <v>2024</v>
      </c>
    </row>
    <row r="501" spans="1:21" ht="29.1" hidden="1">
      <c r="A501" s="1">
        <v>45386</v>
      </c>
      <c r="B501" t="s">
        <v>1562</v>
      </c>
      <c r="C501" t="s">
        <v>96</v>
      </c>
      <c r="D501" t="s">
        <v>64</v>
      </c>
      <c r="E501" t="s">
        <v>32</v>
      </c>
      <c r="F501" t="s">
        <v>1782</v>
      </c>
      <c r="G501" s="9" t="s">
        <v>1783</v>
      </c>
      <c r="H501">
        <v>5000</v>
      </c>
      <c r="I501">
        <v>5000</v>
      </c>
      <c r="J501" s="21">
        <v>45383</v>
      </c>
      <c r="K501" s="7" t="s">
        <v>67</v>
      </c>
      <c r="L501" t="s">
        <v>68</v>
      </c>
      <c r="M501" t="s">
        <v>69</v>
      </c>
      <c r="O501">
        <v>0</v>
      </c>
      <c r="S501" t="str">
        <f>TEXT(Table1[[#This Row],[Date]],"MMM-YY")</f>
        <v>Apr-24</v>
      </c>
      <c r="T501">
        <f>_xlfn.ISOWEEKNUM(Table1[[#This Row],[Date]])</f>
        <v>14</v>
      </c>
      <c r="U501" t="str">
        <f>TEXT(Table1[[#This Row],[Expected Business Month]],"YYYY")</f>
        <v>2024</v>
      </c>
    </row>
    <row r="502" spans="1:21" hidden="1">
      <c r="A502" s="1">
        <v>45387</v>
      </c>
      <c r="B502" t="s">
        <v>471</v>
      </c>
      <c r="C502" t="s">
        <v>96</v>
      </c>
      <c r="D502" t="s">
        <v>64</v>
      </c>
      <c r="E502" t="s">
        <v>26</v>
      </c>
      <c r="F502" t="s">
        <v>1707</v>
      </c>
      <c r="G502" s="39">
        <v>45387</v>
      </c>
      <c r="H502">
        <v>4380</v>
      </c>
      <c r="I502">
        <v>4380</v>
      </c>
      <c r="J502" s="21">
        <v>45383</v>
      </c>
      <c r="K502" s="7" t="s">
        <v>67</v>
      </c>
      <c r="L502" t="s">
        <v>68</v>
      </c>
      <c r="M502" t="s">
        <v>69</v>
      </c>
      <c r="O502">
        <v>4380</v>
      </c>
      <c r="S502" t="str">
        <f>TEXT(Table1[[#This Row],[Date]],"MMM-YY")</f>
        <v>Apr-24</v>
      </c>
      <c r="T502">
        <f>_xlfn.ISOWEEKNUM(Table1[[#This Row],[Date]])</f>
        <v>14</v>
      </c>
      <c r="U502" t="str">
        <f>TEXT(Table1[[#This Row],[Expected Business Month]],"YYYY")</f>
        <v>2024</v>
      </c>
    </row>
    <row r="503" spans="1:21" hidden="1">
      <c r="A503" s="1">
        <v>45387</v>
      </c>
      <c r="B503" t="s">
        <v>1649</v>
      </c>
      <c r="C503" t="s">
        <v>96</v>
      </c>
      <c r="D503" t="s">
        <v>20</v>
      </c>
      <c r="E503" t="s">
        <v>15</v>
      </c>
      <c r="F503" t="s">
        <v>1650</v>
      </c>
      <c r="G503" s="9" t="s">
        <v>1784</v>
      </c>
      <c r="H503">
        <v>19782</v>
      </c>
      <c r="I503">
        <v>19782</v>
      </c>
      <c r="J503" s="21">
        <v>45383</v>
      </c>
      <c r="K503" s="7" t="s">
        <v>99</v>
      </c>
      <c r="L503" t="s">
        <v>68</v>
      </c>
      <c r="M503" t="s">
        <v>69</v>
      </c>
      <c r="O503">
        <v>19782</v>
      </c>
      <c r="S503" t="str">
        <f>TEXT(Table1[[#This Row],[Date]],"MMM-YY")</f>
        <v>Apr-24</v>
      </c>
      <c r="T503">
        <f>_xlfn.ISOWEEKNUM(Table1[[#This Row],[Date]])</f>
        <v>14</v>
      </c>
      <c r="U503" t="str">
        <f>TEXT(Table1[[#This Row],[Expected Business Month]],"YYYY")</f>
        <v>2024</v>
      </c>
    </row>
    <row r="504" spans="1:21" hidden="1">
      <c r="A504" s="1">
        <v>45387</v>
      </c>
      <c r="B504" t="s">
        <v>1680</v>
      </c>
      <c r="C504" t="s">
        <v>96</v>
      </c>
      <c r="D504" t="s">
        <v>64</v>
      </c>
      <c r="E504" t="s">
        <v>38</v>
      </c>
      <c r="F504" t="s">
        <v>1186</v>
      </c>
      <c r="G504" s="39">
        <v>45387</v>
      </c>
      <c r="H504">
        <v>15624</v>
      </c>
      <c r="I504">
        <v>15624</v>
      </c>
      <c r="J504" s="21">
        <v>45383</v>
      </c>
      <c r="K504" s="7" t="s">
        <v>67</v>
      </c>
      <c r="L504" t="s">
        <v>68</v>
      </c>
      <c r="M504" t="s">
        <v>69</v>
      </c>
      <c r="O504">
        <v>15624</v>
      </c>
      <c r="S504" t="str">
        <f>TEXT(Table1[[#This Row],[Date]],"MMM-YY")</f>
        <v>Apr-24</v>
      </c>
      <c r="T504">
        <f>_xlfn.ISOWEEKNUM(Table1[[#This Row],[Date]])</f>
        <v>14</v>
      </c>
      <c r="U504" t="str">
        <f>TEXT(Table1[[#This Row],[Expected Business Month]],"YYYY")</f>
        <v>2024</v>
      </c>
    </row>
    <row r="505" spans="1:21" hidden="1">
      <c r="A505" s="1">
        <v>45387</v>
      </c>
      <c r="B505" t="s">
        <v>1749</v>
      </c>
      <c r="C505" t="s">
        <v>96</v>
      </c>
      <c r="D505" t="s">
        <v>64</v>
      </c>
      <c r="E505" t="s">
        <v>27</v>
      </c>
      <c r="F505" t="s">
        <v>1335</v>
      </c>
      <c r="G505" s="9" t="s">
        <v>1785</v>
      </c>
      <c r="H505">
        <v>6500</v>
      </c>
      <c r="I505">
        <v>6500</v>
      </c>
      <c r="J505" s="21">
        <v>45383</v>
      </c>
      <c r="K505" s="7" t="s">
        <v>67</v>
      </c>
      <c r="L505" t="s">
        <v>68</v>
      </c>
      <c r="M505" t="s">
        <v>69</v>
      </c>
      <c r="O505">
        <v>0</v>
      </c>
      <c r="S505" t="str">
        <f>TEXT(Table1[[#This Row],[Date]],"MMM-YY")</f>
        <v>Apr-24</v>
      </c>
      <c r="T505">
        <f>_xlfn.ISOWEEKNUM(Table1[[#This Row],[Date]])</f>
        <v>14</v>
      </c>
      <c r="U505" t="str">
        <f>TEXT(Table1[[#This Row],[Expected Business Month]],"YYYY")</f>
        <v>2024</v>
      </c>
    </row>
    <row r="506" spans="1:21" hidden="1">
      <c r="A506" s="1">
        <v>45387</v>
      </c>
      <c r="B506" t="s">
        <v>1786</v>
      </c>
      <c r="C506" t="s">
        <v>96</v>
      </c>
      <c r="D506" t="s">
        <v>20</v>
      </c>
      <c r="E506" t="s">
        <v>23</v>
      </c>
      <c r="F506" t="s">
        <v>1787</v>
      </c>
      <c r="G506" s="9" t="s">
        <v>1788</v>
      </c>
      <c r="H506">
        <v>3500</v>
      </c>
      <c r="I506">
        <v>3500</v>
      </c>
      <c r="J506" s="21">
        <v>45383</v>
      </c>
      <c r="K506" s="7" t="s">
        <v>99</v>
      </c>
      <c r="L506" t="s">
        <v>68</v>
      </c>
      <c r="M506" t="s">
        <v>69</v>
      </c>
      <c r="O506">
        <v>0</v>
      </c>
      <c r="S506" t="str">
        <f>TEXT(Table1[[#This Row],[Date]],"MMM-YY")</f>
        <v>Apr-24</v>
      </c>
      <c r="T506">
        <f>_xlfn.ISOWEEKNUM(Table1[[#This Row],[Date]])</f>
        <v>14</v>
      </c>
      <c r="U506" t="str">
        <f>TEXT(Table1[[#This Row],[Expected Business Month]],"YYYY")</f>
        <v>2024</v>
      </c>
    </row>
    <row r="507" spans="1:21" hidden="1">
      <c r="A507" s="1">
        <v>45388</v>
      </c>
      <c r="B507" t="s">
        <v>1649</v>
      </c>
      <c r="C507" t="s">
        <v>96</v>
      </c>
      <c r="D507" t="s">
        <v>20</v>
      </c>
      <c r="E507" t="s">
        <v>15</v>
      </c>
      <c r="F507" t="s">
        <v>1650</v>
      </c>
      <c r="G507" s="9" t="s">
        <v>1789</v>
      </c>
      <c r="H507">
        <v>16039</v>
      </c>
      <c r="I507">
        <v>16039</v>
      </c>
      <c r="J507" s="21">
        <v>45383</v>
      </c>
      <c r="K507" s="7" t="s">
        <v>99</v>
      </c>
      <c r="L507" t="s">
        <v>68</v>
      </c>
      <c r="M507" t="s">
        <v>69</v>
      </c>
      <c r="O507">
        <v>16039</v>
      </c>
      <c r="S507" t="str">
        <f>TEXT(Table1[[#This Row],[Date]],"MMM-YY")</f>
        <v>Apr-24</v>
      </c>
      <c r="T507">
        <f>_xlfn.ISOWEEKNUM(Table1[[#This Row],[Date]])</f>
        <v>14</v>
      </c>
      <c r="U507" t="str">
        <f>TEXT(Table1[[#This Row],[Expected Business Month]],"YYYY")</f>
        <v>2024</v>
      </c>
    </row>
    <row r="508" spans="1:21" hidden="1">
      <c r="A508" s="1">
        <v>45388</v>
      </c>
      <c r="B508" t="s">
        <v>1680</v>
      </c>
      <c r="C508" t="s">
        <v>96</v>
      </c>
      <c r="D508" t="s">
        <v>64</v>
      </c>
      <c r="E508" t="s">
        <v>38</v>
      </c>
      <c r="F508" t="s">
        <v>1186</v>
      </c>
      <c r="G508" s="39">
        <v>45388</v>
      </c>
      <c r="H508">
        <v>15624</v>
      </c>
      <c r="I508">
        <v>15624</v>
      </c>
      <c r="J508" s="21">
        <v>45383</v>
      </c>
      <c r="K508" s="7" t="s">
        <v>67</v>
      </c>
      <c r="L508" t="s">
        <v>68</v>
      </c>
      <c r="M508" t="s">
        <v>69</v>
      </c>
      <c r="O508">
        <v>15624</v>
      </c>
      <c r="S508" t="str">
        <f>TEXT(Table1[[#This Row],[Date]],"MMM-YY")</f>
        <v>Apr-24</v>
      </c>
      <c r="T508">
        <f>_xlfn.ISOWEEKNUM(Table1[[#This Row],[Date]])</f>
        <v>14</v>
      </c>
      <c r="U508" t="str">
        <f>TEXT(Table1[[#This Row],[Expected Business Month]],"YYYY")</f>
        <v>2024</v>
      </c>
    </row>
    <row r="509" spans="1:21" hidden="1">
      <c r="A509" s="1">
        <v>45388</v>
      </c>
      <c r="B509" t="s">
        <v>1790</v>
      </c>
      <c r="C509" t="s">
        <v>96</v>
      </c>
      <c r="D509" t="s">
        <v>20</v>
      </c>
      <c r="E509" t="s">
        <v>23</v>
      </c>
      <c r="F509" t="s">
        <v>1791</v>
      </c>
      <c r="G509" s="9" t="s">
        <v>1792</v>
      </c>
      <c r="H509">
        <v>3200</v>
      </c>
      <c r="I509">
        <v>3200</v>
      </c>
      <c r="J509" s="21">
        <v>45383</v>
      </c>
      <c r="K509" s="7" t="s">
        <v>67</v>
      </c>
      <c r="L509" t="s">
        <v>68</v>
      </c>
      <c r="M509" t="s">
        <v>69</v>
      </c>
      <c r="O509">
        <v>0</v>
      </c>
      <c r="S509" t="str">
        <f>TEXT(Table1[[#This Row],[Date]],"MMM-YY")</f>
        <v>Apr-24</v>
      </c>
      <c r="T509">
        <f>_xlfn.ISOWEEKNUM(Table1[[#This Row],[Date]])</f>
        <v>14</v>
      </c>
      <c r="U509" t="str">
        <f>TEXT(Table1[[#This Row],[Expected Business Month]],"YYYY")</f>
        <v>2024</v>
      </c>
    </row>
    <row r="510" spans="1:21" ht="29.1" hidden="1">
      <c r="A510" s="1">
        <v>45388</v>
      </c>
      <c r="B510" t="s">
        <v>1793</v>
      </c>
      <c r="C510" t="s">
        <v>63</v>
      </c>
      <c r="D510" t="s">
        <v>64</v>
      </c>
      <c r="E510" t="s">
        <v>26</v>
      </c>
      <c r="F510" t="s">
        <v>1794</v>
      </c>
      <c r="G510" s="9" t="s">
        <v>1795</v>
      </c>
      <c r="H510">
        <v>73100</v>
      </c>
      <c r="I510">
        <v>0</v>
      </c>
      <c r="J510" s="21">
        <v>45383</v>
      </c>
      <c r="K510" s="7" t="s">
        <v>67</v>
      </c>
      <c r="L510" t="s">
        <v>9</v>
      </c>
      <c r="M510" t="s">
        <v>9</v>
      </c>
      <c r="N510" t="s">
        <v>602</v>
      </c>
      <c r="O510">
        <v>0</v>
      </c>
      <c r="S510" t="str">
        <f>TEXT(Table1[[#This Row],[Date]],"MMM-YY")</f>
        <v>Apr-24</v>
      </c>
      <c r="T510">
        <f>_xlfn.ISOWEEKNUM(Table1[[#This Row],[Date]])</f>
        <v>14</v>
      </c>
      <c r="U510" t="str">
        <f>TEXT(Table1[[#This Row],[Expected Business Month]],"YYYY")</f>
        <v>2024</v>
      </c>
    </row>
    <row r="511" spans="1:21" hidden="1">
      <c r="A511" s="1">
        <v>45388</v>
      </c>
      <c r="B511" t="s">
        <v>1796</v>
      </c>
      <c r="C511" t="s">
        <v>96</v>
      </c>
      <c r="D511" t="s">
        <v>618</v>
      </c>
      <c r="E511" t="s">
        <v>18</v>
      </c>
      <c r="F511" t="s">
        <v>1797</v>
      </c>
      <c r="G511" s="9" t="s">
        <v>1798</v>
      </c>
      <c r="H511">
        <v>54900</v>
      </c>
      <c r="I511">
        <v>54900</v>
      </c>
      <c r="J511" s="21">
        <v>45383</v>
      </c>
      <c r="K511" s="7" t="s">
        <v>67</v>
      </c>
      <c r="L511" t="s">
        <v>68</v>
      </c>
      <c r="M511" t="s">
        <v>69</v>
      </c>
      <c r="O511">
        <v>0</v>
      </c>
      <c r="S511" t="str">
        <f>TEXT(Table1[[#This Row],[Date]],"MMM-YY")</f>
        <v>Apr-24</v>
      </c>
      <c r="T511">
        <f>_xlfn.ISOWEEKNUM(Table1[[#This Row],[Date]])</f>
        <v>14</v>
      </c>
      <c r="U511" t="str">
        <f>TEXT(Table1[[#This Row],[Expected Business Month]],"YYYY")</f>
        <v>2024</v>
      </c>
    </row>
    <row r="512" spans="1:21" hidden="1">
      <c r="A512" s="1">
        <v>45388</v>
      </c>
      <c r="B512" t="s">
        <v>330</v>
      </c>
      <c r="C512" t="s">
        <v>63</v>
      </c>
      <c r="D512" t="s">
        <v>64</v>
      </c>
      <c r="E512" t="s">
        <v>32</v>
      </c>
      <c r="F512" t="s">
        <v>1799</v>
      </c>
      <c r="G512" s="9" t="s">
        <v>1800</v>
      </c>
      <c r="H512">
        <v>88000</v>
      </c>
      <c r="I512">
        <v>0</v>
      </c>
      <c r="J512" s="21">
        <v>45383</v>
      </c>
      <c r="K512" s="7" t="s">
        <v>67</v>
      </c>
      <c r="L512" t="s">
        <v>9</v>
      </c>
      <c r="M512" t="s">
        <v>9</v>
      </c>
      <c r="N512" t="s">
        <v>1801</v>
      </c>
      <c r="O512">
        <v>0</v>
      </c>
      <c r="S512" t="str">
        <f>TEXT(Table1[[#This Row],[Date]],"MMM-YY")</f>
        <v>Apr-24</v>
      </c>
      <c r="T512">
        <f>_xlfn.ISOWEEKNUM(Table1[[#This Row],[Date]])</f>
        <v>14</v>
      </c>
      <c r="U512" t="str">
        <f>TEXT(Table1[[#This Row],[Expected Business Month]],"YYYY")</f>
        <v>2024</v>
      </c>
    </row>
    <row r="513" spans="1:21" hidden="1">
      <c r="A513" s="1">
        <v>45389</v>
      </c>
      <c r="B513" t="s">
        <v>1802</v>
      </c>
      <c r="C513" t="s">
        <v>96</v>
      </c>
      <c r="D513" t="s">
        <v>64</v>
      </c>
      <c r="E513" t="s">
        <v>26</v>
      </c>
      <c r="F513" t="s">
        <v>214</v>
      </c>
      <c r="G513" s="9" t="s">
        <v>1803</v>
      </c>
      <c r="H513">
        <v>40000</v>
      </c>
      <c r="I513">
        <v>0</v>
      </c>
      <c r="J513" s="21">
        <v>45383</v>
      </c>
      <c r="K513" s="7" t="s">
        <v>67</v>
      </c>
      <c r="L513" t="s">
        <v>9</v>
      </c>
      <c r="M513" t="s">
        <v>9</v>
      </c>
      <c r="N513" t="s">
        <v>602</v>
      </c>
      <c r="O513">
        <v>0</v>
      </c>
      <c r="S513" t="str">
        <f>TEXT(Table1[[#This Row],[Date]],"MMM-YY")</f>
        <v>Apr-24</v>
      </c>
      <c r="T513">
        <f>_xlfn.ISOWEEKNUM(Table1[[#This Row],[Date]])</f>
        <v>14</v>
      </c>
      <c r="U513" t="str">
        <f>TEXT(Table1[[#This Row],[Expected Business Month]],"YYYY")</f>
        <v>2024</v>
      </c>
    </row>
    <row r="514" spans="1:21" hidden="1">
      <c r="A514" s="1">
        <v>45389</v>
      </c>
      <c r="B514" t="s">
        <v>1649</v>
      </c>
      <c r="C514" t="s">
        <v>96</v>
      </c>
      <c r="D514" t="s">
        <v>20</v>
      </c>
      <c r="E514" t="s">
        <v>15</v>
      </c>
      <c r="F514" t="s">
        <v>1650</v>
      </c>
      <c r="G514" s="9" t="s">
        <v>1804</v>
      </c>
      <c r="H514">
        <v>16039</v>
      </c>
      <c r="I514">
        <v>16039</v>
      </c>
      <c r="J514" s="21">
        <v>45383</v>
      </c>
      <c r="K514" s="7" t="s">
        <v>99</v>
      </c>
      <c r="L514" t="s">
        <v>68</v>
      </c>
      <c r="M514" t="s">
        <v>69</v>
      </c>
      <c r="O514">
        <v>16039</v>
      </c>
      <c r="S514" t="str">
        <f>TEXT(Table1[[#This Row],[Date]],"MMM-YY")</f>
        <v>Apr-24</v>
      </c>
      <c r="T514">
        <f>_xlfn.ISOWEEKNUM(Table1[[#This Row],[Date]])</f>
        <v>14</v>
      </c>
      <c r="U514" t="str">
        <f>TEXT(Table1[[#This Row],[Expected Business Month]],"YYYY")</f>
        <v>2024</v>
      </c>
    </row>
    <row r="515" spans="1:21" hidden="1">
      <c r="A515" s="1">
        <v>45389</v>
      </c>
      <c r="B515" t="s">
        <v>1680</v>
      </c>
      <c r="C515" t="s">
        <v>96</v>
      </c>
      <c r="D515" t="s">
        <v>64</v>
      </c>
      <c r="E515" t="s">
        <v>38</v>
      </c>
      <c r="F515" t="s">
        <v>1186</v>
      </c>
      <c r="G515" s="39">
        <v>45389</v>
      </c>
      <c r="H515">
        <v>17465</v>
      </c>
      <c r="I515">
        <v>17465</v>
      </c>
      <c r="J515" s="21">
        <v>45383</v>
      </c>
      <c r="K515" s="7" t="s">
        <v>67</v>
      </c>
      <c r="L515" t="s">
        <v>68</v>
      </c>
      <c r="M515" t="s">
        <v>69</v>
      </c>
      <c r="O515">
        <v>17465</v>
      </c>
      <c r="S515" t="str">
        <f>TEXT(Table1[[#This Row],[Date]],"MMM-YY")</f>
        <v>Apr-24</v>
      </c>
      <c r="T515">
        <f>_xlfn.ISOWEEKNUM(Table1[[#This Row],[Date]])</f>
        <v>14</v>
      </c>
      <c r="U515" t="str">
        <f>TEXT(Table1[[#This Row],[Expected Business Month]],"YYYY")</f>
        <v>2024</v>
      </c>
    </row>
    <row r="516" spans="1:21" hidden="1">
      <c r="A516" s="1">
        <v>45389</v>
      </c>
      <c r="B516" t="s">
        <v>1805</v>
      </c>
      <c r="C516" t="s">
        <v>96</v>
      </c>
      <c r="D516" t="s">
        <v>20</v>
      </c>
      <c r="E516" t="s">
        <v>23</v>
      </c>
      <c r="F516" t="s">
        <v>1806</v>
      </c>
      <c r="G516" s="9" t="s">
        <v>1807</v>
      </c>
      <c r="H516">
        <v>3500</v>
      </c>
      <c r="I516">
        <v>3500</v>
      </c>
      <c r="J516" s="21">
        <v>45383</v>
      </c>
      <c r="K516" s="7" t="s">
        <v>99</v>
      </c>
      <c r="L516" t="s">
        <v>68</v>
      </c>
      <c r="M516" t="s">
        <v>69</v>
      </c>
      <c r="O516">
        <v>0</v>
      </c>
      <c r="S516" t="str">
        <f>TEXT(Table1[[#This Row],[Date]],"MMM-YY")</f>
        <v>Apr-24</v>
      </c>
      <c r="T516">
        <f>_xlfn.ISOWEEKNUM(Table1[[#This Row],[Date]])</f>
        <v>14</v>
      </c>
      <c r="U516" t="str">
        <f>TEXT(Table1[[#This Row],[Expected Business Month]],"YYYY")</f>
        <v>2024</v>
      </c>
    </row>
    <row r="517" spans="1:21" hidden="1">
      <c r="A517" s="1">
        <v>45390</v>
      </c>
      <c r="B517" t="s">
        <v>471</v>
      </c>
      <c r="C517" t="s">
        <v>96</v>
      </c>
      <c r="D517" t="s">
        <v>64</v>
      </c>
      <c r="E517" t="s">
        <v>26</v>
      </c>
      <c r="F517" t="s">
        <v>1707</v>
      </c>
      <c r="G517" s="39">
        <v>45390</v>
      </c>
      <c r="H517">
        <v>1500</v>
      </c>
      <c r="I517">
        <v>1500</v>
      </c>
      <c r="J517" s="21">
        <v>45383</v>
      </c>
      <c r="K517" s="7" t="s">
        <v>67</v>
      </c>
      <c r="L517" t="s">
        <v>68</v>
      </c>
      <c r="M517" t="s">
        <v>69</v>
      </c>
      <c r="O517">
        <v>1500</v>
      </c>
      <c r="S517" t="str">
        <f>TEXT(Table1[[#This Row],[Date]],"MMM-YY")</f>
        <v>Apr-24</v>
      </c>
      <c r="T517">
        <f>_xlfn.ISOWEEKNUM(Table1[[#This Row],[Date]])</f>
        <v>15</v>
      </c>
      <c r="U517" t="str">
        <f>TEXT(Table1[[#This Row],[Expected Business Month]],"YYYY")</f>
        <v>2024</v>
      </c>
    </row>
    <row r="518" spans="1:21" hidden="1">
      <c r="A518" s="1">
        <v>45390</v>
      </c>
      <c r="B518" t="s">
        <v>1649</v>
      </c>
      <c r="C518" t="s">
        <v>96</v>
      </c>
      <c r="D518" t="s">
        <v>20</v>
      </c>
      <c r="E518" t="s">
        <v>15</v>
      </c>
      <c r="F518" t="s">
        <v>1650</v>
      </c>
      <c r="G518" s="9" t="s">
        <v>1808</v>
      </c>
      <c r="H518">
        <v>11160</v>
      </c>
      <c r="I518">
        <v>11160</v>
      </c>
      <c r="J518" s="21">
        <v>45383</v>
      </c>
      <c r="K518" s="7" t="s">
        <v>99</v>
      </c>
      <c r="L518" t="s">
        <v>68</v>
      </c>
      <c r="M518" t="s">
        <v>69</v>
      </c>
      <c r="O518">
        <v>11160</v>
      </c>
      <c r="S518" t="str">
        <f>TEXT(Table1[[#This Row],[Date]],"MMM-YY")</f>
        <v>Apr-24</v>
      </c>
      <c r="T518">
        <f>_xlfn.ISOWEEKNUM(Table1[[#This Row],[Date]])</f>
        <v>15</v>
      </c>
      <c r="U518" t="str">
        <f>TEXT(Table1[[#This Row],[Expected Business Month]],"YYYY")</f>
        <v>2024</v>
      </c>
    </row>
    <row r="519" spans="1:21" hidden="1">
      <c r="A519" s="1">
        <v>45390</v>
      </c>
      <c r="B519" t="s">
        <v>1680</v>
      </c>
      <c r="C519" t="s">
        <v>96</v>
      </c>
      <c r="D519" t="s">
        <v>64</v>
      </c>
      <c r="E519" t="s">
        <v>38</v>
      </c>
      <c r="F519" t="s">
        <v>1186</v>
      </c>
      <c r="G519" s="39">
        <v>45390</v>
      </c>
      <c r="H519">
        <v>17500</v>
      </c>
      <c r="I519">
        <v>17500</v>
      </c>
      <c r="J519" s="21">
        <v>45383</v>
      </c>
      <c r="K519" s="7" t="s">
        <v>67</v>
      </c>
      <c r="L519" t="s">
        <v>68</v>
      </c>
      <c r="M519" t="s">
        <v>69</v>
      </c>
      <c r="O519">
        <v>17500</v>
      </c>
      <c r="S519" t="str">
        <f>TEXT(Table1[[#This Row],[Date]],"MMM-YY")</f>
        <v>Apr-24</v>
      </c>
      <c r="T519">
        <f>_xlfn.ISOWEEKNUM(Table1[[#This Row],[Date]])</f>
        <v>15</v>
      </c>
      <c r="U519" t="str">
        <f>TEXT(Table1[[#This Row],[Expected Business Month]],"YYYY")</f>
        <v>2024</v>
      </c>
    </row>
    <row r="520" spans="1:21" hidden="1">
      <c r="A520" s="1">
        <v>45391</v>
      </c>
      <c r="B520" t="s">
        <v>1649</v>
      </c>
      <c r="C520" t="s">
        <v>96</v>
      </c>
      <c r="D520" t="s">
        <v>20</v>
      </c>
      <c r="E520" t="s">
        <v>15</v>
      </c>
      <c r="F520" t="s">
        <v>1650</v>
      </c>
      <c r="G520" s="9" t="s">
        <v>1809</v>
      </c>
      <c r="H520">
        <v>18432</v>
      </c>
      <c r="I520">
        <v>18432</v>
      </c>
      <c r="J520" s="21">
        <v>45383</v>
      </c>
      <c r="K520" s="7" t="s">
        <v>99</v>
      </c>
      <c r="L520" t="s">
        <v>68</v>
      </c>
      <c r="M520" t="s">
        <v>69</v>
      </c>
      <c r="O520">
        <v>18432</v>
      </c>
      <c r="S520" t="str">
        <f>TEXT(Table1[[#This Row],[Date]],"MMM-YY")</f>
        <v>Apr-24</v>
      </c>
      <c r="T520">
        <f>_xlfn.ISOWEEKNUM(Table1[[#This Row],[Date]])</f>
        <v>15</v>
      </c>
      <c r="U520" t="str">
        <f>TEXT(Table1[[#This Row],[Expected Business Month]],"YYYY")</f>
        <v>2024</v>
      </c>
    </row>
    <row r="521" spans="1:21" hidden="1">
      <c r="A521" s="1">
        <v>45391</v>
      </c>
      <c r="B521" t="s">
        <v>1680</v>
      </c>
      <c r="C521" t="s">
        <v>96</v>
      </c>
      <c r="D521" t="s">
        <v>64</v>
      </c>
      <c r="E521" t="s">
        <v>38</v>
      </c>
      <c r="F521" t="s">
        <v>1186</v>
      </c>
      <c r="G521" s="39">
        <v>45386</v>
      </c>
      <c r="H521">
        <v>17465</v>
      </c>
      <c r="I521">
        <v>17465</v>
      </c>
      <c r="J521" s="21">
        <v>45383</v>
      </c>
      <c r="K521" s="7" t="s">
        <v>67</v>
      </c>
      <c r="L521" t="s">
        <v>68</v>
      </c>
      <c r="M521" t="s">
        <v>69</v>
      </c>
      <c r="O521">
        <v>17465</v>
      </c>
      <c r="S521" t="str">
        <f>TEXT(Table1[[#This Row],[Date]],"MMM-YY")</f>
        <v>Apr-24</v>
      </c>
      <c r="T521">
        <f>_xlfn.ISOWEEKNUM(Table1[[#This Row],[Date]])</f>
        <v>15</v>
      </c>
      <c r="U521" t="str">
        <f>TEXT(Table1[[#This Row],[Expected Business Month]],"YYYY")</f>
        <v>2024</v>
      </c>
    </row>
    <row r="522" spans="1:21" hidden="1">
      <c r="A522" s="1">
        <v>45391</v>
      </c>
      <c r="B522" t="s">
        <v>1810</v>
      </c>
      <c r="C522" t="s">
        <v>96</v>
      </c>
      <c r="D522" t="s">
        <v>20</v>
      </c>
      <c r="E522" t="s">
        <v>23</v>
      </c>
      <c r="F522" t="s">
        <v>515</v>
      </c>
      <c r="G522" s="9" t="s">
        <v>1811</v>
      </c>
      <c r="H522">
        <v>10500</v>
      </c>
      <c r="I522">
        <v>0</v>
      </c>
      <c r="J522" s="21">
        <v>45383</v>
      </c>
      <c r="K522" s="7" t="s">
        <v>67</v>
      </c>
      <c r="L522" t="s">
        <v>9</v>
      </c>
      <c r="M522" t="s">
        <v>9</v>
      </c>
      <c r="N522" t="s">
        <v>1812</v>
      </c>
      <c r="O522">
        <v>0</v>
      </c>
      <c r="S522" t="str">
        <f>TEXT(Table1[[#This Row],[Date]],"MMM-YY")</f>
        <v>Apr-24</v>
      </c>
      <c r="T522">
        <f>_xlfn.ISOWEEKNUM(Table1[[#This Row],[Date]])</f>
        <v>15</v>
      </c>
      <c r="U522" t="str">
        <f>TEXT(Table1[[#This Row],[Expected Business Month]],"YYYY")</f>
        <v>2024</v>
      </c>
    </row>
    <row r="523" spans="1:21" ht="29.1" hidden="1">
      <c r="A523" s="1">
        <v>45391</v>
      </c>
      <c r="B523" t="s">
        <v>324</v>
      </c>
      <c r="C523" t="s">
        <v>96</v>
      </c>
      <c r="D523" t="s">
        <v>64</v>
      </c>
      <c r="E523" t="s">
        <v>38</v>
      </c>
      <c r="F523" t="s">
        <v>325</v>
      </c>
      <c r="G523" s="9" t="s">
        <v>1813</v>
      </c>
      <c r="H523">
        <v>39622</v>
      </c>
      <c r="I523">
        <v>39622</v>
      </c>
      <c r="J523" s="21">
        <v>45383</v>
      </c>
      <c r="K523" s="7" t="s">
        <v>99</v>
      </c>
      <c r="L523" t="s">
        <v>68</v>
      </c>
      <c r="M523" t="s">
        <v>69</v>
      </c>
      <c r="O523">
        <v>0</v>
      </c>
      <c r="S523" t="str">
        <f>TEXT(Table1[[#This Row],[Date]],"MMM-YY")</f>
        <v>Apr-24</v>
      </c>
      <c r="T523">
        <f>_xlfn.ISOWEEKNUM(Table1[[#This Row],[Date]])</f>
        <v>15</v>
      </c>
      <c r="U523" t="str">
        <f>TEXT(Table1[[#This Row],[Expected Business Month]],"YYYY")</f>
        <v>2024</v>
      </c>
    </row>
    <row r="524" spans="1:21" hidden="1">
      <c r="A524" s="1">
        <v>44661</v>
      </c>
      <c r="B524" t="s">
        <v>1680</v>
      </c>
      <c r="C524" t="s">
        <v>96</v>
      </c>
      <c r="D524" t="s">
        <v>64</v>
      </c>
      <c r="E524" t="s">
        <v>38</v>
      </c>
      <c r="F524" t="s">
        <v>1186</v>
      </c>
      <c r="G524" s="39">
        <v>45392</v>
      </c>
      <c r="H524">
        <v>6800</v>
      </c>
      <c r="I524">
        <v>6800</v>
      </c>
      <c r="J524" s="21">
        <v>45383</v>
      </c>
      <c r="K524" s="7" t="s">
        <v>67</v>
      </c>
      <c r="L524" t="s">
        <v>68</v>
      </c>
      <c r="M524" t="s">
        <v>69</v>
      </c>
      <c r="O524">
        <v>6800</v>
      </c>
      <c r="S524" t="str">
        <f>TEXT(Table1[[#This Row],[Date]],"MMM-YY")</f>
        <v>Apr-22</v>
      </c>
      <c r="T524">
        <f>_xlfn.ISOWEEKNUM(Table1[[#This Row],[Date]])</f>
        <v>14</v>
      </c>
      <c r="U524" t="str">
        <f>TEXT(Table1[[#This Row],[Expected Business Month]],"YYYY")</f>
        <v>2024</v>
      </c>
    </row>
    <row r="525" spans="1:21" hidden="1">
      <c r="A525" s="1">
        <v>44661</v>
      </c>
      <c r="B525" t="s">
        <v>1649</v>
      </c>
      <c r="C525" t="s">
        <v>96</v>
      </c>
      <c r="D525" t="s">
        <v>20</v>
      </c>
      <c r="E525" t="s">
        <v>15</v>
      </c>
      <c r="F525" t="s">
        <v>1650</v>
      </c>
      <c r="G525" s="9" t="s">
        <v>1814</v>
      </c>
      <c r="H525">
        <v>16039</v>
      </c>
      <c r="I525">
        <v>16039</v>
      </c>
      <c r="J525" s="21">
        <v>45383</v>
      </c>
      <c r="K525" s="7" t="s">
        <v>99</v>
      </c>
      <c r="L525" t="s">
        <v>68</v>
      </c>
      <c r="M525" t="s">
        <v>69</v>
      </c>
      <c r="O525">
        <v>16039</v>
      </c>
      <c r="S525" t="str">
        <f>TEXT(Table1[[#This Row],[Date]],"MMM-YY")</f>
        <v>Apr-22</v>
      </c>
      <c r="T525">
        <f>_xlfn.ISOWEEKNUM(Table1[[#This Row],[Date]])</f>
        <v>14</v>
      </c>
      <c r="U525" t="str">
        <f>TEXT(Table1[[#This Row],[Expected Business Month]],"YYYY")</f>
        <v>2024</v>
      </c>
    </row>
    <row r="526" spans="1:21" ht="29.1" hidden="1">
      <c r="A526" s="1">
        <v>45392</v>
      </c>
      <c r="B526" t="s">
        <v>1815</v>
      </c>
      <c r="C526" t="s">
        <v>96</v>
      </c>
      <c r="D526" t="s">
        <v>20</v>
      </c>
      <c r="E526" t="s">
        <v>23</v>
      </c>
      <c r="F526" t="s">
        <v>1816</v>
      </c>
      <c r="G526" s="9" t="s">
        <v>1817</v>
      </c>
      <c r="H526">
        <v>5900</v>
      </c>
      <c r="I526">
        <v>5900</v>
      </c>
      <c r="J526" s="21">
        <v>45383</v>
      </c>
      <c r="K526" s="7" t="s">
        <v>67</v>
      </c>
      <c r="L526" t="s">
        <v>68</v>
      </c>
      <c r="M526" t="s">
        <v>69</v>
      </c>
      <c r="O526">
        <v>0</v>
      </c>
      <c r="S526" t="str">
        <f>TEXT(Table1[[#This Row],[Date]],"MMM-YY")</f>
        <v>Apr-24</v>
      </c>
      <c r="T526">
        <f>_xlfn.ISOWEEKNUM(Table1[[#This Row],[Date]])</f>
        <v>15</v>
      </c>
      <c r="U526" t="str">
        <f>TEXT(Table1[[#This Row],[Expected Business Month]],"YYYY")</f>
        <v>2024</v>
      </c>
    </row>
    <row r="527" spans="1:21" hidden="1">
      <c r="A527" s="1">
        <v>45393</v>
      </c>
      <c r="B527" t="s">
        <v>1680</v>
      </c>
      <c r="C527" t="s">
        <v>96</v>
      </c>
      <c r="D527" t="s">
        <v>64</v>
      </c>
      <c r="E527" t="s">
        <v>38</v>
      </c>
      <c r="F527" t="s">
        <v>1186</v>
      </c>
      <c r="G527" s="39">
        <v>45393</v>
      </c>
      <c r="H527">
        <v>8733</v>
      </c>
      <c r="I527">
        <v>8733</v>
      </c>
      <c r="J527" s="21">
        <v>45383</v>
      </c>
      <c r="K527" s="7" t="s">
        <v>67</v>
      </c>
      <c r="L527" t="s">
        <v>68</v>
      </c>
      <c r="M527" t="s">
        <v>69</v>
      </c>
      <c r="O527">
        <v>8733</v>
      </c>
      <c r="S527" t="str">
        <f>TEXT(Table1[[#This Row],[Date]],"MMM-YY")</f>
        <v>Apr-24</v>
      </c>
      <c r="T527">
        <f>_xlfn.ISOWEEKNUM(Table1[[#This Row],[Date]])</f>
        <v>15</v>
      </c>
      <c r="U527" t="str">
        <f>TEXT(Table1[[#This Row],[Expected Business Month]],"YYYY")</f>
        <v>2024</v>
      </c>
    </row>
    <row r="528" spans="1:21" ht="29.1" hidden="1">
      <c r="A528" s="1">
        <v>45394</v>
      </c>
      <c r="B528" t="s">
        <v>1818</v>
      </c>
      <c r="C528" t="s">
        <v>96</v>
      </c>
      <c r="D528" t="s">
        <v>20</v>
      </c>
      <c r="E528" t="s">
        <v>23</v>
      </c>
      <c r="F528" t="s">
        <v>1819</v>
      </c>
      <c r="G528" s="9" t="s">
        <v>1820</v>
      </c>
      <c r="H528">
        <v>27545</v>
      </c>
      <c r="I528">
        <v>27545</v>
      </c>
      <c r="J528" s="21">
        <v>45383</v>
      </c>
      <c r="K528" s="7" t="s">
        <v>67</v>
      </c>
      <c r="L528" t="s">
        <v>68</v>
      </c>
      <c r="M528" t="s">
        <v>69</v>
      </c>
      <c r="O528">
        <v>0</v>
      </c>
      <c r="S528" t="str">
        <f>TEXT(Table1[[#This Row],[Date]],"MMM-YY")</f>
        <v>Apr-24</v>
      </c>
      <c r="T528">
        <f>_xlfn.ISOWEEKNUM(Table1[[#This Row],[Date]])</f>
        <v>15</v>
      </c>
      <c r="U528" t="str">
        <f>TEXT(Table1[[#This Row],[Expected Business Month]],"YYYY")</f>
        <v>2024</v>
      </c>
    </row>
    <row r="529" spans="1:21" hidden="1">
      <c r="A529" s="1">
        <v>45394</v>
      </c>
      <c r="B529" t="s">
        <v>1680</v>
      </c>
      <c r="C529" t="s">
        <v>96</v>
      </c>
      <c r="D529" t="s">
        <v>64</v>
      </c>
      <c r="E529" t="s">
        <v>38</v>
      </c>
      <c r="F529" t="s">
        <v>1186</v>
      </c>
      <c r="G529" s="39">
        <v>45394</v>
      </c>
      <c r="H529">
        <v>7533</v>
      </c>
      <c r="I529">
        <v>7533</v>
      </c>
      <c r="J529" s="21">
        <v>45383</v>
      </c>
      <c r="K529" s="7" t="s">
        <v>67</v>
      </c>
      <c r="L529" t="s">
        <v>68</v>
      </c>
      <c r="M529" t="s">
        <v>69</v>
      </c>
      <c r="O529">
        <v>7533</v>
      </c>
      <c r="S529" t="str">
        <f>TEXT(Table1[[#This Row],[Date]],"MMM-YY")</f>
        <v>Apr-24</v>
      </c>
      <c r="T529">
        <f>_xlfn.ISOWEEKNUM(Table1[[#This Row],[Date]])</f>
        <v>15</v>
      </c>
      <c r="U529" t="str">
        <f>TEXT(Table1[[#This Row],[Expected Business Month]],"YYYY")</f>
        <v>2024</v>
      </c>
    </row>
    <row r="530" spans="1:21" hidden="1">
      <c r="A530" s="1">
        <v>45394</v>
      </c>
      <c r="B530" t="s">
        <v>1821</v>
      </c>
      <c r="C530" t="s">
        <v>96</v>
      </c>
      <c r="D530" t="s">
        <v>64</v>
      </c>
      <c r="E530" t="s">
        <v>25</v>
      </c>
      <c r="F530" t="s">
        <v>447</v>
      </c>
      <c r="G530" s="9" t="s">
        <v>1822</v>
      </c>
      <c r="H530">
        <v>12268</v>
      </c>
      <c r="I530">
        <v>12268</v>
      </c>
      <c r="J530" s="21">
        <v>45383</v>
      </c>
      <c r="K530" s="7" t="s">
        <v>99</v>
      </c>
      <c r="L530" t="s">
        <v>68</v>
      </c>
      <c r="M530" t="s">
        <v>69</v>
      </c>
      <c r="O530">
        <v>0</v>
      </c>
      <c r="S530" t="str">
        <f>TEXT(Table1[[#This Row],[Date]],"MMM-YY")</f>
        <v>Apr-24</v>
      </c>
      <c r="T530">
        <f>_xlfn.ISOWEEKNUM(Table1[[#This Row],[Date]])</f>
        <v>15</v>
      </c>
      <c r="U530" t="str">
        <f>TEXT(Table1[[#This Row],[Expected Business Month]],"YYYY")</f>
        <v>2024</v>
      </c>
    </row>
    <row r="531" spans="1:21" hidden="1">
      <c r="A531" s="1">
        <v>45394</v>
      </c>
      <c r="B531" t="s">
        <v>1823</v>
      </c>
      <c r="C531" t="s">
        <v>63</v>
      </c>
      <c r="D531" t="s">
        <v>64</v>
      </c>
      <c r="E531" t="s">
        <v>26</v>
      </c>
      <c r="F531" t="s">
        <v>1824</v>
      </c>
      <c r="G531" s="9" t="s">
        <v>1756</v>
      </c>
      <c r="H531">
        <v>10000</v>
      </c>
      <c r="I531">
        <v>0</v>
      </c>
      <c r="J531" s="21">
        <v>45505</v>
      </c>
      <c r="K531" s="7" t="s">
        <v>67</v>
      </c>
      <c r="L531" t="s">
        <v>9</v>
      </c>
      <c r="M531" t="s">
        <v>9</v>
      </c>
      <c r="N531" t="s">
        <v>586</v>
      </c>
      <c r="O531">
        <v>0</v>
      </c>
      <c r="S531" t="str">
        <f>TEXT(Table1[[#This Row],[Date]],"MMM-YY")</f>
        <v>Apr-24</v>
      </c>
      <c r="T531">
        <f>_xlfn.ISOWEEKNUM(Table1[[#This Row],[Date]])</f>
        <v>15</v>
      </c>
      <c r="U531" t="str">
        <f>TEXT(Table1[[#This Row],[Expected Business Month]],"YYYY")</f>
        <v>2024</v>
      </c>
    </row>
    <row r="532" spans="1:21" hidden="1">
      <c r="A532" s="1">
        <v>45395</v>
      </c>
      <c r="B532" t="s">
        <v>1194</v>
      </c>
      <c r="C532" t="s">
        <v>96</v>
      </c>
      <c r="D532" t="s">
        <v>20</v>
      </c>
      <c r="E532" t="s">
        <v>23</v>
      </c>
      <c r="F532" t="s">
        <v>1825</v>
      </c>
      <c r="G532" s="9" t="s">
        <v>1826</v>
      </c>
      <c r="H532">
        <v>11800</v>
      </c>
      <c r="I532">
        <v>11800</v>
      </c>
      <c r="J532" s="21">
        <v>45383</v>
      </c>
      <c r="K532" s="7" t="s">
        <v>67</v>
      </c>
      <c r="L532" t="s">
        <v>68</v>
      </c>
      <c r="M532" t="s">
        <v>69</v>
      </c>
      <c r="O532">
        <v>0</v>
      </c>
      <c r="S532" t="str">
        <f>TEXT(Table1[[#This Row],[Date]],"MMM-YY")</f>
        <v>Apr-24</v>
      </c>
      <c r="T532">
        <f>_xlfn.ISOWEEKNUM(Table1[[#This Row],[Date]])</f>
        <v>15</v>
      </c>
      <c r="U532" t="str">
        <f>TEXT(Table1[[#This Row],[Expected Business Month]],"YYYY")</f>
        <v>2024</v>
      </c>
    </row>
    <row r="533" spans="1:21" ht="29.1" hidden="1">
      <c r="A533" s="1">
        <v>45395</v>
      </c>
      <c r="B533" t="s">
        <v>1698</v>
      </c>
      <c r="C533" t="s">
        <v>63</v>
      </c>
      <c r="D533" t="s">
        <v>105</v>
      </c>
      <c r="E533" t="s">
        <v>18</v>
      </c>
      <c r="F533" t="s">
        <v>1699</v>
      </c>
      <c r="G533" s="9" t="s">
        <v>1700</v>
      </c>
      <c r="H533">
        <v>46271</v>
      </c>
      <c r="I533">
        <v>46271</v>
      </c>
      <c r="J533" s="21">
        <v>45383</v>
      </c>
      <c r="K533" s="7" t="s">
        <v>67</v>
      </c>
      <c r="L533" t="s">
        <v>68</v>
      </c>
      <c r="M533" t="s">
        <v>69</v>
      </c>
      <c r="O533">
        <v>8000</v>
      </c>
      <c r="S533" t="str">
        <f>TEXT(Table1[[#This Row],[Date]],"MMM-YY")</f>
        <v>Apr-24</v>
      </c>
      <c r="T533">
        <f>_xlfn.ISOWEEKNUM(Table1[[#This Row],[Date]])</f>
        <v>15</v>
      </c>
      <c r="U533" t="str">
        <f>TEXT(Table1[[#This Row],[Expected Business Month]],"YYYY")</f>
        <v>2024</v>
      </c>
    </row>
    <row r="534" spans="1:21" hidden="1">
      <c r="A534" s="1">
        <v>45395</v>
      </c>
      <c r="B534" t="s">
        <v>1680</v>
      </c>
      <c r="C534" t="s">
        <v>96</v>
      </c>
      <c r="D534" t="s">
        <v>64</v>
      </c>
      <c r="E534" t="s">
        <v>38</v>
      </c>
      <c r="F534" t="s">
        <v>1186</v>
      </c>
      <c r="G534" s="39">
        <v>45395</v>
      </c>
      <c r="H534">
        <v>9415</v>
      </c>
      <c r="I534">
        <v>9415</v>
      </c>
      <c r="J534" s="21">
        <v>45383</v>
      </c>
      <c r="K534" s="7" t="s">
        <v>67</v>
      </c>
      <c r="L534" t="s">
        <v>68</v>
      </c>
      <c r="M534" t="s">
        <v>69</v>
      </c>
      <c r="O534">
        <v>9415</v>
      </c>
      <c r="S534" t="str">
        <f>TEXT(Table1[[#This Row],[Date]],"MMM-YY")</f>
        <v>Apr-24</v>
      </c>
      <c r="T534">
        <f>_xlfn.ISOWEEKNUM(Table1[[#This Row],[Date]])</f>
        <v>15</v>
      </c>
      <c r="U534" t="str">
        <f>TEXT(Table1[[#This Row],[Expected Business Month]],"YYYY")</f>
        <v>2024</v>
      </c>
    </row>
    <row r="535" spans="1:21" hidden="1">
      <c r="A535" s="1">
        <v>45396</v>
      </c>
      <c r="B535" t="s">
        <v>1680</v>
      </c>
      <c r="C535" t="s">
        <v>96</v>
      </c>
      <c r="D535" t="s">
        <v>64</v>
      </c>
      <c r="E535" t="s">
        <v>38</v>
      </c>
      <c r="F535" t="s">
        <v>1186</v>
      </c>
      <c r="G535" s="39">
        <v>45396</v>
      </c>
      <c r="H535">
        <v>8733</v>
      </c>
      <c r="I535">
        <v>8733</v>
      </c>
      <c r="J535" s="21">
        <v>45383</v>
      </c>
      <c r="K535" s="7" t="s">
        <v>67</v>
      </c>
      <c r="L535" t="s">
        <v>68</v>
      </c>
      <c r="M535" t="s">
        <v>69</v>
      </c>
      <c r="O535">
        <v>8733</v>
      </c>
      <c r="S535" t="str">
        <f>TEXT(Table1[[#This Row],[Date]],"MMM-YY")</f>
        <v>Apr-24</v>
      </c>
      <c r="T535">
        <f>_xlfn.ISOWEEKNUM(Table1[[#This Row],[Date]])</f>
        <v>15</v>
      </c>
      <c r="U535" t="str">
        <f>TEXT(Table1[[#This Row],[Expected Business Month]],"YYYY")</f>
        <v>2024</v>
      </c>
    </row>
    <row r="536" spans="1:21" hidden="1">
      <c r="A536" s="1">
        <v>45397</v>
      </c>
      <c r="B536" t="s">
        <v>1827</v>
      </c>
      <c r="C536" t="s">
        <v>96</v>
      </c>
      <c r="D536" t="s">
        <v>64</v>
      </c>
      <c r="E536" t="s">
        <v>26</v>
      </c>
      <c r="F536" t="s">
        <v>153</v>
      </c>
      <c r="G536" s="9" t="s">
        <v>1828</v>
      </c>
      <c r="H536">
        <v>25784</v>
      </c>
      <c r="I536">
        <v>25784</v>
      </c>
      <c r="J536" s="21">
        <v>45383</v>
      </c>
      <c r="K536" s="7" t="s">
        <v>99</v>
      </c>
      <c r="L536" t="s">
        <v>68</v>
      </c>
      <c r="M536" t="s">
        <v>69</v>
      </c>
      <c r="O536">
        <v>0</v>
      </c>
      <c r="S536" t="str">
        <f>TEXT(Table1[[#This Row],[Date]],"MMM-YY")</f>
        <v>Apr-24</v>
      </c>
      <c r="T536">
        <f>_xlfn.ISOWEEKNUM(Table1[[#This Row],[Date]])</f>
        <v>16</v>
      </c>
      <c r="U536" t="str">
        <f>TEXT(Table1[[#This Row],[Expected Business Month]],"YYYY")</f>
        <v>2024</v>
      </c>
    </row>
    <row r="537" spans="1:21" hidden="1">
      <c r="A537" s="1">
        <v>45397</v>
      </c>
      <c r="B537" t="s">
        <v>1680</v>
      </c>
      <c r="C537" t="s">
        <v>96</v>
      </c>
      <c r="D537" t="s">
        <v>64</v>
      </c>
      <c r="E537" t="s">
        <v>38</v>
      </c>
      <c r="F537" t="s">
        <v>1186</v>
      </c>
      <c r="G537" s="39">
        <v>45397</v>
      </c>
      <c r="H537">
        <v>8733</v>
      </c>
      <c r="I537">
        <v>8733</v>
      </c>
      <c r="J537" s="21">
        <v>45383</v>
      </c>
      <c r="K537" s="7" t="s">
        <v>67</v>
      </c>
      <c r="L537" t="s">
        <v>68</v>
      </c>
      <c r="M537" t="s">
        <v>69</v>
      </c>
      <c r="O537">
        <v>8733</v>
      </c>
      <c r="S537" t="str">
        <f>TEXT(Table1[[#This Row],[Date]],"MMM-YY")</f>
        <v>Apr-24</v>
      </c>
      <c r="T537">
        <f>_xlfn.ISOWEEKNUM(Table1[[#This Row],[Date]])</f>
        <v>16</v>
      </c>
      <c r="U537" t="str">
        <f>TEXT(Table1[[#This Row],[Expected Business Month]],"YYYY")</f>
        <v>2024</v>
      </c>
    </row>
    <row r="538" spans="1:21" ht="29.1" hidden="1">
      <c r="A538" s="1">
        <v>45397</v>
      </c>
      <c r="B538" t="s">
        <v>1829</v>
      </c>
      <c r="C538" t="s">
        <v>63</v>
      </c>
      <c r="D538" t="s">
        <v>64</v>
      </c>
      <c r="E538" t="s">
        <v>26</v>
      </c>
      <c r="F538" t="s">
        <v>238</v>
      </c>
      <c r="G538" s="9" t="s">
        <v>1830</v>
      </c>
      <c r="H538">
        <v>12000</v>
      </c>
      <c r="I538">
        <v>0</v>
      </c>
      <c r="J538" s="21">
        <v>45474</v>
      </c>
      <c r="K538" s="7" t="s">
        <v>99</v>
      </c>
      <c r="L538" t="s">
        <v>9</v>
      </c>
      <c r="M538" t="s">
        <v>9</v>
      </c>
      <c r="N538" t="s">
        <v>586</v>
      </c>
      <c r="O538">
        <v>0</v>
      </c>
      <c r="S538" t="str">
        <f>TEXT(Table1[[#This Row],[Date]],"MMM-YY")</f>
        <v>Apr-24</v>
      </c>
      <c r="T538">
        <f>_xlfn.ISOWEEKNUM(Table1[[#This Row],[Date]])</f>
        <v>16</v>
      </c>
      <c r="U538" t="str">
        <f>TEXT(Table1[[#This Row],[Expected Business Month]],"YYYY")</f>
        <v>2024</v>
      </c>
    </row>
    <row r="539" spans="1:21" ht="29.1" hidden="1">
      <c r="A539" s="1">
        <v>45397</v>
      </c>
      <c r="B539" t="s">
        <v>82</v>
      </c>
      <c r="C539" t="s">
        <v>63</v>
      </c>
      <c r="D539" t="s">
        <v>64</v>
      </c>
      <c r="E539" t="s">
        <v>38</v>
      </c>
      <c r="F539" t="s">
        <v>93</v>
      </c>
      <c r="G539" s="9" t="s">
        <v>1831</v>
      </c>
      <c r="H539">
        <v>30000</v>
      </c>
      <c r="I539">
        <v>0</v>
      </c>
      <c r="J539" s="21">
        <v>45566</v>
      </c>
      <c r="K539" s="7" t="s">
        <v>67</v>
      </c>
      <c r="L539" t="s">
        <v>9</v>
      </c>
      <c r="M539" t="s">
        <v>9</v>
      </c>
      <c r="N539" t="s">
        <v>586</v>
      </c>
      <c r="O539">
        <v>0</v>
      </c>
      <c r="S539" t="str">
        <f>TEXT(Table1[[#This Row],[Date]],"MMM-YY")</f>
        <v>Apr-24</v>
      </c>
      <c r="T539">
        <f>_xlfn.ISOWEEKNUM(Table1[[#This Row],[Date]])</f>
        <v>16</v>
      </c>
      <c r="U539" t="str">
        <f>TEXT(Table1[[#This Row],[Expected Business Month]],"YYYY")</f>
        <v>2024</v>
      </c>
    </row>
    <row r="540" spans="1:21" hidden="1">
      <c r="A540" s="1">
        <v>45397</v>
      </c>
      <c r="B540" t="s">
        <v>1832</v>
      </c>
      <c r="C540" t="s">
        <v>96</v>
      </c>
      <c r="D540" t="s">
        <v>20</v>
      </c>
      <c r="E540" t="s">
        <v>23</v>
      </c>
      <c r="F540" t="s">
        <v>770</v>
      </c>
      <c r="G540" s="9" t="s">
        <v>1833</v>
      </c>
      <c r="H540">
        <v>3500</v>
      </c>
      <c r="I540">
        <v>3500</v>
      </c>
      <c r="J540" s="21">
        <v>45383</v>
      </c>
      <c r="K540" s="7" t="s">
        <v>67</v>
      </c>
      <c r="L540" t="s">
        <v>68</v>
      </c>
      <c r="M540" t="s">
        <v>69</v>
      </c>
      <c r="O540">
        <v>0</v>
      </c>
      <c r="S540" t="str">
        <f>TEXT(Table1[[#This Row],[Date]],"MMM-YY")</f>
        <v>Apr-24</v>
      </c>
      <c r="T540">
        <f>_xlfn.ISOWEEKNUM(Table1[[#This Row],[Date]])</f>
        <v>16</v>
      </c>
      <c r="U540" t="str">
        <f>TEXT(Table1[[#This Row],[Expected Business Month]],"YYYY")</f>
        <v>2024</v>
      </c>
    </row>
    <row r="541" spans="1:21" hidden="1">
      <c r="A541" s="1">
        <v>45398</v>
      </c>
      <c r="B541" t="s">
        <v>1680</v>
      </c>
      <c r="C541" t="s">
        <v>96</v>
      </c>
      <c r="D541" t="s">
        <v>64</v>
      </c>
      <c r="E541" t="s">
        <v>38</v>
      </c>
      <c r="F541" t="s">
        <v>1186</v>
      </c>
      <c r="G541" s="39">
        <v>45398</v>
      </c>
      <c r="H541">
        <v>8733</v>
      </c>
      <c r="I541">
        <v>8733</v>
      </c>
      <c r="J541" s="21">
        <v>45383</v>
      </c>
      <c r="K541" s="7" t="s">
        <v>67</v>
      </c>
      <c r="L541" t="s">
        <v>68</v>
      </c>
      <c r="M541" t="s">
        <v>69</v>
      </c>
      <c r="O541">
        <v>8733</v>
      </c>
      <c r="S541" t="str">
        <f>TEXT(Table1[[#This Row],[Date]],"MMM-YY")</f>
        <v>Apr-24</v>
      </c>
      <c r="T541">
        <f>_xlfn.ISOWEEKNUM(Table1[[#This Row],[Date]])</f>
        <v>16</v>
      </c>
      <c r="U541" t="str">
        <f>TEXT(Table1[[#This Row],[Expected Business Month]],"YYYY")</f>
        <v>2024</v>
      </c>
    </row>
    <row r="542" spans="1:21" ht="29.1" hidden="1">
      <c r="A542" s="1">
        <v>45398</v>
      </c>
      <c r="B542" t="s">
        <v>1834</v>
      </c>
      <c r="C542" t="s">
        <v>96</v>
      </c>
      <c r="D542" t="s">
        <v>64</v>
      </c>
      <c r="E542" t="s">
        <v>26</v>
      </c>
      <c r="F542" t="s">
        <v>1835</v>
      </c>
      <c r="G542" s="9" t="s">
        <v>1836</v>
      </c>
      <c r="H542">
        <v>28000</v>
      </c>
      <c r="I542">
        <v>0</v>
      </c>
      <c r="J542" s="21">
        <v>45383</v>
      </c>
      <c r="K542" s="7" t="s">
        <v>67</v>
      </c>
      <c r="L542" t="s">
        <v>9</v>
      </c>
      <c r="M542" t="s">
        <v>9</v>
      </c>
      <c r="N542" t="s">
        <v>602</v>
      </c>
      <c r="O542">
        <v>0</v>
      </c>
      <c r="S542" t="str">
        <f>TEXT(Table1[[#This Row],[Date]],"MMM-YY")</f>
        <v>Apr-24</v>
      </c>
      <c r="T542">
        <f>_xlfn.ISOWEEKNUM(Table1[[#This Row],[Date]])</f>
        <v>16</v>
      </c>
      <c r="U542" t="str">
        <f>TEXT(Table1[[#This Row],[Expected Business Month]],"YYYY")</f>
        <v>2024</v>
      </c>
    </row>
    <row r="543" spans="1:21" ht="29.1" hidden="1">
      <c r="A543" s="1">
        <v>45398</v>
      </c>
      <c r="B543" t="s">
        <v>324</v>
      </c>
      <c r="C543" t="s">
        <v>96</v>
      </c>
      <c r="D543" t="s">
        <v>64</v>
      </c>
      <c r="E543" t="s">
        <v>38</v>
      </c>
      <c r="F543" t="s">
        <v>325</v>
      </c>
      <c r="G543" s="9" t="s">
        <v>1837</v>
      </c>
      <c r="H543">
        <v>40117</v>
      </c>
      <c r="I543">
        <v>40117</v>
      </c>
      <c r="J543" s="21">
        <v>45383</v>
      </c>
      <c r="K543" s="7" t="s">
        <v>99</v>
      </c>
      <c r="L543" t="s">
        <v>68</v>
      </c>
      <c r="M543" t="s">
        <v>69</v>
      </c>
      <c r="O543">
        <v>0</v>
      </c>
      <c r="S543" t="str">
        <f>TEXT(Table1[[#This Row],[Date]],"MMM-YY")</f>
        <v>Apr-24</v>
      </c>
      <c r="T543">
        <f>_xlfn.ISOWEEKNUM(Table1[[#This Row],[Date]])</f>
        <v>16</v>
      </c>
      <c r="U543" t="str">
        <f>TEXT(Table1[[#This Row],[Expected Business Month]],"YYYY")</f>
        <v>2024</v>
      </c>
    </row>
    <row r="544" spans="1:21" hidden="1">
      <c r="A544" s="1">
        <v>45398</v>
      </c>
      <c r="B544" t="s">
        <v>1838</v>
      </c>
      <c r="C544" t="s">
        <v>96</v>
      </c>
      <c r="D544" t="s">
        <v>64</v>
      </c>
      <c r="E544" t="s">
        <v>26</v>
      </c>
      <c r="F544" t="s">
        <v>153</v>
      </c>
      <c r="G544" s="9" t="s">
        <v>1839</v>
      </c>
      <c r="H544">
        <v>23173</v>
      </c>
      <c r="I544">
        <v>23173</v>
      </c>
      <c r="J544" s="21">
        <v>45383</v>
      </c>
      <c r="K544" s="7" t="s">
        <v>99</v>
      </c>
      <c r="L544" t="s">
        <v>68</v>
      </c>
      <c r="M544" t="s">
        <v>69</v>
      </c>
      <c r="O544">
        <v>0</v>
      </c>
      <c r="S544" t="str">
        <f>TEXT(Table1[[#This Row],[Date]],"MMM-YY")</f>
        <v>Apr-24</v>
      </c>
      <c r="T544">
        <f>_xlfn.ISOWEEKNUM(Table1[[#This Row],[Date]])</f>
        <v>16</v>
      </c>
      <c r="U544" t="str">
        <f>TEXT(Table1[[#This Row],[Expected Business Month]],"YYYY")</f>
        <v>2024</v>
      </c>
    </row>
    <row r="545" spans="1:21" hidden="1">
      <c r="A545" s="1">
        <v>45399</v>
      </c>
      <c r="B545" t="s">
        <v>1840</v>
      </c>
      <c r="C545" t="s">
        <v>96</v>
      </c>
      <c r="D545" t="s">
        <v>64</v>
      </c>
      <c r="E545" t="s">
        <v>26</v>
      </c>
      <c r="F545" t="s">
        <v>153</v>
      </c>
      <c r="G545" s="9" t="s">
        <v>1841</v>
      </c>
      <c r="H545">
        <v>6241</v>
      </c>
      <c r="I545">
        <v>6241</v>
      </c>
      <c r="J545" s="21">
        <v>45383</v>
      </c>
      <c r="K545" s="7" t="s">
        <v>99</v>
      </c>
      <c r="L545" t="s">
        <v>68</v>
      </c>
      <c r="M545" t="s">
        <v>69</v>
      </c>
      <c r="O545">
        <v>0</v>
      </c>
      <c r="S545" t="str">
        <f>TEXT(Table1[[#This Row],[Date]],"MMM-YY")</f>
        <v>Apr-24</v>
      </c>
      <c r="T545">
        <f>_xlfn.ISOWEEKNUM(Table1[[#This Row],[Date]])</f>
        <v>16</v>
      </c>
      <c r="U545" t="str">
        <f>TEXT(Table1[[#This Row],[Expected Business Month]],"YYYY")</f>
        <v>2024</v>
      </c>
    </row>
    <row r="546" spans="1:21" hidden="1">
      <c r="A546" s="1">
        <v>45399</v>
      </c>
      <c r="B546" t="s">
        <v>1680</v>
      </c>
      <c r="C546" t="s">
        <v>96</v>
      </c>
      <c r="D546" t="s">
        <v>64</v>
      </c>
      <c r="E546" t="s">
        <v>38</v>
      </c>
      <c r="F546" t="s">
        <v>1186</v>
      </c>
      <c r="G546" s="39">
        <v>45399</v>
      </c>
      <c r="H546">
        <v>6208</v>
      </c>
      <c r="I546">
        <v>6208</v>
      </c>
      <c r="J546" s="21">
        <v>45383</v>
      </c>
      <c r="K546" s="7" t="s">
        <v>67</v>
      </c>
      <c r="L546" t="s">
        <v>68</v>
      </c>
      <c r="M546" t="s">
        <v>69</v>
      </c>
      <c r="O546">
        <v>6208</v>
      </c>
      <c r="S546" t="str">
        <f>TEXT(Table1[[#This Row],[Date]],"MMM-YY")</f>
        <v>Apr-24</v>
      </c>
      <c r="T546">
        <f>_xlfn.ISOWEEKNUM(Table1[[#This Row],[Date]])</f>
        <v>16</v>
      </c>
      <c r="U546" t="str">
        <f>TEXT(Table1[[#This Row],[Expected Business Month]],"YYYY")</f>
        <v>2024</v>
      </c>
    </row>
    <row r="547" spans="1:21" hidden="1">
      <c r="A547" s="1">
        <v>45399</v>
      </c>
      <c r="B547" t="s">
        <v>1842</v>
      </c>
      <c r="C547" t="s">
        <v>63</v>
      </c>
      <c r="D547" t="s">
        <v>64</v>
      </c>
      <c r="E547" t="s">
        <v>15</v>
      </c>
      <c r="F547" t="s">
        <v>1843</v>
      </c>
      <c r="G547" s="39" t="s">
        <v>1844</v>
      </c>
      <c r="H547">
        <v>10000</v>
      </c>
      <c r="I547">
        <v>0</v>
      </c>
      <c r="J547" s="21">
        <v>45383</v>
      </c>
      <c r="K547" s="7" t="s">
        <v>67</v>
      </c>
      <c r="L547" t="s">
        <v>9</v>
      </c>
      <c r="M547" t="s">
        <v>9</v>
      </c>
      <c r="N547" t="s">
        <v>602</v>
      </c>
      <c r="O547">
        <v>0</v>
      </c>
      <c r="S547" t="str">
        <f>TEXT(Table1[[#This Row],[Date]],"MMM-YY")</f>
        <v>Apr-24</v>
      </c>
      <c r="T547">
        <f>_xlfn.ISOWEEKNUM(Table1[[#This Row],[Date]])</f>
        <v>16</v>
      </c>
      <c r="U547" t="str">
        <f>TEXT(Table1[[#This Row],[Expected Business Month]],"YYYY")</f>
        <v>2024</v>
      </c>
    </row>
    <row r="548" spans="1:21" hidden="1">
      <c r="A548" s="1">
        <v>45399</v>
      </c>
      <c r="B548" t="s">
        <v>1845</v>
      </c>
      <c r="C548" t="s">
        <v>96</v>
      </c>
      <c r="D548" t="s">
        <v>64</v>
      </c>
      <c r="E548" t="s">
        <v>16</v>
      </c>
      <c r="F548" t="s">
        <v>1846</v>
      </c>
      <c r="G548" s="39" t="s">
        <v>1847</v>
      </c>
      <c r="H548">
        <v>30000</v>
      </c>
      <c r="I548">
        <v>0</v>
      </c>
      <c r="J548" s="21">
        <v>45566</v>
      </c>
      <c r="K548" s="7" t="s">
        <v>67</v>
      </c>
      <c r="L548" t="s">
        <v>9</v>
      </c>
      <c r="M548" t="s">
        <v>9</v>
      </c>
      <c r="N548" t="s">
        <v>586</v>
      </c>
      <c r="O548">
        <v>0</v>
      </c>
      <c r="S548" t="str">
        <f>TEXT(Table1[[#This Row],[Date]],"MMM-YY")</f>
        <v>Apr-24</v>
      </c>
      <c r="T548">
        <f>_xlfn.ISOWEEKNUM(Table1[[#This Row],[Date]])</f>
        <v>16</v>
      </c>
      <c r="U548" t="str">
        <f>TEXT(Table1[[#This Row],[Expected Business Month]],"YYYY")</f>
        <v>2024</v>
      </c>
    </row>
    <row r="549" spans="1:21" hidden="1">
      <c r="A549" s="1">
        <v>45399</v>
      </c>
      <c r="B549" t="s">
        <v>1848</v>
      </c>
      <c r="C549" t="s">
        <v>63</v>
      </c>
      <c r="D549" t="s">
        <v>64</v>
      </c>
      <c r="E549" t="s">
        <v>13</v>
      </c>
      <c r="F549" t="s">
        <v>73</v>
      </c>
      <c r="G549" s="39" t="s">
        <v>1756</v>
      </c>
      <c r="H549">
        <v>10000</v>
      </c>
      <c r="I549">
        <v>0</v>
      </c>
      <c r="J549" s="21">
        <v>45505</v>
      </c>
      <c r="K549" s="7" t="s">
        <v>67</v>
      </c>
      <c r="L549" t="s">
        <v>9</v>
      </c>
      <c r="M549" t="s">
        <v>9</v>
      </c>
      <c r="N549" t="s">
        <v>586</v>
      </c>
      <c r="O549">
        <v>0</v>
      </c>
      <c r="S549" t="str">
        <f>TEXT(Table1[[#This Row],[Date]],"MMM-YY")</f>
        <v>Apr-24</v>
      </c>
      <c r="T549">
        <f>_xlfn.ISOWEEKNUM(Table1[[#This Row],[Date]])</f>
        <v>16</v>
      </c>
      <c r="U549" t="str">
        <f>TEXT(Table1[[#This Row],[Expected Business Month]],"YYYY")</f>
        <v>2024</v>
      </c>
    </row>
    <row r="550" spans="1:21" hidden="1">
      <c r="A550" s="1">
        <v>45400</v>
      </c>
      <c r="B550" t="s">
        <v>1680</v>
      </c>
      <c r="C550" t="s">
        <v>96</v>
      </c>
      <c r="D550" t="s">
        <v>64</v>
      </c>
      <c r="E550" t="s">
        <v>38</v>
      </c>
      <c r="F550" t="s">
        <v>1186</v>
      </c>
      <c r="G550" s="39">
        <v>45400</v>
      </c>
      <c r="H550">
        <v>5526</v>
      </c>
      <c r="I550">
        <v>5526</v>
      </c>
      <c r="J550" s="21">
        <v>45383</v>
      </c>
      <c r="K550" s="7" t="s">
        <v>67</v>
      </c>
      <c r="L550" t="s">
        <v>68</v>
      </c>
      <c r="M550" t="s">
        <v>69</v>
      </c>
      <c r="O550">
        <v>5526</v>
      </c>
      <c r="S550" t="str">
        <f>TEXT(Table1[[#This Row],[Date]],"MMM-YY")</f>
        <v>Apr-24</v>
      </c>
      <c r="T550">
        <f>_xlfn.ISOWEEKNUM(Table1[[#This Row],[Date]])</f>
        <v>16</v>
      </c>
      <c r="U550" t="str">
        <f>TEXT(Table1[[#This Row],[Expected Business Month]],"YYYY")</f>
        <v>2024</v>
      </c>
    </row>
    <row r="551" spans="1:21" hidden="1">
      <c r="A551" s="1">
        <v>45400</v>
      </c>
      <c r="B551" t="s">
        <v>1849</v>
      </c>
      <c r="C551" t="s">
        <v>63</v>
      </c>
      <c r="D551" t="s">
        <v>64</v>
      </c>
      <c r="E551" t="s">
        <v>29</v>
      </c>
      <c r="F551" t="s">
        <v>1850</v>
      </c>
      <c r="G551" s="9" t="s">
        <v>1851</v>
      </c>
      <c r="H551">
        <v>10000</v>
      </c>
      <c r="I551">
        <v>0</v>
      </c>
      <c r="J551" s="21">
        <v>45505</v>
      </c>
      <c r="K551" s="7" t="s">
        <v>67</v>
      </c>
      <c r="L551" t="s">
        <v>9</v>
      </c>
      <c r="M551" t="s">
        <v>9</v>
      </c>
      <c r="N551" t="s">
        <v>586</v>
      </c>
      <c r="O551">
        <v>0</v>
      </c>
      <c r="S551" t="str">
        <f>TEXT(Table1[[#This Row],[Date]],"MMM-YY")</f>
        <v>Apr-24</v>
      </c>
      <c r="T551">
        <f>_xlfn.ISOWEEKNUM(Table1[[#This Row],[Date]])</f>
        <v>16</v>
      </c>
      <c r="U551" t="str">
        <f>TEXT(Table1[[#This Row],[Expected Business Month]],"YYYY")</f>
        <v>2024</v>
      </c>
    </row>
    <row r="552" spans="1:21" hidden="1">
      <c r="A552" s="1">
        <v>45400</v>
      </c>
      <c r="B552" t="s">
        <v>1852</v>
      </c>
      <c r="C552" t="s">
        <v>63</v>
      </c>
      <c r="D552" t="s">
        <v>64</v>
      </c>
      <c r="E552" t="s">
        <v>26</v>
      </c>
      <c r="F552" t="s">
        <v>1853</v>
      </c>
      <c r="G552" s="9" t="s">
        <v>1854</v>
      </c>
      <c r="H552">
        <v>12000</v>
      </c>
      <c r="I552">
        <v>0</v>
      </c>
      <c r="J552" s="21">
        <v>45505</v>
      </c>
      <c r="K552" s="7" t="s">
        <v>67</v>
      </c>
      <c r="L552" t="s">
        <v>9</v>
      </c>
      <c r="M552" t="s">
        <v>9</v>
      </c>
      <c r="N552" t="s">
        <v>586</v>
      </c>
      <c r="O552">
        <v>0</v>
      </c>
      <c r="S552" t="str">
        <f>TEXT(Table1[[#This Row],[Date]],"MMM-YY")</f>
        <v>Apr-24</v>
      </c>
      <c r="T552">
        <f>_xlfn.ISOWEEKNUM(Table1[[#This Row],[Date]])</f>
        <v>16</v>
      </c>
      <c r="U552" t="str">
        <f>TEXT(Table1[[#This Row],[Expected Business Month]],"YYYY")</f>
        <v>2024</v>
      </c>
    </row>
    <row r="553" spans="1:21" hidden="1">
      <c r="A553" s="1">
        <v>45400</v>
      </c>
      <c r="B553" t="s">
        <v>1855</v>
      </c>
      <c r="C553" t="s">
        <v>96</v>
      </c>
      <c r="D553" t="s">
        <v>105</v>
      </c>
      <c r="E553" t="s">
        <v>18</v>
      </c>
      <c r="F553" t="s">
        <v>1856</v>
      </c>
      <c r="G553" s="9" t="s">
        <v>1857</v>
      </c>
      <c r="H553">
        <v>10000</v>
      </c>
      <c r="I553">
        <v>0</v>
      </c>
      <c r="J553" s="21">
        <v>45505</v>
      </c>
      <c r="K553" s="7" t="s">
        <v>67</v>
      </c>
      <c r="L553" t="s">
        <v>9</v>
      </c>
      <c r="M553" t="s">
        <v>9</v>
      </c>
      <c r="N553" t="s">
        <v>586</v>
      </c>
      <c r="O553">
        <v>0</v>
      </c>
      <c r="S553" t="str">
        <f>TEXT(Table1[[#This Row],[Date]],"MMM-YY")</f>
        <v>Apr-24</v>
      </c>
      <c r="T553">
        <f>_xlfn.ISOWEEKNUM(Table1[[#This Row],[Date]])</f>
        <v>16</v>
      </c>
      <c r="U553" t="str">
        <f>TEXT(Table1[[#This Row],[Expected Business Month]],"YYYY")</f>
        <v>2024</v>
      </c>
    </row>
    <row r="554" spans="1:21" hidden="1">
      <c r="A554" s="1">
        <v>45400</v>
      </c>
      <c r="B554" t="s">
        <v>1858</v>
      </c>
      <c r="C554" t="s">
        <v>96</v>
      </c>
      <c r="D554" t="s">
        <v>64</v>
      </c>
      <c r="E554" t="s">
        <v>26</v>
      </c>
      <c r="F554" t="s">
        <v>1859</v>
      </c>
      <c r="G554" s="9" t="s">
        <v>1860</v>
      </c>
      <c r="H554">
        <v>15000</v>
      </c>
      <c r="I554">
        <v>0</v>
      </c>
      <c r="J554" s="21">
        <v>45505</v>
      </c>
      <c r="K554" s="7" t="s">
        <v>67</v>
      </c>
      <c r="L554" t="s">
        <v>9</v>
      </c>
      <c r="M554" t="s">
        <v>9</v>
      </c>
      <c r="N554" t="s">
        <v>586</v>
      </c>
      <c r="O554">
        <v>0</v>
      </c>
      <c r="S554" t="str">
        <f>TEXT(Table1[[#This Row],[Date]],"MMM-YY")</f>
        <v>Apr-24</v>
      </c>
      <c r="T554">
        <f>_xlfn.ISOWEEKNUM(Table1[[#This Row],[Date]])</f>
        <v>16</v>
      </c>
      <c r="U554" t="str">
        <f>TEXT(Table1[[#This Row],[Expected Business Month]],"YYYY")</f>
        <v>2024</v>
      </c>
    </row>
    <row r="555" spans="1:21" hidden="1">
      <c r="A555" s="1">
        <v>45400</v>
      </c>
      <c r="B555" t="s">
        <v>1861</v>
      </c>
      <c r="C555" t="s">
        <v>96</v>
      </c>
      <c r="D555" t="s">
        <v>64</v>
      </c>
      <c r="E555" t="s">
        <v>26</v>
      </c>
      <c r="F555" t="s">
        <v>153</v>
      </c>
      <c r="G555" s="9" t="s">
        <v>1862</v>
      </c>
      <c r="H555">
        <v>9350</v>
      </c>
      <c r="I555">
        <v>9350</v>
      </c>
      <c r="J555" s="21">
        <v>45383</v>
      </c>
      <c r="K555" s="7" t="s">
        <v>99</v>
      </c>
      <c r="L555" t="s">
        <v>68</v>
      </c>
      <c r="M555" t="s">
        <v>69</v>
      </c>
      <c r="O555">
        <v>0</v>
      </c>
      <c r="S555" t="str">
        <f>TEXT(Table1[[#This Row],[Date]],"MMM-YY")</f>
        <v>Apr-24</v>
      </c>
      <c r="T555">
        <f>_xlfn.ISOWEEKNUM(Table1[[#This Row],[Date]])</f>
        <v>16</v>
      </c>
      <c r="U555" t="str">
        <f>TEXT(Table1[[#This Row],[Expected Business Month]],"YYYY")</f>
        <v>2024</v>
      </c>
    </row>
    <row r="556" spans="1:21" hidden="1">
      <c r="A556" s="1">
        <v>45400</v>
      </c>
      <c r="B556" t="s">
        <v>1863</v>
      </c>
      <c r="C556" t="s">
        <v>96</v>
      </c>
      <c r="D556" t="s">
        <v>64</v>
      </c>
      <c r="E556" t="s">
        <v>26</v>
      </c>
      <c r="F556" t="s">
        <v>233</v>
      </c>
      <c r="G556" s="9" t="s">
        <v>1864</v>
      </c>
      <c r="H556">
        <v>25656</v>
      </c>
      <c r="I556">
        <v>25656</v>
      </c>
      <c r="J556" s="21">
        <v>45383</v>
      </c>
      <c r="K556" s="7" t="s">
        <v>99</v>
      </c>
      <c r="L556" t="s">
        <v>68</v>
      </c>
      <c r="M556" t="s">
        <v>69</v>
      </c>
      <c r="O556">
        <v>0</v>
      </c>
      <c r="S556" t="str">
        <f>TEXT(Table1[[#This Row],[Date]],"MMM-YY")</f>
        <v>Apr-24</v>
      </c>
      <c r="T556">
        <f>_xlfn.ISOWEEKNUM(Table1[[#This Row],[Date]])</f>
        <v>16</v>
      </c>
      <c r="U556" t="str">
        <f>TEXT(Table1[[#This Row],[Expected Business Month]],"YYYY")</f>
        <v>2024</v>
      </c>
    </row>
    <row r="557" spans="1:21" hidden="1">
      <c r="A557" s="1">
        <v>45401</v>
      </c>
      <c r="B557" t="s">
        <v>1865</v>
      </c>
      <c r="C557" t="s">
        <v>96</v>
      </c>
      <c r="D557" t="s">
        <v>64</v>
      </c>
      <c r="E557" t="s">
        <v>26</v>
      </c>
      <c r="F557" t="s">
        <v>233</v>
      </c>
      <c r="G557" s="9" t="s">
        <v>1866</v>
      </c>
      <c r="H557">
        <v>170000</v>
      </c>
      <c r="I557">
        <v>170000</v>
      </c>
      <c r="J557" s="21">
        <v>45383</v>
      </c>
      <c r="K557" s="7" t="s">
        <v>99</v>
      </c>
      <c r="L557" t="s">
        <v>68</v>
      </c>
      <c r="M557" t="s">
        <v>69</v>
      </c>
      <c r="O557">
        <v>0</v>
      </c>
      <c r="S557" t="str">
        <f>TEXT(Table1[[#This Row],[Date]],"MMM-YY")</f>
        <v>Apr-24</v>
      </c>
      <c r="T557">
        <f>_xlfn.ISOWEEKNUM(Table1[[#This Row],[Date]])</f>
        <v>16</v>
      </c>
      <c r="U557" t="str">
        <f>TEXT(Table1[[#This Row],[Expected Business Month]],"YYYY")</f>
        <v>2024</v>
      </c>
    </row>
    <row r="558" spans="1:21" hidden="1">
      <c r="A558" s="1">
        <v>45401</v>
      </c>
      <c r="B558" t="s">
        <v>869</v>
      </c>
      <c r="C558" t="s">
        <v>96</v>
      </c>
      <c r="D558" t="s">
        <v>64</v>
      </c>
      <c r="E558" t="s">
        <v>26</v>
      </c>
      <c r="F558" t="s">
        <v>1867</v>
      </c>
      <c r="G558" s="9" t="s">
        <v>1868</v>
      </c>
      <c r="H558">
        <v>10000</v>
      </c>
      <c r="I558">
        <v>0</v>
      </c>
      <c r="J558" s="21">
        <v>45505</v>
      </c>
      <c r="K558" s="7" t="s">
        <v>99</v>
      </c>
      <c r="L558" t="s">
        <v>9</v>
      </c>
      <c r="M558" t="s">
        <v>9</v>
      </c>
      <c r="N558" t="s">
        <v>586</v>
      </c>
      <c r="O558">
        <v>0</v>
      </c>
      <c r="S558" t="str">
        <f>TEXT(Table1[[#This Row],[Date]],"MMM-YY")</f>
        <v>Apr-24</v>
      </c>
      <c r="T558">
        <f>_xlfn.ISOWEEKNUM(Table1[[#This Row],[Date]])</f>
        <v>16</v>
      </c>
      <c r="U558" t="str">
        <f>TEXT(Table1[[#This Row],[Expected Business Month]],"YYYY")</f>
        <v>2024</v>
      </c>
    </row>
    <row r="559" spans="1:21" hidden="1">
      <c r="A559" s="1">
        <v>45401</v>
      </c>
      <c r="B559" t="s">
        <v>1869</v>
      </c>
      <c r="C559" t="s">
        <v>96</v>
      </c>
      <c r="D559" t="s">
        <v>64</v>
      </c>
      <c r="E559" t="s">
        <v>26</v>
      </c>
      <c r="F559" t="s">
        <v>153</v>
      </c>
      <c r="G559" s="9" t="s">
        <v>1870</v>
      </c>
      <c r="H559">
        <v>14568</v>
      </c>
      <c r="I559">
        <v>14568</v>
      </c>
      <c r="J559" s="21">
        <v>45383</v>
      </c>
      <c r="K559" s="7" t="s">
        <v>99</v>
      </c>
      <c r="L559" t="s">
        <v>68</v>
      </c>
      <c r="M559" t="s">
        <v>69</v>
      </c>
      <c r="O559">
        <v>0</v>
      </c>
      <c r="S559" t="str">
        <f>TEXT(Table1[[#This Row],[Date]],"MMM-YY")</f>
        <v>Apr-24</v>
      </c>
      <c r="T559">
        <f>_xlfn.ISOWEEKNUM(Table1[[#This Row],[Date]])</f>
        <v>16</v>
      </c>
      <c r="U559" t="str">
        <f>TEXT(Table1[[#This Row],[Expected Business Month]],"YYYY")</f>
        <v>2024</v>
      </c>
    </row>
    <row r="560" spans="1:21" hidden="1">
      <c r="A560" s="1">
        <v>45401</v>
      </c>
      <c r="B560" t="s">
        <v>1680</v>
      </c>
      <c r="C560" t="s">
        <v>96</v>
      </c>
      <c r="D560" t="s">
        <v>64</v>
      </c>
      <c r="E560" t="s">
        <v>38</v>
      </c>
      <c r="F560" t="s">
        <v>1186</v>
      </c>
      <c r="G560" s="39">
        <v>45401</v>
      </c>
      <c r="H560">
        <v>7368</v>
      </c>
      <c r="I560">
        <v>7368</v>
      </c>
      <c r="J560" s="21">
        <v>45383</v>
      </c>
      <c r="K560" s="7" t="s">
        <v>67</v>
      </c>
      <c r="L560" t="s">
        <v>68</v>
      </c>
      <c r="M560" t="s">
        <v>69</v>
      </c>
      <c r="O560">
        <v>7368</v>
      </c>
      <c r="S560" t="str">
        <f>TEXT(Table1[[#This Row],[Date]],"MMM-YY")</f>
        <v>Apr-24</v>
      </c>
      <c r="T560">
        <f>_xlfn.ISOWEEKNUM(Table1[[#This Row],[Date]])</f>
        <v>16</v>
      </c>
      <c r="U560" t="str">
        <f>TEXT(Table1[[#This Row],[Expected Business Month]],"YYYY")</f>
        <v>2024</v>
      </c>
    </row>
    <row r="561" spans="1:21" hidden="1">
      <c r="A561" s="1">
        <v>45401</v>
      </c>
      <c r="B561" t="s">
        <v>1871</v>
      </c>
      <c r="C561" t="s">
        <v>96</v>
      </c>
      <c r="D561" t="s">
        <v>64</v>
      </c>
      <c r="E561" t="s">
        <v>20</v>
      </c>
      <c r="F561" t="s">
        <v>1872</v>
      </c>
      <c r="G561" s="39" t="s">
        <v>1873</v>
      </c>
      <c r="H561">
        <v>20000</v>
      </c>
      <c r="I561">
        <v>0</v>
      </c>
      <c r="J561" s="21">
        <v>45505</v>
      </c>
      <c r="K561" s="7" t="s">
        <v>99</v>
      </c>
      <c r="L561" t="s">
        <v>9</v>
      </c>
      <c r="M561" t="s">
        <v>9</v>
      </c>
      <c r="N561" t="s">
        <v>586</v>
      </c>
      <c r="O561">
        <v>0</v>
      </c>
      <c r="S561" t="str">
        <f>TEXT(Table1[[#This Row],[Date]],"MMM-YY")</f>
        <v>Apr-24</v>
      </c>
      <c r="T561">
        <f>_xlfn.ISOWEEKNUM(Table1[[#This Row],[Date]])</f>
        <v>16</v>
      </c>
      <c r="U561" t="str">
        <f>TEXT(Table1[[#This Row],[Expected Business Month]],"YYYY")</f>
        <v>2024</v>
      </c>
    </row>
    <row r="562" spans="1:21" hidden="1">
      <c r="A562" s="1">
        <v>45401</v>
      </c>
      <c r="B562" t="s">
        <v>1874</v>
      </c>
      <c r="C562" t="s">
        <v>96</v>
      </c>
      <c r="D562" t="s">
        <v>64</v>
      </c>
      <c r="E562" t="s">
        <v>20</v>
      </c>
      <c r="F562" t="s">
        <v>1875</v>
      </c>
      <c r="G562" s="39" t="s">
        <v>1873</v>
      </c>
      <c r="H562">
        <v>12000</v>
      </c>
      <c r="I562">
        <v>0</v>
      </c>
      <c r="J562" s="21">
        <v>45505</v>
      </c>
      <c r="K562" s="7" t="s">
        <v>99</v>
      </c>
      <c r="L562" t="s">
        <v>9</v>
      </c>
      <c r="M562" t="s">
        <v>9</v>
      </c>
      <c r="N562" t="s">
        <v>586</v>
      </c>
      <c r="O562">
        <v>0</v>
      </c>
      <c r="S562" t="str">
        <f>TEXT(Table1[[#This Row],[Date]],"MMM-YY")</f>
        <v>Apr-24</v>
      </c>
      <c r="T562">
        <f>_xlfn.ISOWEEKNUM(Table1[[#This Row],[Date]])</f>
        <v>16</v>
      </c>
      <c r="U562" t="str">
        <f>TEXT(Table1[[#This Row],[Expected Business Month]],"YYYY")</f>
        <v>2024</v>
      </c>
    </row>
    <row r="563" spans="1:21" hidden="1">
      <c r="A563" s="1">
        <v>45401</v>
      </c>
      <c r="B563" t="s">
        <v>1876</v>
      </c>
      <c r="C563" t="s">
        <v>96</v>
      </c>
      <c r="D563" t="s">
        <v>64</v>
      </c>
      <c r="E563" t="s">
        <v>20</v>
      </c>
      <c r="F563" t="s">
        <v>1877</v>
      </c>
      <c r="G563" s="39" t="s">
        <v>1873</v>
      </c>
      <c r="H563">
        <v>10000</v>
      </c>
      <c r="I563">
        <v>0</v>
      </c>
      <c r="J563" s="21">
        <v>45505</v>
      </c>
      <c r="K563" s="7" t="s">
        <v>99</v>
      </c>
      <c r="L563" t="s">
        <v>9</v>
      </c>
      <c r="M563" t="s">
        <v>9</v>
      </c>
      <c r="N563" t="s">
        <v>586</v>
      </c>
      <c r="O563">
        <v>0</v>
      </c>
      <c r="S563" t="str">
        <f>TEXT(Table1[[#This Row],[Date]],"MMM-YY")</f>
        <v>Apr-24</v>
      </c>
      <c r="T563">
        <f>_xlfn.ISOWEEKNUM(Table1[[#This Row],[Date]])</f>
        <v>16</v>
      </c>
      <c r="U563" t="str">
        <f>TEXT(Table1[[#This Row],[Expected Business Month]],"YYYY")</f>
        <v>2024</v>
      </c>
    </row>
    <row r="564" spans="1:21" hidden="1">
      <c r="A564" s="1">
        <v>45401</v>
      </c>
      <c r="B564" t="s">
        <v>1878</v>
      </c>
      <c r="C564" t="s">
        <v>96</v>
      </c>
      <c r="D564" t="s">
        <v>64</v>
      </c>
      <c r="E564" t="s">
        <v>20</v>
      </c>
      <c r="F564" t="s">
        <v>1879</v>
      </c>
      <c r="G564" s="39" t="s">
        <v>1873</v>
      </c>
      <c r="H564">
        <v>15000</v>
      </c>
      <c r="I564">
        <v>0</v>
      </c>
      <c r="J564" s="21">
        <v>45505</v>
      </c>
      <c r="K564" s="7" t="s">
        <v>99</v>
      </c>
      <c r="L564" t="s">
        <v>9</v>
      </c>
      <c r="M564" t="s">
        <v>9</v>
      </c>
      <c r="N564" t="s">
        <v>586</v>
      </c>
      <c r="O564">
        <v>0</v>
      </c>
      <c r="S564" t="str">
        <f>TEXT(Table1[[#This Row],[Date]],"MMM-YY")</f>
        <v>Apr-24</v>
      </c>
      <c r="T564">
        <f>_xlfn.ISOWEEKNUM(Table1[[#This Row],[Date]])</f>
        <v>16</v>
      </c>
      <c r="U564" t="str">
        <f>TEXT(Table1[[#This Row],[Expected Business Month]],"YYYY")</f>
        <v>2024</v>
      </c>
    </row>
    <row r="565" spans="1:21" hidden="1">
      <c r="A565" s="1">
        <v>45401</v>
      </c>
      <c r="B565" t="s">
        <v>1880</v>
      </c>
      <c r="C565" t="s">
        <v>96</v>
      </c>
      <c r="D565" t="s">
        <v>64</v>
      </c>
      <c r="E565" t="s">
        <v>20</v>
      </c>
      <c r="F565" t="s">
        <v>1881</v>
      </c>
      <c r="G565" s="39" t="s">
        <v>1873</v>
      </c>
      <c r="H565">
        <v>18000</v>
      </c>
      <c r="I565">
        <v>0</v>
      </c>
      <c r="J565" s="21">
        <v>45505</v>
      </c>
      <c r="K565" s="7" t="s">
        <v>99</v>
      </c>
      <c r="L565" t="s">
        <v>9</v>
      </c>
      <c r="M565" t="s">
        <v>9</v>
      </c>
      <c r="N565" t="s">
        <v>586</v>
      </c>
      <c r="O565">
        <v>0</v>
      </c>
      <c r="S565" t="str">
        <f>TEXT(Table1[[#This Row],[Date]],"MMM-YY")</f>
        <v>Apr-24</v>
      </c>
      <c r="T565">
        <f>_xlfn.ISOWEEKNUM(Table1[[#This Row],[Date]])</f>
        <v>16</v>
      </c>
      <c r="U565" t="str">
        <f>TEXT(Table1[[#This Row],[Expected Business Month]],"YYYY")</f>
        <v>2024</v>
      </c>
    </row>
    <row r="566" spans="1:21" hidden="1">
      <c r="A566" s="1">
        <v>45401</v>
      </c>
      <c r="B566" t="s">
        <v>1882</v>
      </c>
      <c r="C566" t="s">
        <v>96</v>
      </c>
      <c r="D566" t="s">
        <v>64</v>
      </c>
      <c r="E566" t="s">
        <v>20</v>
      </c>
      <c r="F566" t="s">
        <v>1883</v>
      </c>
      <c r="G566" s="39" t="s">
        <v>1873</v>
      </c>
      <c r="H566">
        <v>11000</v>
      </c>
      <c r="I566">
        <v>0</v>
      </c>
      <c r="J566" s="21">
        <v>45505</v>
      </c>
      <c r="K566" s="7" t="s">
        <v>99</v>
      </c>
      <c r="L566" t="s">
        <v>9</v>
      </c>
      <c r="M566" t="s">
        <v>9</v>
      </c>
      <c r="N566" t="s">
        <v>586</v>
      </c>
      <c r="O566">
        <v>0</v>
      </c>
      <c r="S566" t="str">
        <f>TEXT(Table1[[#This Row],[Date]],"MMM-YY")</f>
        <v>Apr-24</v>
      </c>
      <c r="T566">
        <f>_xlfn.ISOWEEKNUM(Table1[[#This Row],[Date]])</f>
        <v>16</v>
      </c>
      <c r="U566" t="str">
        <f>TEXT(Table1[[#This Row],[Expected Business Month]],"YYYY")</f>
        <v>2024</v>
      </c>
    </row>
    <row r="567" spans="1:21" hidden="1">
      <c r="A567" s="1">
        <v>45402</v>
      </c>
      <c r="B567" t="s">
        <v>1680</v>
      </c>
      <c r="C567" t="s">
        <v>96</v>
      </c>
      <c r="D567" t="s">
        <v>64</v>
      </c>
      <c r="E567" t="s">
        <v>38</v>
      </c>
      <c r="F567" t="s">
        <v>1186</v>
      </c>
      <c r="G567" s="39">
        <v>45402</v>
      </c>
      <c r="H567">
        <v>8288</v>
      </c>
      <c r="I567">
        <v>8288</v>
      </c>
      <c r="J567" s="21">
        <v>45383</v>
      </c>
      <c r="K567" s="7" t="s">
        <v>67</v>
      </c>
      <c r="L567" t="s">
        <v>68</v>
      </c>
      <c r="M567" t="s">
        <v>69</v>
      </c>
      <c r="O567">
        <v>8288</v>
      </c>
      <c r="S567" t="str">
        <f>TEXT(Table1[[#This Row],[Date]],"MMM-YY")</f>
        <v>Apr-24</v>
      </c>
      <c r="T567">
        <f>_xlfn.ISOWEEKNUM(Table1[[#This Row],[Date]])</f>
        <v>16</v>
      </c>
      <c r="U567" t="str">
        <f>TEXT(Table1[[#This Row],[Expected Business Month]],"YYYY")</f>
        <v>2024</v>
      </c>
    </row>
    <row r="568" spans="1:21" hidden="1">
      <c r="A568" s="1">
        <v>45403</v>
      </c>
      <c r="B568" t="s">
        <v>1680</v>
      </c>
      <c r="C568" t="s">
        <v>96</v>
      </c>
      <c r="D568" t="s">
        <v>64</v>
      </c>
      <c r="E568" t="s">
        <v>38</v>
      </c>
      <c r="F568" t="s">
        <v>1186</v>
      </c>
      <c r="G568" s="39">
        <v>45403</v>
      </c>
      <c r="H568">
        <v>3684</v>
      </c>
      <c r="I568">
        <v>3684</v>
      </c>
      <c r="J568" s="21">
        <v>45383</v>
      </c>
      <c r="K568" s="7" t="s">
        <v>67</v>
      </c>
      <c r="L568" t="s">
        <v>68</v>
      </c>
      <c r="M568" t="s">
        <v>69</v>
      </c>
      <c r="O568">
        <v>3484</v>
      </c>
      <c r="S568" t="str">
        <f>TEXT(Table1[[#This Row],[Date]],"MMM-YY")</f>
        <v>Apr-24</v>
      </c>
      <c r="T568">
        <f>_xlfn.ISOWEEKNUM(Table1[[#This Row],[Date]])</f>
        <v>16</v>
      </c>
      <c r="U568" t="str">
        <f>TEXT(Table1[[#This Row],[Expected Business Month]],"YYYY")</f>
        <v>2024</v>
      </c>
    </row>
    <row r="569" spans="1:21" hidden="1">
      <c r="A569" s="1">
        <v>45404</v>
      </c>
      <c r="B569" t="s">
        <v>1680</v>
      </c>
      <c r="C569" t="s">
        <v>96</v>
      </c>
      <c r="D569" t="s">
        <v>64</v>
      </c>
      <c r="E569" t="s">
        <v>38</v>
      </c>
      <c r="F569" t="s">
        <v>1186</v>
      </c>
      <c r="G569" s="39">
        <v>45404</v>
      </c>
      <c r="H569">
        <v>5526</v>
      </c>
      <c r="I569">
        <v>5526</v>
      </c>
      <c r="J569" s="21">
        <v>45383</v>
      </c>
      <c r="K569" s="7" t="s">
        <v>67</v>
      </c>
      <c r="L569" t="s">
        <v>68</v>
      </c>
      <c r="M569" t="s">
        <v>69</v>
      </c>
      <c r="O569">
        <v>5526</v>
      </c>
      <c r="S569" t="str">
        <f>TEXT(Table1[[#This Row],[Date]],"MMM-YY")</f>
        <v>Apr-24</v>
      </c>
      <c r="T569">
        <f>_xlfn.ISOWEEKNUM(Table1[[#This Row],[Date]])</f>
        <v>17</v>
      </c>
      <c r="U569" t="str">
        <f>TEXT(Table1[[#This Row],[Expected Business Month]],"YYYY")</f>
        <v>2024</v>
      </c>
    </row>
    <row r="570" spans="1:21" ht="29.1" hidden="1">
      <c r="A570" s="1">
        <v>45404</v>
      </c>
      <c r="B570" t="s">
        <v>1884</v>
      </c>
      <c r="C570" t="s">
        <v>63</v>
      </c>
      <c r="D570" t="s">
        <v>64</v>
      </c>
      <c r="E570" t="s">
        <v>14</v>
      </c>
      <c r="F570" t="s">
        <v>776</v>
      </c>
      <c r="G570" s="39" t="s">
        <v>1885</v>
      </c>
      <c r="H570">
        <v>30000</v>
      </c>
      <c r="I570">
        <v>0</v>
      </c>
      <c r="J570" s="21">
        <v>45505</v>
      </c>
      <c r="K570" s="7" t="s">
        <v>99</v>
      </c>
      <c r="L570" t="s">
        <v>9</v>
      </c>
      <c r="M570" t="s">
        <v>9</v>
      </c>
      <c r="N570" t="s">
        <v>586</v>
      </c>
      <c r="O570">
        <v>0</v>
      </c>
      <c r="S570" t="str">
        <f>TEXT(Table1[[#This Row],[Date]],"MMM-YY")</f>
        <v>Apr-24</v>
      </c>
      <c r="T570">
        <f>_xlfn.ISOWEEKNUM(Table1[[#This Row],[Date]])</f>
        <v>17</v>
      </c>
      <c r="U570" t="str">
        <f>TEXT(Table1[[#This Row],[Expected Business Month]],"YYYY")</f>
        <v>2024</v>
      </c>
    </row>
    <row r="571" spans="1:21" ht="29.1" hidden="1">
      <c r="A571" s="1">
        <v>45404</v>
      </c>
      <c r="B571" t="s">
        <v>1886</v>
      </c>
      <c r="C571" t="s">
        <v>63</v>
      </c>
      <c r="D571" t="s">
        <v>64</v>
      </c>
      <c r="E571" t="s">
        <v>14</v>
      </c>
      <c r="F571" t="s">
        <v>427</v>
      </c>
      <c r="G571" s="39" t="s">
        <v>1887</v>
      </c>
      <c r="H571">
        <v>20000</v>
      </c>
      <c r="I571">
        <v>0</v>
      </c>
      <c r="J571" s="21">
        <v>45505</v>
      </c>
      <c r="K571" s="7" t="s">
        <v>99</v>
      </c>
      <c r="L571" t="s">
        <v>9</v>
      </c>
      <c r="M571" t="s">
        <v>9</v>
      </c>
      <c r="N571" t="s">
        <v>586</v>
      </c>
      <c r="O571">
        <v>0</v>
      </c>
      <c r="S571" t="str">
        <f>TEXT(Table1[[#This Row],[Date]],"MMM-YY")</f>
        <v>Apr-24</v>
      </c>
      <c r="T571">
        <f>_xlfn.ISOWEEKNUM(Table1[[#This Row],[Date]])</f>
        <v>17</v>
      </c>
      <c r="U571" t="str">
        <f>TEXT(Table1[[#This Row],[Expected Business Month]],"YYYY")</f>
        <v>2024</v>
      </c>
    </row>
    <row r="572" spans="1:21" hidden="1">
      <c r="A572" s="1">
        <v>45404</v>
      </c>
      <c r="B572" t="s">
        <v>1888</v>
      </c>
      <c r="C572" t="s">
        <v>63</v>
      </c>
      <c r="D572" t="s">
        <v>64</v>
      </c>
      <c r="E572" t="s">
        <v>26</v>
      </c>
      <c r="F572" t="s">
        <v>1081</v>
      </c>
      <c r="G572" s="39" t="s">
        <v>1889</v>
      </c>
      <c r="H572">
        <v>22000</v>
      </c>
      <c r="I572">
        <v>0</v>
      </c>
      <c r="J572" s="21">
        <v>45505</v>
      </c>
      <c r="K572" s="7" t="s">
        <v>99</v>
      </c>
      <c r="L572" t="s">
        <v>9</v>
      </c>
      <c r="M572" t="s">
        <v>9</v>
      </c>
      <c r="N572" t="s">
        <v>586</v>
      </c>
      <c r="O572">
        <v>0</v>
      </c>
      <c r="S572" t="str">
        <f>TEXT(Table1[[#This Row],[Date]],"MMM-YY")</f>
        <v>Apr-24</v>
      </c>
      <c r="T572">
        <f>_xlfn.ISOWEEKNUM(Table1[[#This Row],[Date]])</f>
        <v>17</v>
      </c>
      <c r="U572" t="str">
        <f>TEXT(Table1[[#This Row],[Expected Business Month]],"YYYY")</f>
        <v>2024</v>
      </c>
    </row>
    <row r="573" spans="1:21" hidden="1">
      <c r="A573" s="1">
        <v>45404</v>
      </c>
      <c r="B573" t="s">
        <v>1890</v>
      </c>
      <c r="C573" t="s">
        <v>63</v>
      </c>
      <c r="D573" t="s">
        <v>64</v>
      </c>
      <c r="E573" t="s">
        <v>20</v>
      </c>
      <c r="F573" t="s">
        <v>1891</v>
      </c>
      <c r="G573" s="39" t="s">
        <v>1873</v>
      </c>
      <c r="H573">
        <v>22000</v>
      </c>
      <c r="I573">
        <v>0</v>
      </c>
      <c r="J573" s="21">
        <v>45505</v>
      </c>
      <c r="K573" s="7" t="s">
        <v>99</v>
      </c>
      <c r="L573" t="s">
        <v>9</v>
      </c>
      <c r="M573" t="s">
        <v>9</v>
      </c>
      <c r="N573" t="s">
        <v>586</v>
      </c>
      <c r="O573">
        <v>0</v>
      </c>
      <c r="S573" t="str">
        <f>TEXT(Table1[[#This Row],[Date]],"MMM-YY")</f>
        <v>Apr-24</v>
      </c>
      <c r="T573">
        <f>_xlfn.ISOWEEKNUM(Table1[[#This Row],[Date]])</f>
        <v>17</v>
      </c>
      <c r="U573" t="str">
        <f>TEXT(Table1[[#This Row],[Expected Business Month]],"YYYY")</f>
        <v>2024</v>
      </c>
    </row>
    <row r="574" spans="1:21" hidden="1">
      <c r="A574" s="1">
        <v>45405</v>
      </c>
      <c r="B574" t="s">
        <v>1892</v>
      </c>
      <c r="C574" t="s">
        <v>63</v>
      </c>
      <c r="D574" t="s">
        <v>64</v>
      </c>
      <c r="E574" t="s">
        <v>38</v>
      </c>
      <c r="F574" t="s">
        <v>325</v>
      </c>
      <c r="G574" s="39" t="s">
        <v>1893</v>
      </c>
      <c r="H574">
        <v>0</v>
      </c>
      <c r="I574">
        <v>0</v>
      </c>
      <c r="J574" s="21">
        <v>45505</v>
      </c>
      <c r="K574" s="7" t="s">
        <v>99</v>
      </c>
      <c r="L574" t="s">
        <v>9</v>
      </c>
      <c r="M574" t="s">
        <v>9</v>
      </c>
      <c r="N574" t="s">
        <v>586</v>
      </c>
      <c r="O574">
        <v>0</v>
      </c>
      <c r="S574" t="str">
        <f>TEXT(Table1[[#This Row],[Date]],"MMM-YY")</f>
        <v>Apr-24</v>
      </c>
      <c r="T574">
        <f>_xlfn.ISOWEEKNUM(Table1[[#This Row],[Date]])</f>
        <v>17</v>
      </c>
      <c r="U574" t="str">
        <f>TEXT(Table1[[#This Row],[Expected Business Month]],"YYYY")</f>
        <v>2024</v>
      </c>
    </row>
    <row r="575" spans="1:21" hidden="1">
      <c r="A575" s="1">
        <v>45405</v>
      </c>
      <c r="B575" t="s">
        <v>1680</v>
      </c>
      <c r="C575" t="s">
        <v>96</v>
      </c>
      <c r="D575" t="s">
        <v>64</v>
      </c>
      <c r="E575" t="s">
        <v>38</v>
      </c>
      <c r="F575" t="s">
        <v>1186</v>
      </c>
      <c r="G575" s="39">
        <v>45405</v>
      </c>
      <c r="H575">
        <v>5526</v>
      </c>
      <c r="I575">
        <v>5526</v>
      </c>
      <c r="J575" s="21">
        <v>45383</v>
      </c>
      <c r="K575" s="7" t="s">
        <v>67</v>
      </c>
      <c r="L575" t="s">
        <v>68</v>
      </c>
      <c r="M575" t="s">
        <v>69</v>
      </c>
      <c r="O575">
        <v>5526</v>
      </c>
      <c r="S575" t="str">
        <f>TEXT(Table1[[#This Row],[Date]],"MMM-YY")</f>
        <v>Apr-24</v>
      </c>
      <c r="T575">
        <f>_xlfn.ISOWEEKNUM(Table1[[#This Row],[Date]])</f>
        <v>17</v>
      </c>
      <c r="U575" t="str">
        <f>TEXT(Table1[[#This Row],[Expected Business Month]],"YYYY")</f>
        <v>2024</v>
      </c>
    </row>
    <row r="576" spans="1:21" hidden="1">
      <c r="A576" s="1">
        <v>45405</v>
      </c>
      <c r="B576" t="s">
        <v>1894</v>
      </c>
      <c r="C576" t="s">
        <v>63</v>
      </c>
      <c r="D576" t="s">
        <v>64</v>
      </c>
      <c r="E576" t="s">
        <v>26</v>
      </c>
      <c r="F576" t="s">
        <v>1895</v>
      </c>
      <c r="G576" s="39" t="s">
        <v>1896</v>
      </c>
      <c r="H576">
        <v>28000</v>
      </c>
      <c r="I576">
        <v>0</v>
      </c>
      <c r="J576" s="21">
        <v>45505</v>
      </c>
      <c r="K576" s="7" t="s">
        <v>99</v>
      </c>
      <c r="L576" t="s">
        <v>9</v>
      </c>
      <c r="M576" t="s">
        <v>9</v>
      </c>
      <c r="N576" t="s">
        <v>586</v>
      </c>
      <c r="O576">
        <v>0</v>
      </c>
      <c r="S576" t="str">
        <f>TEXT(Table1[[#This Row],[Date]],"MMM-YY")</f>
        <v>Apr-24</v>
      </c>
      <c r="T576">
        <f>_xlfn.ISOWEEKNUM(Table1[[#This Row],[Date]])</f>
        <v>17</v>
      </c>
      <c r="U576" t="str">
        <f>TEXT(Table1[[#This Row],[Expected Business Month]],"YYYY")</f>
        <v>2024</v>
      </c>
    </row>
    <row r="577" spans="1:21" hidden="1">
      <c r="A577" s="1">
        <v>45405</v>
      </c>
      <c r="B577" t="s">
        <v>1897</v>
      </c>
      <c r="C577" t="s">
        <v>63</v>
      </c>
      <c r="D577" t="s">
        <v>64</v>
      </c>
      <c r="E577" t="s">
        <v>14</v>
      </c>
      <c r="F577" t="s">
        <v>1898</v>
      </c>
      <c r="G577" s="39" t="s">
        <v>1896</v>
      </c>
      <c r="H577">
        <v>18000</v>
      </c>
      <c r="I577">
        <v>0</v>
      </c>
      <c r="J577" s="21">
        <v>45505</v>
      </c>
      <c r="K577" s="7" t="s">
        <v>99</v>
      </c>
      <c r="L577" t="s">
        <v>9</v>
      </c>
      <c r="M577" t="s">
        <v>9</v>
      </c>
      <c r="N577" t="s">
        <v>586</v>
      </c>
      <c r="O577">
        <v>0</v>
      </c>
      <c r="S577" t="str">
        <f>TEXT(Table1[[#This Row],[Date]],"MMM-YY")</f>
        <v>Apr-24</v>
      </c>
      <c r="T577">
        <f>_xlfn.ISOWEEKNUM(Table1[[#This Row],[Date]])</f>
        <v>17</v>
      </c>
      <c r="U577" t="str">
        <f>TEXT(Table1[[#This Row],[Expected Business Month]],"YYYY")</f>
        <v>2024</v>
      </c>
    </row>
    <row r="578" spans="1:21" hidden="1">
      <c r="A578" s="1">
        <v>45405</v>
      </c>
      <c r="B578" t="s">
        <v>1821</v>
      </c>
      <c r="C578" t="s">
        <v>63</v>
      </c>
      <c r="D578" t="s">
        <v>64</v>
      </c>
      <c r="E578" t="s">
        <v>25</v>
      </c>
      <c r="F578" t="s">
        <v>447</v>
      </c>
      <c r="G578" s="39" t="s">
        <v>1893</v>
      </c>
      <c r="H578">
        <v>0</v>
      </c>
      <c r="I578">
        <v>0</v>
      </c>
      <c r="J578" s="21">
        <v>45505</v>
      </c>
      <c r="K578" s="7" t="s">
        <v>99</v>
      </c>
      <c r="L578" t="s">
        <v>9</v>
      </c>
      <c r="M578" t="s">
        <v>9</v>
      </c>
      <c r="N578" t="s">
        <v>586</v>
      </c>
      <c r="O578">
        <v>0</v>
      </c>
      <c r="S578" t="str">
        <f>TEXT(Table1[[#This Row],[Date]],"MMM-YY")</f>
        <v>Apr-24</v>
      </c>
      <c r="T578">
        <f>_xlfn.ISOWEEKNUM(Table1[[#This Row],[Date]])</f>
        <v>17</v>
      </c>
      <c r="U578" t="str">
        <f>TEXT(Table1[[#This Row],[Expected Business Month]],"YYYY")</f>
        <v>2024</v>
      </c>
    </row>
    <row r="579" spans="1:21" hidden="1">
      <c r="A579" s="1">
        <v>45405</v>
      </c>
      <c r="B579" t="s">
        <v>1899</v>
      </c>
      <c r="C579" t="s">
        <v>63</v>
      </c>
      <c r="D579" t="s">
        <v>64</v>
      </c>
      <c r="E579" t="s">
        <v>26</v>
      </c>
      <c r="F579" t="s">
        <v>1900</v>
      </c>
      <c r="G579" s="39" t="s">
        <v>1896</v>
      </c>
      <c r="H579">
        <v>20000</v>
      </c>
      <c r="I579">
        <v>0</v>
      </c>
      <c r="J579" s="21">
        <v>45505</v>
      </c>
      <c r="K579" s="7" t="s">
        <v>99</v>
      </c>
      <c r="L579" t="s">
        <v>9</v>
      </c>
      <c r="M579" t="s">
        <v>9</v>
      </c>
      <c r="N579" t="s">
        <v>586</v>
      </c>
      <c r="O579">
        <v>0</v>
      </c>
      <c r="S579" t="str">
        <f>TEXT(Table1[[#This Row],[Date]],"MMM-YY")</f>
        <v>Apr-24</v>
      </c>
      <c r="T579">
        <f>_xlfn.ISOWEEKNUM(Table1[[#This Row],[Date]])</f>
        <v>17</v>
      </c>
      <c r="U579" t="str">
        <f>TEXT(Table1[[#This Row],[Expected Business Month]],"YYYY")</f>
        <v>2024</v>
      </c>
    </row>
    <row r="580" spans="1:21" hidden="1">
      <c r="A580" s="1">
        <v>45405</v>
      </c>
      <c r="B580" t="s">
        <v>1901</v>
      </c>
      <c r="C580" t="s">
        <v>63</v>
      </c>
      <c r="D580" t="s">
        <v>64</v>
      </c>
      <c r="E580" t="s">
        <v>26</v>
      </c>
      <c r="F580" t="s">
        <v>238</v>
      </c>
      <c r="G580" s="39" t="s">
        <v>1896</v>
      </c>
      <c r="H580">
        <v>18000</v>
      </c>
      <c r="I580">
        <v>0</v>
      </c>
      <c r="J580" s="21">
        <v>45505</v>
      </c>
      <c r="K580" s="7" t="s">
        <v>99</v>
      </c>
      <c r="L580" t="s">
        <v>9</v>
      </c>
      <c r="M580" t="s">
        <v>9</v>
      </c>
      <c r="N580" t="s">
        <v>586</v>
      </c>
      <c r="O580">
        <v>0</v>
      </c>
      <c r="S580" t="str">
        <f>TEXT(Table1[[#This Row],[Date]],"MMM-YY")</f>
        <v>Apr-24</v>
      </c>
      <c r="T580">
        <f>_xlfn.ISOWEEKNUM(Table1[[#This Row],[Date]])</f>
        <v>17</v>
      </c>
      <c r="U580" t="str">
        <f>TEXT(Table1[[#This Row],[Expected Business Month]],"YYYY")</f>
        <v>2024</v>
      </c>
    </row>
    <row r="581" spans="1:21" hidden="1">
      <c r="A581" s="1">
        <v>45406</v>
      </c>
      <c r="B581" t="s">
        <v>1680</v>
      </c>
      <c r="C581" t="s">
        <v>96</v>
      </c>
      <c r="D581" t="s">
        <v>64</v>
      </c>
      <c r="E581" t="s">
        <v>38</v>
      </c>
      <c r="F581" t="s">
        <v>1186</v>
      </c>
      <c r="G581" s="39">
        <v>45406</v>
      </c>
      <c r="H581">
        <v>6447</v>
      </c>
      <c r="I581">
        <v>6447</v>
      </c>
      <c r="J581" s="21">
        <v>45383</v>
      </c>
      <c r="K581" s="7" t="s">
        <v>67</v>
      </c>
      <c r="L581" t="s">
        <v>68</v>
      </c>
      <c r="M581" t="s">
        <v>69</v>
      </c>
      <c r="O581">
        <v>6447</v>
      </c>
      <c r="S581" t="str">
        <f>TEXT(Table1[[#This Row],[Date]],"MMM-YY")</f>
        <v>Apr-24</v>
      </c>
      <c r="T581">
        <f>_xlfn.ISOWEEKNUM(Table1[[#This Row],[Date]])</f>
        <v>17</v>
      </c>
      <c r="U581" t="str">
        <f>TEXT(Table1[[#This Row],[Expected Business Month]],"YYYY")</f>
        <v>2024</v>
      </c>
    </row>
    <row r="582" spans="1:21" ht="29.1" hidden="1">
      <c r="A582" s="1">
        <v>45406</v>
      </c>
      <c r="B582" t="s">
        <v>1902</v>
      </c>
      <c r="C582" t="s">
        <v>63</v>
      </c>
      <c r="D582" t="s">
        <v>64</v>
      </c>
      <c r="E582" t="s">
        <v>14</v>
      </c>
      <c r="F582" t="s">
        <v>1903</v>
      </c>
      <c r="G582" s="9" t="s">
        <v>1904</v>
      </c>
      <c r="H582">
        <v>17760</v>
      </c>
      <c r="I582">
        <v>17760</v>
      </c>
      <c r="J582" s="21">
        <v>45383</v>
      </c>
      <c r="K582" s="7" t="s">
        <v>99</v>
      </c>
      <c r="L582" t="s">
        <v>68</v>
      </c>
      <c r="M582" t="s">
        <v>69</v>
      </c>
      <c r="O582">
        <v>0</v>
      </c>
      <c r="S582" t="str">
        <f>TEXT(Table1[[#This Row],[Date]],"MMM-YY")</f>
        <v>Apr-24</v>
      </c>
      <c r="T582">
        <f>_xlfn.ISOWEEKNUM(Table1[[#This Row],[Date]])</f>
        <v>17</v>
      </c>
      <c r="U582" t="str">
        <f>TEXT(Table1[[#This Row],[Expected Business Month]],"YYYY")</f>
        <v>2024</v>
      </c>
    </row>
    <row r="583" spans="1:21" ht="29.1" hidden="1">
      <c r="A583" s="1">
        <v>45406</v>
      </c>
      <c r="B583" t="s">
        <v>778</v>
      </c>
      <c r="C583" t="s">
        <v>63</v>
      </c>
      <c r="D583" t="s">
        <v>64</v>
      </c>
      <c r="E583" t="s">
        <v>26</v>
      </c>
      <c r="F583" t="s">
        <v>1905</v>
      </c>
      <c r="G583" s="9" t="s">
        <v>1906</v>
      </c>
      <c r="H583">
        <v>35000</v>
      </c>
      <c r="I583">
        <v>0</v>
      </c>
      <c r="J583" s="21">
        <v>45505</v>
      </c>
      <c r="K583" s="7" t="s">
        <v>99</v>
      </c>
      <c r="L583" t="s">
        <v>9</v>
      </c>
      <c r="M583" t="s">
        <v>9</v>
      </c>
      <c r="N583" t="s">
        <v>586</v>
      </c>
      <c r="O583">
        <v>0</v>
      </c>
      <c r="S583" t="str">
        <f>TEXT(Table1[[#This Row],[Date]],"MMM-YY")</f>
        <v>Apr-24</v>
      </c>
      <c r="T583">
        <f>_xlfn.ISOWEEKNUM(Table1[[#This Row],[Date]])</f>
        <v>17</v>
      </c>
      <c r="U583" t="str">
        <f>TEXT(Table1[[#This Row],[Expected Business Month]],"YYYY")</f>
        <v>2024</v>
      </c>
    </row>
    <row r="584" spans="1:21" ht="29.1" hidden="1">
      <c r="A584" s="1">
        <v>45406</v>
      </c>
      <c r="B584" t="s">
        <v>324</v>
      </c>
      <c r="C584" t="s">
        <v>63</v>
      </c>
      <c r="D584" t="s">
        <v>64</v>
      </c>
      <c r="E584" t="s">
        <v>38</v>
      </c>
      <c r="F584" t="s">
        <v>325</v>
      </c>
      <c r="G584" s="9" t="s">
        <v>1907</v>
      </c>
      <c r="H584">
        <v>40311</v>
      </c>
      <c r="I584">
        <v>40311</v>
      </c>
      <c r="J584" s="21">
        <v>45383</v>
      </c>
      <c r="K584" s="7" t="s">
        <v>99</v>
      </c>
      <c r="L584" t="s">
        <v>68</v>
      </c>
      <c r="M584" t="s">
        <v>69</v>
      </c>
      <c r="O584">
        <v>0</v>
      </c>
      <c r="S584" t="str">
        <f>TEXT(Table1[[#This Row],[Date]],"MMM-YY")</f>
        <v>Apr-24</v>
      </c>
      <c r="T584">
        <f>_xlfn.ISOWEEKNUM(Table1[[#This Row],[Date]])</f>
        <v>17</v>
      </c>
      <c r="U584" t="str">
        <f>TEXT(Table1[[#This Row],[Expected Business Month]],"YYYY")</f>
        <v>2024</v>
      </c>
    </row>
    <row r="585" spans="1:21" ht="29.1" hidden="1">
      <c r="A585" s="1">
        <v>45406</v>
      </c>
      <c r="B585" t="s">
        <v>1829</v>
      </c>
      <c r="C585" t="s">
        <v>63</v>
      </c>
      <c r="D585" t="s">
        <v>64</v>
      </c>
      <c r="E585" t="s">
        <v>14</v>
      </c>
      <c r="F585" t="s">
        <v>1908</v>
      </c>
      <c r="G585" s="9" t="s">
        <v>1909</v>
      </c>
      <c r="H585">
        <v>40000</v>
      </c>
      <c r="I585">
        <v>0</v>
      </c>
      <c r="J585" s="21">
        <v>45505</v>
      </c>
      <c r="K585" s="7" t="s">
        <v>99</v>
      </c>
      <c r="L585" t="s">
        <v>9</v>
      </c>
      <c r="M585" t="s">
        <v>9</v>
      </c>
      <c r="N585" t="s">
        <v>586</v>
      </c>
      <c r="O585">
        <v>0</v>
      </c>
      <c r="S585" t="str">
        <f>TEXT(Table1[[#This Row],[Date]],"MMM-YY")</f>
        <v>Apr-24</v>
      </c>
      <c r="T585">
        <f>_xlfn.ISOWEEKNUM(Table1[[#This Row],[Date]])</f>
        <v>17</v>
      </c>
      <c r="U585" t="str">
        <f>TEXT(Table1[[#This Row],[Expected Business Month]],"YYYY")</f>
        <v>2024</v>
      </c>
    </row>
    <row r="586" spans="1:21" hidden="1">
      <c r="A586" s="1">
        <v>45407</v>
      </c>
      <c r="B586" t="s">
        <v>1680</v>
      </c>
      <c r="C586" t="s">
        <v>96</v>
      </c>
      <c r="D586" t="s">
        <v>64</v>
      </c>
      <c r="E586" t="s">
        <v>38</v>
      </c>
      <c r="F586" t="s">
        <v>1186</v>
      </c>
      <c r="G586" s="39">
        <v>45407</v>
      </c>
      <c r="H586">
        <v>4604</v>
      </c>
      <c r="I586">
        <v>4604</v>
      </c>
      <c r="J586" s="21">
        <v>45383</v>
      </c>
      <c r="K586" s="7" t="s">
        <v>67</v>
      </c>
      <c r="L586" t="s">
        <v>68</v>
      </c>
      <c r="M586" t="s">
        <v>69</v>
      </c>
      <c r="O586">
        <v>4604</v>
      </c>
      <c r="S586" t="str">
        <f>TEXT(Table1[[#This Row],[Date]],"MMM-YY")</f>
        <v>Apr-24</v>
      </c>
      <c r="T586">
        <f>_xlfn.ISOWEEKNUM(Table1[[#This Row],[Date]])</f>
        <v>17</v>
      </c>
      <c r="U586" t="str">
        <f>TEXT(Table1[[#This Row],[Expected Business Month]],"YYYY")</f>
        <v>2024</v>
      </c>
    </row>
    <row r="587" spans="1:21" ht="29.1" hidden="1">
      <c r="A587" s="1">
        <v>45407</v>
      </c>
      <c r="B587" t="s">
        <v>1910</v>
      </c>
      <c r="C587" t="s">
        <v>96</v>
      </c>
      <c r="D587" t="s">
        <v>64</v>
      </c>
      <c r="E587" t="s">
        <v>25</v>
      </c>
      <c r="F587" t="s">
        <v>447</v>
      </c>
      <c r="G587" s="9" t="s">
        <v>1911</v>
      </c>
      <c r="H587">
        <v>9700</v>
      </c>
      <c r="I587">
        <v>9700</v>
      </c>
      <c r="J587" s="21">
        <v>45383</v>
      </c>
      <c r="K587" s="7" t="s">
        <v>67</v>
      </c>
      <c r="L587" t="s">
        <v>68</v>
      </c>
      <c r="M587" t="s">
        <v>69</v>
      </c>
      <c r="O587">
        <v>0</v>
      </c>
      <c r="S587" t="str">
        <f>TEXT(Table1[[#This Row],[Date]],"MMM-YY")</f>
        <v>Apr-24</v>
      </c>
      <c r="T587">
        <f>_xlfn.ISOWEEKNUM(Table1[[#This Row],[Date]])</f>
        <v>17</v>
      </c>
      <c r="U587" t="str">
        <f>TEXT(Table1[[#This Row],[Expected Business Month]],"YYYY")</f>
        <v>2024</v>
      </c>
    </row>
    <row r="588" spans="1:21" hidden="1">
      <c r="A588" s="1">
        <v>45407</v>
      </c>
      <c r="B588" t="s">
        <v>1912</v>
      </c>
      <c r="C588" t="s">
        <v>63</v>
      </c>
      <c r="D588" t="s">
        <v>64</v>
      </c>
      <c r="E588" t="s">
        <v>26</v>
      </c>
      <c r="F588" t="s">
        <v>1913</v>
      </c>
      <c r="G588" s="9" t="s">
        <v>1914</v>
      </c>
      <c r="H588">
        <v>20000</v>
      </c>
      <c r="I588">
        <v>0</v>
      </c>
      <c r="J588" s="21">
        <v>45505</v>
      </c>
      <c r="K588" s="7" t="s">
        <v>99</v>
      </c>
      <c r="L588" t="s">
        <v>9</v>
      </c>
      <c r="M588" t="s">
        <v>9</v>
      </c>
      <c r="N588" t="s">
        <v>586</v>
      </c>
      <c r="O588">
        <v>0</v>
      </c>
      <c r="S588" t="str">
        <f>TEXT(Table1[[#This Row],[Date]],"MMM-YY")</f>
        <v>Apr-24</v>
      </c>
      <c r="T588">
        <f>_xlfn.ISOWEEKNUM(Table1[[#This Row],[Date]])</f>
        <v>17</v>
      </c>
      <c r="U588" t="str">
        <f>TEXT(Table1[[#This Row],[Expected Business Month]],"YYYY")</f>
        <v>2024</v>
      </c>
    </row>
    <row r="589" spans="1:21" hidden="1">
      <c r="A589" s="1">
        <v>45407</v>
      </c>
      <c r="B589" t="s">
        <v>1915</v>
      </c>
      <c r="C589" t="s">
        <v>63</v>
      </c>
      <c r="D589" t="s">
        <v>64</v>
      </c>
      <c r="E589" t="s">
        <v>14</v>
      </c>
      <c r="F589" t="s">
        <v>1151</v>
      </c>
      <c r="G589" s="9" t="s">
        <v>1263</v>
      </c>
      <c r="H589">
        <v>15000</v>
      </c>
      <c r="I589">
        <v>0</v>
      </c>
      <c r="J589" s="21">
        <v>45505</v>
      </c>
      <c r="K589" s="7" t="s">
        <v>99</v>
      </c>
      <c r="L589" t="s">
        <v>9</v>
      </c>
      <c r="M589" t="s">
        <v>9</v>
      </c>
      <c r="N589" t="s">
        <v>586</v>
      </c>
      <c r="O589">
        <v>0</v>
      </c>
      <c r="S589" t="str">
        <f>TEXT(Table1[[#This Row],[Date]],"MMM-YY")</f>
        <v>Apr-24</v>
      </c>
      <c r="T589">
        <f>_xlfn.ISOWEEKNUM(Table1[[#This Row],[Date]])</f>
        <v>17</v>
      </c>
      <c r="U589" t="str">
        <f>TEXT(Table1[[#This Row],[Expected Business Month]],"YYYY")</f>
        <v>2024</v>
      </c>
    </row>
    <row r="590" spans="1:21" hidden="1">
      <c r="A590" s="1">
        <v>45407</v>
      </c>
      <c r="B590" t="s">
        <v>1916</v>
      </c>
      <c r="C590" t="s">
        <v>63</v>
      </c>
      <c r="D590" t="s">
        <v>64</v>
      </c>
      <c r="E590" t="s">
        <v>26</v>
      </c>
      <c r="F590" t="s">
        <v>1917</v>
      </c>
      <c r="G590" s="9" t="s">
        <v>1914</v>
      </c>
      <c r="H590">
        <v>20000</v>
      </c>
      <c r="I590">
        <v>0</v>
      </c>
      <c r="J590" s="21">
        <v>45505</v>
      </c>
      <c r="K590" s="7" t="s">
        <v>99</v>
      </c>
      <c r="L590" t="s">
        <v>9</v>
      </c>
      <c r="M590" t="s">
        <v>9</v>
      </c>
      <c r="N590" t="s">
        <v>586</v>
      </c>
      <c r="O590">
        <v>0</v>
      </c>
      <c r="S590" t="str">
        <f>TEXT(Table1[[#This Row],[Date]],"MMM-YY")</f>
        <v>Apr-24</v>
      </c>
      <c r="T590">
        <f>_xlfn.ISOWEEKNUM(Table1[[#This Row],[Date]])</f>
        <v>17</v>
      </c>
      <c r="U590" t="str">
        <f>TEXT(Table1[[#This Row],[Expected Business Month]],"YYYY")</f>
        <v>2024</v>
      </c>
    </row>
    <row r="591" spans="1:21" ht="29.1" hidden="1">
      <c r="A591" s="1">
        <v>45407</v>
      </c>
      <c r="B591" t="s">
        <v>1918</v>
      </c>
      <c r="C591" t="s">
        <v>63</v>
      </c>
      <c r="D591" t="s">
        <v>1919</v>
      </c>
      <c r="E591" t="s">
        <v>15</v>
      </c>
      <c r="F591" t="s">
        <v>1670</v>
      </c>
      <c r="G591" s="9" t="s">
        <v>1920</v>
      </c>
      <c r="H591">
        <v>30000</v>
      </c>
      <c r="I591">
        <v>0</v>
      </c>
      <c r="J591" s="21">
        <v>45505</v>
      </c>
      <c r="K591" s="7" t="s">
        <v>99</v>
      </c>
      <c r="L591" t="s">
        <v>9</v>
      </c>
      <c r="M591" t="s">
        <v>9</v>
      </c>
      <c r="N591" t="s">
        <v>586</v>
      </c>
      <c r="O591">
        <v>0</v>
      </c>
      <c r="S591" t="str">
        <f>TEXT(Table1[[#This Row],[Date]],"MMM-YY")</f>
        <v>Apr-24</v>
      </c>
      <c r="T591">
        <f>_xlfn.ISOWEEKNUM(Table1[[#This Row],[Date]])</f>
        <v>17</v>
      </c>
      <c r="U591" t="str">
        <f>TEXT(Table1[[#This Row],[Expected Business Month]],"YYYY")</f>
        <v>2024</v>
      </c>
    </row>
    <row r="592" spans="1:21" hidden="1">
      <c r="A592" s="1">
        <v>45407</v>
      </c>
      <c r="B592" t="s">
        <v>1921</v>
      </c>
      <c r="C592" t="s">
        <v>63</v>
      </c>
      <c r="D592" t="s">
        <v>64</v>
      </c>
      <c r="E592" t="s">
        <v>26</v>
      </c>
      <c r="F592" t="s">
        <v>1922</v>
      </c>
      <c r="G592" s="9" t="s">
        <v>1914</v>
      </c>
      <c r="H592">
        <v>20000</v>
      </c>
      <c r="I592">
        <v>0</v>
      </c>
      <c r="J592" s="21">
        <v>45505</v>
      </c>
      <c r="K592" s="7" t="s">
        <v>99</v>
      </c>
      <c r="L592" t="s">
        <v>9</v>
      </c>
      <c r="M592" t="s">
        <v>9</v>
      </c>
      <c r="N592" t="s">
        <v>586</v>
      </c>
      <c r="O592">
        <v>0</v>
      </c>
      <c r="S592" t="str">
        <f>TEXT(Table1[[#This Row],[Date]],"MMM-YY")</f>
        <v>Apr-24</v>
      </c>
      <c r="T592">
        <f>_xlfn.ISOWEEKNUM(Table1[[#This Row],[Date]])</f>
        <v>17</v>
      </c>
      <c r="U592" t="str">
        <f>TEXT(Table1[[#This Row],[Expected Business Month]],"YYYY")</f>
        <v>2024</v>
      </c>
    </row>
    <row r="593" spans="1:21" hidden="1">
      <c r="A593" s="1">
        <v>45408</v>
      </c>
      <c r="B593" t="s">
        <v>1680</v>
      </c>
      <c r="C593" t="s">
        <v>96</v>
      </c>
      <c r="D593" t="s">
        <v>64</v>
      </c>
      <c r="E593" t="s">
        <v>38</v>
      </c>
      <c r="F593" t="s">
        <v>1186</v>
      </c>
      <c r="G593" s="39">
        <v>45408</v>
      </c>
      <c r="H593">
        <v>4604</v>
      </c>
      <c r="I593">
        <v>4604</v>
      </c>
      <c r="J593" s="21">
        <v>45383</v>
      </c>
      <c r="K593" s="7" t="s">
        <v>67</v>
      </c>
      <c r="L593" t="s">
        <v>68</v>
      </c>
      <c r="M593" t="s">
        <v>69</v>
      </c>
      <c r="O593">
        <v>4604</v>
      </c>
      <c r="S593" t="str">
        <f>TEXT(Table1[[#This Row],[Date]],"MMM-YY")</f>
        <v>Apr-24</v>
      </c>
      <c r="T593">
        <f>_xlfn.ISOWEEKNUM(Table1[[#This Row],[Date]])</f>
        <v>17</v>
      </c>
      <c r="U593" t="str">
        <f>TEXT(Table1[[#This Row],[Expected Business Month]],"YYYY")</f>
        <v>2024</v>
      </c>
    </row>
    <row r="594" spans="1:21" hidden="1">
      <c r="A594" s="1">
        <v>45408</v>
      </c>
      <c r="B594" t="s">
        <v>330</v>
      </c>
      <c r="C594" t="s">
        <v>96</v>
      </c>
      <c r="D594" t="s">
        <v>20</v>
      </c>
      <c r="E594" t="s">
        <v>17</v>
      </c>
      <c r="F594" t="s">
        <v>1923</v>
      </c>
      <c r="G594" s="39" t="s">
        <v>1924</v>
      </c>
      <c r="H594">
        <v>10000</v>
      </c>
      <c r="I594">
        <v>0</v>
      </c>
      <c r="J594" s="21">
        <v>45413</v>
      </c>
      <c r="K594" s="7" t="s">
        <v>67</v>
      </c>
      <c r="L594" t="s">
        <v>9</v>
      </c>
      <c r="M594" t="s">
        <v>9</v>
      </c>
      <c r="N594" t="s">
        <v>707</v>
      </c>
      <c r="O594">
        <v>0</v>
      </c>
      <c r="S594" t="str">
        <f>TEXT(Table1[[#This Row],[Date]],"MMM-YY")</f>
        <v>Apr-24</v>
      </c>
      <c r="T594">
        <f>_xlfn.ISOWEEKNUM(Table1[[#This Row],[Date]])</f>
        <v>17</v>
      </c>
      <c r="U594" t="str">
        <f>TEXT(Table1[[#This Row],[Expected Business Month]],"YYYY")</f>
        <v>2024</v>
      </c>
    </row>
    <row r="595" spans="1:21" hidden="1">
      <c r="A595" s="1">
        <v>45408</v>
      </c>
      <c r="B595" t="s">
        <v>1925</v>
      </c>
      <c r="C595" t="s">
        <v>63</v>
      </c>
      <c r="D595" t="s">
        <v>64</v>
      </c>
      <c r="E595" t="s">
        <v>26</v>
      </c>
      <c r="F595" t="s">
        <v>1926</v>
      </c>
      <c r="G595" s="39" t="s">
        <v>1914</v>
      </c>
      <c r="H595">
        <v>15000</v>
      </c>
      <c r="I595">
        <v>0</v>
      </c>
      <c r="J595" s="21">
        <v>45505</v>
      </c>
      <c r="K595" s="7" t="s">
        <v>99</v>
      </c>
      <c r="L595" t="s">
        <v>9</v>
      </c>
      <c r="M595" t="s">
        <v>9</v>
      </c>
      <c r="N595" t="s">
        <v>586</v>
      </c>
      <c r="O595">
        <v>0</v>
      </c>
      <c r="S595" t="str">
        <f>TEXT(Table1[[#This Row],[Date]],"MMM-YY")</f>
        <v>Apr-24</v>
      </c>
      <c r="T595">
        <f>_xlfn.ISOWEEKNUM(Table1[[#This Row],[Date]])</f>
        <v>17</v>
      </c>
      <c r="U595" t="str">
        <f>TEXT(Table1[[#This Row],[Expected Business Month]],"YYYY")</f>
        <v>2024</v>
      </c>
    </row>
    <row r="596" spans="1:21" hidden="1">
      <c r="A596" s="1">
        <v>45408</v>
      </c>
      <c r="B596" t="s">
        <v>1927</v>
      </c>
      <c r="C596" t="s">
        <v>63</v>
      </c>
      <c r="D596" t="s">
        <v>64</v>
      </c>
      <c r="E596" t="s">
        <v>26</v>
      </c>
      <c r="F596" t="s">
        <v>1928</v>
      </c>
      <c r="G596" s="39" t="s">
        <v>1914</v>
      </c>
      <c r="H596">
        <v>25000</v>
      </c>
      <c r="I596">
        <v>0</v>
      </c>
      <c r="J596" s="21">
        <v>45505</v>
      </c>
      <c r="K596" s="7" t="s">
        <v>99</v>
      </c>
      <c r="L596" t="s">
        <v>9</v>
      </c>
      <c r="M596" t="s">
        <v>9</v>
      </c>
      <c r="N596" t="s">
        <v>586</v>
      </c>
      <c r="O596">
        <v>0</v>
      </c>
      <c r="S596" t="str">
        <f>TEXT(Table1[[#This Row],[Date]],"MMM-YY")</f>
        <v>Apr-24</v>
      </c>
      <c r="T596">
        <f>_xlfn.ISOWEEKNUM(Table1[[#This Row],[Date]])</f>
        <v>17</v>
      </c>
      <c r="U596" t="str">
        <f>TEXT(Table1[[#This Row],[Expected Business Month]],"YYYY")</f>
        <v>2024</v>
      </c>
    </row>
    <row r="597" spans="1:21" hidden="1">
      <c r="A597" s="1">
        <v>45408</v>
      </c>
      <c r="B597" t="s">
        <v>1929</v>
      </c>
      <c r="C597" t="s">
        <v>63</v>
      </c>
      <c r="D597" t="s">
        <v>64</v>
      </c>
      <c r="E597" t="s">
        <v>26</v>
      </c>
      <c r="F597" t="s">
        <v>1930</v>
      </c>
      <c r="G597" s="39" t="s">
        <v>1914</v>
      </c>
      <c r="H597">
        <v>20000</v>
      </c>
      <c r="I597">
        <v>0</v>
      </c>
      <c r="J597" s="21">
        <v>45505</v>
      </c>
      <c r="K597" s="7" t="s">
        <v>99</v>
      </c>
      <c r="L597" t="s">
        <v>9</v>
      </c>
      <c r="M597" t="s">
        <v>9</v>
      </c>
      <c r="N597" t="s">
        <v>586</v>
      </c>
      <c r="O597">
        <v>0</v>
      </c>
      <c r="S597" t="str">
        <f>TEXT(Table1[[#This Row],[Date]],"MMM-YY")</f>
        <v>Apr-24</v>
      </c>
      <c r="T597">
        <f>_xlfn.ISOWEEKNUM(Table1[[#This Row],[Date]])</f>
        <v>17</v>
      </c>
      <c r="U597" t="str">
        <f>TEXT(Table1[[#This Row],[Expected Business Month]],"YYYY")</f>
        <v>2024</v>
      </c>
    </row>
    <row r="598" spans="1:21" hidden="1">
      <c r="A598" s="1">
        <v>45409</v>
      </c>
      <c r="B598" t="s">
        <v>1680</v>
      </c>
      <c r="C598" t="s">
        <v>96</v>
      </c>
      <c r="D598" t="s">
        <v>64</v>
      </c>
      <c r="E598" t="s">
        <v>38</v>
      </c>
      <c r="F598" t="s">
        <v>1186</v>
      </c>
      <c r="G598" s="39">
        <v>45409</v>
      </c>
      <c r="H598">
        <v>6447</v>
      </c>
      <c r="I598">
        <v>6447</v>
      </c>
      <c r="J598" s="21">
        <v>45383</v>
      </c>
      <c r="K598" s="7" t="s">
        <v>67</v>
      </c>
      <c r="L598" t="s">
        <v>68</v>
      </c>
      <c r="M598" t="s">
        <v>69</v>
      </c>
      <c r="O598">
        <v>6447</v>
      </c>
      <c r="S598" t="str">
        <f>TEXT(Table1[[#This Row],[Date]],"MMM-YY")</f>
        <v>Apr-24</v>
      </c>
      <c r="T598">
        <f>_xlfn.ISOWEEKNUM(Table1[[#This Row],[Date]])</f>
        <v>17</v>
      </c>
      <c r="U598" t="str">
        <f>TEXT(Table1[[#This Row],[Expected Business Month]],"YYYY")</f>
        <v>2024</v>
      </c>
    </row>
    <row r="599" spans="1:21" ht="29.1" hidden="1">
      <c r="A599" s="1">
        <v>45409</v>
      </c>
      <c r="B599" t="s">
        <v>1931</v>
      </c>
      <c r="C599" t="s">
        <v>96</v>
      </c>
      <c r="D599" t="s">
        <v>20</v>
      </c>
      <c r="E599" t="s">
        <v>23</v>
      </c>
      <c r="F599" t="s">
        <v>1932</v>
      </c>
      <c r="G599" s="39" t="s">
        <v>1933</v>
      </c>
      <c r="H599">
        <v>23000</v>
      </c>
      <c r="I599">
        <v>0</v>
      </c>
      <c r="J599" s="21">
        <v>45383</v>
      </c>
      <c r="K599" s="7" t="s">
        <v>67</v>
      </c>
      <c r="L599" t="s">
        <v>9</v>
      </c>
      <c r="M599" t="s">
        <v>9</v>
      </c>
      <c r="N599" t="s">
        <v>586</v>
      </c>
      <c r="O599">
        <v>0</v>
      </c>
      <c r="S599" t="str">
        <f>TEXT(Table1[[#This Row],[Date]],"MMM-YY")</f>
        <v>Apr-24</v>
      </c>
      <c r="T599">
        <f>_xlfn.ISOWEEKNUM(Table1[[#This Row],[Date]])</f>
        <v>17</v>
      </c>
      <c r="U599" t="str">
        <f>TEXT(Table1[[#This Row],[Expected Business Month]],"YYYY")</f>
        <v>2024</v>
      </c>
    </row>
    <row r="600" spans="1:21" hidden="1">
      <c r="A600" s="1">
        <v>45410</v>
      </c>
      <c r="B600" t="s">
        <v>1680</v>
      </c>
      <c r="C600" t="s">
        <v>96</v>
      </c>
      <c r="D600" t="s">
        <v>64</v>
      </c>
      <c r="E600" t="s">
        <v>38</v>
      </c>
      <c r="F600" t="s">
        <v>1186</v>
      </c>
      <c r="G600" s="39">
        <v>45410</v>
      </c>
      <c r="H600">
        <v>6447</v>
      </c>
      <c r="I600">
        <v>6447</v>
      </c>
      <c r="J600" s="21">
        <v>45383</v>
      </c>
      <c r="K600" s="7" t="s">
        <v>67</v>
      </c>
      <c r="L600" t="s">
        <v>68</v>
      </c>
      <c r="M600" t="s">
        <v>69</v>
      </c>
      <c r="O600">
        <v>6447</v>
      </c>
      <c r="S600" t="str">
        <f>TEXT(Table1[[#This Row],[Date]],"MMM-YY")</f>
        <v>Apr-24</v>
      </c>
      <c r="T600">
        <f>_xlfn.ISOWEEKNUM(Table1[[#This Row],[Date]])</f>
        <v>17</v>
      </c>
      <c r="U600" t="str">
        <f>TEXT(Table1[[#This Row],[Expected Business Month]],"YYYY")</f>
        <v>2024</v>
      </c>
    </row>
    <row r="601" spans="1:21" hidden="1">
      <c r="A601" s="1">
        <v>45410</v>
      </c>
      <c r="B601" t="s">
        <v>1934</v>
      </c>
      <c r="C601" t="s">
        <v>96</v>
      </c>
      <c r="D601" t="s">
        <v>20</v>
      </c>
      <c r="E601" t="s">
        <v>23</v>
      </c>
      <c r="F601" t="s">
        <v>1935</v>
      </c>
      <c r="G601" s="39" t="s">
        <v>1936</v>
      </c>
      <c r="H601">
        <v>12500</v>
      </c>
      <c r="I601">
        <v>12500</v>
      </c>
      <c r="J601" s="21">
        <v>45413</v>
      </c>
      <c r="K601" s="7" t="s">
        <v>67</v>
      </c>
      <c r="L601" t="s">
        <v>68</v>
      </c>
      <c r="M601" t="s">
        <v>69</v>
      </c>
      <c r="O601">
        <v>0</v>
      </c>
      <c r="S601" t="str">
        <f>TEXT(Table1[[#This Row],[Date]],"MMM-YY")</f>
        <v>Apr-24</v>
      </c>
      <c r="T601">
        <f>_xlfn.ISOWEEKNUM(Table1[[#This Row],[Date]])</f>
        <v>17</v>
      </c>
      <c r="U601" t="str">
        <f>TEXT(Table1[[#This Row],[Expected Business Month]],"YYYY")</f>
        <v>2024</v>
      </c>
    </row>
    <row r="602" spans="1:21" hidden="1">
      <c r="A602" s="1">
        <v>45411</v>
      </c>
      <c r="B602" t="s">
        <v>1680</v>
      </c>
      <c r="C602" t="s">
        <v>96</v>
      </c>
      <c r="D602" t="s">
        <v>64</v>
      </c>
      <c r="E602" t="s">
        <v>38</v>
      </c>
      <c r="F602" t="s">
        <v>1186</v>
      </c>
      <c r="G602" s="39">
        <v>45411</v>
      </c>
      <c r="H602">
        <v>3684</v>
      </c>
      <c r="I602">
        <v>3684</v>
      </c>
      <c r="J602" s="21">
        <v>45383</v>
      </c>
      <c r="K602" s="7" t="s">
        <v>67</v>
      </c>
      <c r="L602" t="s">
        <v>68</v>
      </c>
      <c r="M602" t="s">
        <v>69</v>
      </c>
      <c r="O602">
        <v>3684</v>
      </c>
      <c r="S602" t="str">
        <f>TEXT(Table1[[#This Row],[Date]],"MMM-YY")</f>
        <v>Apr-24</v>
      </c>
      <c r="T602">
        <f>_xlfn.ISOWEEKNUM(Table1[[#This Row],[Date]])</f>
        <v>18</v>
      </c>
      <c r="U602" t="str">
        <f>TEXT(Table1[[#This Row],[Expected Business Month]],"YYYY")</f>
        <v>2024</v>
      </c>
    </row>
    <row r="603" spans="1:21" hidden="1">
      <c r="A603" s="1">
        <v>45411</v>
      </c>
      <c r="B603" t="s">
        <v>1902</v>
      </c>
      <c r="C603" t="s">
        <v>96</v>
      </c>
      <c r="D603" t="s">
        <v>64</v>
      </c>
      <c r="E603" t="s">
        <v>14</v>
      </c>
      <c r="F603" t="s">
        <v>1903</v>
      </c>
      <c r="G603" s="39" t="s">
        <v>1937</v>
      </c>
      <c r="H603">
        <v>17769</v>
      </c>
      <c r="I603">
        <v>17769</v>
      </c>
      <c r="J603" s="21">
        <v>45383</v>
      </c>
      <c r="K603" s="7" t="s">
        <v>99</v>
      </c>
      <c r="L603" t="s">
        <v>68</v>
      </c>
      <c r="M603" t="s">
        <v>69</v>
      </c>
      <c r="O603">
        <v>0</v>
      </c>
      <c r="S603" t="str">
        <f>TEXT(Table1[[#This Row],[Date]],"MMM-YY")</f>
        <v>Apr-24</v>
      </c>
      <c r="T603">
        <f>_xlfn.ISOWEEKNUM(Table1[[#This Row],[Date]])</f>
        <v>18</v>
      </c>
      <c r="U603" t="str">
        <f>TEXT(Table1[[#This Row],[Expected Business Month]],"YYYY")</f>
        <v>2024</v>
      </c>
    </row>
    <row r="604" spans="1:21" ht="29.1" hidden="1">
      <c r="A604" s="1">
        <v>45411</v>
      </c>
      <c r="B604" t="s">
        <v>1938</v>
      </c>
      <c r="C604" t="s">
        <v>63</v>
      </c>
      <c r="D604" t="s">
        <v>64</v>
      </c>
      <c r="E604" t="s">
        <v>14</v>
      </c>
      <c r="F604" t="s">
        <v>127</v>
      </c>
      <c r="G604" s="39" t="s">
        <v>1939</v>
      </c>
      <c r="H604">
        <v>15000</v>
      </c>
      <c r="I604">
        <v>0</v>
      </c>
      <c r="J604" s="21">
        <v>45474</v>
      </c>
      <c r="K604" s="7" t="s">
        <v>67</v>
      </c>
      <c r="L604" t="s">
        <v>9</v>
      </c>
      <c r="M604" t="s">
        <v>9</v>
      </c>
      <c r="N604" t="s">
        <v>707</v>
      </c>
      <c r="O604">
        <v>0</v>
      </c>
      <c r="S604" t="str">
        <f>TEXT(Table1[[#This Row],[Date]],"MMM-YY")</f>
        <v>Apr-24</v>
      </c>
      <c r="T604">
        <f>_xlfn.ISOWEEKNUM(Table1[[#This Row],[Date]])</f>
        <v>18</v>
      </c>
      <c r="U604" t="str">
        <f>TEXT(Table1[[#This Row],[Expected Business Month]],"YYYY")</f>
        <v>2024</v>
      </c>
    </row>
    <row r="605" spans="1:21" hidden="1">
      <c r="A605" s="1">
        <v>45411</v>
      </c>
      <c r="B605" t="s">
        <v>1940</v>
      </c>
      <c r="C605" t="s">
        <v>96</v>
      </c>
      <c r="D605" t="s">
        <v>20</v>
      </c>
      <c r="E605" t="s">
        <v>23</v>
      </c>
      <c r="F605" t="s">
        <v>1174</v>
      </c>
      <c r="G605" s="39" t="s">
        <v>1936</v>
      </c>
      <c r="H605">
        <v>12000</v>
      </c>
      <c r="I605">
        <v>0</v>
      </c>
      <c r="J605" s="21">
        <v>45413</v>
      </c>
      <c r="K605" s="7" t="s">
        <v>67</v>
      </c>
      <c r="L605" t="s">
        <v>9</v>
      </c>
      <c r="M605" t="s">
        <v>9</v>
      </c>
      <c r="N605" t="s">
        <v>602</v>
      </c>
      <c r="O605">
        <v>0</v>
      </c>
      <c r="S605" t="str">
        <f>TEXT(Table1[[#This Row],[Date]],"MMM-YY")</f>
        <v>Apr-24</v>
      </c>
      <c r="T605">
        <f>_xlfn.ISOWEEKNUM(Table1[[#This Row],[Date]])</f>
        <v>18</v>
      </c>
      <c r="U605" t="str">
        <f>TEXT(Table1[[#This Row],[Expected Business Month]],"YYYY")</f>
        <v>2024</v>
      </c>
    </row>
    <row r="606" spans="1:21" hidden="1">
      <c r="A606" s="1">
        <v>45411</v>
      </c>
      <c r="B606" t="s">
        <v>1164</v>
      </c>
      <c r="C606" t="s">
        <v>63</v>
      </c>
      <c r="D606" t="s">
        <v>64</v>
      </c>
      <c r="E606" t="s">
        <v>13</v>
      </c>
      <c r="F606" t="s">
        <v>1941</v>
      </c>
      <c r="G606" s="39" t="s">
        <v>1942</v>
      </c>
      <c r="H606">
        <v>15000</v>
      </c>
      <c r="I606">
        <v>0</v>
      </c>
      <c r="J606" s="21">
        <v>45505</v>
      </c>
      <c r="K606" s="7" t="s">
        <v>67</v>
      </c>
      <c r="L606" t="s">
        <v>9</v>
      </c>
      <c r="M606" t="s">
        <v>9</v>
      </c>
      <c r="N606" t="s">
        <v>586</v>
      </c>
      <c r="O606">
        <v>0</v>
      </c>
      <c r="S606" t="str">
        <f>TEXT(Table1[[#This Row],[Date]],"MMM-YY")</f>
        <v>Apr-24</v>
      </c>
      <c r="T606">
        <f>_xlfn.ISOWEEKNUM(Table1[[#This Row],[Date]])</f>
        <v>18</v>
      </c>
      <c r="U606" t="str">
        <f>TEXT(Table1[[#This Row],[Expected Business Month]],"YYYY")</f>
        <v>2024</v>
      </c>
    </row>
    <row r="607" spans="1:21" hidden="1">
      <c r="A607" s="1">
        <v>45411</v>
      </c>
      <c r="B607" t="s">
        <v>1943</v>
      </c>
      <c r="C607" t="s">
        <v>63</v>
      </c>
      <c r="D607" t="s">
        <v>64</v>
      </c>
      <c r="E607" t="s">
        <v>26</v>
      </c>
      <c r="F607" t="s">
        <v>637</v>
      </c>
      <c r="G607" s="39" t="s">
        <v>293</v>
      </c>
      <c r="H607">
        <v>14000</v>
      </c>
      <c r="I607">
        <v>0</v>
      </c>
      <c r="J607" s="21">
        <v>45505</v>
      </c>
      <c r="K607" s="7" t="s">
        <v>67</v>
      </c>
      <c r="L607" t="s">
        <v>9</v>
      </c>
      <c r="M607" t="s">
        <v>9</v>
      </c>
      <c r="N607" t="s">
        <v>586</v>
      </c>
      <c r="O607">
        <v>0</v>
      </c>
      <c r="S607" t="str">
        <f>TEXT(Table1[[#This Row],[Date]],"MMM-YY")</f>
        <v>Apr-24</v>
      </c>
      <c r="T607">
        <f>_xlfn.ISOWEEKNUM(Table1[[#This Row],[Date]])</f>
        <v>18</v>
      </c>
      <c r="U607" t="str">
        <f>TEXT(Table1[[#This Row],[Expected Business Month]],"YYYY")</f>
        <v>2024</v>
      </c>
    </row>
    <row r="608" spans="1:21" hidden="1">
      <c r="A608" s="1">
        <v>45412</v>
      </c>
      <c r="B608" t="s">
        <v>1680</v>
      </c>
      <c r="C608" t="s">
        <v>96</v>
      </c>
      <c r="D608" t="s">
        <v>64</v>
      </c>
      <c r="E608" t="s">
        <v>38</v>
      </c>
      <c r="F608" t="s">
        <v>1186</v>
      </c>
      <c r="G608" s="39">
        <v>45412</v>
      </c>
      <c r="H608">
        <v>3684</v>
      </c>
      <c r="I608">
        <v>3684</v>
      </c>
      <c r="J608" s="21">
        <v>45383</v>
      </c>
      <c r="K608" s="7" t="s">
        <v>67</v>
      </c>
      <c r="L608" t="s">
        <v>68</v>
      </c>
      <c r="M608" t="s">
        <v>69</v>
      </c>
      <c r="O608">
        <v>3684</v>
      </c>
      <c r="S608" t="str">
        <f>TEXT(Table1[[#This Row],[Date]],"MMM-YY")</f>
        <v>Apr-24</v>
      </c>
      <c r="T608">
        <f>_xlfn.ISOWEEKNUM(Table1[[#This Row],[Date]])</f>
        <v>18</v>
      </c>
      <c r="U608" t="str">
        <f>TEXT(Table1[[#This Row],[Expected Business Month]],"YYYY")</f>
        <v>2024</v>
      </c>
    </row>
    <row r="609" spans="1:21" hidden="1">
      <c r="A609" s="1">
        <v>45412</v>
      </c>
      <c r="B609" t="s">
        <v>1944</v>
      </c>
      <c r="C609" t="s">
        <v>63</v>
      </c>
      <c r="D609" t="s">
        <v>64</v>
      </c>
      <c r="E609" t="s">
        <v>26</v>
      </c>
      <c r="F609" t="s">
        <v>1945</v>
      </c>
      <c r="G609" s="9" t="s">
        <v>1946</v>
      </c>
      <c r="H609">
        <v>12000</v>
      </c>
      <c r="I609">
        <v>0</v>
      </c>
      <c r="J609" s="21">
        <v>45505</v>
      </c>
      <c r="K609" s="7" t="s">
        <v>67</v>
      </c>
      <c r="L609" t="s">
        <v>9</v>
      </c>
      <c r="M609" t="s">
        <v>9</v>
      </c>
      <c r="N609" t="s">
        <v>586</v>
      </c>
      <c r="O609">
        <v>0</v>
      </c>
      <c r="S609" t="str">
        <f>TEXT(Table1[[#This Row],[Date]],"MMM-YY")</f>
        <v>Apr-24</v>
      </c>
      <c r="T609">
        <f>_xlfn.ISOWEEKNUM(Table1[[#This Row],[Date]])</f>
        <v>18</v>
      </c>
      <c r="U609" t="str">
        <f>TEXT(Table1[[#This Row],[Expected Business Month]],"YYYY")</f>
        <v>2024</v>
      </c>
    </row>
    <row r="610" spans="1:21" hidden="1">
      <c r="A610" s="1">
        <v>45412</v>
      </c>
      <c r="B610" t="s">
        <v>1947</v>
      </c>
      <c r="C610" t="s">
        <v>63</v>
      </c>
      <c r="D610" t="s">
        <v>64</v>
      </c>
      <c r="E610" t="s">
        <v>26</v>
      </c>
      <c r="F610" t="s">
        <v>1948</v>
      </c>
      <c r="G610" s="9" t="s">
        <v>1860</v>
      </c>
      <c r="H610">
        <v>15000</v>
      </c>
      <c r="I610">
        <v>0</v>
      </c>
      <c r="J610" s="21">
        <v>45505</v>
      </c>
      <c r="K610" s="7" t="s">
        <v>67</v>
      </c>
      <c r="L610" t="s">
        <v>9</v>
      </c>
      <c r="M610" t="s">
        <v>9</v>
      </c>
      <c r="N610" t="s">
        <v>586</v>
      </c>
      <c r="O610">
        <v>0</v>
      </c>
      <c r="S610" t="str">
        <f>TEXT(Table1[[#This Row],[Date]],"MMM-YY")</f>
        <v>Apr-24</v>
      </c>
      <c r="T610">
        <f>_xlfn.ISOWEEKNUM(Table1[[#This Row],[Date]])</f>
        <v>18</v>
      </c>
      <c r="U610" t="str">
        <f>TEXT(Table1[[#This Row],[Expected Business Month]],"YYYY")</f>
        <v>2024</v>
      </c>
    </row>
    <row r="611" spans="1:21" hidden="1">
      <c r="A611" s="1">
        <v>45413</v>
      </c>
      <c r="B611" t="s">
        <v>1949</v>
      </c>
      <c r="C611" t="s">
        <v>96</v>
      </c>
      <c r="D611" t="s">
        <v>64</v>
      </c>
      <c r="E611" t="s">
        <v>25</v>
      </c>
      <c r="F611" t="s">
        <v>1237</v>
      </c>
      <c r="G611" s="9" t="s">
        <v>1950</v>
      </c>
      <c r="H611">
        <v>10000</v>
      </c>
      <c r="I611">
        <v>10000</v>
      </c>
      <c r="J611" s="21">
        <v>45413</v>
      </c>
      <c r="K611" s="7" t="s">
        <v>67</v>
      </c>
      <c r="L611" t="s">
        <v>68</v>
      </c>
      <c r="M611" t="s">
        <v>69</v>
      </c>
      <c r="O611">
        <v>0</v>
      </c>
      <c r="S611" t="str">
        <f>TEXT(Table1[[#This Row],[Date]],"MMM-YY")</f>
        <v>May-24</v>
      </c>
      <c r="T611">
        <f>_xlfn.ISOWEEKNUM(Table1[[#This Row],[Date]])</f>
        <v>18</v>
      </c>
      <c r="U611" t="str">
        <f>TEXT(Table1[[#This Row],[Expected Business Month]],"YYYY")</f>
        <v>2024</v>
      </c>
    </row>
    <row r="612" spans="1:21" hidden="1">
      <c r="A612" s="1">
        <v>45414</v>
      </c>
      <c r="B612" t="s">
        <v>1951</v>
      </c>
      <c r="C612" t="s">
        <v>96</v>
      </c>
      <c r="D612" t="s">
        <v>20</v>
      </c>
      <c r="E612" t="s">
        <v>23</v>
      </c>
      <c r="F612" t="s">
        <v>1935</v>
      </c>
      <c r="G612" s="9" t="s">
        <v>1952</v>
      </c>
      <c r="H612">
        <v>9000</v>
      </c>
      <c r="I612">
        <v>9000</v>
      </c>
      <c r="J612" s="21">
        <v>45413</v>
      </c>
      <c r="K612" s="7" t="s">
        <v>67</v>
      </c>
      <c r="L612" t="s">
        <v>68</v>
      </c>
      <c r="M612" t="s">
        <v>69</v>
      </c>
      <c r="O612">
        <v>0</v>
      </c>
      <c r="S612" t="str">
        <f>TEXT(Table1[[#This Row],[Date]],"MMM-YY")</f>
        <v>May-24</v>
      </c>
      <c r="T612">
        <f>_xlfn.ISOWEEKNUM(Table1[[#This Row],[Date]])</f>
        <v>18</v>
      </c>
      <c r="U612" t="str">
        <f>TEXT(Table1[[#This Row],[Expected Business Month]],"YYYY")</f>
        <v>2024</v>
      </c>
    </row>
    <row r="613" spans="1:21" hidden="1">
      <c r="A613" s="1">
        <v>45414</v>
      </c>
      <c r="B613" t="s">
        <v>1953</v>
      </c>
      <c r="C613" t="s">
        <v>63</v>
      </c>
      <c r="D613" t="s">
        <v>64</v>
      </c>
      <c r="E613" t="s">
        <v>10</v>
      </c>
      <c r="F613" t="s">
        <v>1954</v>
      </c>
      <c r="G613" s="9" t="s">
        <v>1955</v>
      </c>
      <c r="H613">
        <v>18000</v>
      </c>
      <c r="I613">
        <v>0</v>
      </c>
      <c r="J613" s="21">
        <v>45505</v>
      </c>
      <c r="K613" s="7" t="s">
        <v>67</v>
      </c>
      <c r="L613" t="s">
        <v>9</v>
      </c>
      <c r="M613" t="s">
        <v>9</v>
      </c>
      <c r="N613" t="s">
        <v>586</v>
      </c>
      <c r="O613">
        <v>0</v>
      </c>
      <c r="S613" t="str">
        <f>TEXT(Table1[[#This Row],[Date]],"MMM-YY")</f>
        <v>May-24</v>
      </c>
      <c r="T613">
        <f>_xlfn.ISOWEEKNUM(Table1[[#This Row],[Date]])</f>
        <v>18</v>
      </c>
      <c r="U613" t="str">
        <f>TEXT(Table1[[#This Row],[Expected Business Month]],"YYYY")</f>
        <v>2024</v>
      </c>
    </row>
    <row r="614" spans="1:21" hidden="1">
      <c r="A614" s="1">
        <v>45414</v>
      </c>
      <c r="B614" t="s">
        <v>1100</v>
      </c>
      <c r="C614" t="s">
        <v>63</v>
      </c>
      <c r="D614" t="s">
        <v>618</v>
      </c>
      <c r="E614" t="s">
        <v>18</v>
      </c>
      <c r="F614" t="s">
        <v>950</v>
      </c>
      <c r="G614" s="9" t="s">
        <v>1857</v>
      </c>
      <c r="H614">
        <v>12000</v>
      </c>
      <c r="I614">
        <v>0</v>
      </c>
      <c r="J614" s="21">
        <v>45505</v>
      </c>
      <c r="K614" s="7" t="s">
        <v>67</v>
      </c>
      <c r="L614" t="s">
        <v>9</v>
      </c>
      <c r="M614" t="s">
        <v>9</v>
      </c>
      <c r="N614" t="s">
        <v>586</v>
      </c>
      <c r="O614">
        <v>0</v>
      </c>
      <c r="S614" t="str">
        <f>TEXT(Table1[[#This Row],[Date]],"MMM-YY")</f>
        <v>May-24</v>
      </c>
      <c r="T614">
        <f>_xlfn.ISOWEEKNUM(Table1[[#This Row],[Date]])</f>
        <v>18</v>
      </c>
      <c r="U614" t="str">
        <f>TEXT(Table1[[#This Row],[Expected Business Month]],"YYYY")</f>
        <v>2024</v>
      </c>
    </row>
    <row r="615" spans="1:21" hidden="1">
      <c r="A615" s="1">
        <v>45414</v>
      </c>
      <c r="B615" t="s">
        <v>1956</v>
      </c>
      <c r="C615" t="s">
        <v>63</v>
      </c>
      <c r="D615" t="s">
        <v>64</v>
      </c>
      <c r="E615" t="s">
        <v>26</v>
      </c>
      <c r="F615" t="s">
        <v>1824</v>
      </c>
      <c r="G615" s="9" t="s">
        <v>1857</v>
      </c>
      <c r="H615">
        <v>15000</v>
      </c>
      <c r="I615">
        <v>0</v>
      </c>
      <c r="J615" s="21">
        <v>45505</v>
      </c>
      <c r="K615" s="7" t="s">
        <v>67</v>
      </c>
      <c r="L615" t="s">
        <v>9</v>
      </c>
      <c r="M615" t="s">
        <v>9</v>
      </c>
      <c r="N615" t="s">
        <v>586</v>
      </c>
      <c r="O615">
        <v>0</v>
      </c>
      <c r="S615" t="str">
        <f>TEXT(Table1[[#This Row],[Date]],"MMM-YY")</f>
        <v>May-24</v>
      </c>
      <c r="T615">
        <f>_xlfn.ISOWEEKNUM(Table1[[#This Row],[Date]])</f>
        <v>18</v>
      </c>
      <c r="U615" t="str">
        <f>TEXT(Table1[[#This Row],[Expected Business Month]],"YYYY")</f>
        <v>2024</v>
      </c>
    </row>
    <row r="616" spans="1:21" hidden="1">
      <c r="A616" s="1">
        <v>45415</v>
      </c>
      <c r="B616" t="s">
        <v>1957</v>
      </c>
      <c r="C616" t="s">
        <v>96</v>
      </c>
      <c r="D616" t="s">
        <v>20</v>
      </c>
      <c r="E616" t="s">
        <v>23</v>
      </c>
      <c r="F616" t="s">
        <v>214</v>
      </c>
      <c r="G616" s="9" t="s">
        <v>1958</v>
      </c>
      <c r="H616">
        <v>5000</v>
      </c>
      <c r="I616">
        <v>5000</v>
      </c>
      <c r="J616" s="21">
        <v>45413</v>
      </c>
      <c r="K616" s="7" t="s">
        <v>99</v>
      </c>
      <c r="L616" t="s">
        <v>68</v>
      </c>
      <c r="M616" t="s">
        <v>69</v>
      </c>
      <c r="O616">
        <v>0</v>
      </c>
      <c r="S616" t="str">
        <f>TEXT(Table1[[#This Row],[Date]],"MMM-YY")</f>
        <v>May-24</v>
      </c>
      <c r="T616">
        <f>_xlfn.ISOWEEKNUM(Table1[[#This Row],[Date]])</f>
        <v>18</v>
      </c>
      <c r="U616" t="str">
        <f>TEXT(Table1[[#This Row],[Expected Business Month]],"YYYY")</f>
        <v>2024</v>
      </c>
    </row>
    <row r="617" spans="1:21" hidden="1">
      <c r="A617" s="1">
        <v>45415</v>
      </c>
      <c r="B617" t="s">
        <v>1959</v>
      </c>
      <c r="C617" t="s">
        <v>63</v>
      </c>
      <c r="D617" t="s">
        <v>64</v>
      </c>
      <c r="E617" t="s">
        <v>26</v>
      </c>
      <c r="F617" t="s">
        <v>1960</v>
      </c>
      <c r="G617" s="9" t="s">
        <v>1857</v>
      </c>
      <c r="H617">
        <v>10000</v>
      </c>
      <c r="I617">
        <v>0</v>
      </c>
      <c r="J617" s="21">
        <v>45505</v>
      </c>
      <c r="K617" s="7" t="s">
        <v>67</v>
      </c>
      <c r="L617" t="s">
        <v>9</v>
      </c>
      <c r="M617" t="s">
        <v>9</v>
      </c>
      <c r="N617" t="s">
        <v>586</v>
      </c>
      <c r="O617">
        <v>0</v>
      </c>
      <c r="S617" t="str">
        <f>TEXT(Table1[[#This Row],[Date]],"MMM-YY")</f>
        <v>May-24</v>
      </c>
      <c r="T617">
        <f>_xlfn.ISOWEEKNUM(Table1[[#This Row],[Date]])</f>
        <v>18</v>
      </c>
      <c r="U617" t="str">
        <f>TEXT(Table1[[#This Row],[Expected Business Month]],"YYYY")</f>
        <v>2024</v>
      </c>
    </row>
    <row r="618" spans="1:21" hidden="1">
      <c r="A618" s="1">
        <v>45415</v>
      </c>
      <c r="B618" t="s">
        <v>1961</v>
      </c>
      <c r="C618" t="s">
        <v>63</v>
      </c>
      <c r="D618" t="s">
        <v>618</v>
      </c>
      <c r="E618" t="s">
        <v>18</v>
      </c>
      <c r="F618" t="s">
        <v>1962</v>
      </c>
      <c r="G618" s="9" t="s">
        <v>1963</v>
      </c>
      <c r="H618">
        <v>12000</v>
      </c>
      <c r="I618">
        <v>0</v>
      </c>
      <c r="J618" s="21">
        <v>45505</v>
      </c>
      <c r="K618" s="7" t="s">
        <v>67</v>
      </c>
      <c r="L618" t="s">
        <v>9</v>
      </c>
      <c r="M618" t="s">
        <v>9</v>
      </c>
      <c r="N618" t="s">
        <v>586</v>
      </c>
      <c r="O618">
        <v>0</v>
      </c>
      <c r="S618" t="str">
        <f>TEXT(Table1[[#This Row],[Date]],"MMM-YY")</f>
        <v>May-24</v>
      </c>
      <c r="T618">
        <f>_xlfn.ISOWEEKNUM(Table1[[#This Row],[Date]])</f>
        <v>18</v>
      </c>
      <c r="U618" t="str">
        <f>TEXT(Table1[[#This Row],[Expected Business Month]],"YYYY")</f>
        <v>2024</v>
      </c>
    </row>
    <row r="619" spans="1:21" hidden="1">
      <c r="A619" s="1">
        <v>45415</v>
      </c>
      <c r="B619" t="s">
        <v>1964</v>
      </c>
      <c r="C619" t="s">
        <v>63</v>
      </c>
      <c r="D619" t="s">
        <v>618</v>
      </c>
      <c r="E619" t="s">
        <v>18</v>
      </c>
      <c r="F619" t="s">
        <v>214</v>
      </c>
      <c r="G619" s="9" t="s">
        <v>1963</v>
      </c>
      <c r="H619">
        <v>15000</v>
      </c>
      <c r="I619">
        <v>0</v>
      </c>
      <c r="J619" s="21">
        <v>45505</v>
      </c>
      <c r="K619" s="7" t="s">
        <v>67</v>
      </c>
      <c r="L619" t="s">
        <v>9</v>
      </c>
      <c r="M619" t="s">
        <v>9</v>
      </c>
      <c r="N619" t="s">
        <v>586</v>
      </c>
      <c r="O619">
        <v>0</v>
      </c>
      <c r="S619" t="str">
        <f>TEXT(Table1[[#This Row],[Date]],"MMM-YY")</f>
        <v>May-24</v>
      </c>
      <c r="T619">
        <f>_xlfn.ISOWEEKNUM(Table1[[#This Row],[Date]])</f>
        <v>18</v>
      </c>
      <c r="U619" t="str">
        <f>TEXT(Table1[[#This Row],[Expected Business Month]],"YYYY")</f>
        <v>2024</v>
      </c>
    </row>
    <row r="620" spans="1:21" hidden="1">
      <c r="A620" s="1">
        <v>45415</v>
      </c>
      <c r="B620" t="s">
        <v>1965</v>
      </c>
      <c r="C620" t="s">
        <v>63</v>
      </c>
      <c r="D620" t="s">
        <v>64</v>
      </c>
      <c r="E620" t="s">
        <v>26</v>
      </c>
      <c r="F620" t="s">
        <v>73</v>
      </c>
      <c r="G620" s="9" t="s">
        <v>1860</v>
      </c>
      <c r="H620">
        <v>15000</v>
      </c>
      <c r="I620">
        <v>0</v>
      </c>
      <c r="J620" s="21">
        <v>45505</v>
      </c>
      <c r="K620" s="7" t="s">
        <v>67</v>
      </c>
      <c r="L620" t="s">
        <v>9</v>
      </c>
      <c r="M620" t="s">
        <v>9</v>
      </c>
      <c r="N620" t="s">
        <v>586</v>
      </c>
      <c r="O620">
        <v>0</v>
      </c>
      <c r="S620" t="str">
        <f>TEXT(Table1[[#This Row],[Date]],"MMM-YY")</f>
        <v>May-24</v>
      </c>
      <c r="T620">
        <f>_xlfn.ISOWEEKNUM(Table1[[#This Row],[Date]])</f>
        <v>18</v>
      </c>
      <c r="U620" t="str">
        <f>TEXT(Table1[[#This Row],[Expected Business Month]],"YYYY")</f>
        <v>2024</v>
      </c>
    </row>
    <row r="621" spans="1:21" ht="29.1" hidden="1">
      <c r="A621" s="1">
        <v>45416</v>
      </c>
      <c r="B621" t="s">
        <v>1194</v>
      </c>
      <c r="C621" t="s">
        <v>96</v>
      </c>
      <c r="D621" t="s">
        <v>20</v>
      </c>
      <c r="E621" t="s">
        <v>23</v>
      </c>
      <c r="F621" t="s">
        <v>1966</v>
      </c>
      <c r="G621" s="9" t="s">
        <v>1967</v>
      </c>
      <c r="H621">
        <v>33000</v>
      </c>
      <c r="I621">
        <v>33000</v>
      </c>
      <c r="J621" s="21">
        <v>45413</v>
      </c>
      <c r="K621" s="7" t="s">
        <v>67</v>
      </c>
      <c r="L621" t="s">
        <v>68</v>
      </c>
      <c r="M621" t="s">
        <v>69</v>
      </c>
      <c r="O621">
        <v>0</v>
      </c>
      <c r="S621" t="str">
        <f>TEXT(Table1[[#This Row],[Date]],"MMM-YY")</f>
        <v>May-24</v>
      </c>
      <c r="T621">
        <f>_xlfn.ISOWEEKNUM(Table1[[#This Row],[Date]])</f>
        <v>18</v>
      </c>
      <c r="U621" t="str">
        <f>TEXT(Table1[[#This Row],[Expected Business Month]],"YYYY")</f>
        <v>2024</v>
      </c>
    </row>
    <row r="622" spans="1:21" hidden="1">
      <c r="A622" s="1">
        <v>45417</v>
      </c>
      <c r="B622" t="s">
        <v>1968</v>
      </c>
      <c r="C622" t="s">
        <v>96</v>
      </c>
      <c r="D622" t="s">
        <v>20</v>
      </c>
      <c r="E622" t="s">
        <v>23</v>
      </c>
      <c r="F622" t="s">
        <v>1969</v>
      </c>
      <c r="G622" s="9" t="s">
        <v>1970</v>
      </c>
      <c r="H622">
        <v>5500</v>
      </c>
      <c r="I622">
        <v>5500</v>
      </c>
      <c r="J622" s="21">
        <v>45413</v>
      </c>
      <c r="K622" s="7" t="s">
        <v>67</v>
      </c>
      <c r="L622" t="s">
        <v>68</v>
      </c>
      <c r="M622" t="s">
        <v>69</v>
      </c>
      <c r="O622">
        <v>0</v>
      </c>
      <c r="S622" t="str">
        <f>TEXT(Table1[[#This Row],[Date]],"MMM-YY")</f>
        <v>May-24</v>
      </c>
      <c r="T622">
        <f>_xlfn.ISOWEEKNUM(Table1[[#This Row],[Date]])</f>
        <v>18</v>
      </c>
      <c r="U622" t="str">
        <f>TEXT(Table1[[#This Row],[Expected Business Month]],"YYYY")</f>
        <v>2024</v>
      </c>
    </row>
    <row r="623" spans="1:21" hidden="1">
      <c r="A623" s="1">
        <v>45418</v>
      </c>
      <c r="B623" t="s">
        <v>1971</v>
      </c>
      <c r="C623" t="s">
        <v>63</v>
      </c>
      <c r="D623" t="s">
        <v>64</v>
      </c>
      <c r="E623" t="s">
        <v>25</v>
      </c>
      <c r="F623" t="s">
        <v>1972</v>
      </c>
      <c r="G623" s="9" t="s">
        <v>1973</v>
      </c>
      <c r="H623">
        <v>9000</v>
      </c>
      <c r="I623">
        <v>9000</v>
      </c>
      <c r="J623" s="21">
        <v>45413</v>
      </c>
      <c r="K623" s="7" t="s">
        <v>67</v>
      </c>
      <c r="L623" t="s">
        <v>68</v>
      </c>
      <c r="M623" t="s">
        <v>69</v>
      </c>
      <c r="O623">
        <v>0</v>
      </c>
      <c r="S623" t="str">
        <f>TEXT(Table1[[#This Row],[Date]],"MMM-YY")</f>
        <v>May-24</v>
      </c>
      <c r="T623">
        <f>_xlfn.ISOWEEKNUM(Table1[[#This Row],[Date]])</f>
        <v>19</v>
      </c>
      <c r="U623" t="str">
        <f>TEXT(Table1[[#This Row],[Expected Business Month]],"YYYY")</f>
        <v>2024</v>
      </c>
    </row>
    <row r="624" spans="1:21" hidden="1">
      <c r="A624" s="1">
        <v>45418</v>
      </c>
      <c r="B624" t="s">
        <v>1974</v>
      </c>
      <c r="C624" t="s">
        <v>96</v>
      </c>
      <c r="D624" t="s">
        <v>20</v>
      </c>
      <c r="E624" t="s">
        <v>23</v>
      </c>
      <c r="F624" t="s">
        <v>1975</v>
      </c>
      <c r="G624" s="9" t="s">
        <v>1976</v>
      </c>
      <c r="H624">
        <v>7000</v>
      </c>
      <c r="I624">
        <v>7000</v>
      </c>
      <c r="J624" s="21">
        <v>45413</v>
      </c>
      <c r="K624" s="7" t="s">
        <v>99</v>
      </c>
      <c r="L624" t="s">
        <v>68</v>
      </c>
      <c r="M624" t="s">
        <v>69</v>
      </c>
      <c r="O624">
        <v>0</v>
      </c>
      <c r="S624" t="str">
        <f>TEXT(Table1[[#This Row],[Date]],"MMM-YY")</f>
        <v>May-24</v>
      </c>
      <c r="T624">
        <f>_xlfn.ISOWEEKNUM(Table1[[#This Row],[Date]])</f>
        <v>19</v>
      </c>
      <c r="U624" t="str">
        <f>TEXT(Table1[[#This Row],[Expected Business Month]],"YYYY")</f>
        <v>2024</v>
      </c>
    </row>
    <row r="625" spans="1:21" hidden="1">
      <c r="A625" s="1">
        <v>45418</v>
      </c>
      <c r="B625" t="s">
        <v>1977</v>
      </c>
      <c r="C625" t="s">
        <v>96</v>
      </c>
      <c r="D625" t="s">
        <v>20</v>
      </c>
      <c r="E625" t="s">
        <v>23</v>
      </c>
      <c r="F625" t="s">
        <v>1978</v>
      </c>
      <c r="G625" s="9" t="s">
        <v>1979</v>
      </c>
      <c r="H625">
        <v>12500</v>
      </c>
      <c r="I625">
        <v>0</v>
      </c>
      <c r="J625" s="21">
        <v>45413</v>
      </c>
      <c r="K625" s="7" t="s">
        <v>67</v>
      </c>
      <c r="L625" t="s">
        <v>9</v>
      </c>
      <c r="M625" t="s">
        <v>9</v>
      </c>
      <c r="N625" t="s">
        <v>707</v>
      </c>
      <c r="O625">
        <v>0</v>
      </c>
      <c r="S625" t="str">
        <f>TEXT(Table1[[#This Row],[Date]],"MMM-YY")</f>
        <v>May-24</v>
      </c>
      <c r="T625">
        <f>_xlfn.ISOWEEKNUM(Table1[[#This Row],[Date]])</f>
        <v>19</v>
      </c>
      <c r="U625" t="str">
        <f>TEXT(Table1[[#This Row],[Expected Business Month]],"YYYY")</f>
        <v>2024</v>
      </c>
    </row>
    <row r="626" spans="1:21" hidden="1">
      <c r="A626" s="1">
        <v>45418</v>
      </c>
      <c r="B626" t="s">
        <v>1980</v>
      </c>
      <c r="C626" t="s">
        <v>63</v>
      </c>
      <c r="D626" t="s">
        <v>64</v>
      </c>
      <c r="E626" t="s">
        <v>14</v>
      </c>
      <c r="F626" t="s">
        <v>1256</v>
      </c>
      <c r="G626" s="9" t="s">
        <v>1981</v>
      </c>
      <c r="H626">
        <v>20000</v>
      </c>
      <c r="I626">
        <v>0</v>
      </c>
      <c r="J626" s="21">
        <v>45505</v>
      </c>
      <c r="K626" s="7" t="s">
        <v>67</v>
      </c>
      <c r="L626" t="s">
        <v>9</v>
      </c>
      <c r="M626" t="s">
        <v>9</v>
      </c>
      <c r="N626" t="s">
        <v>586</v>
      </c>
      <c r="O626">
        <v>0</v>
      </c>
      <c r="S626" t="str">
        <f>TEXT(Table1[[#This Row],[Date]],"MMM-YY")</f>
        <v>May-24</v>
      </c>
      <c r="T626">
        <f>_xlfn.ISOWEEKNUM(Table1[[#This Row],[Date]])</f>
        <v>19</v>
      </c>
      <c r="U626" t="str">
        <f>TEXT(Table1[[#This Row],[Expected Business Month]],"YYYY")</f>
        <v>2024</v>
      </c>
    </row>
    <row r="627" spans="1:21" hidden="1">
      <c r="A627" s="1">
        <v>45418</v>
      </c>
      <c r="B627" t="s">
        <v>1982</v>
      </c>
      <c r="C627" t="s">
        <v>63</v>
      </c>
      <c r="D627" t="s">
        <v>64</v>
      </c>
      <c r="E627" t="s">
        <v>25</v>
      </c>
      <c r="F627" t="s">
        <v>1373</v>
      </c>
      <c r="G627" s="9" t="s">
        <v>1983</v>
      </c>
      <c r="H627">
        <v>15000</v>
      </c>
      <c r="I627">
        <v>0</v>
      </c>
      <c r="J627" s="21">
        <v>45505</v>
      </c>
      <c r="K627" s="7" t="s">
        <v>67</v>
      </c>
      <c r="L627" t="s">
        <v>9</v>
      </c>
      <c r="M627" t="s">
        <v>9</v>
      </c>
      <c r="N627" t="s">
        <v>586</v>
      </c>
      <c r="O627">
        <v>0</v>
      </c>
      <c r="S627" t="str">
        <f>TEXT(Table1[[#This Row],[Date]],"MMM-YY")</f>
        <v>May-24</v>
      </c>
      <c r="T627">
        <f>_xlfn.ISOWEEKNUM(Table1[[#This Row],[Date]])</f>
        <v>19</v>
      </c>
      <c r="U627" t="str">
        <f>TEXT(Table1[[#This Row],[Expected Business Month]],"YYYY")</f>
        <v>2024</v>
      </c>
    </row>
    <row r="628" spans="1:21" ht="29.1" hidden="1">
      <c r="A628" s="1">
        <v>45419</v>
      </c>
      <c r="B628" t="s">
        <v>324</v>
      </c>
      <c r="C628" t="s">
        <v>96</v>
      </c>
      <c r="D628" t="s">
        <v>64</v>
      </c>
      <c r="E628" t="s">
        <v>38</v>
      </c>
      <c r="F628" t="s">
        <v>325</v>
      </c>
      <c r="G628" s="9" t="s">
        <v>1984</v>
      </c>
      <c r="H628">
        <v>39567</v>
      </c>
      <c r="I628">
        <v>39567</v>
      </c>
      <c r="J628" s="21">
        <v>45413</v>
      </c>
      <c r="K628" s="7" t="s">
        <v>99</v>
      </c>
      <c r="L628" t="s">
        <v>68</v>
      </c>
      <c r="M628" t="s">
        <v>69</v>
      </c>
      <c r="O628">
        <v>0</v>
      </c>
      <c r="S628" t="str">
        <f>TEXT(Table1[[#This Row],[Date]],"MMM-YY")</f>
        <v>May-24</v>
      </c>
      <c r="T628">
        <f>_xlfn.ISOWEEKNUM(Table1[[#This Row],[Date]])</f>
        <v>19</v>
      </c>
      <c r="U628" t="str">
        <f>TEXT(Table1[[#This Row],[Expected Business Month]],"YYYY")</f>
        <v>2024</v>
      </c>
    </row>
    <row r="629" spans="1:21" hidden="1">
      <c r="A629" s="1">
        <v>45419</v>
      </c>
      <c r="B629" t="s">
        <v>1985</v>
      </c>
      <c r="C629" t="s">
        <v>96</v>
      </c>
      <c r="D629" t="s">
        <v>105</v>
      </c>
      <c r="E629" t="s">
        <v>18</v>
      </c>
      <c r="F629" t="s">
        <v>1986</v>
      </c>
      <c r="G629" s="9" t="s">
        <v>1860</v>
      </c>
      <c r="H629">
        <v>12000</v>
      </c>
      <c r="I629">
        <v>0</v>
      </c>
      <c r="J629" s="21">
        <v>45505</v>
      </c>
      <c r="K629" t="s">
        <v>67</v>
      </c>
      <c r="L629" t="s">
        <v>9</v>
      </c>
      <c r="M629" t="s">
        <v>9</v>
      </c>
      <c r="N629" t="s">
        <v>586</v>
      </c>
      <c r="O629">
        <v>0</v>
      </c>
      <c r="S629" t="str">
        <f>TEXT(Table1[[#This Row],[Date]],"MMM-YY")</f>
        <v>May-24</v>
      </c>
      <c r="T629">
        <f>_xlfn.ISOWEEKNUM(Table1[[#This Row],[Date]])</f>
        <v>19</v>
      </c>
      <c r="U629" t="str">
        <f>TEXT(Table1[[#This Row],[Expected Business Month]],"YYYY")</f>
        <v>2024</v>
      </c>
    </row>
    <row r="630" spans="1:21" ht="29.1" hidden="1">
      <c r="A630" s="1">
        <v>45419</v>
      </c>
      <c r="B630" t="s">
        <v>1987</v>
      </c>
      <c r="C630" t="s">
        <v>63</v>
      </c>
      <c r="D630" t="s">
        <v>64</v>
      </c>
      <c r="E630" t="s">
        <v>14</v>
      </c>
      <c r="F630" t="s">
        <v>1988</v>
      </c>
      <c r="G630" s="9" t="s">
        <v>1989</v>
      </c>
      <c r="H630">
        <v>15000</v>
      </c>
      <c r="I630">
        <v>0</v>
      </c>
      <c r="J630" s="21">
        <v>45505</v>
      </c>
      <c r="K630" t="s">
        <v>67</v>
      </c>
      <c r="L630" t="s">
        <v>9</v>
      </c>
      <c r="M630" t="s">
        <v>9</v>
      </c>
      <c r="N630" t="s">
        <v>586</v>
      </c>
      <c r="O630">
        <v>0</v>
      </c>
      <c r="S630" t="str">
        <f>TEXT(Table1[[#This Row],[Date]],"MMM-YY")</f>
        <v>May-24</v>
      </c>
      <c r="T630">
        <f>_xlfn.ISOWEEKNUM(Table1[[#This Row],[Date]])</f>
        <v>19</v>
      </c>
      <c r="U630" t="str">
        <f>TEXT(Table1[[#This Row],[Expected Business Month]],"YYYY")</f>
        <v>2024</v>
      </c>
    </row>
    <row r="631" spans="1:21" hidden="1">
      <c r="A631" s="1">
        <v>45419</v>
      </c>
      <c r="B631" t="s">
        <v>1990</v>
      </c>
      <c r="C631" t="s">
        <v>96</v>
      </c>
      <c r="D631" t="s">
        <v>64</v>
      </c>
      <c r="E631" t="s">
        <v>29</v>
      </c>
      <c r="F631" t="s">
        <v>371</v>
      </c>
      <c r="G631" s="9" t="s">
        <v>1991</v>
      </c>
      <c r="H631">
        <v>15000</v>
      </c>
      <c r="I631">
        <v>0</v>
      </c>
      <c r="J631" s="21">
        <v>45505</v>
      </c>
      <c r="K631" t="s">
        <v>67</v>
      </c>
      <c r="L631" t="s">
        <v>9</v>
      </c>
      <c r="M631" t="s">
        <v>9</v>
      </c>
      <c r="N631" t="s">
        <v>586</v>
      </c>
      <c r="O631">
        <v>0</v>
      </c>
      <c r="S631" t="str">
        <f>TEXT(Table1[[#This Row],[Date]],"MMM-YY")</f>
        <v>May-24</v>
      </c>
      <c r="T631">
        <f>_xlfn.ISOWEEKNUM(Table1[[#This Row],[Date]])</f>
        <v>19</v>
      </c>
      <c r="U631" t="str">
        <f>TEXT(Table1[[#This Row],[Expected Business Month]],"YYYY")</f>
        <v>2024</v>
      </c>
    </row>
    <row r="632" spans="1:21" ht="29.1" hidden="1">
      <c r="A632" s="1">
        <v>45419</v>
      </c>
      <c r="B632" t="s">
        <v>1992</v>
      </c>
      <c r="C632" t="s">
        <v>96</v>
      </c>
      <c r="D632" t="s">
        <v>64</v>
      </c>
      <c r="E632" t="s">
        <v>18</v>
      </c>
      <c r="F632" t="s">
        <v>1993</v>
      </c>
      <c r="G632" s="9" t="s">
        <v>1496</v>
      </c>
      <c r="H632">
        <v>20000</v>
      </c>
      <c r="I632">
        <v>0</v>
      </c>
      <c r="J632" s="21">
        <v>45505</v>
      </c>
      <c r="K632" t="s">
        <v>67</v>
      </c>
      <c r="L632" t="s">
        <v>9</v>
      </c>
      <c r="M632" t="s">
        <v>9</v>
      </c>
      <c r="N632" t="s">
        <v>586</v>
      </c>
      <c r="O632">
        <v>0</v>
      </c>
      <c r="S632" t="str">
        <f>TEXT(Table1[[#This Row],[Date]],"MMM-YY")</f>
        <v>May-24</v>
      </c>
      <c r="T632">
        <f>_xlfn.ISOWEEKNUM(Table1[[#This Row],[Date]])</f>
        <v>19</v>
      </c>
      <c r="U632" t="str">
        <f>TEXT(Table1[[#This Row],[Expected Business Month]],"YYYY")</f>
        <v>2024</v>
      </c>
    </row>
    <row r="633" spans="1:21" hidden="1">
      <c r="A633" s="1">
        <v>45419</v>
      </c>
      <c r="B633" s="11" t="s">
        <v>1985</v>
      </c>
      <c r="C633" s="11" t="s">
        <v>96</v>
      </c>
      <c r="D633" s="11" t="s">
        <v>105</v>
      </c>
      <c r="E633" s="11" t="s">
        <v>18</v>
      </c>
      <c r="F633" s="11" t="s">
        <v>1986</v>
      </c>
      <c r="G633" s="18" t="s">
        <v>1860</v>
      </c>
      <c r="H633" s="11">
        <v>12000</v>
      </c>
      <c r="I633">
        <v>0</v>
      </c>
      <c r="J633" s="21">
        <v>45505</v>
      </c>
      <c r="K633" s="11" t="s">
        <v>67</v>
      </c>
      <c r="L633" t="s">
        <v>9</v>
      </c>
      <c r="M633" t="s">
        <v>9</v>
      </c>
      <c r="N633" t="s">
        <v>586</v>
      </c>
      <c r="O633" s="11">
        <v>0</v>
      </c>
      <c r="P633" s="11"/>
      <c r="Q633" s="11"/>
      <c r="R633" s="11"/>
      <c r="S633" s="11" t="str">
        <f>TEXT(Table1[[#This Row],[Date]],"MMM-YY")</f>
        <v>May-24</v>
      </c>
      <c r="T633" s="11">
        <f>_xlfn.ISOWEEKNUM(Table1[[#This Row],[Date]])</f>
        <v>19</v>
      </c>
      <c r="U633" s="11" t="str">
        <f>TEXT(Table1[[#This Row],[Expected Business Month]],"YYYY")</f>
        <v>2024</v>
      </c>
    </row>
    <row r="634" spans="1:21" ht="29.1" hidden="1">
      <c r="A634" s="10">
        <v>45419</v>
      </c>
      <c r="B634" s="12" t="s">
        <v>1987</v>
      </c>
      <c r="C634" s="12" t="s">
        <v>63</v>
      </c>
      <c r="D634" s="12" t="s">
        <v>64</v>
      </c>
      <c r="E634" s="12" t="s">
        <v>14</v>
      </c>
      <c r="F634" s="12" t="s">
        <v>1988</v>
      </c>
      <c r="G634" s="19" t="s">
        <v>1989</v>
      </c>
      <c r="H634" s="12">
        <v>15000</v>
      </c>
      <c r="I634">
        <v>0</v>
      </c>
      <c r="J634" s="21">
        <v>45505</v>
      </c>
      <c r="K634" s="12" t="s">
        <v>67</v>
      </c>
      <c r="L634" t="s">
        <v>9</v>
      </c>
      <c r="M634" t="s">
        <v>9</v>
      </c>
      <c r="N634" t="s">
        <v>586</v>
      </c>
      <c r="O634" s="12">
        <v>0</v>
      </c>
      <c r="P634" s="12"/>
      <c r="Q634" s="12"/>
      <c r="R634" s="12"/>
      <c r="S634" s="12" t="str">
        <f>TEXT(Table1[[#This Row],[Date]],"MMM-YY")</f>
        <v>May-24</v>
      </c>
      <c r="T634" s="12">
        <f>_xlfn.ISOWEEKNUM(Table1[[#This Row],[Date]])</f>
        <v>19</v>
      </c>
      <c r="U634" s="12" t="str">
        <f>TEXT(Table1[[#This Row],[Expected Business Month]],"YYYY")</f>
        <v>2024</v>
      </c>
    </row>
    <row r="635" spans="1:21" hidden="1">
      <c r="A635" s="1">
        <v>45419</v>
      </c>
      <c r="B635" s="11" t="s">
        <v>1990</v>
      </c>
      <c r="C635" s="11" t="s">
        <v>96</v>
      </c>
      <c r="D635" s="11" t="s">
        <v>64</v>
      </c>
      <c r="E635" s="11" t="s">
        <v>29</v>
      </c>
      <c r="F635" s="11" t="s">
        <v>371</v>
      </c>
      <c r="G635" s="18" t="s">
        <v>1991</v>
      </c>
      <c r="H635" s="11">
        <v>15000</v>
      </c>
      <c r="I635">
        <v>0</v>
      </c>
      <c r="J635" s="21">
        <v>45505</v>
      </c>
      <c r="K635" s="11" t="s">
        <v>67</v>
      </c>
      <c r="L635" t="s">
        <v>9</v>
      </c>
      <c r="M635" t="s">
        <v>9</v>
      </c>
      <c r="N635" t="s">
        <v>586</v>
      </c>
      <c r="O635" s="11">
        <v>0</v>
      </c>
      <c r="P635" s="11"/>
      <c r="Q635" s="11"/>
      <c r="R635" s="11"/>
      <c r="S635" s="11" t="str">
        <f>TEXT(Table1[[#This Row],[Date]],"MMM-YY")</f>
        <v>May-24</v>
      </c>
      <c r="T635" s="11">
        <f>_xlfn.ISOWEEKNUM(Table1[[#This Row],[Date]])</f>
        <v>19</v>
      </c>
      <c r="U635" s="11" t="str">
        <f>TEXT(Table1[[#This Row],[Expected Business Month]],"YYYY")</f>
        <v>2024</v>
      </c>
    </row>
    <row r="636" spans="1:21" ht="29.1" hidden="1">
      <c r="A636" s="10">
        <v>45419</v>
      </c>
      <c r="B636" s="12" t="s">
        <v>1992</v>
      </c>
      <c r="C636" s="12" t="s">
        <v>96</v>
      </c>
      <c r="D636" s="12" t="s">
        <v>64</v>
      </c>
      <c r="E636" s="12" t="s">
        <v>18</v>
      </c>
      <c r="F636" s="12" t="s">
        <v>1993</v>
      </c>
      <c r="G636" s="19" t="s">
        <v>1496</v>
      </c>
      <c r="H636" s="12">
        <v>20000</v>
      </c>
      <c r="I636">
        <v>0</v>
      </c>
      <c r="J636" s="21">
        <v>45505</v>
      </c>
      <c r="K636" s="12" t="s">
        <v>67</v>
      </c>
      <c r="L636" t="s">
        <v>9</v>
      </c>
      <c r="M636" t="s">
        <v>9</v>
      </c>
      <c r="N636" t="s">
        <v>586</v>
      </c>
      <c r="O636" s="12">
        <v>0</v>
      </c>
      <c r="P636" s="12"/>
      <c r="Q636" s="12"/>
      <c r="R636" s="12"/>
      <c r="S636" s="12" t="str">
        <f>TEXT(Table1[[#This Row],[Date]],"MMM-YY")</f>
        <v>May-24</v>
      </c>
      <c r="T636" s="12">
        <f>_xlfn.ISOWEEKNUM(Table1[[#This Row],[Date]])</f>
        <v>19</v>
      </c>
      <c r="U636" s="12" t="str">
        <f>TEXT(Table1[[#This Row],[Expected Business Month]],"YYYY")</f>
        <v>2024</v>
      </c>
    </row>
    <row r="637" spans="1:21" ht="29.1" hidden="1">
      <c r="A637" s="1">
        <v>45420</v>
      </c>
      <c r="B637" t="s">
        <v>1994</v>
      </c>
      <c r="C637" t="s">
        <v>63</v>
      </c>
      <c r="D637" t="s">
        <v>64</v>
      </c>
      <c r="E637" t="s">
        <v>14</v>
      </c>
      <c r="F637" t="s">
        <v>1995</v>
      </c>
      <c r="G637" s="9" t="s">
        <v>1996</v>
      </c>
      <c r="H637">
        <v>50000</v>
      </c>
      <c r="I637">
        <v>0</v>
      </c>
      <c r="J637" s="21">
        <v>45413</v>
      </c>
      <c r="K637" t="s">
        <v>67</v>
      </c>
      <c r="L637" t="s">
        <v>9</v>
      </c>
      <c r="M637" t="s">
        <v>9</v>
      </c>
      <c r="N637" t="s">
        <v>602</v>
      </c>
      <c r="O637">
        <v>0</v>
      </c>
      <c r="S637" t="str">
        <f>TEXT(Table1[[#This Row],[Date]],"MMM-YY")</f>
        <v>May-24</v>
      </c>
      <c r="T637">
        <f>_xlfn.ISOWEEKNUM(Table1[[#This Row],[Date]])</f>
        <v>19</v>
      </c>
      <c r="U637" t="str">
        <f>TEXT(Table1[[#This Row],[Expected Business Month]],"YYYY")</f>
        <v>2024</v>
      </c>
    </row>
    <row r="638" spans="1:21" hidden="1">
      <c r="A638" s="1">
        <v>45420</v>
      </c>
      <c r="B638" t="s">
        <v>1997</v>
      </c>
      <c r="C638" t="s">
        <v>63</v>
      </c>
      <c r="D638" t="s">
        <v>64</v>
      </c>
      <c r="E638" t="s">
        <v>13</v>
      </c>
      <c r="F638" t="s">
        <v>1998</v>
      </c>
      <c r="G638" s="9" t="s">
        <v>1457</v>
      </c>
      <c r="H638">
        <v>12000</v>
      </c>
      <c r="I638">
        <v>0</v>
      </c>
      <c r="J638" s="21">
        <v>45505</v>
      </c>
      <c r="K638" t="s">
        <v>67</v>
      </c>
      <c r="L638" t="s">
        <v>9</v>
      </c>
      <c r="M638" t="s">
        <v>9</v>
      </c>
      <c r="N638" t="s">
        <v>586</v>
      </c>
      <c r="O638">
        <v>0</v>
      </c>
      <c r="S638" t="str">
        <f>TEXT(Table1[[#This Row],[Date]],"MMM-YY")</f>
        <v>May-24</v>
      </c>
      <c r="T638">
        <f>_xlfn.ISOWEEKNUM(Table1[[#This Row],[Date]])</f>
        <v>19</v>
      </c>
      <c r="U638" t="str">
        <f>TEXT(Table1[[#This Row],[Expected Business Month]],"YYYY")</f>
        <v>2024</v>
      </c>
    </row>
    <row r="639" spans="1:21" hidden="1">
      <c r="A639" s="1">
        <v>45420</v>
      </c>
      <c r="B639" t="s">
        <v>1999</v>
      </c>
      <c r="C639" t="s">
        <v>63</v>
      </c>
      <c r="D639" t="s">
        <v>64</v>
      </c>
      <c r="E639" t="s">
        <v>30</v>
      </c>
      <c r="F639" t="s">
        <v>2000</v>
      </c>
      <c r="G639" s="9" t="s">
        <v>1457</v>
      </c>
      <c r="H639">
        <v>15000</v>
      </c>
      <c r="I639">
        <v>0</v>
      </c>
      <c r="J639" s="21">
        <v>45505</v>
      </c>
      <c r="K639" t="s">
        <v>67</v>
      </c>
      <c r="L639" t="s">
        <v>9</v>
      </c>
      <c r="M639" t="s">
        <v>9</v>
      </c>
      <c r="N639" t="s">
        <v>586</v>
      </c>
      <c r="O639">
        <v>0</v>
      </c>
      <c r="S639" t="str">
        <f>TEXT(Table1[[#This Row],[Date]],"MMM-YY")</f>
        <v>May-24</v>
      </c>
      <c r="T639">
        <f>_xlfn.ISOWEEKNUM(Table1[[#This Row],[Date]])</f>
        <v>19</v>
      </c>
      <c r="U639" t="str">
        <f>TEXT(Table1[[#This Row],[Expected Business Month]],"YYYY")</f>
        <v>2024</v>
      </c>
    </row>
    <row r="640" spans="1:21" hidden="1">
      <c r="A640" s="1">
        <v>45420</v>
      </c>
      <c r="B640" t="s">
        <v>2001</v>
      </c>
      <c r="C640" t="s">
        <v>63</v>
      </c>
      <c r="D640" t="s">
        <v>64</v>
      </c>
      <c r="E640" t="s">
        <v>30</v>
      </c>
      <c r="F640" t="s">
        <v>1275</v>
      </c>
      <c r="G640" s="9" t="s">
        <v>1493</v>
      </c>
      <c r="H640">
        <v>20000</v>
      </c>
      <c r="I640">
        <v>0</v>
      </c>
      <c r="J640" s="21">
        <v>45505</v>
      </c>
      <c r="K640" t="s">
        <v>67</v>
      </c>
      <c r="L640" t="s">
        <v>9</v>
      </c>
      <c r="M640" t="s">
        <v>9</v>
      </c>
      <c r="N640" t="s">
        <v>586</v>
      </c>
      <c r="O640">
        <v>0</v>
      </c>
      <c r="S640" t="str">
        <f>TEXT(Table1[[#This Row],[Date]],"MMM-YY")</f>
        <v>May-24</v>
      </c>
      <c r="T640">
        <f>_xlfn.ISOWEEKNUM(Table1[[#This Row],[Date]])</f>
        <v>19</v>
      </c>
      <c r="U640" t="str">
        <f>TEXT(Table1[[#This Row],[Expected Business Month]],"YYYY")</f>
        <v>2024</v>
      </c>
    </row>
    <row r="641" spans="1:21" ht="29.1" hidden="1">
      <c r="A641" s="1">
        <v>45421</v>
      </c>
      <c r="B641" t="s">
        <v>2002</v>
      </c>
      <c r="C641" t="s">
        <v>63</v>
      </c>
      <c r="D641" t="s">
        <v>64</v>
      </c>
      <c r="E641" t="s">
        <v>24</v>
      </c>
      <c r="F641" t="s">
        <v>2003</v>
      </c>
      <c r="G641" s="9" t="s">
        <v>2004</v>
      </c>
      <c r="H641">
        <v>50000</v>
      </c>
      <c r="I641">
        <v>0</v>
      </c>
      <c r="J641" s="21">
        <v>45505</v>
      </c>
      <c r="K641" t="s">
        <v>67</v>
      </c>
      <c r="L641" t="s">
        <v>9</v>
      </c>
      <c r="M641" t="s">
        <v>9</v>
      </c>
      <c r="N641" t="s">
        <v>586</v>
      </c>
      <c r="O641">
        <v>0</v>
      </c>
      <c r="S641" t="str">
        <f>TEXT(Table1[[#This Row],[Date]],"MMM-YY")</f>
        <v>May-24</v>
      </c>
      <c r="T641">
        <f>_xlfn.ISOWEEKNUM(Table1[[#This Row],[Date]])</f>
        <v>19</v>
      </c>
      <c r="U641" t="str">
        <f>TEXT(Table1[[#This Row],[Expected Business Month]],"YYYY")</f>
        <v>2024</v>
      </c>
    </row>
    <row r="642" spans="1:21" hidden="1">
      <c r="A642" s="1">
        <v>45421</v>
      </c>
      <c r="B642" t="s">
        <v>1417</v>
      </c>
      <c r="C642" t="s">
        <v>96</v>
      </c>
      <c r="D642" t="s">
        <v>64</v>
      </c>
      <c r="E642" t="s">
        <v>26</v>
      </c>
      <c r="F642" t="s">
        <v>2005</v>
      </c>
      <c r="G642" s="9" t="s">
        <v>2006</v>
      </c>
      <c r="H642">
        <v>8400</v>
      </c>
      <c r="I642">
        <v>0</v>
      </c>
      <c r="J642" s="21">
        <v>45413</v>
      </c>
      <c r="K642" t="s">
        <v>67</v>
      </c>
      <c r="L642" t="s">
        <v>9</v>
      </c>
      <c r="M642" t="s">
        <v>9</v>
      </c>
      <c r="N642" t="s">
        <v>707</v>
      </c>
      <c r="O642">
        <v>0</v>
      </c>
      <c r="S642" t="str">
        <f>TEXT(Table1[[#This Row],[Date]],"MMM-YY")</f>
        <v>May-24</v>
      </c>
      <c r="T642">
        <f>_xlfn.ISOWEEKNUM(Table1[[#This Row],[Date]])</f>
        <v>19</v>
      </c>
      <c r="U642" t="str">
        <f>TEXT(Table1[[#This Row],[Expected Business Month]],"YYYY")</f>
        <v>2024</v>
      </c>
    </row>
    <row r="643" spans="1:21" hidden="1">
      <c r="A643" s="1">
        <v>45421</v>
      </c>
      <c r="B643" t="s">
        <v>2007</v>
      </c>
      <c r="C643" t="s">
        <v>63</v>
      </c>
      <c r="D643" t="s">
        <v>64</v>
      </c>
      <c r="E643" t="s">
        <v>24</v>
      </c>
      <c r="F643" t="s">
        <v>2008</v>
      </c>
      <c r="G643" s="9" t="s">
        <v>2009</v>
      </c>
      <c r="H643">
        <v>12000</v>
      </c>
      <c r="I643">
        <v>0</v>
      </c>
      <c r="J643" s="21">
        <v>45505</v>
      </c>
      <c r="K643" t="s">
        <v>67</v>
      </c>
      <c r="L643" t="s">
        <v>9</v>
      </c>
      <c r="M643" t="s">
        <v>9</v>
      </c>
      <c r="N643" t="s">
        <v>586</v>
      </c>
      <c r="O643">
        <v>0</v>
      </c>
      <c r="S643" t="str">
        <f>TEXT(Table1[[#This Row],[Date]],"MMM-YY")</f>
        <v>May-24</v>
      </c>
      <c r="T643">
        <f>_xlfn.ISOWEEKNUM(Table1[[#This Row],[Date]])</f>
        <v>19</v>
      </c>
      <c r="U643" t="str">
        <f>TEXT(Table1[[#This Row],[Expected Business Month]],"YYYY")</f>
        <v>2024</v>
      </c>
    </row>
    <row r="644" spans="1:21" hidden="1">
      <c r="A644" s="1">
        <v>45421</v>
      </c>
      <c r="B644" t="s">
        <v>2010</v>
      </c>
      <c r="C644" t="s">
        <v>96</v>
      </c>
      <c r="D644" t="s">
        <v>64</v>
      </c>
      <c r="E644" t="s">
        <v>26</v>
      </c>
      <c r="F644" t="s">
        <v>1105</v>
      </c>
      <c r="G644" s="9" t="s">
        <v>1860</v>
      </c>
      <c r="H644">
        <v>10000</v>
      </c>
      <c r="I644">
        <v>0</v>
      </c>
      <c r="J644" s="21">
        <v>45505</v>
      </c>
      <c r="K644" t="s">
        <v>67</v>
      </c>
      <c r="L644" t="s">
        <v>9</v>
      </c>
      <c r="M644" t="s">
        <v>9</v>
      </c>
      <c r="N644" t="s">
        <v>586</v>
      </c>
      <c r="O644">
        <v>0</v>
      </c>
      <c r="S644" t="str">
        <f>TEXT(Table1[[#This Row],[Date]],"MMM-YY")</f>
        <v>May-24</v>
      </c>
      <c r="T644">
        <f>_xlfn.ISOWEEKNUM(Table1[[#This Row],[Date]])</f>
        <v>19</v>
      </c>
      <c r="U644" t="str">
        <f>TEXT(Table1[[#This Row],[Expected Business Month]],"YYYY")</f>
        <v>2024</v>
      </c>
    </row>
    <row r="645" spans="1:21" hidden="1">
      <c r="A645" s="1">
        <v>45421</v>
      </c>
      <c r="B645" t="s">
        <v>2011</v>
      </c>
      <c r="C645" t="s">
        <v>63</v>
      </c>
      <c r="D645" t="s">
        <v>64</v>
      </c>
      <c r="E645" t="s">
        <v>28</v>
      </c>
      <c r="F645" t="s">
        <v>2012</v>
      </c>
      <c r="G645" s="9" t="s">
        <v>1860</v>
      </c>
      <c r="H645">
        <v>15000</v>
      </c>
      <c r="I645">
        <v>0</v>
      </c>
      <c r="J645" s="21">
        <v>45505</v>
      </c>
      <c r="K645" t="s">
        <v>67</v>
      </c>
      <c r="L645" t="s">
        <v>9</v>
      </c>
      <c r="M645" t="s">
        <v>9</v>
      </c>
      <c r="N645" t="s">
        <v>586</v>
      </c>
      <c r="O645">
        <v>0</v>
      </c>
      <c r="S645" t="str">
        <f>TEXT(Table1[[#This Row],[Date]],"MMM-YY")</f>
        <v>May-24</v>
      </c>
      <c r="T645">
        <f>_xlfn.ISOWEEKNUM(Table1[[#This Row],[Date]])</f>
        <v>19</v>
      </c>
      <c r="U645" t="str">
        <f>TEXT(Table1[[#This Row],[Expected Business Month]],"YYYY")</f>
        <v>2024</v>
      </c>
    </row>
    <row r="646" spans="1:21" hidden="1">
      <c r="A646" s="1">
        <v>45422</v>
      </c>
      <c r="B646" t="s">
        <v>2013</v>
      </c>
      <c r="C646" t="s">
        <v>63</v>
      </c>
      <c r="D646" t="s">
        <v>64</v>
      </c>
      <c r="E646" t="s">
        <v>30</v>
      </c>
      <c r="F646" t="s">
        <v>2014</v>
      </c>
      <c r="G646" s="9" t="s">
        <v>2015</v>
      </c>
      <c r="H646">
        <v>10000</v>
      </c>
      <c r="I646">
        <v>10000</v>
      </c>
      <c r="J646" s="21">
        <v>45413</v>
      </c>
      <c r="K646" t="s">
        <v>67</v>
      </c>
      <c r="L646" t="s">
        <v>68</v>
      </c>
      <c r="M646" t="s">
        <v>69</v>
      </c>
      <c r="O646">
        <v>0</v>
      </c>
      <c r="S646" t="str">
        <f>TEXT(Table1[[#This Row],[Date]],"MMM-YY")</f>
        <v>May-24</v>
      </c>
      <c r="T646">
        <f>_xlfn.ISOWEEKNUM(Table1[[#This Row],[Date]])</f>
        <v>19</v>
      </c>
      <c r="U646" t="str">
        <f>TEXT(Table1[[#This Row],[Expected Business Month]],"YYYY")</f>
        <v>2024</v>
      </c>
    </row>
    <row r="647" spans="1:21" hidden="1">
      <c r="A647" s="1">
        <v>45422</v>
      </c>
      <c r="B647" t="s">
        <v>2016</v>
      </c>
      <c r="C647" t="s">
        <v>63</v>
      </c>
      <c r="D647" t="s">
        <v>64</v>
      </c>
      <c r="E647" t="s">
        <v>26</v>
      </c>
      <c r="F647" t="s">
        <v>1624</v>
      </c>
      <c r="G647" s="9" t="s">
        <v>2017</v>
      </c>
      <c r="H647">
        <v>29000</v>
      </c>
      <c r="I647">
        <v>29000</v>
      </c>
      <c r="J647" s="21">
        <v>45413</v>
      </c>
      <c r="K647" t="s">
        <v>67</v>
      </c>
      <c r="L647" t="s">
        <v>68</v>
      </c>
      <c r="M647" t="s">
        <v>69</v>
      </c>
      <c r="O647">
        <v>0</v>
      </c>
      <c r="S647" t="str">
        <f>TEXT(Table1[[#This Row],[Date]],"MMM-YY")</f>
        <v>May-24</v>
      </c>
      <c r="T647">
        <f>_xlfn.ISOWEEKNUM(Table1[[#This Row],[Date]])</f>
        <v>19</v>
      </c>
      <c r="U647" t="str">
        <f>TEXT(Table1[[#This Row],[Expected Business Month]],"YYYY")</f>
        <v>2024</v>
      </c>
    </row>
    <row r="648" spans="1:21" hidden="1">
      <c r="A648" s="1">
        <v>45422</v>
      </c>
      <c r="B648" t="s">
        <v>2018</v>
      </c>
      <c r="C648" t="s">
        <v>96</v>
      </c>
      <c r="D648" t="s">
        <v>64</v>
      </c>
      <c r="E648" t="s">
        <v>28</v>
      </c>
      <c r="F648" t="s">
        <v>1707</v>
      </c>
      <c r="G648" s="9" t="s">
        <v>2019</v>
      </c>
      <c r="H648">
        <v>2590000</v>
      </c>
      <c r="I648">
        <v>2590000</v>
      </c>
      <c r="J648" s="21">
        <v>45413</v>
      </c>
      <c r="K648" t="s">
        <v>67</v>
      </c>
      <c r="L648" t="s">
        <v>68</v>
      </c>
      <c r="M648" t="s">
        <v>69</v>
      </c>
      <c r="O648">
        <v>0</v>
      </c>
      <c r="S648" t="str">
        <f>TEXT(Table1[[#This Row],[Date]],"MMM-YY")</f>
        <v>May-24</v>
      </c>
      <c r="T648">
        <f>_xlfn.ISOWEEKNUM(Table1[[#This Row],[Date]])</f>
        <v>19</v>
      </c>
      <c r="U648" t="str">
        <f>TEXT(Table1[[#This Row],[Expected Business Month]],"YYYY")</f>
        <v>2024</v>
      </c>
    </row>
    <row r="649" spans="1:21" hidden="1">
      <c r="A649" s="1">
        <v>45422</v>
      </c>
      <c r="B649" t="s">
        <v>2020</v>
      </c>
      <c r="C649" t="s">
        <v>63</v>
      </c>
      <c r="D649" t="s">
        <v>64</v>
      </c>
      <c r="E649" t="s">
        <v>13</v>
      </c>
      <c r="F649" t="s">
        <v>2021</v>
      </c>
      <c r="G649" s="9" t="s">
        <v>2022</v>
      </c>
      <c r="H649">
        <v>12000</v>
      </c>
      <c r="I649">
        <v>0</v>
      </c>
      <c r="J649" s="21">
        <v>45505</v>
      </c>
      <c r="K649" t="s">
        <v>67</v>
      </c>
      <c r="L649" t="s">
        <v>9</v>
      </c>
      <c r="M649" t="s">
        <v>9</v>
      </c>
      <c r="N649" t="s">
        <v>586</v>
      </c>
      <c r="O649">
        <v>0</v>
      </c>
      <c r="S649" t="str">
        <f>TEXT(Table1[[#This Row],[Date]],"MMM-YY")</f>
        <v>May-24</v>
      </c>
      <c r="T649">
        <f>_xlfn.ISOWEEKNUM(Table1[[#This Row],[Date]])</f>
        <v>19</v>
      </c>
      <c r="U649" t="str">
        <f>TEXT(Table1[[#This Row],[Expected Business Month]],"YYYY")</f>
        <v>2024</v>
      </c>
    </row>
    <row r="650" spans="1:21" hidden="1">
      <c r="A650" s="1">
        <v>45424</v>
      </c>
      <c r="B650" t="s">
        <v>1194</v>
      </c>
      <c r="C650" t="s">
        <v>96</v>
      </c>
      <c r="D650" t="s">
        <v>20</v>
      </c>
      <c r="E650" t="s">
        <v>23</v>
      </c>
      <c r="F650" t="s">
        <v>441</v>
      </c>
      <c r="G650" s="9" t="s">
        <v>2023</v>
      </c>
      <c r="H650">
        <v>7000</v>
      </c>
      <c r="I650">
        <v>7000</v>
      </c>
      <c r="J650" s="21">
        <v>45413</v>
      </c>
      <c r="K650" t="s">
        <v>67</v>
      </c>
      <c r="L650" t="s">
        <v>68</v>
      </c>
      <c r="M650" t="s">
        <v>69</v>
      </c>
      <c r="O650">
        <v>0</v>
      </c>
      <c r="S650" t="str">
        <f>TEXT(Table1[[#This Row],[Date]],"MMM-YY")</f>
        <v>May-24</v>
      </c>
      <c r="T650">
        <f>_xlfn.ISOWEEKNUM(Table1[[#This Row],[Date]])</f>
        <v>19</v>
      </c>
      <c r="U650" t="str">
        <f>TEXT(Table1[[#This Row],[Expected Business Month]],"YYYY")</f>
        <v>2024</v>
      </c>
    </row>
    <row r="651" spans="1:21" hidden="1">
      <c r="A651" s="1">
        <v>45424</v>
      </c>
      <c r="B651" t="s">
        <v>2024</v>
      </c>
      <c r="C651" t="s">
        <v>96</v>
      </c>
      <c r="D651" t="s">
        <v>20</v>
      </c>
      <c r="E651" t="s">
        <v>20</v>
      </c>
      <c r="F651" t="s">
        <v>334</v>
      </c>
      <c r="G651" s="9" t="s">
        <v>1963</v>
      </c>
      <c r="H651">
        <v>15000</v>
      </c>
      <c r="I651">
        <v>0</v>
      </c>
      <c r="J651" s="21">
        <v>45505</v>
      </c>
      <c r="K651" t="s">
        <v>67</v>
      </c>
      <c r="L651" t="s">
        <v>9</v>
      </c>
      <c r="M651" t="s">
        <v>9</v>
      </c>
      <c r="N651" t="s">
        <v>586</v>
      </c>
      <c r="O651">
        <v>0</v>
      </c>
      <c r="S651" t="str">
        <f>TEXT(Table1[[#This Row],[Date]],"MMM-YY")</f>
        <v>May-24</v>
      </c>
      <c r="T651">
        <f>_xlfn.ISOWEEKNUM(Table1[[#This Row],[Date]])</f>
        <v>19</v>
      </c>
      <c r="U651" t="str">
        <f>TEXT(Table1[[#This Row],[Expected Business Month]],"YYYY")</f>
        <v>2024</v>
      </c>
    </row>
    <row r="652" spans="1:21" hidden="1">
      <c r="A652" s="1">
        <v>45424</v>
      </c>
      <c r="B652" t="s">
        <v>2025</v>
      </c>
      <c r="C652" t="s">
        <v>96</v>
      </c>
      <c r="D652" t="s">
        <v>20</v>
      </c>
      <c r="E652" t="s">
        <v>20</v>
      </c>
      <c r="F652" t="s">
        <v>1721</v>
      </c>
      <c r="G652" s="9" t="s">
        <v>1963</v>
      </c>
      <c r="H652">
        <v>18000</v>
      </c>
      <c r="I652">
        <v>0</v>
      </c>
      <c r="J652" s="21">
        <v>45505</v>
      </c>
      <c r="K652" t="s">
        <v>67</v>
      </c>
      <c r="L652" t="s">
        <v>9</v>
      </c>
      <c r="M652" t="s">
        <v>9</v>
      </c>
      <c r="N652" t="s">
        <v>586</v>
      </c>
      <c r="O652">
        <v>0</v>
      </c>
      <c r="S652" t="str">
        <f>TEXT(Table1[[#This Row],[Date]],"MMM-YY")</f>
        <v>May-24</v>
      </c>
      <c r="T652">
        <f>_xlfn.ISOWEEKNUM(Table1[[#This Row],[Date]])</f>
        <v>19</v>
      </c>
      <c r="U652" t="str">
        <f>TEXT(Table1[[#This Row],[Expected Business Month]],"YYYY")</f>
        <v>2024</v>
      </c>
    </row>
    <row r="653" spans="1:21" hidden="1">
      <c r="A653" s="1">
        <v>45425</v>
      </c>
      <c r="B653" t="s">
        <v>2026</v>
      </c>
      <c r="C653" t="s">
        <v>96</v>
      </c>
      <c r="D653" t="s">
        <v>2027</v>
      </c>
      <c r="E653" t="s">
        <v>17</v>
      </c>
      <c r="F653" t="s">
        <v>2028</v>
      </c>
      <c r="G653" s="9" t="s">
        <v>2029</v>
      </c>
      <c r="H653">
        <v>200000</v>
      </c>
      <c r="I653">
        <v>0</v>
      </c>
      <c r="J653" s="21">
        <v>45474</v>
      </c>
      <c r="K653" t="s">
        <v>67</v>
      </c>
      <c r="L653" t="s">
        <v>9</v>
      </c>
      <c r="M653" t="s">
        <v>9</v>
      </c>
      <c r="N653" t="s">
        <v>602</v>
      </c>
      <c r="O653">
        <v>0</v>
      </c>
      <c r="S653" t="str">
        <f>TEXT(Table1[[#This Row],[Date]],"MMM-YY")</f>
        <v>May-24</v>
      </c>
      <c r="T653">
        <f>_xlfn.ISOWEEKNUM(Table1[[#This Row],[Date]])</f>
        <v>20</v>
      </c>
      <c r="U653" t="str">
        <f>TEXT(Table1[[#This Row],[Expected Business Month]],"YYYY")</f>
        <v>2024</v>
      </c>
    </row>
    <row r="654" spans="1:21" hidden="1">
      <c r="A654" s="1">
        <v>45425</v>
      </c>
      <c r="B654" t="s">
        <v>2030</v>
      </c>
      <c r="C654" t="s">
        <v>96</v>
      </c>
      <c r="D654" t="s">
        <v>105</v>
      </c>
      <c r="E654" t="s">
        <v>18</v>
      </c>
      <c r="F654" t="s">
        <v>2031</v>
      </c>
      <c r="G654" s="9" t="s">
        <v>1860</v>
      </c>
      <c r="H654">
        <v>20000</v>
      </c>
      <c r="I654">
        <v>0</v>
      </c>
      <c r="J654" s="21">
        <v>45505</v>
      </c>
      <c r="K654" t="s">
        <v>67</v>
      </c>
      <c r="L654" t="s">
        <v>9</v>
      </c>
      <c r="M654" t="s">
        <v>9</v>
      </c>
      <c r="N654" t="s">
        <v>586</v>
      </c>
      <c r="O654">
        <v>0</v>
      </c>
      <c r="S654" t="str">
        <f>TEXT(Table1[[#This Row],[Date]],"MMM-YY")</f>
        <v>May-24</v>
      </c>
      <c r="T654">
        <f>_xlfn.ISOWEEKNUM(Table1[[#This Row],[Date]])</f>
        <v>20</v>
      </c>
      <c r="U654" t="str">
        <f>TEXT(Table1[[#This Row],[Expected Business Month]],"YYYY")</f>
        <v>2024</v>
      </c>
    </row>
    <row r="655" spans="1:21" hidden="1">
      <c r="A655" s="1">
        <v>45425</v>
      </c>
      <c r="B655" t="s">
        <v>2032</v>
      </c>
      <c r="C655" t="s">
        <v>96</v>
      </c>
      <c r="D655" t="s">
        <v>64</v>
      </c>
      <c r="E655" t="s">
        <v>30</v>
      </c>
      <c r="F655" t="s">
        <v>1275</v>
      </c>
      <c r="G655" s="9" t="s">
        <v>2033</v>
      </c>
      <c r="H655">
        <v>10000</v>
      </c>
      <c r="I655">
        <v>0</v>
      </c>
      <c r="J655" s="21">
        <v>45505</v>
      </c>
      <c r="K655" t="s">
        <v>67</v>
      </c>
      <c r="L655" t="s">
        <v>9</v>
      </c>
      <c r="M655" t="s">
        <v>9</v>
      </c>
      <c r="N655" t="s">
        <v>586</v>
      </c>
      <c r="O655">
        <v>0</v>
      </c>
      <c r="S655" t="str">
        <f>TEXT(Table1[[#This Row],[Date]],"MMM-YY")</f>
        <v>May-24</v>
      </c>
      <c r="T655">
        <f>_xlfn.ISOWEEKNUM(Table1[[#This Row],[Date]])</f>
        <v>20</v>
      </c>
      <c r="U655" t="str">
        <f>TEXT(Table1[[#This Row],[Expected Business Month]],"YYYY")</f>
        <v>2024</v>
      </c>
    </row>
    <row r="656" spans="1:21" hidden="1">
      <c r="A656" s="1">
        <v>45425</v>
      </c>
      <c r="B656" t="s">
        <v>2034</v>
      </c>
      <c r="C656" t="s">
        <v>96</v>
      </c>
      <c r="D656" t="s">
        <v>64</v>
      </c>
      <c r="E656" t="s">
        <v>30</v>
      </c>
      <c r="F656" t="s">
        <v>2035</v>
      </c>
      <c r="G656" s="9" t="s">
        <v>1851</v>
      </c>
      <c r="H656">
        <v>12000</v>
      </c>
      <c r="I656">
        <v>0</v>
      </c>
      <c r="J656" s="21">
        <v>45505</v>
      </c>
      <c r="K656" t="s">
        <v>67</v>
      </c>
      <c r="L656" t="s">
        <v>9</v>
      </c>
      <c r="M656" t="s">
        <v>9</v>
      </c>
      <c r="N656" t="s">
        <v>586</v>
      </c>
      <c r="O656">
        <v>0</v>
      </c>
      <c r="S656" t="str">
        <f>TEXT(Table1[[#This Row],[Date]],"MMM-YY")</f>
        <v>May-24</v>
      </c>
      <c r="T656">
        <f>_xlfn.ISOWEEKNUM(Table1[[#This Row],[Date]])</f>
        <v>20</v>
      </c>
      <c r="U656" t="str">
        <f>TEXT(Table1[[#This Row],[Expected Business Month]],"YYYY")</f>
        <v>2024</v>
      </c>
    </row>
    <row r="657" spans="1:21" hidden="1">
      <c r="A657" s="1">
        <v>45425</v>
      </c>
      <c r="B657" t="s">
        <v>2036</v>
      </c>
      <c r="C657" t="s">
        <v>96</v>
      </c>
      <c r="D657" t="s">
        <v>64</v>
      </c>
      <c r="E657" t="s">
        <v>14</v>
      </c>
      <c r="F657" t="s">
        <v>1015</v>
      </c>
      <c r="G657" s="9" t="s">
        <v>2037</v>
      </c>
      <c r="H657">
        <v>10000</v>
      </c>
      <c r="I657">
        <v>0</v>
      </c>
      <c r="J657" s="21">
        <v>45505</v>
      </c>
      <c r="K657" t="s">
        <v>67</v>
      </c>
      <c r="L657" t="s">
        <v>9</v>
      </c>
      <c r="M657" t="s">
        <v>9</v>
      </c>
      <c r="N657" t="s">
        <v>586</v>
      </c>
      <c r="O657">
        <v>0</v>
      </c>
      <c r="S657" t="str">
        <f>TEXT(Table1[[#This Row],[Date]],"MMM-YY")</f>
        <v>May-24</v>
      </c>
      <c r="T657">
        <f>_xlfn.ISOWEEKNUM(Table1[[#This Row],[Date]])</f>
        <v>20</v>
      </c>
      <c r="U657" t="str">
        <f>TEXT(Table1[[#This Row],[Expected Business Month]],"YYYY")</f>
        <v>2024</v>
      </c>
    </row>
    <row r="658" spans="1:21" hidden="1">
      <c r="A658" s="1">
        <v>45426</v>
      </c>
      <c r="B658" t="s">
        <v>2038</v>
      </c>
      <c r="C658" t="s">
        <v>96</v>
      </c>
      <c r="D658" t="s">
        <v>105</v>
      </c>
      <c r="E658" t="s">
        <v>18</v>
      </c>
      <c r="F658" t="s">
        <v>153</v>
      </c>
      <c r="G658" s="9" t="s">
        <v>2039</v>
      </c>
      <c r="H658">
        <v>30000</v>
      </c>
      <c r="I658">
        <v>0</v>
      </c>
      <c r="J658" s="21">
        <v>45566</v>
      </c>
      <c r="K658" t="s">
        <v>67</v>
      </c>
      <c r="L658" t="s">
        <v>9</v>
      </c>
      <c r="M658" t="s">
        <v>9</v>
      </c>
      <c r="N658" t="s">
        <v>586</v>
      </c>
      <c r="O658">
        <v>0</v>
      </c>
      <c r="S658" t="str">
        <f>TEXT(Table1[[#This Row],[Date]],"MMM-YY")</f>
        <v>May-24</v>
      </c>
      <c r="T658">
        <f>_xlfn.ISOWEEKNUM(Table1[[#This Row],[Date]])</f>
        <v>20</v>
      </c>
      <c r="U658" t="str">
        <f>TEXT(Table1[[#This Row],[Expected Business Month]],"YYYY")</f>
        <v>2024</v>
      </c>
    </row>
    <row r="659" spans="1:21" ht="29.1" hidden="1">
      <c r="A659" s="1">
        <v>45426</v>
      </c>
      <c r="B659" t="s">
        <v>324</v>
      </c>
      <c r="C659" t="s">
        <v>96</v>
      </c>
      <c r="D659" t="s">
        <v>64</v>
      </c>
      <c r="E659" t="s">
        <v>38</v>
      </c>
      <c r="F659" t="s">
        <v>325</v>
      </c>
      <c r="G659" s="9" t="s">
        <v>2040</v>
      </c>
      <c r="H659">
        <v>44198</v>
      </c>
      <c r="I659">
        <v>44198</v>
      </c>
      <c r="J659" s="21">
        <v>45413</v>
      </c>
      <c r="K659" t="s">
        <v>99</v>
      </c>
      <c r="L659" t="s">
        <v>68</v>
      </c>
      <c r="M659" t="s">
        <v>69</v>
      </c>
      <c r="O659">
        <v>0</v>
      </c>
      <c r="S659" t="str">
        <f>TEXT(Table1[[#This Row],[Date]],"MMM-YY")</f>
        <v>May-24</v>
      </c>
      <c r="T659">
        <f>_xlfn.ISOWEEKNUM(Table1[[#This Row],[Date]])</f>
        <v>20</v>
      </c>
      <c r="U659" t="str">
        <f>TEXT(Table1[[#This Row],[Expected Business Month]],"YYYY")</f>
        <v>2024</v>
      </c>
    </row>
    <row r="660" spans="1:21" hidden="1">
      <c r="A660" s="1">
        <v>45426</v>
      </c>
      <c r="B660" t="s">
        <v>2041</v>
      </c>
      <c r="C660" t="s">
        <v>63</v>
      </c>
      <c r="D660" t="s">
        <v>64</v>
      </c>
      <c r="E660" t="s">
        <v>18</v>
      </c>
      <c r="F660" t="s">
        <v>2042</v>
      </c>
      <c r="G660" s="9" t="s">
        <v>1946</v>
      </c>
      <c r="H660">
        <v>20000</v>
      </c>
      <c r="I660">
        <v>0</v>
      </c>
      <c r="J660" s="21">
        <v>45505</v>
      </c>
      <c r="K660" t="s">
        <v>67</v>
      </c>
      <c r="L660" t="s">
        <v>9</v>
      </c>
      <c r="M660" t="s">
        <v>9</v>
      </c>
      <c r="N660" t="s">
        <v>586</v>
      </c>
      <c r="O660">
        <v>0</v>
      </c>
      <c r="S660" t="str">
        <f>TEXT(Table1[[#This Row],[Date]],"MMM-YY")</f>
        <v>May-24</v>
      </c>
      <c r="T660">
        <f>_xlfn.ISOWEEKNUM(Table1[[#This Row],[Date]])</f>
        <v>20</v>
      </c>
      <c r="U660" t="str">
        <f>TEXT(Table1[[#This Row],[Expected Business Month]],"YYYY")</f>
        <v>2024</v>
      </c>
    </row>
    <row r="661" spans="1:21" hidden="1">
      <c r="A661" s="1">
        <v>45426</v>
      </c>
      <c r="B661" t="s">
        <v>2043</v>
      </c>
      <c r="C661" t="s">
        <v>63</v>
      </c>
      <c r="D661" t="s">
        <v>64</v>
      </c>
      <c r="E661" t="s">
        <v>26</v>
      </c>
      <c r="F661" t="s">
        <v>2044</v>
      </c>
      <c r="G661" s="9" t="s">
        <v>1946</v>
      </c>
      <c r="H661">
        <v>10000</v>
      </c>
      <c r="I661">
        <v>0</v>
      </c>
      <c r="J661" s="21">
        <v>45505</v>
      </c>
      <c r="K661" t="s">
        <v>67</v>
      </c>
      <c r="L661" t="s">
        <v>9</v>
      </c>
      <c r="M661" t="s">
        <v>9</v>
      </c>
      <c r="N661" t="s">
        <v>586</v>
      </c>
      <c r="O661">
        <v>0</v>
      </c>
      <c r="S661" t="str">
        <f>TEXT(Table1[[#This Row],[Date]],"MMM-YY")</f>
        <v>May-24</v>
      </c>
      <c r="T661">
        <f>_xlfn.ISOWEEKNUM(Table1[[#This Row],[Date]])</f>
        <v>20</v>
      </c>
      <c r="U661" t="str">
        <f>TEXT(Table1[[#This Row],[Expected Business Month]],"YYYY")</f>
        <v>2024</v>
      </c>
    </row>
    <row r="662" spans="1:21" hidden="1">
      <c r="A662" s="1">
        <v>45426</v>
      </c>
      <c r="B662" t="s">
        <v>2045</v>
      </c>
      <c r="C662" t="s">
        <v>63</v>
      </c>
      <c r="D662" t="s">
        <v>64</v>
      </c>
      <c r="E662" t="s">
        <v>10</v>
      </c>
      <c r="F662" t="s">
        <v>2046</v>
      </c>
      <c r="G662" s="9" t="s">
        <v>1851</v>
      </c>
      <c r="H662">
        <v>15000</v>
      </c>
      <c r="I662">
        <v>0</v>
      </c>
      <c r="J662" s="21">
        <v>45505</v>
      </c>
      <c r="K662" t="s">
        <v>67</v>
      </c>
      <c r="L662" t="s">
        <v>9</v>
      </c>
      <c r="M662" t="s">
        <v>9</v>
      </c>
      <c r="N662" t="s">
        <v>586</v>
      </c>
      <c r="O662">
        <v>0</v>
      </c>
      <c r="S662" t="str">
        <f>TEXT(Table1[[#This Row],[Date]],"MMM-YY")</f>
        <v>May-24</v>
      </c>
      <c r="T662">
        <f>_xlfn.ISOWEEKNUM(Table1[[#This Row],[Date]])</f>
        <v>20</v>
      </c>
      <c r="U662" t="str">
        <f>TEXT(Table1[[#This Row],[Expected Business Month]],"YYYY")</f>
        <v>2024</v>
      </c>
    </row>
    <row r="663" spans="1:21" hidden="1">
      <c r="A663" s="1">
        <v>45426</v>
      </c>
      <c r="B663" t="s">
        <v>2047</v>
      </c>
      <c r="C663" t="s">
        <v>63</v>
      </c>
      <c r="D663" t="s">
        <v>64</v>
      </c>
      <c r="E663" t="s">
        <v>17</v>
      </c>
      <c r="F663" t="s">
        <v>2048</v>
      </c>
      <c r="G663" s="9" t="s">
        <v>1942</v>
      </c>
      <c r="H663">
        <v>15000</v>
      </c>
      <c r="I663">
        <v>0</v>
      </c>
      <c r="J663" s="21">
        <v>45505</v>
      </c>
      <c r="K663" t="s">
        <v>67</v>
      </c>
      <c r="L663" t="s">
        <v>9</v>
      </c>
      <c r="M663" t="s">
        <v>9</v>
      </c>
      <c r="N663" t="s">
        <v>586</v>
      </c>
      <c r="O663">
        <v>0</v>
      </c>
      <c r="S663" t="str">
        <f>TEXT(Table1[[#This Row],[Date]],"MMM-YY")</f>
        <v>May-24</v>
      </c>
      <c r="T663">
        <f>_xlfn.ISOWEEKNUM(Table1[[#This Row],[Date]])</f>
        <v>20</v>
      </c>
      <c r="U663" t="str">
        <f>TEXT(Table1[[#This Row],[Expected Business Month]],"YYYY")</f>
        <v>2024</v>
      </c>
    </row>
    <row r="664" spans="1:21" hidden="1">
      <c r="A664" s="1">
        <v>45427</v>
      </c>
      <c r="B664" t="s">
        <v>1552</v>
      </c>
      <c r="C664" t="s">
        <v>96</v>
      </c>
      <c r="D664" t="s">
        <v>20</v>
      </c>
      <c r="E664" t="s">
        <v>23</v>
      </c>
      <c r="F664" t="s">
        <v>2049</v>
      </c>
      <c r="G664" s="9" t="s">
        <v>2050</v>
      </c>
      <c r="H664">
        <v>12000</v>
      </c>
      <c r="I664">
        <v>12000</v>
      </c>
      <c r="J664" s="21">
        <v>45413</v>
      </c>
      <c r="K664" t="s">
        <v>67</v>
      </c>
      <c r="L664" t="s">
        <v>68</v>
      </c>
      <c r="M664" t="s">
        <v>69</v>
      </c>
      <c r="O664">
        <v>0</v>
      </c>
      <c r="S664" t="str">
        <f>TEXT(Table1[[#This Row],[Date]],"MMM-YY")</f>
        <v>May-24</v>
      </c>
      <c r="T664">
        <f>_xlfn.ISOWEEKNUM(Table1[[#This Row],[Date]])</f>
        <v>20</v>
      </c>
      <c r="U664" t="str">
        <f>TEXT(Table1[[#This Row],[Expected Business Month]],"YYYY")</f>
        <v>2024</v>
      </c>
    </row>
    <row r="665" spans="1:21" hidden="1">
      <c r="A665" s="1">
        <v>45427</v>
      </c>
      <c r="B665" t="s">
        <v>304</v>
      </c>
      <c r="C665" t="s">
        <v>96</v>
      </c>
      <c r="D665" t="s">
        <v>20</v>
      </c>
      <c r="E665" t="s">
        <v>23</v>
      </c>
      <c r="F665" t="s">
        <v>2051</v>
      </c>
      <c r="G665" s="9" t="s">
        <v>2052</v>
      </c>
      <c r="H665">
        <v>7000</v>
      </c>
      <c r="I665">
        <v>7000</v>
      </c>
      <c r="J665" s="21">
        <v>45413</v>
      </c>
      <c r="K665" t="s">
        <v>67</v>
      </c>
      <c r="L665" t="s">
        <v>68</v>
      </c>
      <c r="M665" t="s">
        <v>69</v>
      </c>
      <c r="O665">
        <v>0</v>
      </c>
      <c r="S665" t="str">
        <f>TEXT(Table1[[#This Row],[Date]],"MMM-YY")</f>
        <v>May-24</v>
      </c>
      <c r="T665">
        <f>_xlfn.ISOWEEKNUM(Table1[[#This Row],[Date]])</f>
        <v>20</v>
      </c>
      <c r="U665" t="str">
        <f>TEXT(Table1[[#This Row],[Expected Business Month]],"YYYY")</f>
        <v>2024</v>
      </c>
    </row>
    <row r="666" spans="1:21" hidden="1">
      <c r="A666" s="1">
        <v>45427</v>
      </c>
      <c r="B666" t="s">
        <v>1974</v>
      </c>
      <c r="C666" t="s">
        <v>96</v>
      </c>
      <c r="D666" t="s">
        <v>20</v>
      </c>
      <c r="E666" t="s">
        <v>23</v>
      </c>
      <c r="F666" t="s">
        <v>2053</v>
      </c>
      <c r="G666" s="9" t="s">
        <v>2054</v>
      </c>
      <c r="H666">
        <v>6000</v>
      </c>
      <c r="I666">
        <v>6000</v>
      </c>
      <c r="J666" s="21">
        <v>45413</v>
      </c>
      <c r="K666" t="s">
        <v>99</v>
      </c>
      <c r="L666" t="s">
        <v>68</v>
      </c>
      <c r="M666" t="s">
        <v>69</v>
      </c>
      <c r="O666">
        <v>0</v>
      </c>
      <c r="S666" t="str">
        <f>TEXT(Table1[[#This Row],[Date]],"MMM-YY")</f>
        <v>May-24</v>
      </c>
      <c r="T666">
        <f>_xlfn.ISOWEEKNUM(Table1[[#This Row],[Date]])</f>
        <v>20</v>
      </c>
      <c r="U666" t="str">
        <f>TEXT(Table1[[#This Row],[Expected Business Month]],"YYYY")</f>
        <v>2024</v>
      </c>
    </row>
    <row r="667" spans="1:21" hidden="1">
      <c r="A667" s="1">
        <v>45427</v>
      </c>
      <c r="B667" t="s">
        <v>2055</v>
      </c>
      <c r="C667" t="s">
        <v>63</v>
      </c>
      <c r="D667" t="s">
        <v>64</v>
      </c>
      <c r="E667" t="s">
        <v>26</v>
      </c>
      <c r="F667" t="s">
        <v>2056</v>
      </c>
      <c r="G667" s="9" t="s">
        <v>1860</v>
      </c>
      <c r="H667">
        <v>10000</v>
      </c>
      <c r="I667">
        <v>0</v>
      </c>
      <c r="J667" s="21">
        <v>45505</v>
      </c>
      <c r="K667" t="s">
        <v>67</v>
      </c>
      <c r="L667" t="s">
        <v>9</v>
      </c>
      <c r="M667" t="s">
        <v>9</v>
      </c>
      <c r="N667" t="s">
        <v>586</v>
      </c>
      <c r="O667">
        <v>0</v>
      </c>
      <c r="S667" t="str">
        <f>TEXT(Table1[[#This Row],[Date]],"MMM-YY")</f>
        <v>May-24</v>
      </c>
      <c r="T667">
        <f>_xlfn.ISOWEEKNUM(Table1[[#This Row],[Date]])</f>
        <v>20</v>
      </c>
      <c r="U667" t="str">
        <f>TEXT(Table1[[#This Row],[Expected Business Month]],"YYYY")</f>
        <v>2024</v>
      </c>
    </row>
    <row r="668" spans="1:21" hidden="1">
      <c r="A668" s="1">
        <v>45427</v>
      </c>
      <c r="B668" t="s">
        <v>2057</v>
      </c>
      <c r="C668" t="s">
        <v>63</v>
      </c>
      <c r="D668" t="s">
        <v>64</v>
      </c>
      <c r="E668" t="s">
        <v>26</v>
      </c>
      <c r="F668" t="s">
        <v>1300</v>
      </c>
      <c r="G668" s="9" t="s">
        <v>1457</v>
      </c>
      <c r="H668">
        <v>12000</v>
      </c>
      <c r="I668">
        <v>0</v>
      </c>
      <c r="J668" s="21">
        <v>45505</v>
      </c>
      <c r="K668" t="s">
        <v>67</v>
      </c>
      <c r="L668" t="s">
        <v>9</v>
      </c>
      <c r="M668" t="s">
        <v>9</v>
      </c>
      <c r="N668" t="s">
        <v>586</v>
      </c>
      <c r="O668">
        <v>0</v>
      </c>
      <c r="S668" t="str">
        <f>TEXT(Table1[[#This Row],[Date]],"MMM-YY")</f>
        <v>May-24</v>
      </c>
      <c r="T668">
        <f>_xlfn.ISOWEEKNUM(Table1[[#This Row],[Date]])</f>
        <v>20</v>
      </c>
      <c r="U668" t="str">
        <f>TEXT(Table1[[#This Row],[Expected Business Month]],"YYYY")</f>
        <v>2024</v>
      </c>
    </row>
    <row r="669" spans="1:21" hidden="1">
      <c r="A669" s="1">
        <v>45428</v>
      </c>
      <c r="B669" t="s">
        <v>2058</v>
      </c>
      <c r="C669" t="s">
        <v>63</v>
      </c>
      <c r="D669" t="s">
        <v>64</v>
      </c>
      <c r="E669" t="s">
        <v>14</v>
      </c>
      <c r="F669" t="s">
        <v>371</v>
      </c>
      <c r="G669" s="9" t="s">
        <v>2059</v>
      </c>
      <c r="H669">
        <v>15000</v>
      </c>
      <c r="I669">
        <v>0</v>
      </c>
      <c r="J669" s="21">
        <v>45505</v>
      </c>
      <c r="K669" t="s">
        <v>67</v>
      </c>
      <c r="L669" t="s">
        <v>9</v>
      </c>
      <c r="M669" t="s">
        <v>9</v>
      </c>
      <c r="N669" t="s">
        <v>586</v>
      </c>
      <c r="O669">
        <v>0</v>
      </c>
      <c r="S669" t="str">
        <f>TEXT(Table1[[#This Row],[Date]],"MMM-YY")</f>
        <v>May-24</v>
      </c>
      <c r="T669">
        <f>_xlfn.ISOWEEKNUM(Table1[[#This Row],[Date]])</f>
        <v>20</v>
      </c>
      <c r="U669" t="str">
        <f>TEXT(Table1[[#This Row],[Expected Business Month]],"YYYY")</f>
        <v>2024</v>
      </c>
    </row>
    <row r="670" spans="1:21" hidden="1">
      <c r="A670" s="1">
        <v>45428</v>
      </c>
      <c r="B670" t="s">
        <v>2060</v>
      </c>
      <c r="C670" t="s">
        <v>63</v>
      </c>
      <c r="D670" t="s">
        <v>64</v>
      </c>
      <c r="E670" t="s">
        <v>14</v>
      </c>
      <c r="F670" t="s">
        <v>2061</v>
      </c>
      <c r="G670" s="9" t="s">
        <v>1860</v>
      </c>
      <c r="H670">
        <v>12000</v>
      </c>
      <c r="I670">
        <v>0</v>
      </c>
      <c r="J670" s="21">
        <v>45505</v>
      </c>
      <c r="K670" t="s">
        <v>67</v>
      </c>
      <c r="L670" t="s">
        <v>9</v>
      </c>
      <c r="M670" t="s">
        <v>9</v>
      </c>
      <c r="N670" t="s">
        <v>586</v>
      </c>
      <c r="O670">
        <v>0</v>
      </c>
      <c r="S670" t="str">
        <f>TEXT(Table1[[#This Row],[Date]],"MMM-YY")</f>
        <v>May-24</v>
      </c>
      <c r="T670">
        <f>_xlfn.ISOWEEKNUM(Table1[[#This Row],[Date]])</f>
        <v>20</v>
      </c>
      <c r="U670" t="str">
        <f>TEXT(Table1[[#This Row],[Expected Business Month]],"YYYY")</f>
        <v>2024</v>
      </c>
    </row>
    <row r="671" spans="1:21" hidden="1">
      <c r="A671" s="1">
        <v>45428</v>
      </c>
      <c r="B671" t="s">
        <v>1829</v>
      </c>
      <c r="C671" t="s">
        <v>63</v>
      </c>
      <c r="D671" t="s">
        <v>64</v>
      </c>
      <c r="E671" t="s">
        <v>14</v>
      </c>
      <c r="F671" t="s">
        <v>2062</v>
      </c>
      <c r="G671" s="9" t="s">
        <v>1860</v>
      </c>
      <c r="H671">
        <v>15000</v>
      </c>
      <c r="I671">
        <v>0</v>
      </c>
      <c r="J671" s="21">
        <v>45505</v>
      </c>
      <c r="K671" t="s">
        <v>67</v>
      </c>
      <c r="L671" t="s">
        <v>9</v>
      </c>
      <c r="M671" t="s">
        <v>9</v>
      </c>
      <c r="N671" t="s">
        <v>586</v>
      </c>
      <c r="O671">
        <v>0</v>
      </c>
      <c r="S671" t="str">
        <f>TEXT(Table1[[#This Row],[Date]],"MMM-YY")</f>
        <v>May-24</v>
      </c>
      <c r="T671">
        <f>_xlfn.ISOWEEKNUM(Table1[[#This Row],[Date]])</f>
        <v>20</v>
      </c>
      <c r="U671" t="str">
        <f>TEXT(Table1[[#This Row],[Expected Business Month]],"YYYY")</f>
        <v>2024</v>
      </c>
    </row>
    <row r="672" spans="1:21" hidden="1">
      <c r="A672" s="1">
        <v>45428</v>
      </c>
      <c r="B672" t="s">
        <v>2063</v>
      </c>
      <c r="C672" t="s">
        <v>96</v>
      </c>
      <c r="D672" t="s">
        <v>64</v>
      </c>
      <c r="E672" t="s">
        <v>26</v>
      </c>
      <c r="F672" t="s">
        <v>2064</v>
      </c>
      <c r="G672" s="9" t="s">
        <v>2065</v>
      </c>
      <c r="H672">
        <v>10000</v>
      </c>
      <c r="I672">
        <v>0</v>
      </c>
      <c r="J672" s="21">
        <v>45505</v>
      </c>
      <c r="K672" t="s">
        <v>67</v>
      </c>
      <c r="L672" t="s">
        <v>9</v>
      </c>
      <c r="M672" t="s">
        <v>9</v>
      </c>
      <c r="N672" t="s">
        <v>586</v>
      </c>
      <c r="O672">
        <v>0</v>
      </c>
      <c r="S672" t="str">
        <f>TEXT(Table1[[#This Row],[Date]],"MMM-YY")</f>
        <v>May-24</v>
      </c>
      <c r="T672">
        <f>_xlfn.ISOWEEKNUM(Table1[[#This Row],[Date]])</f>
        <v>20</v>
      </c>
      <c r="U672" t="str">
        <f>TEXT(Table1[[#This Row],[Expected Business Month]],"YYYY")</f>
        <v>2024</v>
      </c>
    </row>
    <row r="673" spans="1:21" hidden="1">
      <c r="A673" s="1">
        <v>45428</v>
      </c>
      <c r="B673" t="s">
        <v>2066</v>
      </c>
      <c r="C673" t="s">
        <v>96</v>
      </c>
      <c r="D673" t="s">
        <v>64</v>
      </c>
      <c r="E673" t="s">
        <v>26</v>
      </c>
      <c r="F673" t="s">
        <v>1853</v>
      </c>
      <c r="G673" s="9" t="s">
        <v>1946</v>
      </c>
      <c r="H673">
        <v>12000</v>
      </c>
      <c r="I673">
        <v>0</v>
      </c>
      <c r="J673" s="21">
        <v>45505</v>
      </c>
      <c r="K673" t="s">
        <v>67</v>
      </c>
      <c r="L673" t="s">
        <v>9</v>
      </c>
      <c r="M673" t="s">
        <v>9</v>
      </c>
      <c r="N673" t="s">
        <v>586</v>
      </c>
      <c r="O673">
        <v>0</v>
      </c>
      <c r="S673" t="str">
        <f>TEXT(Table1[[#This Row],[Date]],"MMM-YY")</f>
        <v>May-24</v>
      </c>
      <c r="T673">
        <f>_xlfn.ISOWEEKNUM(Table1[[#This Row],[Date]])</f>
        <v>20</v>
      </c>
      <c r="U673" t="str">
        <f>TEXT(Table1[[#This Row],[Expected Business Month]],"YYYY")</f>
        <v>2024</v>
      </c>
    </row>
    <row r="674" spans="1:21" hidden="1">
      <c r="A674" s="1">
        <v>45429</v>
      </c>
      <c r="B674" t="s">
        <v>2067</v>
      </c>
      <c r="C674" t="s">
        <v>63</v>
      </c>
      <c r="D674" t="s">
        <v>64</v>
      </c>
      <c r="E674" t="s">
        <v>28</v>
      </c>
      <c r="F674" t="s">
        <v>2068</v>
      </c>
      <c r="G674" s="9" t="s">
        <v>2069</v>
      </c>
      <c r="H674">
        <v>30000</v>
      </c>
      <c r="I674">
        <v>0</v>
      </c>
      <c r="J674" s="21">
        <v>45505</v>
      </c>
      <c r="K674" t="s">
        <v>67</v>
      </c>
      <c r="L674" t="s">
        <v>9</v>
      </c>
      <c r="M674" t="s">
        <v>9</v>
      </c>
      <c r="N674" t="s">
        <v>586</v>
      </c>
      <c r="O674">
        <v>0</v>
      </c>
      <c r="S674" t="str">
        <f>TEXT(Table1[[#This Row],[Date]],"MMM-YY")</f>
        <v>May-24</v>
      </c>
      <c r="T674">
        <f>_xlfn.ISOWEEKNUM(Table1[[#This Row],[Date]])</f>
        <v>20</v>
      </c>
      <c r="U674" t="str">
        <f>TEXT(Table1[[#This Row],[Expected Business Month]],"YYYY")</f>
        <v>2024</v>
      </c>
    </row>
    <row r="675" spans="1:21" hidden="1">
      <c r="A675" s="1">
        <v>45429</v>
      </c>
      <c r="B675" t="s">
        <v>2070</v>
      </c>
      <c r="C675" t="s">
        <v>63</v>
      </c>
      <c r="D675" t="s">
        <v>64</v>
      </c>
      <c r="E675" t="s">
        <v>30</v>
      </c>
      <c r="F675" t="s">
        <v>2071</v>
      </c>
      <c r="G675" s="9" t="s">
        <v>1851</v>
      </c>
      <c r="H675">
        <v>38000</v>
      </c>
      <c r="I675">
        <v>0</v>
      </c>
      <c r="J675" s="21">
        <v>45505</v>
      </c>
      <c r="K675" t="s">
        <v>67</v>
      </c>
      <c r="L675" t="s">
        <v>9</v>
      </c>
      <c r="M675" t="s">
        <v>9</v>
      </c>
      <c r="N675" t="s">
        <v>586</v>
      </c>
      <c r="O675">
        <v>0</v>
      </c>
      <c r="S675" t="str">
        <f>TEXT(Table1[[#This Row],[Date]],"MMM-YY")</f>
        <v>May-24</v>
      </c>
      <c r="T675">
        <f>_xlfn.ISOWEEKNUM(Table1[[#This Row],[Date]])</f>
        <v>20</v>
      </c>
      <c r="U675" t="str">
        <f>TEXT(Table1[[#This Row],[Expected Business Month]],"YYYY")</f>
        <v>2024</v>
      </c>
    </row>
    <row r="676" spans="1:21" hidden="1">
      <c r="A676" s="1">
        <v>45429</v>
      </c>
      <c r="B676" t="s">
        <v>2072</v>
      </c>
      <c r="C676" t="s">
        <v>96</v>
      </c>
      <c r="D676" t="s">
        <v>64</v>
      </c>
      <c r="E676" t="s">
        <v>26</v>
      </c>
      <c r="F676" t="s">
        <v>2073</v>
      </c>
      <c r="G676" s="9" t="s">
        <v>1946</v>
      </c>
      <c r="H676">
        <v>10000</v>
      </c>
      <c r="I676">
        <v>0</v>
      </c>
      <c r="J676" s="21">
        <v>45505</v>
      </c>
      <c r="K676" t="s">
        <v>67</v>
      </c>
      <c r="L676" t="s">
        <v>9</v>
      </c>
      <c r="M676" t="s">
        <v>9</v>
      </c>
      <c r="N676" t="s">
        <v>586</v>
      </c>
      <c r="O676">
        <v>0</v>
      </c>
      <c r="S676" t="str">
        <f>TEXT(Table1[[#This Row],[Date]],"MMM-YY")</f>
        <v>May-24</v>
      </c>
      <c r="T676">
        <f>_xlfn.ISOWEEKNUM(Table1[[#This Row],[Date]])</f>
        <v>20</v>
      </c>
      <c r="U676" t="str">
        <f>TEXT(Table1[[#This Row],[Expected Business Month]],"YYYY")</f>
        <v>2024</v>
      </c>
    </row>
    <row r="677" spans="1:21" hidden="1">
      <c r="A677" s="1">
        <v>45429</v>
      </c>
      <c r="B677" t="s">
        <v>788</v>
      </c>
      <c r="C677" t="s">
        <v>96</v>
      </c>
      <c r="D677" t="s">
        <v>618</v>
      </c>
      <c r="E677" t="s">
        <v>18</v>
      </c>
      <c r="F677" t="s">
        <v>2074</v>
      </c>
      <c r="G677" s="9" t="s">
        <v>2075</v>
      </c>
      <c r="H677">
        <v>12000</v>
      </c>
      <c r="I677">
        <v>0</v>
      </c>
      <c r="J677" s="21">
        <v>45505</v>
      </c>
      <c r="K677" t="s">
        <v>67</v>
      </c>
      <c r="L677" t="s">
        <v>9</v>
      </c>
      <c r="M677" t="s">
        <v>9</v>
      </c>
      <c r="N677" t="s">
        <v>586</v>
      </c>
      <c r="O677">
        <v>0</v>
      </c>
      <c r="S677" t="str">
        <f>TEXT(Table1[[#This Row],[Date]],"MMM-YY")</f>
        <v>May-24</v>
      </c>
      <c r="T677">
        <f>_xlfn.ISOWEEKNUM(Table1[[#This Row],[Date]])</f>
        <v>20</v>
      </c>
      <c r="U677" t="str">
        <f>TEXT(Table1[[#This Row],[Expected Business Month]],"YYYY")</f>
        <v>2024</v>
      </c>
    </row>
    <row r="678" spans="1:21" hidden="1">
      <c r="A678" s="1">
        <v>45430</v>
      </c>
      <c r="B678" t="s">
        <v>2076</v>
      </c>
      <c r="C678" t="s">
        <v>96</v>
      </c>
      <c r="D678" t="s">
        <v>2077</v>
      </c>
      <c r="E678" t="s">
        <v>25</v>
      </c>
      <c r="F678" t="s">
        <v>770</v>
      </c>
      <c r="G678" s="9" t="s">
        <v>2078</v>
      </c>
      <c r="H678">
        <v>8000</v>
      </c>
      <c r="I678">
        <v>8000</v>
      </c>
      <c r="J678" s="21">
        <v>45413</v>
      </c>
      <c r="K678" t="s">
        <v>67</v>
      </c>
      <c r="L678" t="s">
        <v>68</v>
      </c>
      <c r="M678" t="s">
        <v>69</v>
      </c>
      <c r="O678">
        <v>0</v>
      </c>
      <c r="S678" t="str">
        <f>TEXT(Table1[[#This Row],[Date]],"MMM-YY")</f>
        <v>May-24</v>
      </c>
      <c r="T678">
        <f>_xlfn.ISOWEEKNUM(Table1[[#This Row],[Date]])</f>
        <v>20</v>
      </c>
      <c r="U678" t="str">
        <f>TEXT(Table1[[#This Row],[Expected Business Month]],"YYYY")</f>
        <v>2024</v>
      </c>
    </row>
    <row r="679" spans="1:21" hidden="1">
      <c r="A679" s="1">
        <v>45431</v>
      </c>
      <c r="B679" t="s">
        <v>2079</v>
      </c>
      <c r="C679" t="s">
        <v>96</v>
      </c>
      <c r="D679" t="s">
        <v>20</v>
      </c>
      <c r="E679" t="s">
        <v>23</v>
      </c>
      <c r="F679" t="s">
        <v>2080</v>
      </c>
      <c r="G679" s="9" t="s">
        <v>2081</v>
      </c>
      <c r="H679">
        <v>5000</v>
      </c>
      <c r="I679">
        <v>5000</v>
      </c>
      <c r="J679" s="21">
        <v>45413</v>
      </c>
      <c r="K679" t="s">
        <v>67</v>
      </c>
      <c r="L679" t="s">
        <v>68</v>
      </c>
      <c r="M679" t="s">
        <v>69</v>
      </c>
      <c r="O679">
        <v>800</v>
      </c>
      <c r="S679" t="str">
        <f>TEXT(Table1[[#This Row],[Date]],"MMM-YY")</f>
        <v>May-24</v>
      </c>
      <c r="T679">
        <f>_xlfn.ISOWEEKNUM(Table1[[#This Row],[Date]])</f>
        <v>20</v>
      </c>
      <c r="U679" t="str">
        <f>TEXT(Table1[[#This Row],[Expected Business Month]],"YYYY")</f>
        <v>2024</v>
      </c>
    </row>
    <row r="680" spans="1:21" ht="29.1" hidden="1">
      <c r="A680" s="1">
        <v>45432</v>
      </c>
      <c r="B680" t="s">
        <v>2082</v>
      </c>
      <c r="C680" t="s">
        <v>63</v>
      </c>
      <c r="D680" t="s">
        <v>64</v>
      </c>
      <c r="E680" t="s">
        <v>32</v>
      </c>
      <c r="F680" t="s">
        <v>2083</v>
      </c>
      <c r="G680" s="9" t="s">
        <v>2084</v>
      </c>
      <c r="H680">
        <v>20000</v>
      </c>
      <c r="I680">
        <v>0</v>
      </c>
      <c r="J680" s="21">
        <v>45505</v>
      </c>
      <c r="K680" t="s">
        <v>67</v>
      </c>
      <c r="L680" t="s">
        <v>9</v>
      </c>
      <c r="M680" t="s">
        <v>9</v>
      </c>
      <c r="N680" t="s">
        <v>586</v>
      </c>
      <c r="O680">
        <v>0</v>
      </c>
      <c r="S680" t="str">
        <f>TEXT(Table1[[#This Row],[Date]],"MMM-YY")</f>
        <v>May-24</v>
      </c>
      <c r="T680">
        <f>_xlfn.ISOWEEKNUM(Table1[[#This Row],[Date]])</f>
        <v>21</v>
      </c>
      <c r="U680" t="str">
        <f>TEXT(Table1[[#This Row],[Expected Business Month]],"YYYY")</f>
        <v>2024</v>
      </c>
    </row>
    <row r="681" spans="1:21" hidden="1">
      <c r="A681" s="1">
        <v>45432</v>
      </c>
      <c r="B681" t="s">
        <v>2085</v>
      </c>
      <c r="C681" t="s">
        <v>63</v>
      </c>
      <c r="D681" t="s">
        <v>64</v>
      </c>
      <c r="E681" t="s">
        <v>26</v>
      </c>
      <c r="F681" t="s">
        <v>2086</v>
      </c>
      <c r="G681" s="9" t="s">
        <v>2087</v>
      </c>
      <c r="H681">
        <v>10000</v>
      </c>
      <c r="I681">
        <v>0</v>
      </c>
      <c r="J681" s="21">
        <v>45505</v>
      </c>
      <c r="K681" t="s">
        <v>67</v>
      </c>
      <c r="L681" t="s">
        <v>9</v>
      </c>
      <c r="M681" t="s">
        <v>9</v>
      </c>
      <c r="N681" t="s">
        <v>586</v>
      </c>
      <c r="O681">
        <v>0</v>
      </c>
      <c r="S681" t="str">
        <f>TEXT(Table1[[#This Row],[Date]],"MMM-YY")</f>
        <v>May-24</v>
      </c>
      <c r="T681">
        <f>_xlfn.ISOWEEKNUM(Table1[[#This Row],[Date]])</f>
        <v>21</v>
      </c>
      <c r="U681" t="str">
        <f>TEXT(Table1[[#This Row],[Expected Business Month]],"YYYY")</f>
        <v>2024</v>
      </c>
    </row>
    <row r="682" spans="1:21" ht="29.1" hidden="1">
      <c r="A682" s="1">
        <v>45432</v>
      </c>
      <c r="B682" t="s">
        <v>2088</v>
      </c>
      <c r="C682" t="s">
        <v>96</v>
      </c>
      <c r="D682" t="s">
        <v>64</v>
      </c>
      <c r="E682" t="s">
        <v>26</v>
      </c>
      <c r="F682" t="s">
        <v>2089</v>
      </c>
      <c r="G682" s="9" t="s">
        <v>2090</v>
      </c>
      <c r="H682">
        <v>12000</v>
      </c>
      <c r="I682">
        <v>0</v>
      </c>
      <c r="J682" s="21">
        <v>45505</v>
      </c>
      <c r="K682" t="s">
        <v>67</v>
      </c>
      <c r="L682" t="s">
        <v>9</v>
      </c>
      <c r="M682" t="s">
        <v>9</v>
      </c>
      <c r="N682" t="s">
        <v>586</v>
      </c>
      <c r="O682">
        <v>0</v>
      </c>
      <c r="S682" t="str">
        <f>TEXT(Table1[[#This Row],[Date]],"MMM-YY")</f>
        <v>May-24</v>
      </c>
      <c r="T682">
        <f>_xlfn.ISOWEEKNUM(Table1[[#This Row],[Date]])</f>
        <v>21</v>
      </c>
      <c r="U682" t="str">
        <f>TEXT(Table1[[#This Row],[Expected Business Month]],"YYYY")</f>
        <v>2024</v>
      </c>
    </row>
    <row r="683" spans="1:21" hidden="1">
      <c r="A683" s="1">
        <v>45432</v>
      </c>
      <c r="B683" t="s">
        <v>2091</v>
      </c>
      <c r="C683" t="s">
        <v>63</v>
      </c>
      <c r="D683" t="s">
        <v>64</v>
      </c>
      <c r="E683" t="s">
        <v>29</v>
      </c>
      <c r="F683" t="s">
        <v>2092</v>
      </c>
      <c r="G683" s="9" t="s">
        <v>2093</v>
      </c>
      <c r="H683">
        <v>15000</v>
      </c>
      <c r="I683">
        <v>0</v>
      </c>
      <c r="J683" s="21">
        <v>45505</v>
      </c>
      <c r="K683" t="s">
        <v>67</v>
      </c>
      <c r="L683" t="s">
        <v>9</v>
      </c>
      <c r="M683" t="s">
        <v>9</v>
      </c>
      <c r="N683" t="s">
        <v>586</v>
      </c>
      <c r="O683">
        <v>0</v>
      </c>
      <c r="S683" t="str">
        <f>TEXT(Table1[[#This Row],[Date]],"MMM-YY")</f>
        <v>May-24</v>
      </c>
      <c r="T683">
        <f>_xlfn.ISOWEEKNUM(Table1[[#This Row],[Date]])</f>
        <v>21</v>
      </c>
      <c r="U683" t="str">
        <f>TEXT(Table1[[#This Row],[Expected Business Month]],"YYYY")</f>
        <v>2024</v>
      </c>
    </row>
    <row r="684" spans="1:21" ht="29.1" hidden="1">
      <c r="A684" s="1">
        <v>45433</v>
      </c>
      <c r="B684" t="s">
        <v>324</v>
      </c>
      <c r="C684" t="s">
        <v>96</v>
      </c>
      <c r="D684" t="s">
        <v>64</v>
      </c>
      <c r="E684" t="s">
        <v>38</v>
      </c>
      <c r="F684" t="s">
        <v>325</v>
      </c>
      <c r="G684" s="9" t="s">
        <v>2094</v>
      </c>
      <c r="H684">
        <v>42000</v>
      </c>
      <c r="I684">
        <v>42000</v>
      </c>
      <c r="J684" s="21">
        <v>45413</v>
      </c>
      <c r="K684" t="s">
        <v>99</v>
      </c>
      <c r="L684" t="s">
        <v>68</v>
      </c>
      <c r="M684" t="s">
        <v>69</v>
      </c>
      <c r="O684">
        <v>0</v>
      </c>
      <c r="S684" t="str">
        <f>TEXT(Table1[[#This Row],[Date]],"MMM-YY")</f>
        <v>May-24</v>
      </c>
      <c r="T684">
        <f>_xlfn.ISOWEEKNUM(Table1[[#This Row],[Date]])</f>
        <v>21</v>
      </c>
      <c r="U684" t="str">
        <f>TEXT(Table1[[#This Row],[Expected Business Month]],"YYYY")</f>
        <v>2024</v>
      </c>
    </row>
    <row r="685" spans="1:21" ht="29.1" hidden="1">
      <c r="A685" s="1">
        <v>45433</v>
      </c>
      <c r="B685" t="s">
        <v>2095</v>
      </c>
      <c r="C685" t="s">
        <v>63</v>
      </c>
      <c r="D685" t="s">
        <v>64</v>
      </c>
      <c r="E685" t="s">
        <v>29</v>
      </c>
      <c r="F685" t="s">
        <v>2096</v>
      </c>
      <c r="G685" s="9" t="s">
        <v>2097</v>
      </c>
      <c r="H685">
        <v>15000</v>
      </c>
      <c r="I685">
        <v>0</v>
      </c>
      <c r="J685" s="21">
        <v>45505</v>
      </c>
      <c r="K685" t="s">
        <v>67</v>
      </c>
      <c r="L685" t="s">
        <v>9</v>
      </c>
      <c r="M685" t="s">
        <v>9</v>
      </c>
      <c r="N685" t="s">
        <v>586</v>
      </c>
      <c r="O685">
        <v>0</v>
      </c>
      <c r="S685" t="str">
        <f>TEXT(Table1[[#This Row],[Date]],"MMM-YY")</f>
        <v>May-24</v>
      </c>
      <c r="T685">
        <f>_xlfn.ISOWEEKNUM(Table1[[#This Row],[Date]])</f>
        <v>21</v>
      </c>
      <c r="U685" t="str">
        <f>TEXT(Table1[[#This Row],[Expected Business Month]],"YYYY")</f>
        <v>2024</v>
      </c>
    </row>
    <row r="686" spans="1:21" hidden="1">
      <c r="A686" s="1">
        <v>45433</v>
      </c>
      <c r="B686" t="s">
        <v>2098</v>
      </c>
      <c r="C686" t="s">
        <v>63</v>
      </c>
      <c r="D686" t="s">
        <v>105</v>
      </c>
      <c r="E686" t="s">
        <v>18</v>
      </c>
      <c r="F686" t="s">
        <v>2099</v>
      </c>
      <c r="G686" s="9" t="s">
        <v>2100</v>
      </c>
      <c r="H686">
        <v>12000</v>
      </c>
      <c r="I686">
        <v>0</v>
      </c>
      <c r="J686" s="21">
        <v>45505</v>
      </c>
      <c r="K686" t="s">
        <v>67</v>
      </c>
      <c r="L686" t="s">
        <v>9</v>
      </c>
      <c r="M686" t="s">
        <v>9</v>
      </c>
      <c r="N686" t="s">
        <v>586</v>
      </c>
      <c r="O686">
        <v>0</v>
      </c>
      <c r="S686" t="str">
        <f>TEXT(Table1[[#This Row],[Date]],"MMM-YY")</f>
        <v>May-24</v>
      </c>
      <c r="T686">
        <f>_xlfn.ISOWEEKNUM(Table1[[#This Row],[Date]])</f>
        <v>21</v>
      </c>
      <c r="U686" t="str">
        <f>TEXT(Table1[[#This Row],[Expected Business Month]],"YYYY")</f>
        <v>2024</v>
      </c>
    </row>
    <row r="687" spans="1:21" hidden="1">
      <c r="A687" s="1">
        <v>45433</v>
      </c>
      <c r="B687" t="s">
        <v>2101</v>
      </c>
      <c r="C687" t="s">
        <v>63</v>
      </c>
      <c r="D687" t="s">
        <v>64</v>
      </c>
      <c r="E687" t="s">
        <v>14</v>
      </c>
      <c r="F687" t="s">
        <v>2102</v>
      </c>
      <c r="G687" s="9" t="s">
        <v>1860</v>
      </c>
      <c r="H687">
        <v>15000</v>
      </c>
      <c r="I687">
        <v>0</v>
      </c>
      <c r="J687" s="21">
        <v>45505</v>
      </c>
      <c r="K687" t="s">
        <v>67</v>
      </c>
      <c r="L687" t="s">
        <v>9</v>
      </c>
      <c r="M687" t="s">
        <v>9</v>
      </c>
      <c r="N687" t="s">
        <v>586</v>
      </c>
      <c r="O687">
        <v>0</v>
      </c>
      <c r="S687" t="str">
        <f>TEXT(Table1[[#This Row],[Date]],"MMM-YY")</f>
        <v>May-24</v>
      </c>
      <c r="T687">
        <f>_xlfn.ISOWEEKNUM(Table1[[#This Row],[Date]])</f>
        <v>21</v>
      </c>
      <c r="U687" t="str">
        <f>TEXT(Table1[[#This Row],[Expected Business Month]],"YYYY")</f>
        <v>2024</v>
      </c>
    </row>
    <row r="688" spans="1:21" ht="29.1" hidden="1">
      <c r="A688" s="1">
        <v>45434</v>
      </c>
      <c r="B688" t="s">
        <v>241</v>
      </c>
      <c r="C688" t="s">
        <v>96</v>
      </c>
      <c r="D688" t="s">
        <v>20</v>
      </c>
      <c r="E688" t="s">
        <v>23</v>
      </c>
      <c r="F688" t="s">
        <v>2103</v>
      </c>
      <c r="G688" s="9" t="s">
        <v>2104</v>
      </c>
      <c r="H688">
        <v>15000</v>
      </c>
      <c r="I688">
        <v>0</v>
      </c>
      <c r="J688" s="21">
        <v>45413</v>
      </c>
      <c r="K688" t="s">
        <v>67</v>
      </c>
      <c r="L688" t="s">
        <v>9</v>
      </c>
      <c r="M688" t="s">
        <v>9</v>
      </c>
      <c r="N688" t="s">
        <v>680</v>
      </c>
      <c r="O688">
        <v>0</v>
      </c>
      <c r="S688" t="str">
        <f>TEXT(Table1[[#This Row],[Date]],"MMM-YY")</f>
        <v>May-24</v>
      </c>
      <c r="T688">
        <f>_xlfn.ISOWEEKNUM(Table1[[#This Row],[Date]])</f>
        <v>21</v>
      </c>
      <c r="U688" t="str">
        <f>TEXT(Table1[[#This Row],[Expected Business Month]],"YYYY")</f>
        <v>2024</v>
      </c>
    </row>
    <row r="689" spans="1:21" hidden="1">
      <c r="A689" s="1">
        <v>45434</v>
      </c>
      <c r="B689" t="s">
        <v>2105</v>
      </c>
      <c r="C689" t="s">
        <v>63</v>
      </c>
      <c r="D689" t="s">
        <v>64</v>
      </c>
      <c r="E689" t="s">
        <v>26</v>
      </c>
      <c r="F689" t="s">
        <v>2106</v>
      </c>
      <c r="G689" s="9" t="s">
        <v>1857</v>
      </c>
      <c r="H689">
        <v>12000</v>
      </c>
      <c r="I689">
        <v>0</v>
      </c>
      <c r="J689" s="21">
        <v>45505</v>
      </c>
      <c r="K689" t="s">
        <v>67</v>
      </c>
      <c r="L689" t="s">
        <v>9</v>
      </c>
      <c r="M689" t="s">
        <v>9</v>
      </c>
      <c r="N689" t="s">
        <v>586</v>
      </c>
      <c r="O689">
        <v>0</v>
      </c>
      <c r="S689" t="str">
        <f>TEXT(Table1[[#This Row],[Date]],"MMM-YY")</f>
        <v>May-24</v>
      </c>
      <c r="T689">
        <f>_xlfn.ISOWEEKNUM(Table1[[#This Row],[Date]])</f>
        <v>21</v>
      </c>
      <c r="U689" t="str">
        <f>TEXT(Table1[[#This Row],[Expected Business Month]],"YYYY")</f>
        <v>2024</v>
      </c>
    </row>
    <row r="690" spans="1:21" hidden="1">
      <c r="A690" s="1">
        <v>45434</v>
      </c>
      <c r="B690" t="s">
        <v>2107</v>
      </c>
      <c r="C690" t="s">
        <v>96</v>
      </c>
      <c r="D690" t="s">
        <v>20</v>
      </c>
      <c r="E690" t="s">
        <v>23</v>
      </c>
      <c r="F690" t="s">
        <v>2108</v>
      </c>
      <c r="G690" s="9" t="s">
        <v>2109</v>
      </c>
      <c r="H690">
        <v>10000</v>
      </c>
      <c r="I690">
        <v>0</v>
      </c>
      <c r="J690" s="21">
        <v>45413</v>
      </c>
      <c r="K690" t="s">
        <v>67</v>
      </c>
      <c r="L690" t="s">
        <v>9</v>
      </c>
      <c r="M690" t="s">
        <v>9</v>
      </c>
      <c r="N690" t="s">
        <v>2110</v>
      </c>
      <c r="O690">
        <v>0</v>
      </c>
      <c r="S690" t="str">
        <f>TEXT(Table1[[#This Row],[Date]],"MMM-YY")</f>
        <v>May-24</v>
      </c>
      <c r="T690">
        <f>_xlfn.ISOWEEKNUM(Table1[[#This Row],[Date]])</f>
        <v>21</v>
      </c>
      <c r="U690" t="str">
        <f>TEXT(Table1[[#This Row],[Expected Business Month]],"YYYY")</f>
        <v>2024</v>
      </c>
    </row>
    <row r="691" spans="1:21" hidden="1">
      <c r="A691" s="1">
        <v>45434</v>
      </c>
      <c r="B691" t="s">
        <v>2111</v>
      </c>
      <c r="C691" t="s">
        <v>96</v>
      </c>
      <c r="D691" t="s">
        <v>618</v>
      </c>
      <c r="E691" t="s">
        <v>18</v>
      </c>
      <c r="F691" t="s">
        <v>1262</v>
      </c>
      <c r="G691" s="9" t="s">
        <v>1860</v>
      </c>
      <c r="H691">
        <v>12000</v>
      </c>
      <c r="I691">
        <v>0</v>
      </c>
      <c r="J691" s="21">
        <v>45505</v>
      </c>
      <c r="K691" t="s">
        <v>67</v>
      </c>
      <c r="L691" t="s">
        <v>9</v>
      </c>
      <c r="M691" t="s">
        <v>9</v>
      </c>
      <c r="N691" t="s">
        <v>586</v>
      </c>
      <c r="O691">
        <v>0</v>
      </c>
      <c r="S691" t="str">
        <f>TEXT(Table1[[#This Row],[Date]],"MMM-YY")</f>
        <v>May-24</v>
      </c>
      <c r="T691">
        <f>_xlfn.ISOWEEKNUM(Table1[[#This Row],[Date]])</f>
        <v>21</v>
      </c>
      <c r="U691" t="str">
        <f>TEXT(Table1[[#This Row],[Expected Business Month]],"YYYY")</f>
        <v>2024</v>
      </c>
    </row>
    <row r="692" spans="1:21" hidden="1">
      <c r="A692" s="1">
        <v>45434</v>
      </c>
      <c r="B692" t="s">
        <v>1277</v>
      </c>
      <c r="C692" t="s">
        <v>63</v>
      </c>
      <c r="D692" t="s">
        <v>64</v>
      </c>
      <c r="E692" t="s">
        <v>26</v>
      </c>
      <c r="F692" t="s">
        <v>998</v>
      </c>
      <c r="G692" s="9" t="s">
        <v>1860</v>
      </c>
      <c r="H692">
        <v>10000</v>
      </c>
      <c r="I692">
        <v>0</v>
      </c>
      <c r="J692" s="21">
        <v>45505</v>
      </c>
      <c r="K692" t="s">
        <v>67</v>
      </c>
      <c r="L692" t="s">
        <v>9</v>
      </c>
      <c r="M692" t="s">
        <v>9</v>
      </c>
      <c r="N692" t="s">
        <v>586</v>
      </c>
      <c r="O692">
        <v>0</v>
      </c>
      <c r="S692" t="str">
        <f>TEXT(Table1[[#This Row],[Date]],"MMM-YY")</f>
        <v>May-24</v>
      </c>
      <c r="T692">
        <f>_xlfn.ISOWEEKNUM(Table1[[#This Row],[Date]])</f>
        <v>21</v>
      </c>
      <c r="U692" t="str">
        <f>TEXT(Table1[[#This Row],[Expected Business Month]],"YYYY")</f>
        <v>2024</v>
      </c>
    </row>
    <row r="693" spans="1:21" hidden="1">
      <c r="A693" s="1">
        <v>45435</v>
      </c>
      <c r="B693" t="s">
        <v>2112</v>
      </c>
      <c r="C693" t="s">
        <v>96</v>
      </c>
      <c r="D693" t="s">
        <v>64</v>
      </c>
      <c r="E693" t="s">
        <v>16</v>
      </c>
      <c r="F693" t="s">
        <v>2113</v>
      </c>
      <c r="G693" s="9" t="s">
        <v>2114</v>
      </c>
      <c r="H693">
        <v>10000</v>
      </c>
      <c r="I693">
        <v>0</v>
      </c>
      <c r="J693" s="21">
        <v>45536</v>
      </c>
      <c r="K693" t="s">
        <v>99</v>
      </c>
      <c r="L693" t="s">
        <v>9</v>
      </c>
      <c r="M693" t="s">
        <v>9</v>
      </c>
      <c r="N693" t="s">
        <v>2115</v>
      </c>
      <c r="O693">
        <v>0</v>
      </c>
      <c r="S693" t="str">
        <f>TEXT(Table1[[#This Row],[Date]],"MMM-YY")</f>
        <v>May-24</v>
      </c>
      <c r="T693">
        <f>_xlfn.ISOWEEKNUM(Table1[[#This Row],[Date]])</f>
        <v>21</v>
      </c>
      <c r="U693" t="str">
        <f>TEXT(Table1[[#This Row],[Expected Business Month]],"YYYY")</f>
        <v>2024</v>
      </c>
    </row>
    <row r="694" spans="1:21" hidden="1">
      <c r="A694" s="1">
        <v>45435</v>
      </c>
      <c r="B694" t="s">
        <v>2116</v>
      </c>
      <c r="C694" t="s">
        <v>96</v>
      </c>
      <c r="D694" t="s">
        <v>64</v>
      </c>
      <c r="E694" t="s">
        <v>16</v>
      </c>
      <c r="F694" t="s">
        <v>1533</v>
      </c>
      <c r="G694" s="9" t="s">
        <v>1860</v>
      </c>
      <c r="H694">
        <v>8000</v>
      </c>
      <c r="I694">
        <v>0</v>
      </c>
      <c r="J694" s="21">
        <v>45536</v>
      </c>
      <c r="K694" t="s">
        <v>99</v>
      </c>
      <c r="L694" t="s">
        <v>9</v>
      </c>
      <c r="M694" t="s">
        <v>9</v>
      </c>
      <c r="N694" t="s">
        <v>2115</v>
      </c>
      <c r="O694">
        <v>0</v>
      </c>
      <c r="S694" t="str">
        <f>TEXT(Table1[[#This Row],[Date]],"MMM-YY")</f>
        <v>May-24</v>
      </c>
      <c r="T694">
        <f>_xlfn.ISOWEEKNUM(Table1[[#This Row],[Date]])</f>
        <v>21</v>
      </c>
      <c r="U694" t="str">
        <f>TEXT(Table1[[#This Row],[Expected Business Month]],"YYYY")</f>
        <v>2024</v>
      </c>
    </row>
    <row r="695" spans="1:21" hidden="1">
      <c r="A695" s="1">
        <v>45435</v>
      </c>
      <c r="B695" t="s">
        <v>2117</v>
      </c>
      <c r="C695" t="s">
        <v>96</v>
      </c>
      <c r="D695" t="s">
        <v>20</v>
      </c>
      <c r="E695" t="s">
        <v>23</v>
      </c>
      <c r="F695" t="s">
        <v>2118</v>
      </c>
      <c r="G695" s="9" t="s">
        <v>2119</v>
      </c>
      <c r="H695">
        <v>12000</v>
      </c>
      <c r="I695">
        <v>12000</v>
      </c>
      <c r="J695" s="21">
        <v>45413</v>
      </c>
      <c r="K695" t="s">
        <v>67</v>
      </c>
      <c r="L695" t="s">
        <v>68</v>
      </c>
      <c r="M695" t="s">
        <v>69</v>
      </c>
      <c r="O695">
        <v>0</v>
      </c>
      <c r="S695" t="str">
        <f>TEXT(Table1[[#This Row],[Date]],"MMM-YY")</f>
        <v>May-24</v>
      </c>
      <c r="T695">
        <f>_xlfn.ISOWEEKNUM(Table1[[#This Row],[Date]])</f>
        <v>21</v>
      </c>
      <c r="U695" t="str">
        <f>TEXT(Table1[[#This Row],[Expected Business Month]],"YYYY")</f>
        <v>2024</v>
      </c>
    </row>
    <row r="696" spans="1:21" hidden="1">
      <c r="A696" s="1">
        <v>45435</v>
      </c>
      <c r="B696" t="s">
        <v>2120</v>
      </c>
      <c r="C696" t="s">
        <v>63</v>
      </c>
      <c r="D696" t="s">
        <v>64</v>
      </c>
      <c r="E696" t="s">
        <v>26</v>
      </c>
      <c r="F696" t="s">
        <v>2121</v>
      </c>
      <c r="G696" s="9" t="s">
        <v>2122</v>
      </c>
      <c r="H696">
        <v>10000</v>
      </c>
      <c r="I696">
        <v>0</v>
      </c>
      <c r="J696" s="21">
        <v>45413</v>
      </c>
      <c r="K696" t="s">
        <v>67</v>
      </c>
      <c r="L696" t="s">
        <v>9</v>
      </c>
      <c r="M696" t="s">
        <v>9</v>
      </c>
      <c r="N696" t="s">
        <v>602</v>
      </c>
      <c r="O696">
        <v>0</v>
      </c>
      <c r="S696" t="str">
        <f>TEXT(Table1[[#This Row],[Date]],"MMM-YY")</f>
        <v>May-24</v>
      </c>
      <c r="T696">
        <f>_xlfn.ISOWEEKNUM(Table1[[#This Row],[Date]])</f>
        <v>21</v>
      </c>
      <c r="U696" t="str">
        <f>TEXT(Table1[[#This Row],[Expected Business Month]],"YYYY")</f>
        <v>2024</v>
      </c>
    </row>
    <row r="697" spans="1:21" hidden="1">
      <c r="A697" s="1">
        <v>45435</v>
      </c>
      <c r="B697" t="s">
        <v>2123</v>
      </c>
      <c r="C697" t="s">
        <v>96</v>
      </c>
      <c r="D697" t="s">
        <v>64</v>
      </c>
      <c r="E697" t="s">
        <v>25</v>
      </c>
      <c r="F697" t="s">
        <v>744</v>
      </c>
      <c r="G697" s="9" t="s">
        <v>1860</v>
      </c>
      <c r="H697">
        <v>12000</v>
      </c>
      <c r="I697">
        <v>0</v>
      </c>
      <c r="J697" s="21">
        <v>45536</v>
      </c>
      <c r="K697" t="s">
        <v>67</v>
      </c>
      <c r="L697" t="s">
        <v>9</v>
      </c>
      <c r="M697" t="s">
        <v>9</v>
      </c>
      <c r="O697">
        <v>0</v>
      </c>
      <c r="S697" t="str">
        <f>TEXT(Table1[[#This Row],[Date]],"MMM-YY")</f>
        <v>May-24</v>
      </c>
      <c r="T697">
        <f>_xlfn.ISOWEEKNUM(Table1[[#This Row],[Date]])</f>
        <v>21</v>
      </c>
      <c r="U697" t="str">
        <f>TEXT(Table1[[#This Row],[Expected Business Month]],"YYYY")</f>
        <v>2024</v>
      </c>
    </row>
    <row r="698" spans="1:21" hidden="1">
      <c r="A698" s="1">
        <v>45435</v>
      </c>
      <c r="B698" t="s">
        <v>2124</v>
      </c>
      <c r="C698" t="s">
        <v>96</v>
      </c>
      <c r="D698" t="s">
        <v>64</v>
      </c>
      <c r="E698" t="s">
        <v>29</v>
      </c>
      <c r="F698" t="s">
        <v>2056</v>
      </c>
      <c r="G698" s="9" t="s">
        <v>2125</v>
      </c>
      <c r="H698">
        <v>15000</v>
      </c>
      <c r="I698">
        <v>0</v>
      </c>
      <c r="J698" s="21">
        <v>45536</v>
      </c>
      <c r="K698" t="s">
        <v>67</v>
      </c>
      <c r="L698" t="s">
        <v>9</v>
      </c>
      <c r="M698" t="s">
        <v>9</v>
      </c>
      <c r="O698">
        <v>0</v>
      </c>
      <c r="S698" t="str">
        <f>TEXT(Table1[[#This Row],[Date]],"MMM-YY")</f>
        <v>May-24</v>
      </c>
      <c r="T698">
        <f>_xlfn.ISOWEEKNUM(Table1[[#This Row],[Date]])</f>
        <v>21</v>
      </c>
      <c r="U698" t="str">
        <f>TEXT(Table1[[#This Row],[Expected Business Month]],"YYYY")</f>
        <v>2024</v>
      </c>
    </row>
    <row r="699" spans="1:21" hidden="1">
      <c r="A699" s="1">
        <v>45436</v>
      </c>
      <c r="B699" t="s">
        <v>2126</v>
      </c>
      <c r="C699" t="s">
        <v>96</v>
      </c>
      <c r="D699" t="s">
        <v>64</v>
      </c>
      <c r="E699" t="s">
        <v>26</v>
      </c>
      <c r="F699" t="s">
        <v>334</v>
      </c>
      <c r="G699" s="9" t="s">
        <v>2127</v>
      </c>
      <c r="H699">
        <v>23000</v>
      </c>
      <c r="I699">
        <v>23000</v>
      </c>
      <c r="J699" s="21">
        <v>45413</v>
      </c>
      <c r="K699" t="s">
        <v>99</v>
      </c>
      <c r="L699" t="s">
        <v>68</v>
      </c>
      <c r="M699" t="s">
        <v>69</v>
      </c>
      <c r="O699">
        <v>0</v>
      </c>
      <c r="S699" t="str">
        <f>TEXT(Table1[[#This Row],[Date]],"MMM-YY")</f>
        <v>May-24</v>
      </c>
      <c r="T699">
        <f>_xlfn.ISOWEEKNUM(Table1[[#This Row],[Date]])</f>
        <v>21</v>
      </c>
      <c r="U699" t="str">
        <f>TEXT(Table1[[#This Row],[Expected Business Month]],"YYYY")</f>
        <v>2024</v>
      </c>
    </row>
    <row r="700" spans="1:21" hidden="1">
      <c r="A700" s="1">
        <v>45436</v>
      </c>
      <c r="B700" t="s">
        <v>2128</v>
      </c>
      <c r="C700" t="s">
        <v>63</v>
      </c>
      <c r="D700" t="s">
        <v>64</v>
      </c>
      <c r="E700" t="s">
        <v>26</v>
      </c>
      <c r="F700" t="s">
        <v>1353</v>
      </c>
      <c r="G700" s="9" t="s">
        <v>2129</v>
      </c>
      <c r="H700">
        <v>12000</v>
      </c>
      <c r="I700">
        <v>0</v>
      </c>
      <c r="J700" s="21">
        <v>45536</v>
      </c>
      <c r="K700" t="s">
        <v>67</v>
      </c>
      <c r="L700" t="s">
        <v>9</v>
      </c>
      <c r="M700" t="s">
        <v>9</v>
      </c>
      <c r="O700">
        <v>0</v>
      </c>
      <c r="S700" t="str">
        <f>TEXT(Table1[[#This Row],[Date]],"MMM-YY")</f>
        <v>May-24</v>
      </c>
      <c r="T700">
        <f>_xlfn.ISOWEEKNUM(Table1[[#This Row],[Date]])</f>
        <v>21</v>
      </c>
      <c r="U700" t="str">
        <f>TEXT(Table1[[#This Row],[Expected Business Month]],"YYYY")</f>
        <v>2024</v>
      </c>
    </row>
    <row r="701" spans="1:21" hidden="1">
      <c r="A701" s="1">
        <v>45436</v>
      </c>
      <c r="B701" t="s">
        <v>2130</v>
      </c>
      <c r="C701" t="s">
        <v>63</v>
      </c>
      <c r="D701" t="s">
        <v>64</v>
      </c>
      <c r="E701" t="s">
        <v>26</v>
      </c>
      <c r="F701" t="s">
        <v>2131</v>
      </c>
      <c r="G701" s="9" t="s">
        <v>1857</v>
      </c>
      <c r="H701">
        <v>10000</v>
      </c>
      <c r="I701">
        <v>0</v>
      </c>
      <c r="J701" s="21">
        <v>45536</v>
      </c>
      <c r="K701" t="s">
        <v>67</v>
      </c>
      <c r="L701" t="s">
        <v>9</v>
      </c>
      <c r="M701" t="s">
        <v>9</v>
      </c>
      <c r="O701">
        <v>0</v>
      </c>
      <c r="S701" t="str">
        <f>TEXT(Table1[[#This Row],[Date]],"MMM-YY")</f>
        <v>May-24</v>
      </c>
      <c r="T701">
        <f>_xlfn.ISOWEEKNUM(Table1[[#This Row],[Date]])</f>
        <v>21</v>
      </c>
      <c r="U701" t="str">
        <f>TEXT(Table1[[#This Row],[Expected Business Month]],"YYYY")</f>
        <v>2024</v>
      </c>
    </row>
    <row r="702" spans="1:21" hidden="1">
      <c r="A702" s="1">
        <v>45436</v>
      </c>
      <c r="B702" t="s">
        <v>2132</v>
      </c>
      <c r="C702" t="s">
        <v>63</v>
      </c>
      <c r="D702" t="s">
        <v>64</v>
      </c>
      <c r="E702" t="s">
        <v>26</v>
      </c>
      <c r="F702" t="s">
        <v>1390</v>
      </c>
      <c r="G702" s="9" t="s">
        <v>1860</v>
      </c>
      <c r="H702">
        <v>15000</v>
      </c>
      <c r="I702">
        <v>0</v>
      </c>
      <c r="J702" s="21">
        <v>45474</v>
      </c>
      <c r="K702" t="s">
        <v>67</v>
      </c>
      <c r="L702" t="s">
        <v>9</v>
      </c>
      <c r="M702" t="s">
        <v>9</v>
      </c>
      <c r="N702" t="s">
        <v>586</v>
      </c>
      <c r="O702">
        <v>0</v>
      </c>
      <c r="S702" t="str">
        <f>TEXT(Table1[[#This Row],[Date]],"MMM-YY")</f>
        <v>May-24</v>
      </c>
      <c r="T702">
        <f>_xlfn.ISOWEEKNUM(Table1[[#This Row],[Date]])</f>
        <v>21</v>
      </c>
      <c r="U702" t="str">
        <f>TEXT(Table1[[#This Row],[Expected Business Month]],"YYYY")</f>
        <v>2024</v>
      </c>
    </row>
    <row r="703" spans="1:21" hidden="1">
      <c r="A703" s="1">
        <v>45436</v>
      </c>
      <c r="B703" t="s">
        <v>2133</v>
      </c>
      <c r="C703" t="s">
        <v>63</v>
      </c>
      <c r="D703" t="s">
        <v>64</v>
      </c>
      <c r="E703" t="s">
        <v>28</v>
      </c>
      <c r="F703" t="s">
        <v>824</v>
      </c>
      <c r="G703" s="9" t="s">
        <v>2033</v>
      </c>
      <c r="H703">
        <v>12000</v>
      </c>
      <c r="I703">
        <v>0</v>
      </c>
      <c r="J703" s="21">
        <v>45474</v>
      </c>
      <c r="K703" t="s">
        <v>67</v>
      </c>
      <c r="L703" t="s">
        <v>9</v>
      </c>
      <c r="M703" t="s">
        <v>9</v>
      </c>
      <c r="N703" t="s">
        <v>586</v>
      </c>
      <c r="O703">
        <v>0</v>
      </c>
      <c r="S703" t="str">
        <f>TEXT(Table1[[#This Row],[Date]],"MMM-YY")</f>
        <v>May-24</v>
      </c>
      <c r="T703">
        <f>_xlfn.ISOWEEKNUM(Table1[[#This Row],[Date]])</f>
        <v>21</v>
      </c>
      <c r="U703" t="str">
        <f>TEXT(Table1[[#This Row],[Expected Business Month]],"YYYY")</f>
        <v>2024</v>
      </c>
    </row>
    <row r="704" spans="1:21" hidden="1">
      <c r="A704" s="1">
        <v>45437</v>
      </c>
      <c r="B704" t="s">
        <v>2134</v>
      </c>
      <c r="C704" t="s">
        <v>96</v>
      </c>
      <c r="D704" t="s">
        <v>64</v>
      </c>
      <c r="E704" t="s">
        <v>24</v>
      </c>
      <c r="F704" t="s">
        <v>998</v>
      </c>
      <c r="G704" s="9" t="s">
        <v>2135</v>
      </c>
      <c r="H704">
        <v>224000</v>
      </c>
      <c r="I704">
        <v>0</v>
      </c>
      <c r="J704" s="21">
        <v>45413</v>
      </c>
      <c r="K704" t="s">
        <v>67</v>
      </c>
      <c r="L704" t="s">
        <v>9</v>
      </c>
      <c r="M704" t="s">
        <v>9</v>
      </c>
      <c r="N704" t="s">
        <v>2136</v>
      </c>
      <c r="O704">
        <v>0</v>
      </c>
      <c r="S704" t="str">
        <f>TEXT(Table1[[#This Row],[Date]],"MMM-YY")</f>
        <v>May-24</v>
      </c>
      <c r="T704">
        <f>_xlfn.ISOWEEKNUM(Table1[[#This Row],[Date]])</f>
        <v>21</v>
      </c>
      <c r="U704" t="str">
        <f>TEXT(Table1[[#This Row],[Expected Business Month]],"YYYY")</f>
        <v>2024</v>
      </c>
    </row>
    <row r="705" spans="1:21" hidden="1">
      <c r="A705" s="1">
        <v>38133</v>
      </c>
      <c r="B705" t="s">
        <v>2137</v>
      </c>
      <c r="C705" t="s">
        <v>96</v>
      </c>
      <c r="D705" t="s">
        <v>64</v>
      </c>
      <c r="E705" t="s">
        <v>29</v>
      </c>
      <c r="F705" t="s">
        <v>2138</v>
      </c>
      <c r="G705" s="9" t="s">
        <v>2139</v>
      </c>
      <c r="H705">
        <v>9000</v>
      </c>
      <c r="I705">
        <v>9000</v>
      </c>
      <c r="J705" s="21">
        <v>45413</v>
      </c>
      <c r="K705" t="s">
        <v>67</v>
      </c>
      <c r="L705" t="s">
        <v>68</v>
      </c>
      <c r="M705" t="s">
        <v>69</v>
      </c>
      <c r="O705">
        <v>0</v>
      </c>
      <c r="S705" t="str">
        <f>TEXT(Table1[[#This Row],[Date]],"MMM-YY")</f>
        <v>May-04</v>
      </c>
      <c r="T705">
        <f>_xlfn.ISOWEEKNUM(Table1[[#This Row],[Date]])</f>
        <v>22</v>
      </c>
      <c r="U705" t="str">
        <f>TEXT(Table1[[#This Row],[Expected Business Month]],"YYYY")</f>
        <v>2024</v>
      </c>
    </row>
    <row r="706" spans="1:21" hidden="1">
      <c r="A706" s="1">
        <v>45438</v>
      </c>
      <c r="B706" t="s">
        <v>2140</v>
      </c>
      <c r="C706" t="s">
        <v>96</v>
      </c>
      <c r="D706" t="s">
        <v>20</v>
      </c>
      <c r="E706" t="s">
        <v>23</v>
      </c>
      <c r="F706" t="s">
        <v>2141</v>
      </c>
      <c r="G706" s="9" t="s">
        <v>2142</v>
      </c>
      <c r="H706">
        <v>10000</v>
      </c>
      <c r="I706">
        <v>10000</v>
      </c>
      <c r="J706" s="21">
        <v>45413</v>
      </c>
      <c r="K706" t="s">
        <v>67</v>
      </c>
      <c r="L706" t="s">
        <v>68</v>
      </c>
      <c r="M706" t="s">
        <v>69</v>
      </c>
      <c r="O706">
        <v>0</v>
      </c>
      <c r="S706" t="str">
        <f>TEXT(Table1[[#This Row],[Date]],"MMM-YY")</f>
        <v>May-24</v>
      </c>
      <c r="T706">
        <f>_xlfn.ISOWEEKNUM(Table1[[#This Row],[Date]])</f>
        <v>21</v>
      </c>
      <c r="U706" t="str">
        <f>TEXT(Table1[[#This Row],[Expected Business Month]],"YYYY")</f>
        <v>2024</v>
      </c>
    </row>
    <row r="707" spans="1:21" hidden="1">
      <c r="A707" s="1">
        <v>45439</v>
      </c>
      <c r="B707" t="s">
        <v>2063</v>
      </c>
      <c r="C707" t="s">
        <v>63</v>
      </c>
      <c r="D707" t="s">
        <v>64</v>
      </c>
      <c r="E707" t="s">
        <v>26</v>
      </c>
      <c r="F707" t="s">
        <v>1709</v>
      </c>
      <c r="G707" s="9" t="s">
        <v>2143</v>
      </c>
      <c r="H707">
        <v>8000</v>
      </c>
      <c r="I707">
        <v>8000</v>
      </c>
      <c r="J707" s="21">
        <v>45413</v>
      </c>
      <c r="K707" t="s">
        <v>67</v>
      </c>
      <c r="L707" t="s">
        <v>68</v>
      </c>
      <c r="M707" t="s">
        <v>69</v>
      </c>
      <c r="O707">
        <v>0</v>
      </c>
      <c r="S707" t="str">
        <f>TEXT(Table1[[#This Row],[Date]],"MMM-YY")</f>
        <v>May-24</v>
      </c>
      <c r="T707">
        <f>_xlfn.ISOWEEKNUM(Table1[[#This Row],[Date]])</f>
        <v>22</v>
      </c>
      <c r="U707" t="str">
        <f>TEXT(Table1[[#This Row],[Expected Business Month]],"YYYY")</f>
        <v>2024</v>
      </c>
    </row>
    <row r="708" spans="1:21" ht="18.75" hidden="1" customHeight="1">
      <c r="A708" s="1">
        <v>45439</v>
      </c>
      <c r="B708" t="s">
        <v>324</v>
      </c>
      <c r="C708" t="s">
        <v>96</v>
      </c>
      <c r="D708" t="s">
        <v>64</v>
      </c>
      <c r="E708" t="s">
        <v>38</v>
      </c>
      <c r="F708" t="s">
        <v>325</v>
      </c>
      <c r="G708" s="9" t="s">
        <v>2144</v>
      </c>
      <c r="H708">
        <v>48358</v>
      </c>
      <c r="I708">
        <v>48358</v>
      </c>
      <c r="J708" s="21">
        <v>45413</v>
      </c>
      <c r="K708" t="s">
        <v>99</v>
      </c>
      <c r="L708" t="s">
        <v>68</v>
      </c>
      <c r="M708" t="s">
        <v>69</v>
      </c>
      <c r="O708">
        <v>0</v>
      </c>
      <c r="S708" t="str">
        <f>TEXT(Table1[[#This Row],[Date]],"MMM-YY")</f>
        <v>May-24</v>
      </c>
      <c r="T708">
        <f>_xlfn.ISOWEEKNUM(Table1[[#This Row],[Date]])</f>
        <v>22</v>
      </c>
      <c r="U708" t="str">
        <f>TEXT(Table1[[#This Row],[Expected Business Month]],"YYYY")</f>
        <v>2024</v>
      </c>
    </row>
    <row r="709" spans="1:21" hidden="1">
      <c r="A709" s="1">
        <v>45439</v>
      </c>
      <c r="B709" t="s">
        <v>1688</v>
      </c>
      <c r="C709" t="s">
        <v>96</v>
      </c>
      <c r="D709" t="s">
        <v>20</v>
      </c>
      <c r="E709" t="s">
        <v>23</v>
      </c>
      <c r="F709" t="s">
        <v>2145</v>
      </c>
      <c r="G709" s="9" t="s">
        <v>2146</v>
      </c>
      <c r="H709">
        <v>9000</v>
      </c>
      <c r="I709">
        <v>9000</v>
      </c>
      <c r="J709" s="21">
        <v>45444</v>
      </c>
      <c r="K709" t="s">
        <v>67</v>
      </c>
      <c r="L709" t="s">
        <v>68</v>
      </c>
      <c r="M709" t="s">
        <v>69</v>
      </c>
      <c r="O709">
        <v>0</v>
      </c>
      <c r="S709" t="str">
        <f>TEXT(Table1[[#This Row],[Date]],"MMM-YY")</f>
        <v>May-24</v>
      </c>
      <c r="T709">
        <f>_xlfn.ISOWEEKNUM(Table1[[#This Row],[Date]])</f>
        <v>22</v>
      </c>
      <c r="U709" t="str">
        <f>TEXT(Table1[[#This Row],[Expected Business Month]],"YYYY")</f>
        <v>2024</v>
      </c>
    </row>
    <row r="710" spans="1:21" hidden="1">
      <c r="A710" s="1">
        <v>45439</v>
      </c>
      <c r="B710" t="s">
        <v>2147</v>
      </c>
      <c r="C710" t="s">
        <v>63</v>
      </c>
      <c r="D710" t="s">
        <v>618</v>
      </c>
      <c r="E710" t="s">
        <v>18</v>
      </c>
      <c r="F710" t="s">
        <v>1310</v>
      </c>
      <c r="G710" s="9" t="s">
        <v>2148</v>
      </c>
      <c r="H710">
        <v>20000</v>
      </c>
      <c r="I710">
        <v>0</v>
      </c>
      <c r="J710" s="21">
        <v>45474</v>
      </c>
      <c r="K710" t="s">
        <v>67</v>
      </c>
      <c r="L710" t="s">
        <v>9</v>
      </c>
      <c r="M710" t="s">
        <v>9</v>
      </c>
      <c r="N710" t="s">
        <v>586</v>
      </c>
      <c r="O710">
        <v>0</v>
      </c>
      <c r="S710" t="str">
        <f>TEXT(Table1[[#This Row],[Date]],"MMM-YY")</f>
        <v>May-24</v>
      </c>
      <c r="T710">
        <f>_xlfn.ISOWEEKNUM(Table1[[#This Row],[Date]])</f>
        <v>22</v>
      </c>
      <c r="U710" t="str">
        <f>TEXT(Table1[[#This Row],[Expected Business Month]],"YYYY")</f>
        <v>2024</v>
      </c>
    </row>
    <row r="711" spans="1:21" hidden="1">
      <c r="A711" s="1">
        <v>45439</v>
      </c>
      <c r="B711" t="s">
        <v>2149</v>
      </c>
      <c r="C711" t="s">
        <v>63</v>
      </c>
      <c r="D711" t="s">
        <v>64</v>
      </c>
      <c r="E711" t="s">
        <v>26</v>
      </c>
      <c r="F711" t="s">
        <v>1711</v>
      </c>
      <c r="G711" s="9" t="s">
        <v>2150</v>
      </c>
      <c r="H711">
        <v>22000</v>
      </c>
      <c r="I711">
        <v>0</v>
      </c>
      <c r="J711" s="21">
        <v>45474</v>
      </c>
      <c r="K711" t="s">
        <v>67</v>
      </c>
      <c r="L711" t="s">
        <v>9</v>
      </c>
      <c r="M711" t="s">
        <v>9</v>
      </c>
      <c r="N711" t="s">
        <v>586</v>
      </c>
      <c r="O711">
        <v>0</v>
      </c>
      <c r="S711" t="str">
        <f>TEXT(Table1[[#This Row],[Date]],"MMM-YY")</f>
        <v>May-24</v>
      </c>
      <c r="T711">
        <f>_xlfn.ISOWEEKNUM(Table1[[#This Row],[Date]])</f>
        <v>22</v>
      </c>
      <c r="U711" t="str">
        <f>TEXT(Table1[[#This Row],[Expected Business Month]],"YYYY")</f>
        <v>2024</v>
      </c>
    </row>
    <row r="712" spans="1:21" hidden="1">
      <c r="A712" s="1">
        <v>45440</v>
      </c>
      <c r="B712" t="s">
        <v>2076</v>
      </c>
      <c r="C712" t="s">
        <v>96</v>
      </c>
      <c r="D712" t="s">
        <v>64</v>
      </c>
      <c r="E712" t="s">
        <v>25</v>
      </c>
      <c r="F712" t="s">
        <v>1853</v>
      </c>
      <c r="G712" s="9" t="s">
        <v>2151</v>
      </c>
      <c r="H712">
        <v>10000</v>
      </c>
      <c r="I712">
        <v>10000</v>
      </c>
      <c r="J712" s="21">
        <v>45444</v>
      </c>
      <c r="K712" t="s">
        <v>67</v>
      </c>
      <c r="L712" t="s">
        <v>68</v>
      </c>
      <c r="M712" t="s">
        <v>69</v>
      </c>
      <c r="O712">
        <v>0</v>
      </c>
      <c r="S712" t="str">
        <f>TEXT(Table1[[#This Row],[Date]],"MMM-YY")</f>
        <v>May-24</v>
      </c>
      <c r="T712">
        <f>_xlfn.ISOWEEKNUM(Table1[[#This Row],[Date]])</f>
        <v>22</v>
      </c>
      <c r="U712" t="str">
        <f>TEXT(Table1[[#This Row],[Expected Business Month]],"YYYY")</f>
        <v>2024</v>
      </c>
    </row>
    <row r="713" spans="1:21" ht="29.1" hidden="1">
      <c r="A713" s="1">
        <v>45440</v>
      </c>
      <c r="B713" t="s">
        <v>2152</v>
      </c>
      <c r="C713" t="s">
        <v>63</v>
      </c>
      <c r="D713" t="s">
        <v>64</v>
      </c>
      <c r="E713" t="s">
        <v>26</v>
      </c>
      <c r="F713" t="s">
        <v>1561</v>
      </c>
      <c r="G713" s="9" t="s">
        <v>2090</v>
      </c>
      <c r="H713">
        <v>12000</v>
      </c>
      <c r="I713">
        <v>0</v>
      </c>
      <c r="J713" s="21">
        <v>45505</v>
      </c>
      <c r="K713" t="s">
        <v>67</v>
      </c>
      <c r="L713" t="s">
        <v>9</v>
      </c>
      <c r="M713" t="s">
        <v>9</v>
      </c>
      <c r="N713" t="s">
        <v>586</v>
      </c>
      <c r="O713">
        <v>0</v>
      </c>
      <c r="S713" t="str">
        <f>TEXT(Table1[[#This Row],[Date]],"MMM-YY")</f>
        <v>May-24</v>
      </c>
      <c r="T713">
        <f>_xlfn.ISOWEEKNUM(Table1[[#This Row],[Date]])</f>
        <v>22</v>
      </c>
      <c r="U713" t="str">
        <f>TEXT(Table1[[#This Row],[Expected Business Month]],"YYYY")</f>
        <v>2024</v>
      </c>
    </row>
    <row r="714" spans="1:21" hidden="1">
      <c r="A714" s="1">
        <v>45440</v>
      </c>
      <c r="B714" s="17" t="s">
        <v>2153</v>
      </c>
      <c r="C714" t="s">
        <v>63</v>
      </c>
      <c r="D714" t="s">
        <v>64</v>
      </c>
      <c r="E714" t="s">
        <v>26</v>
      </c>
      <c r="F714" t="s">
        <v>2154</v>
      </c>
      <c r="G714" s="9" t="s">
        <v>1756</v>
      </c>
      <c r="H714">
        <v>15000</v>
      </c>
      <c r="I714">
        <v>0</v>
      </c>
      <c r="J714" s="21">
        <v>45474</v>
      </c>
      <c r="K714" t="s">
        <v>67</v>
      </c>
      <c r="L714" t="s">
        <v>9</v>
      </c>
      <c r="M714" t="s">
        <v>9</v>
      </c>
      <c r="N714" t="s">
        <v>586</v>
      </c>
      <c r="O714">
        <v>0</v>
      </c>
      <c r="S714" t="str">
        <f>TEXT(Table1[[#This Row],[Date]],"MMM-YY")</f>
        <v>May-24</v>
      </c>
      <c r="T714">
        <f>_xlfn.ISOWEEKNUM(Table1[[#This Row],[Date]])</f>
        <v>22</v>
      </c>
      <c r="U714" t="str">
        <f>TEXT(Table1[[#This Row],[Expected Business Month]],"YYYY")</f>
        <v>2024</v>
      </c>
    </row>
    <row r="715" spans="1:21" hidden="1">
      <c r="A715" s="1">
        <v>45440</v>
      </c>
      <c r="B715" t="s">
        <v>2155</v>
      </c>
      <c r="C715" t="s">
        <v>63</v>
      </c>
      <c r="D715" t="s">
        <v>64</v>
      </c>
      <c r="E715" t="s">
        <v>26</v>
      </c>
      <c r="F715" t="s">
        <v>758</v>
      </c>
      <c r="G715" s="9" t="s">
        <v>1860</v>
      </c>
      <c r="H715">
        <v>10000</v>
      </c>
      <c r="I715">
        <v>0</v>
      </c>
      <c r="J715" s="21">
        <v>45474</v>
      </c>
      <c r="K715" t="s">
        <v>67</v>
      </c>
      <c r="L715" t="s">
        <v>9</v>
      </c>
      <c r="M715" t="s">
        <v>9</v>
      </c>
      <c r="N715" t="s">
        <v>586</v>
      </c>
      <c r="O715">
        <v>0</v>
      </c>
      <c r="S715" t="str">
        <f>TEXT(Table1[[#This Row],[Date]],"MMM-YY")</f>
        <v>May-24</v>
      </c>
      <c r="T715">
        <f>_xlfn.ISOWEEKNUM(Table1[[#This Row],[Date]])</f>
        <v>22</v>
      </c>
      <c r="U715" t="str">
        <f>TEXT(Table1[[#This Row],[Expected Business Month]],"YYYY")</f>
        <v>2024</v>
      </c>
    </row>
    <row r="716" spans="1:21" hidden="1">
      <c r="A716" s="1">
        <v>45440</v>
      </c>
      <c r="B716" t="s">
        <v>2156</v>
      </c>
      <c r="C716" t="s">
        <v>63</v>
      </c>
      <c r="D716" t="s">
        <v>64</v>
      </c>
      <c r="E716" t="s">
        <v>32</v>
      </c>
      <c r="F716" t="s">
        <v>2157</v>
      </c>
      <c r="G716" s="9" t="s">
        <v>2158</v>
      </c>
      <c r="H716">
        <v>20000</v>
      </c>
      <c r="I716">
        <v>0</v>
      </c>
      <c r="J716" s="21">
        <v>45505</v>
      </c>
      <c r="K716" t="s">
        <v>67</v>
      </c>
      <c r="L716" t="s">
        <v>9</v>
      </c>
      <c r="M716" t="s">
        <v>9</v>
      </c>
      <c r="N716" t="s">
        <v>586</v>
      </c>
      <c r="O716">
        <v>0</v>
      </c>
      <c r="S716" t="str">
        <f>TEXT(Table1[[#This Row],[Date]],"MMM-YY")</f>
        <v>May-24</v>
      </c>
      <c r="T716">
        <f>_xlfn.ISOWEEKNUM(Table1[[#This Row],[Date]])</f>
        <v>22</v>
      </c>
      <c r="U716" t="str">
        <f>TEXT(Table1[[#This Row],[Expected Business Month]],"YYYY")</f>
        <v>2024</v>
      </c>
    </row>
    <row r="717" spans="1:21" hidden="1">
      <c r="A717" s="1">
        <v>45441</v>
      </c>
      <c r="B717" t="s">
        <v>2159</v>
      </c>
      <c r="C717" t="s">
        <v>63</v>
      </c>
      <c r="D717" t="s">
        <v>618</v>
      </c>
      <c r="E717" t="s">
        <v>18</v>
      </c>
      <c r="F717" t="s">
        <v>2160</v>
      </c>
      <c r="G717" s="9" t="s">
        <v>663</v>
      </c>
      <c r="H717">
        <v>18000</v>
      </c>
      <c r="I717">
        <v>0</v>
      </c>
      <c r="J717" s="21">
        <v>45474</v>
      </c>
      <c r="K717" t="s">
        <v>67</v>
      </c>
      <c r="L717" t="s">
        <v>9</v>
      </c>
      <c r="M717" t="s">
        <v>9</v>
      </c>
      <c r="N717" t="s">
        <v>586</v>
      </c>
      <c r="O717">
        <v>0</v>
      </c>
      <c r="S717" t="str">
        <f>TEXT(Table1[[#This Row],[Date]],"MMM-YY")</f>
        <v>May-24</v>
      </c>
      <c r="T717">
        <f>_xlfn.ISOWEEKNUM(Table1[[#This Row],[Date]])</f>
        <v>22</v>
      </c>
      <c r="U717" t="str">
        <f>TEXT(Table1[[#This Row],[Expected Business Month]],"YYYY")</f>
        <v>2024</v>
      </c>
    </row>
    <row r="718" spans="1:21" hidden="1">
      <c r="A718" s="1">
        <v>45441</v>
      </c>
      <c r="B718" t="s">
        <v>2161</v>
      </c>
      <c r="C718" t="s">
        <v>63</v>
      </c>
      <c r="D718" t="s">
        <v>618</v>
      </c>
      <c r="E718" t="s">
        <v>18</v>
      </c>
      <c r="F718" t="s">
        <v>2162</v>
      </c>
      <c r="G718" s="9" t="s">
        <v>2163</v>
      </c>
      <c r="H718">
        <v>15000</v>
      </c>
      <c r="I718">
        <v>0</v>
      </c>
      <c r="J718" s="21">
        <v>45444</v>
      </c>
      <c r="K718" t="s">
        <v>67</v>
      </c>
      <c r="L718" t="s">
        <v>9</v>
      </c>
      <c r="M718" t="s">
        <v>9</v>
      </c>
      <c r="N718" t="s">
        <v>602</v>
      </c>
      <c r="O718">
        <v>0</v>
      </c>
      <c r="S718" t="str">
        <f>TEXT(Table1[[#This Row],[Date]],"MMM-YY")</f>
        <v>May-24</v>
      </c>
      <c r="T718">
        <f>_xlfn.ISOWEEKNUM(Table1[[#This Row],[Date]])</f>
        <v>22</v>
      </c>
      <c r="U718" t="str">
        <f>TEXT(Table1[[#This Row],[Expected Business Month]],"YYYY")</f>
        <v>2024</v>
      </c>
    </row>
    <row r="719" spans="1:21" hidden="1">
      <c r="A719" s="1">
        <v>45441</v>
      </c>
      <c r="B719" t="s">
        <v>2164</v>
      </c>
      <c r="C719" t="s">
        <v>63</v>
      </c>
      <c r="D719" t="s">
        <v>105</v>
      </c>
      <c r="E719" t="s">
        <v>18</v>
      </c>
      <c r="F719" t="s">
        <v>214</v>
      </c>
      <c r="G719" s="9" t="s">
        <v>2165</v>
      </c>
      <c r="H719">
        <v>15000</v>
      </c>
      <c r="I719">
        <v>0</v>
      </c>
      <c r="J719" s="21">
        <v>45505</v>
      </c>
      <c r="K719" t="s">
        <v>67</v>
      </c>
      <c r="L719" t="s">
        <v>9</v>
      </c>
      <c r="M719" t="s">
        <v>9</v>
      </c>
      <c r="N719" t="s">
        <v>586</v>
      </c>
      <c r="O719">
        <v>0</v>
      </c>
      <c r="S719" t="str">
        <f>TEXT(Table1[[#This Row],[Date]],"MMM-YY")</f>
        <v>May-24</v>
      </c>
      <c r="T719">
        <f>_xlfn.ISOWEEKNUM(Table1[[#This Row],[Date]])</f>
        <v>22</v>
      </c>
      <c r="U719" t="str">
        <f>TEXT(Table1[[#This Row],[Expected Business Month]],"YYYY")</f>
        <v>2024</v>
      </c>
    </row>
    <row r="720" spans="1:21" hidden="1">
      <c r="A720" s="1">
        <v>45441</v>
      </c>
      <c r="B720" t="s">
        <v>2166</v>
      </c>
      <c r="C720" t="s">
        <v>96</v>
      </c>
      <c r="D720" t="s">
        <v>20</v>
      </c>
      <c r="E720" t="s">
        <v>23</v>
      </c>
      <c r="F720" t="s">
        <v>2167</v>
      </c>
      <c r="G720" s="9" t="s">
        <v>2168</v>
      </c>
      <c r="H720">
        <v>12000</v>
      </c>
      <c r="I720">
        <v>0</v>
      </c>
      <c r="J720" s="21">
        <v>45444</v>
      </c>
      <c r="K720" t="s">
        <v>67</v>
      </c>
      <c r="L720" t="s">
        <v>9</v>
      </c>
      <c r="M720" t="s">
        <v>9</v>
      </c>
      <c r="N720" t="s">
        <v>680</v>
      </c>
      <c r="O720">
        <v>0</v>
      </c>
      <c r="S720" t="str">
        <f>TEXT(Table1[[#This Row],[Date]],"MMM-YY")</f>
        <v>May-24</v>
      </c>
      <c r="T720">
        <f>_xlfn.ISOWEEKNUM(Table1[[#This Row],[Date]])</f>
        <v>22</v>
      </c>
      <c r="U720" t="str">
        <f>TEXT(Table1[[#This Row],[Expected Business Month]],"YYYY")</f>
        <v>2024</v>
      </c>
    </row>
    <row r="721" spans="1:21" hidden="1">
      <c r="A721" s="1">
        <v>45441</v>
      </c>
      <c r="B721" t="s">
        <v>1578</v>
      </c>
      <c r="C721" t="s">
        <v>63</v>
      </c>
      <c r="D721" t="s">
        <v>64</v>
      </c>
      <c r="E721" t="s">
        <v>33</v>
      </c>
      <c r="F721" t="s">
        <v>2169</v>
      </c>
      <c r="G721" s="9" t="s">
        <v>293</v>
      </c>
      <c r="H721">
        <v>12000</v>
      </c>
      <c r="I721">
        <v>0</v>
      </c>
      <c r="J721" s="21">
        <v>45474</v>
      </c>
      <c r="K721" t="s">
        <v>67</v>
      </c>
      <c r="L721" t="s">
        <v>9</v>
      </c>
      <c r="M721" t="s">
        <v>9</v>
      </c>
      <c r="N721" t="s">
        <v>586</v>
      </c>
      <c r="O721">
        <v>0</v>
      </c>
      <c r="S721" t="str">
        <f>TEXT(Table1[[#This Row],[Date]],"MMM-YY")</f>
        <v>May-24</v>
      </c>
      <c r="T721">
        <f>_xlfn.ISOWEEKNUM(Table1[[#This Row],[Date]])</f>
        <v>22</v>
      </c>
      <c r="U721" t="str">
        <f>TEXT(Table1[[#This Row],[Expected Business Month]],"YYYY")</f>
        <v>2024</v>
      </c>
    </row>
    <row r="722" spans="1:21" hidden="1">
      <c r="A722" s="1">
        <v>45442</v>
      </c>
      <c r="B722" t="s">
        <v>2170</v>
      </c>
      <c r="C722" t="s">
        <v>63</v>
      </c>
      <c r="D722" t="s">
        <v>64</v>
      </c>
      <c r="E722" t="s">
        <v>26</v>
      </c>
      <c r="F722" t="s">
        <v>1327</v>
      </c>
      <c r="G722" s="9" t="s">
        <v>1946</v>
      </c>
      <c r="H722">
        <v>10000</v>
      </c>
      <c r="I722">
        <v>0</v>
      </c>
      <c r="J722" s="21">
        <v>45474</v>
      </c>
      <c r="K722" t="s">
        <v>67</v>
      </c>
      <c r="L722" t="s">
        <v>9</v>
      </c>
      <c r="M722" t="s">
        <v>9</v>
      </c>
      <c r="N722" t="s">
        <v>586</v>
      </c>
      <c r="O722">
        <v>0</v>
      </c>
      <c r="S722" t="str">
        <f>TEXT(Table1[[#This Row],[Date]],"MMM-YY")</f>
        <v>May-24</v>
      </c>
      <c r="T722">
        <f>_xlfn.ISOWEEKNUM(Table1[[#This Row],[Date]])</f>
        <v>22</v>
      </c>
      <c r="U722" t="str">
        <f>TEXT(Table1[[#This Row],[Expected Business Month]],"YYYY")</f>
        <v>2024</v>
      </c>
    </row>
    <row r="723" spans="1:21" hidden="1">
      <c r="A723" s="1">
        <v>45442</v>
      </c>
      <c r="B723" t="s">
        <v>2171</v>
      </c>
      <c r="C723" t="s">
        <v>63</v>
      </c>
      <c r="D723" t="s">
        <v>64</v>
      </c>
      <c r="E723" t="s">
        <v>14</v>
      </c>
      <c r="F723" t="s">
        <v>2172</v>
      </c>
      <c r="G723" s="9" t="s">
        <v>1493</v>
      </c>
      <c r="H723">
        <v>15000</v>
      </c>
      <c r="I723">
        <v>0</v>
      </c>
      <c r="J723" s="21">
        <v>45474</v>
      </c>
      <c r="K723" t="s">
        <v>67</v>
      </c>
      <c r="L723" t="s">
        <v>9</v>
      </c>
      <c r="M723" t="s">
        <v>9</v>
      </c>
      <c r="N723" t="s">
        <v>586</v>
      </c>
      <c r="O723">
        <v>0</v>
      </c>
      <c r="S723" t="str">
        <f>TEXT(Table1[[#This Row],[Date]],"MMM-YY")</f>
        <v>May-24</v>
      </c>
      <c r="T723">
        <f>_xlfn.ISOWEEKNUM(Table1[[#This Row],[Date]])</f>
        <v>22</v>
      </c>
      <c r="U723" t="str">
        <f>TEXT(Table1[[#This Row],[Expected Business Month]],"YYYY")</f>
        <v>2024</v>
      </c>
    </row>
    <row r="724" spans="1:21" hidden="1">
      <c r="A724" s="1">
        <v>45442</v>
      </c>
      <c r="B724" t="s">
        <v>2173</v>
      </c>
      <c r="C724" t="s">
        <v>63</v>
      </c>
      <c r="D724" t="s">
        <v>105</v>
      </c>
      <c r="E724" t="s">
        <v>18</v>
      </c>
      <c r="F724" t="s">
        <v>2174</v>
      </c>
      <c r="G724" s="9" t="s">
        <v>1860</v>
      </c>
      <c r="H724">
        <v>20000</v>
      </c>
      <c r="I724">
        <v>0</v>
      </c>
      <c r="J724" s="21">
        <v>45505</v>
      </c>
      <c r="K724" t="s">
        <v>67</v>
      </c>
      <c r="L724" t="s">
        <v>9</v>
      </c>
      <c r="M724" t="s">
        <v>9</v>
      </c>
      <c r="N724" t="s">
        <v>586</v>
      </c>
      <c r="O724">
        <v>0</v>
      </c>
      <c r="S724" t="str">
        <f>TEXT(Table1[[#This Row],[Date]],"MMM-YY")</f>
        <v>May-24</v>
      </c>
      <c r="T724">
        <f>_xlfn.ISOWEEKNUM(Table1[[#This Row],[Date]])</f>
        <v>22</v>
      </c>
      <c r="U724" t="str">
        <f>TEXT(Table1[[#This Row],[Expected Business Month]],"YYYY")</f>
        <v>2024</v>
      </c>
    </row>
    <row r="725" spans="1:21" hidden="1">
      <c r="A725" s="1">
        <v>45442</v>
      </c>
      <c r="B725" t="s">
        <v>2175</v>
      </c>
      <c r="C725" t="s">
        <v>63</v>
      </c>
      <c r="D725" t="s">
        <v>64</v>
      </c>
      <c r="E725" t="s">
        <v>28</v>
      </c>
      <c r="F725" t="s">
        <v>1477</v>
      </c>
      <c r="G725" s="9" t="s">
        <v>1493</v>
      </c>
      <c r="H725">
        <v>15000</v>
      </c>
      <c r="I725">
        <v>0</v>
      </c>
      <c r="J725" s="21">
        <v>45505</v>
      </c>
      <c r="K725" t="s">
        <v>67</v>
      </c>
      <c r="L725" t="s">
        <v>9</v>
      </c>
      <c r="M725" t="s">
        <v>9</v>
      </c>
      <c r="N725" t="s">
        <v>586</v>
      </c>
      <c r="O725">
        <v>0</v>
      </c>
      <c r="S725" t="str">
        <f>TEXT(Table1[[#This Row],[Date]],"MMM-YY")</f>
        <v>May-24</v>
      </c>
      <c r="T725">
        <f>_xlfn.ISOWEEKNUM(Table1[[#This Row],[Date]])</f>
        <v>22</v>
      </c>
      <c r="U725" t="str">
        <f>TEXT(Table1[[#This Row],[Expected Business Month]],"YYYY")</f>
        <v>2024</v>
      </c>
    </row>
    <row r="726" spans="1:21" hidden="1">
      <c r="A726" s="1">
        <v>45442</v>
      </c>
      <c r="B726" t="s">
        <v>2176</v>
      </c>
      <c r="C726" t="s">
        <v>63</v>
      </c>
      <c r="D726" t="s">
        <v>64</v>
      </c>
      <c r="E726" t="s">
        <v>14</v>
      </c>
      <c r="F726" t="s">
        <v>937</v>
      </c>
      <c r="G726" s="9" t="s">
        <v>1946</v>
      </c>
      <c r="H726">
        <v>20000</v>
      </c>
      <c r="I726">
        <v>0</v>
      </c>
      <c r="J726" s="21">
        <v>45474</v>
      </c>
      <c r="K726" t="s">
        <v>67</v>
      </c>
      <c r="L726" t="s">
        <v>9</v>
      </c>
      <c r="M726" t="s">
        <v>9</v>
      </c>
      <c r="N726" t="s">
        <v>586</v>
      </c>
      <c r="O726">
        <v>0</v>
      </c>
      <c r="S726" t="str">
        <f>TEXT(Table1[[#This Row],[Date]],"MMM-YY")</f>
        <v>May-24</v>
      </c>
      <c r="T726">
        <f>_xlfn.ISOWEEKNUM(Table1[[#This Row],[Date]])</f>
        <v>22</v>
      </c>
      <c r="U726" t="str">
        <f>TEXT(Table1[[#This Row],[Expected Business Month]],"YYYY")</f>
        <v>2024</v>
      </c>
    </row>
    <row r="727" spans="1:21" hidden="1">
      <c r="A727" s="1">
        <v>45443</v>
      </c>
      <c r="B727" t="s">
        <v>2177</v>
      </c>
      <c r="C727" t="s">
        <v>96</v>
      </c>
      <c r="D727" t="s">
        <v>64</v>
      </c>
      <c r="E727" t="s">
        <v>26</v>
      </c>
      <c r="F727" t="s">
        <v>2178</v>
      </c>
      <c r="G727" s="9" t="s">
        <v>1957</v>
      </c>
      <c r="H727">
        <v>9500</v>
      </c>
      <c r="I727">
        <v>9500</v>
      </c>
      <c r="J727" s="21">
        <v>45413</v>
      </c>
      <c r="K727" t="s">
        <v>99</v>
      </c>
      <c r="L727" t="s">
        <v>68</v>
      </c>
      <c r="M727" t="s">
        <v>69</v>
      </c>
      <c r="O727">
        <v>0</v>
      </c>
      <c r="S727" t="str">
        <f>TEXT(Table1[[#This Row],[Date]],"MMM-YY")</f>
        <v>May-24</v>
      </c>
      <c r="T727">
        <f>_xlfn.ISOWEEKNUM(Table1[[#This Row],[Date]])</f>
        <v>22</v>
      </c>
      <c r="U727" t="str">
        <f>TEXT(Table1[[#This Row],[Expected Business Month]],"YYYY")</f>
        <v>2024</v>
      </c>
    </row>
    <row r="728" spans="1:21" hidden="1">
      <c r="A728" s="1">
        <v>45443</v>
      </c>
      <c r="B728" t="s">
        <v>2179</v>
      </c>
      <c r="C728" t="s">
        <v>63</v>
      </c>
      <c r="D728" t="s">
        <v>64</v>
      </c>
      <c r="E728" t="s">
        <v>32</v>
      </c>
      <c r="F728" t="s">
        <v>1670</v>
      </c>
      <c r="G728" s="9" t="s">
        <v>2180</v>
      </c>
      <c r="H728">
        <v>1200</v>
      </c>
      <c r="I728">
        <v>0</v>
      </c>
      <c r="J728" s="21">
        <v>45505</v>
      </c>
      <c r="K728" t="s">
        <v>67</v>
      </c>
      <c r="L728" t="s">
        <v>9</v>
      </c>
      <c r="M728" t="s">
        <v>9</v>
      </c>
      <c r="N728" t="s">
        <v>586</v>
      </c>
      <c r="O728">
        <v>0</v>
      </c>
      <c r="S728" t="str">
        <f>TEXT(Table1[[#This Row],[Date]],"MMM-YY")</f>
        <v>May-24</v>
      </c>
      <c r="T728">
        <f>_xlfn.ISOWEEKNUM(Table1[[#This Row],[Date]])</f>
        <v>22</v>
      </c>
      <c r="U728" t="str">
        <f>TEXT(Table1[[#This Row],[Expected Business Month]],"YYYY")</f>
        <v>2024</v>
      </c>
    </row>
    <row r="729" spans="1:21" hidden="1">
      <c r="A729" s="1">
        <v>45443</v>
      </c>
      <c r="B729" t="s">
        <v>2181</v>
      </c>
      <c r="C729" t="s">
        <v>96</v>
      </c>
      <c r="D729" t="s">
        <v>64</v>
      </c>
      <c r="E729" t="s">
        <v>32</v>
      </c>
      <c r="F729" t="s">
        <v>2182</v>
      </c>
      <c r="G729" s="9" t="s">
        <v>2183</v>
      </c>
      <c r="H729">
        <v>7000</v>
      </c>
      <c r="I729">
        <v>7000</v>
      </c>
      <c r="J729" s="21">
        <v>45444</v>
      </c>
      <c r="K729" t="s">
        <v>67</v>
      </c>
      <c r="L729" t="s">
        <v>68</v>
      </c>
      <c r="M729" t="s">
        <v>69</v>
      </c>
      <c r="O729">
        <v>0</v>
      </c>
      <c r="S729" t="str">
        <f>TEXT(Table1[[#This Row],[Date]],"MMM-YY")</f>
        <v>May-24</v>
      </c>
      <c r="T729">
        <f>_xlfn.ISOWEEKNUM(Table1[[#This Row],[Date]])</f>
        <v>22</v>
      </c>
      <c r="U729" t="str">
        <f>TEXT(Table1[[#This Row],[Expected Business Month]],"YYYY")</f>
        <v>2024</v>
      </c>
    </row>
    <row r="730" spans="1:21" hidden="1">
      <c r="A730" s="1">
        <v>45443</v>
      </c>
      <c r="B730" t="s">
        <v>2184</v>
      </c>
      <c r="C730" t="s">
        <v>63</v>
      </c>
      <c r="D730" t="s">
        <v>105</v>
      </c>
      <c r="E730" t="s">
        <v>18</v>
      </c>
      <c r="F730" t="s">
        <v>1721</v>
      </c>
      <c r="G730" s="9" t="s">
        <v>2151</v>
      </c>
      <c r="H730">
        <v>6000</v>
      </c>
      <c r="I730">
        <v>0</v>
      </c>
      <c r="J730" s="21">
        <v>45444</v>
      </c>
      <c r="K730" t="s">
        <v>67</v>
      </c>
      <c r="L730" t="s">
        <v>9</v>
      </c>
      <c r="M730" t="s">
        <v>9</v>
      </c>
      <c r="O730">
        <v>0</v>
      </c>
      <c r="S730" t="str">
        <f>TEXT(Table1[[#This Row],[Date]],"MMM-YY")</f>
        <v>May-24</v>
      </c>
      <c r="T730">
        <f>_xlfn.ISOWEEKNUM(Table1[[#This Row],[Date]])</f>
        <v>22</v>
      </c>
      <c r="U730" t="str">
        <f>TEXT(Table1[[#This Row],[Expected Business Month]],"YYYY")</f>
        <v>2024</v>
      </c>
    </row>
    <row r="731" spans="1:21" hidden="1">
      <c r="A731" s="1">
        <v>45443</v>
      </c>
      <c r="B731" t="s">
        <v>2185</v>
      </c>
      <c r="C731" t="s">
        <v>63</v>
      </c>
      <c r="D731" t="s">
        <v>64</v>
      </c>
      <c r="E731" t="s">
        <v>28</v>
      </c>
      <c r="F731" t="s">
        <v>2186</v>
      </c>
      <c r="G731" s="9" t="s">
        <v>1860</v>
      </c>
      <c r="H731">
        <v>12000</v>
      </c>
      <c r="I731">
        <v>0</v>
      </c>
      <c r="J731" s="21">
        <v>45536</v>
      </c>
      <c r="K731" t="s">
        <v>67</v>
      </c>
      <c r="L731" t="s">
        <v>9</v>
      </c>
      <c r="M731" t="s">
        <v>9</v>
      </c>
      <c r="O731">
        <v>0</v>
      </c>
      <c r="S731" t="str">
        <f>TEXT(Table1[[#This Row],[Date]],"MMM-YY")</f>
        <v>May-24</v>
      </c>
      <c r="T731">
        <f>_xlfn.ISOWEEKNUM(Table1[[#This Row],[Date]])</f>
        <v>22</v>
      </c>
      <c r="U731" t="str">
        <f>TEXT(Table1[[#This Row],[Expected Business Month]],"YYYY")</f>
        <v>2024</v>
      </c>
    </row>
    <row r="732" spans="1:21" hidden="1">
      <c r="A732" s="1">
        <v>45445</v>
      </c>
      <c r="B732" t="s">
        <v>1688</v>
      </c>
      <c r="C732" t="s">
        <v>96</v>
      </c>
      <c r="D732" t="s">
        <v>20</v>
      </c>
      <c r="E732" t="s">
        <v>23</v>
      </c>
      <c r="F732" t="s">
        <v>1020</v>
      </c>
      <c r="G732" s="9" t="s">
        <v>2187</v>
      </c>
      <c r="H732">
        <v>10000</v>
      </c>
      <c r="I732">
        <v>10000</v>
      </c>
      <c r="J732" s="21">
        <v>45444</v>
      </c>
      <c r="K732" t="s">
        <v>67</v>
      </c>
      <c r="L732" t="s">
        <v>68</v>
      </c>
      <c r="M732" t="s">
        <v>69</v>
      </c>
      <c r="O732">
        <v>0</v>
      </c>
      <c r="S732" t="str">
        <f>TEXT(Table1[[#This Row],[Date]],"MMM-YY")</f>
        <v>Jun-24</v>
      </c>
      <c r="T732">
        <f>_xlfn.ISOWEEKNUM(Table1[[#This Row],[Date]])</f>
        <v>22</v>
      </c>
      <c r="U732" t="str">
        <f>TEXT(Table1[[#This Row],[Expected Business Month]],"YYYY")</f>
        <v>2024</v>
      </c>
    </row>
    <row r="733" spans="1:21" hidden="1">
      <c r="A733" s="1">
        <v>45446</v>
      </c>
      <c r="B733" t="s">
        <v>1389</v>
      </c>
      <c r="C733" t="s">
        <v>96</v>
      </c>
      <c r="D733" t="s">
        <v>20</v>
      </c>
      <c r="E733" t="s">
        <v>23</v>
      </c>
      <c r="F733" t="s">
        <v>272</v>
      </c>
      <c r="G733" s="9" t="s">
        <v>2188</v>
      </c>
      <c r="H733">
        <v>12000</v>
      </c>
      <c r="I733">
        <v>12000</v>
      </c>
      <c r="J733" s="21">
        <v>45444</v>
      </c>
      <c r="K733" t="s">
        <v>67</v>
      </c>
      <c r="L733" t="s">
        <v>68</v>
      </c>
      <c r="M733" t="s">
        <v>69</v>
      </c>
      <c r="O733">
        <v>0</v>
      </c>
      <c r="S733" t="str">
        <f>TEXT(Table1[[#This Row],[Date]],"MMM-YY")</f>
        <v>Jun-24</v>
      </c>
      <c r="T733">
        <f>_xlfn.ISOWEEKNUM(Table1[[#This Row],[Date]])</f>
        <v>23</v>
      </c>
      <c r="U733" t="str">
        <f>TEXT(Table1[[#This Row],[Expected Business Month]],"YYYY")</f>
        <v>2024</v>
      </c>
    </row>
    <row r="734" spans="1:21" hidden="1">
      <c r="A734" s="1">
        <v>45446</v>
      </c>
      <c r="B734" t="s">
        <v>2189</v>
      </c>
      <c r="C734" t="s">
        <v>63</v>
      </c>
      <c r="D734" t="s">
        <v>64</v>
      </c>
      <c r="E734" t="s">
        <v>26</v>
      </c>
      <c r="F734" t="s">
        <v>2190</v>
      </c>
      <c r="G734" s="9" t="s">
        <v>1860</v>
      </c>
      <c r="H734">
        <v>15000</v>
      </c>
      <c r="I734">
        <v>0</v>
      </c>
      <c r="J734" s="21">
        <v>45474</v>
      </c>
      <c r="K734" t="s">
        <v>67</v>
      </c>
      <c r="L734" t="s">
        <v>9</v>
      </c>
      <c r="M734" t="s">
        <v>9</v>
      </c>
      <c r="N734" t="s">
        <v>586</v>
      </c>
      <c r="O734">
        <v>0</v>
      </c>
      <c r="S734" t="str">
        <f>TEXT(Table1[[#This Row],[Date]],"MMM-YY")</f>
        <v>Jun-24</v>
      </c>
      <c r="T734">
        <f>_xlfn.ISOWEEKNUM(Table1[[#This Row],[Date]])</f>
        <v>23</v>
      </c>
      <c r="U734" t="str">
        <f>TEXT(Table1[[#This Row],[Expected Business Month]],"YYYY")</f>
        <v>2024</v>
      </c>
    </row>
    <row r="735" spans="1:21" hidden="1">
      <c r="A735" s="1">
        <v>45446</v>
      </c>
      <c r="B735" t="s">
        <v>2191</v>
      </c>
      <c r="C735" t="s">
        <v>63</v>
      </c>
      <c r="D735" t="s">
        <v>64</v>
      </c>
      <c r="E735" t="s">
        <v>26</v>
      </c>
      <c r="F735" t="s">
        <v>2192</v>
      </c>
      <c r="G735" s="9" t="s">
        <v>1946</v>
      </c>
      <c r="H735">
        <v>20000</v>
      </c>
      <c r="I735">
        <v>0</v>
      </c>
      <c r="J735" s="21">
        <v>45474</v>
      </c>
      <c r="K735" t="s">
        <v>67</v>
      </c>
      <c r="L735" t="s">
        <v>9</v>
      </c>
      <c r="M735" t="s">
        <v>9</v>
      </c>
      <c r="N735" t="s">
        <v>586</v>
      </c>
      <c r="O735">
        <v>0</v>
      </c>
      <c r="S735" t="str">
        <f>TEXT(Table1[[#This Row],[Date]],"MMM-YY")</f>
        <v>Jun-24</v>
      </c>
      <c r="T735">
        <f>_xlfn.ISOWEEKNUM(Table1[[#This Row],[Date]])</f>
        <v>23</v>
      </c>
      <c r="U735" t="str">
        <f>TEXT(Table1[[#This Row],[Expected Business Month]],"YYYY")</f>
        <v>2024</v>
      </c>
    </row>
    <row r="736" spans="1:21" hidden="1">
      <c r="A736" s="1">
        <v>45446</v>
      </c>
      <c r="B736" t="s">
        <v>2193</v>
      </c>
      <c r="C736" t="s">
        <v>63</v>
      </c>
      <c r="D736" t="s">
        <v>105</v>
      </c>
      <c r="E736" t="s">
        <v>18</v>
      </c>
      <c r="F736" t="s">
        <v>2194</v>
      </c>
      <c r="G736" s="9" t="s">
        <v>2195</v>
      </c>
      <c r="H736">
        <v>15000</v>
      </c>
      <c r="I736">
        <v>0</v>
      </c>
      <c r="J736" s="21">
        <v>45474</v>
      </c>
      <c r="K736" t="s">
        <v>67</v>
      </c>
      <c r="L736" t="s">
        <v>9</v>
      </c>
      <c r="M736" t="s">
        <v>9</v>
      </c>
      <c r="N736" t="s">
        <v>586</v>
      </c>
      <c r="O736">
        <v>0</v>
      </c>
      <c r="S736" t="str">
        <f>TEXT(Table1[[#This Row],[Date]],"MMM-YY")</f>
        <v>Jun-24</v>
      </c>
      <c r="T736">
        <f>_xlfn.ISOWEEKNUM(Table1[[#This Row],[Date]])</f>
        <v>23</v>
      </c>
      <c r="U736" t="str">
        <f>TEXT(Table1[[#This Row],[Expected Business Month]],"YYYY")</f>
        <v>2024</v>
      </c>
    </row>
    <row r="737" spans="1:21" hidden="1">
      <c r="A737" s="1">
        <v>45446</v>
      </c>
      <c r="B737" t="s">
        <v>2196</v>
      </c>
      <c r="C737" t="s">
        <v>63</v>
      </c>
      <c r="D737" t="s">
        <v>64</v>
      </c>
      <c r="E737" t="s">
        <v>24</v>
      </c>
      <c r="F737" t="s">
        <v>2197</v>
      </c>
      <c r="G737" s="9" t="s">
        <v>2198</v>
      </c>
      <c r="H737">
        <v>15000</v>
      </c>
      <c r="I737">
        <v>0</v>
      </c>
      <c r="J737" s="21">
        <v>45474</v>
      </c>
      <c r="K737" t="s">
        <v>67</v>
      </c>
      <c r="L737" t="s">
        <v>9</v>
      </c>
      <c r="M737" t="s">
        <v>9</v>
      </c>
      <c r="N737" t="s">
        <v>586</v>
      </c>
      <c r="O737">
        <v>0</v>
      </c>
      <c r="S737" t="str">
        <f>TEXT(Table1[[#This Row],[Date]],"MMM-YY")</f>
        <v>Jun-24</v>
      </c>
      <c r="T737">
        <f>_xlfn.ISOWEEKNUM(Table1[[#This Row],[Date]])</f>
        <v>23</v>
      </c>
      <c r="U737" t="str">
        <f>TEXT(Table1[[#This Row],[Expected Business Month]],"YYYY")</f>
        <v>2024</v>
      </c>
    </row>
    <row r="738" spans="1:21" hidden="1">
      <c r="A738" s="1">
        <v>45447</v>
      </c>
      <c r="B738" t="s">
        <v>2199</v>
      </c>
      <c r="C738" t="s">
        <v>96</v>
      </c>
      <c r="D738" t="s">
        <v>20</v>
      </c>
      <c r="E738" t="s">
        <v>23</v>
      </c>
      <c r="F738" t="s">
        <v>2200</v>
      </c>
      <c r="G738" s="9" t="s">
        <v>2201</v>
      </c>
      <c r="H738">
        <v>6000</v>
      </c>
      <c r="I738">
        <v>6000</v>
      </c>
      <c r="J738" s="21">
        <v>45444</v>
      </c>
      <c r="K738" t="s">
        <v>67</v>
      </c>
      <c r="L738" t="s">
        <v>68</v>
      </c>
      <c r="M738" t="s">
        <v>69</v>
      </c>
      <c r="O738">
        <v>0</v>
      </c>
      <c r="S738" t="str">
        <f>TEXT(Table1[[#This Row],[Date]],"MMM-YY")</f>
        <v>Jun-24</v>
      </c>
      <c r="T738">
        <f>_xlfn.ISOWEEKNUM(Table1[[#This Row],[Date]])</f>
        <v>23</v>
      </c>
      <c r="U738" t="str">
        <f>TEXT(Table1[[#This Row],[Expected Business Month]],"YYYY")</f>
        <v>2024</v>
      </c>
    </row>
    <row r="739" spans="1:21" hidden="1">
      <c r="A739" s="1">
        <v>45447</v>
      </c>
      <c r="B739" t="s">
        <v>1522</v>
      </c>
      <c r="C739" t="s">
        <v>63</v>
      </c>
      <c r="D739" t="s">
        <v>64</v>
      </c>
      <c r="E739" t="s">
        <v>28</v>
      </c>
      <c r="F739" t="s">
        <v>196</v>
      </c>
      <c r="G739" s="9" t="s">
        <v>2202</v>
      </c>
      <c r="H739">
        <v>0</v>
      </c>
      <c r="I739">
        <v>0</v>
      </c>
      <c r="J739" s="21">
        <v>45444</v>
      </c>
      <c r="K739" t="s">
        <v>67</v>
      </c>
      <c r="L739" t="s">
        <v>68</v>
      </c>
      <c r="M739" t="s">
        <v>69</v>
      </c>
      <c r="O739">
        <v>0</v>
      </c>
      <c r="S739" t="str">
        <f>TEXT(Table1[[#This Row],[Date]],"MMM-YY")</f>
        <v>Jun-24</v>
      </c>
      <c r="T739">
        <f>_xlfn.ISOWEEKNUM(Table1[[#This Row],[Date]])</f>
        <v>23</v>
      </c>
      <c r="U739" t="str">
        <f>TEXT(Table1[[#This Row],[Expected Business Month]],"YYYY")</f>
        <v>2024</v>
      </c>
    </row>
    <row r="740" spans="1:21" hidden="1">
      <c r="A740" s="1">
        <v>45447</v>
      </c>
      <c r="B740" t="s">
        <v>2203</v>
      </c>
      <c r="C740" t="s">
        <v>96</v>
      </c>
      <c r="D740" t="s">
        <v>64</v>
      </c>
      <c r="E740" t="s">
        <v>2204</v>
      </c>
      <c r="F740" t="s">
        <v>770</v>
      </c>
      <c r="G740" s="9" t="s">
        <v>2205</v>
      </c>
      <c r="H740">
        <v>80000</v>
      </c>
      <c r="I740">
        <v>80000</v>
      </c>
      <c r="J740" s="21">
        <v>45444</v>
      </c>
      <c r="K740" t="s">
        <v>67</v>
      </c>
      <c r="L740" t="s">
        <v>68</v>
      </c>
      <c r="M740" t="s">
        <v>69</v>
      </c>
      <c r="O740">
        <v>0</v>
      </c>
      <c r="S740" t="str">
        <f>TEXT(Table1[[#This Row],[Date]],"MMM-YY")</f>
        <v>Jun-24</v>
      </c>
      <c r="T740">
        <f>_xlfn.ISOWEEKNUM(Table1[[#This Row],[Date]])</f>
        <v>23</v>
      </c>
      <c r="U740" t="str">
        <f>TEXT(Table1[[#This Row],[Expected Business Month]],"YYYY")</f>
        <v>2024</v>
      </c>
    </row>
    <row r="741" spans="1:21" hidden="1">
      <c r="A741" s="1">
        <v>45447</v>
      </c>
      <c r="B741" t="s">
        <v>2206</v>
      </c>
      <c r="C741" t="s">
        <v>63</v>
      </c>
      <c r="D741" t="s">
        <v>64</v>
      </c>
      <c r="E741" t="s">
        <v>24</v>
      </c>
      <c r="F741" t="s">
        <v>2207</v>
      </c>
      <c r="G741" s="9" t="s">
        <v>2208</v>
      </c>
      <c r="H741">
        <v>12000</v>
      </c>
      <c r="I741">
        <v>0</v>
      </c>
      <c r="J741" s="21">
        <v>45474</v>
      </c>
      <c r="K741" t="s">
        <v>67</v>
      </c>
      <c r="L741" t="s">
        <v>9</v>
      </c>
      <c r="M741" t="s">
        <v>9</v>
      </c>
      <c r="N741" t="s">
        <v>586</v>
      </c>
      <c r="O741">
        <v>0</v>
      </c>
      <c r="S741" t="str">
        <f>TEXT(Table1[[#This Row],[Date]],"MMM-YY")</f>
        <v>Jun-24</v>
      </c>
      <c r="T741">
        <f>_xlfn.ISOWEEKNUM(Table1[[#This Row],[Date]])</f>
        <v>23</v>
      </c>
      <c r="U741" t="str">
        <f>TEXT(Table1[[#This Row],[Expected Business Month]],"YYYY")</f>
        <v>2024</v>
      </c>
    </row>
    <row r="742" spans="1:21" ht="29.1" hidden="1">
      <c r="A742" s="1">
        <v>45447</v>
      </c>
      <c r="B742" t="s">
        <v>2209</v>
      </c>
      <c r="C742" t="s">
        <v>96</v>
      </c>
      <c r="D742" t="s">
        <v>64</v>
      </c>
      <c r="E742" t="s">
        <v>26</v>
      </c>
      <c r="F742" t="s">
        <v>2210</v>
      </c>
      <c r="G742" s="9" t="s">
        <v>2090</v>
      </c>
      <c r="H742">
        <v>15000</v>
      </c>
      <c r="I742">
        <v>0</v>
      </c>
      <c r="J742" s="21">
        <v>45536</v>
      </c>
      <c r="K742" t="s">
        <v>67</v>
      </c>
      <c r="L742" t="s">
        <v>9</v>
      </c>
      <c r="M742" t="s">
        <v>9</v>
      </c>
      <c r="O742">
        <v>0</v>
      </c>
      <c r="S742" t="str">
        <f>TEXT(Table1[[#This Row],[Date]],"MMM-YY")</f>
        <v>Jun-24</v>
      </c>
      <c r="T742">
        <f>_xlfn.ISOWEEKNUM(Table1[[#This Row],[Date]])</f>
        <v>23</v>
      </c>
      <c r="U742" t="str">
        <f>TEXT(Table1[[#This Row],[Expected Business Month]],"YYYY")</f>
        <v>2024</v>
      </c>
    </row>
    <row r="743" spans="1:21" hidden="1">
      <c r="A743" s="1">
        <v>45448</v>
      </c>
      <c r="B743" t="s">
        <v>1395</v>
      </c>
      <c r="C743" t="s">
        <v>63</v>
      </c>
      <c r="D743" t="s">
        <v>64</v>
      </c>
      <c r="E743" t="s">
        <v>26</v>
      </c>
      <c r="F743" t="s">
        <v>196</v>
      </c>
      <c r="G743" s="9" t="s">
        <v>2211</v>
      </c>
      <c r="H743">
        <v>94329</v>
      </c>
      <c r="I743">
        <v>94329</v>
      </c>
      <c r="J743" s="21">
        <v>45444</v>
      </c>
      <c r="K743" t="s">
        <v>67</v>
      </c>
      <c r="L743" t="s">
        <v>68</v>
      </c>
      <c r="M743" t="s">
        <v>69</v>
      </c>
      <c r="O743">
        <v>0</v>
      </c>
      <c r="S743" t="str">
        <f>TEXT(Table1[[#This Row],[Date]],"MMM-YY")</f>
        <v>Jun-24</v>
      </c>
      <c r="T743">
        <f>_xlfn.ISOWEEKNUM(Table1[[#This Row],[Date]])</f>
        <v>23</v>
      </c>
      <c r="U743" t="str">
        <f>TEXT(Table1[[#This Row],[Expected Business Month]],"YYYY")</f>
        <v>2024</v>
      </c>
    </row>
    <row r="744" spans="1:21" ht="29.1" hidden="1">
      <c r="A744" s="1">
        <v>45448</v>
      </c>
      <c r="B744" t="s">
        <v>324</v>
      </c>
      <c r="C744" t="s">
        <v>96</v>
      </c>
      <c r="D744" t="s">
        <v>64</v>
      </c>
      <c r="E744" t="s">
        <v>38</v>
      </c>
      <c r="F744" t="s">
        <v>325</v>
      </c>
      <c r="G744" s="9" t="s">
        <v>2212</v>
      </c>
      <c r="H744">
        <v>42000</v>
      </c>
      <c r="I744">
        <v>42000</v>
      </c>
      <c r="J744" s="21">
        <v>45444</v>
      </c>
      <c r="K744" t="s">
        <v>99</v>
      </c>
      <c r="L744" t="s">
        <v>68</v>
      </c>
      <c r="M744" t="s">
        <v>69</v>
      </c>
      <c r="O744">
        <v>0</v>
      </c>
      <c r="S744" t="str">
        <f>TEXT(Table1[[#This Row],[Date]],"MMM-YY")</f>
        <v>Jun-24</v>
      </c>
      <c r="T744">
        <f>_xlfn.ISOWEEKNUM(Table1[[#This Row],[Date]])</f>
        <v>23</v>
      </c>
      <c r="U744" t="str">
        <f>TEXT(Table1[[#This Row],[Expected Business Month]],"YYYY")</f>
        <v>2024</v>
      </c>
    </row>
    <row r="745" spans="1:21" hidden="1">
      <c r="A745" s="1">
        <v>45448</v>
      </c>
      <c r="B745" t="s">
        <v>274</v>
      </c>
      <c r="C745" t="s">
        <v>96</v>
      </c>
      <c r="D745" t="s">
        <v>20</v>
      </c>
      <c r="E745" t="s">
        <v>23</v>
      </c>
      <c r="F745" t="s">
        <v>2213</v>
      </c>
      <c r="G745" s="9" t="s">
        <v>2214</v>
      </c>
      <c r="H745">
        <v>5000</v>
      </c>
      <c r="I745">
        <v>5000</v>
      </c>
      <c r="J745" s="21">
        <v>45444</v>
      </c>
      <c r="K745" t="s">
        <v>67</v>
      </c>
      <c r="L745" t="s">
        <v>68</v>
      </c>
      <c r="M745" t="s">
        <v>69</v>
      </c>
      <c r="O745">
        <v>0</v>
      </c>
      <c r="S745" t="str">
        <f>TEXT(Table1[[#This Row],[Date]],"MMM-YY")</f>
        <v>Jun-24</v>
      </c>
      <c r="T745">
        <f>_xlfn.ISOWEEKNUM(Table1[[#This Row],[Date]])</f>
        <v>23</v>
      </c>
      <c r="U745" t="str">
        <f>TEXT(Table1[[#This Row],[Expected Business Month]],"YYYY")</f>
        <v>2024</v>
      </c>
    </row>
    <row r="746" spans="1:21" hidden="1">
      <c r="A746" s="1">
        <v>45448</v>
      </c>
      <c r="B746" t="s">
        <v>2215</v>
      </c>
      <c r="C746" t="s">
        <v>63</v>
      </c>
      <c r="D746" t="s">
        <v>20</v>
      </c>
      <c r="E746" t="s">
        <v>32</v>
      </c>
      <c r="F746" t="s">
        <v>2216</v>
      </c>
      <c r="G746" s="9" t="s">
        <v>2217</v>
      </c>
      <c r="H746">
        <v>48000</v>
      </c>
      <c r="I746">
        <v>48000</v>
      </c>
      <c r="J746" s="21">
        <v>45444</v>
      </c>
      <c r="K746" t="s">
        <v>67</v>
      </c>
      <c r="L746" t="s">
        <v>68</v>
      </c>
      <c r="M746" t="s">
        <v>69</v>
      </c>
      <c r="O746">
        <v>0</v>
      </c>
      <c r="S746" t="str">
        <f>TEXT(Table1[[#This Row],[Date]],"MMM-YY")</f>
        <v>Jun-24</v>
      </c>
      <c r="T746">
        <f>_xlfn.ISOWEEKNUM(Table1[[#This Row],[Date]])</f>
        <v>23</v>
      </c>
      <c r="U746" t="str">
        <f>TEXT(Table1[[#This Row],[Expected Business Month]],"YYYY")</f>
        <v>2024</v>
      </c>
    </row>
    <row r="747" spans="1:21" hidden="1">
      <c r="A747" s="1">
        <v>45448</v>
      </c>
      <c r="B747" t="s">
        <v>2218</v>
      </c>
      <c r="C747" t="s">
        <v>96</v>
      </c>
      <c r="D747" t="s">
        <v>20</v>
      </c>
      <c r="E747" t="s">
        <v>23</v>
      </c>
      <c r="F747" t="s">
        <v>2219</v>
      </c>
      <c r="G747" s="9" t="s">
        <v>2220</v>
      </c>
      <c r="H747">
        <v>8500</v>
      </c>
      <c r="I747">
        <v>8500</v>
      </c>
      <c r="J747" s="21">
        <v>45444</v>
      </c>
      <c r="K747" t="s">
        <v>67</v>
      </c>
      <c r="L747" t="s">
        <v>68</v>
      </c>
      <c r="M747" t="s">
        <v>69</v>
      </c>
      <c r="O747">
        <v>0</v>
      </c>
      <c r="S747" t="str">
        <f>TEXT(Table1[[#This Row],[Date]],"MMM-YY")</f>
        <v>Jun-24</v>
      </c>
      <c r="T747">
        <f>_xlfn.ISOWEEKNUM(Table1[[#This Row],[Date]])</f>
        <v>23</v>
      </c>
      <c r="U747" t="str">
        <f>TEXT(Table1[[#This Row],[Expected Business Month]],"YYYY")</f>
        <v>2024</v>
      </c>
    </row>
    <row r="748" spans="1:21" hidden="1">
      <c r="A748" s="1">
        <v>45449</v>
      </c>
      <c r="B748" t="s">
        <v>2221</v>
      </c>
      <c r="C748" t="s">
        <v>63</v>
      </c>
      <c r="D748" t="s">
        <v>105</v>
      </c>
      <c r="E748" t="s">
        <v>18</v>
      </c>
      <c r="F748" t="s">
        <v>457</v>
      </c>
      <c r="G748" s="9" t="s">
        <v>1857</v>
      </c>
      <c r="H748">
        <v>120009</v>
      </c>
      <c r="I748">
        <v>0</v>
      </c>
      <c r="J748" s="21">
        <v>45474</v>
      </c>
      <c r="K748" t="s">
        <v>67</v>
      </c>
      <c r="L748" t="s">
        <v>9</v>
      </c>
      <c r="M748" t="s">
        <v>9</v>
      </c>
      <c r="N748" t="s">
        <v>586</v>
      </c>
      <c r="O748">
        <v>0</v>
      </c>
      <c r="S748" t="str">
        <f>TEXT(Table1[[#This Row],[Date]],"MMM-YY")</f>
        <v>Jun-24</v>
      </c>
      <c r="T748">
        <f>_xlfn.ISOWEEKNUM(Table1[[#This Row],[Date]])</f>
        <v>23</v>
      </c>
      <c r="U748" t="str">
        <f>TEXT(Table1[[#This Row],[Expected Business Month]],"YYYY")</f>
        <v>2024</v>
      </c>
    </row>
    <row r="749" spans="1:21" hidden="1">
      <c r="A749" s="1">
        <v>45449</v>
      </c>
      <c r="B749" t="s">
        <v>2222</v>
      </c>
      <c r="C749" t="s">
        <v>63</v>
      </c>
      <c r="D749" t="s">
        <v>64</v>
      </c>
      <c r="E749" t="s">
        <v>26</v>
      </c>
      <c r="F749" t="s">
        <v>2223</v>
      </c>
      <c r="G749" s="9" t="s">
        <v>1946</v>
      </c>
      <c r="H749">
        <v>10000</v>
      </c>
      <c r="I749">
        <v>0</v>
      </c>
      <c r="J749" s="21">
        <v>45474</v>
      </c>
      <c r="K749" t="s">
        <v>67</v>
      </c>
      <c r="L749" t="s">
        <v>9</v>
      </c>
      <c r="M749" t="s">
        <v>9</v>
      </c>
      <c r="N749" t="s">
        <v>586</v>
      </c>
      <c r="O749">
        <v>0</v>
      </c>
      <c r="S749" t="str">
        <f>TEXT(Table1[[#This Row],[Date]],"MMM-YY")</f>
        <v>Jun-24</v>
      </c>
      <c r="T749">
        <f>_xlfn.ISOWEEKNUM(Table1[[#This Row],[Date]])</f>
        <v>23</v>
      </c>
      <c r="U749" t="str">
        <f>TEXT(Table1[[#This Row],[Expected Business Month]],"YYYY")</f>
        <v>2024</v>
      </c>
    </row>
    <row r="750" spans="1:21" hidden="1">
      <c r="A750" s="1">
        <v>45449</v>
      </c>
      <c r="B750" t="s">
        <v>749</v>
      </c>
      <c r="C750" t="s">
        <v>63</v>
      </c>
      <c r="D750" t="s">
        <v>64</v>
      </c>
      <c r="E750" t="s">
        <v>26</v>
      </c>
      <c r="F750" t="s">
        <v>2224</v>
      </c>
      <c r="G750" s="9" t="s">
        <v>2225</v>
      </c>
      <c r="H750">
        <v>20000</v>
      </c>
      <c r="I750">
        <v>0</v>
      </c>
      <c r="J750" s="21">
        <v>45536</v>
      </c>
      <c r="K750" t="s">
        <v>67</v>
      </c>
      <c r="L750" t="s">
        <v>9</v>
      </c>
      <c r="M750" t="s">
        <v>9</v>
      </c>
      <c r="O750">
        <v>0</v>
      </c>
      <c r="S750" t="str">
        <f>TEXT(Table1[[#This Row],[Date]],"MMM-YY")</f>
        <v>Jun-24</v>
      </c>
      <c r="T750">
        <f>_xlfn.ISOWEEKNUM(Table1[[#This Row],[Date]])</f>
        <v>23</v>
      </c>
      <c r="U750" t="str">
        <f>TEXT(Table1[[#This Row],[Expected Business Month]],"YYYY")</f>
        <v>2024</v>
      </c>
    </row>
    <row r="751" spans="1:21" hidden="1">
      <c r="A751" s="1">
        <v>45449</v>
      </c>
      <c r="B751" t="s">
        <v>2226</v>
      </c>
      <c r="C751" t="s">
        <v>63</v>
      </c>
      <c r="D751" t="s">
        <v>64</v>
      </c>
      <c r="E751" t="s">
        <v>20</v>
      </c>
      <c r="F751" t="s">
        <v>2227</v>
      </c>
      <c r="G751" s="9" t="s">
        <v>2228</v>
      </c>
      <c r="H751">
        <v>15000</v>
      </c>
      <c r="I751">
        <v>0</v>
      </c>
      <c r="J751" s="21">
        <v>45536</v>
      </c>
      <c r="K751" t="s">
        <v>67</v>
      </c>
      <c r="L751" t="s">
        <v>9</v>
      </c>
      <c r="M751" t="s">
        <v>9</v>
      </c>
      <c r="O751">
        <v>0</v>
      </c>
      <c r="S751" t="str">
        <f>TEXT(Table1[[#This Row],[Date]],"MMM-YY")</f>
        <v>Jun-24</v>
      </c>
      <c r="T751">
        <f>_xlfn.ISOWEEKNUM(Table1[[#This Row],[Date]])</f>
        <v>23</v>
      </c>
      <c r="U751" t="str">
        <f>TEXT(Table1[[#This Row],[Expected Business Month]],"YYYY")</f>
        <v>2024</v>
      </c>
    </row>
    <row r="752" spans="1:21" hidden="1">
      <c r="A752" s="1">
        <v>45449</v>
      </c>
      <c r="B752" t="s">
        <v>2229</v>
      </c>
      <c r="C752" t="s">
        <v>96</v>
      </c>
      <c r="D752" t="s">
        <v>2027</v>
      </c>
      <c r="E752" t="s">
        <v>28</v>
      </c>
      <c r="F752" t="s">
        <v>2230</v>
      </c>
      <c r="G752" s="9" t="s">
        <v>2231</v>
      </c>
      <c r="H752">
        <v>20000</v>
      </c>
      <c r="I752">
        <v>0</v>
      </c>
      <c r="J752" s="21">
        <v>45536</v>
      </c>
      <c r="K752" t="s">
        <v>67</v>
      </c>
      <c r="L752" t="s">
        <v>9</v>
      </c>
      <c r="M752" t="s">
        <v>9</v>
      </c>
      <c r="O752">
        <v>0</v>
      </c>
      <c r="S752" t="str">
        <f>TEXT(Table1[[#This Row],[Date]],"MMM-YY")</f>
        <v>Jun-24</v>
      </c>
      <c r="T752">
        <f>_xlfn.ISOWEEKNUM(Table1[[#This Row],[Date]])</f>
        <v>23</v>
      </c>
      <c r="U752" t="str">
        <f>TEXT(Table1[[#This Row],[Expected Business Month]],"YYYY")</f>
        <v>2024</v>
      </c>
    </row>
    <row r="753" spans="1:21" hidden="1">
      <c r="A753" s="1">
        <v>45450</v>
      </c>
      <c r="B753" t="s">
        <v>2232</v>
      </c>
      <c r="C753" t="s">
        <v>63</v>
      </c>
      <c r="D753" t="s">
        <v>64</v>
      </c>
      <c r="E753" t="s">
        <v>24</v>
      </c>
      <c r="F753" t="s">
        <v>334</v>
      </c>
      <c r="G753" s="9" t="s">
        <v>2233</v>
      </c>
      <c r="H753">
        <v>236900</v>
      </c>
      <c r="I753">
        <v>236900</v>
      </c>
      <c r="J753" s="21">
        <v>45474</v>
      </c>
      <c r="K753" t="s">
        <v>67</v>
      </c>
      <c r="L753" t="s">
        <v>68</v>
      </c>
      <c r="M753" t="s">
        <v>69</v>
      </c>
      <c r="O753">
        <v>0</v>
      </c>
      <c r="S753" t="str">
        <f>TEXT(Table1[[#This Row],[Date]],"MMM-YY")</f>
        <v>Jun-24</v>
      </c>
      <c r="T753">
        <f>_xlfn.ISOWEEKNUM(Table1[[#This Row],[Date]])</f>
        <v>23</v>
      </c>
      <c r="U753" t="str">
        <f>TEXT(Table1[[#This Row],[Expected Business Month]],"YYYY")</f>
        <v>2024</v>
      </c>
    </row>
    <row r="754" spans="1:21" hidden="1">
      <c r="A754" s="1">
        <v>45450</v>
      </c>
      <c r="B754" t="s">
        <v>2234</v>
      </c>
      <c r="C754" t="s">
        <v>63</v>
      </c>
      <c r="D754" t="s">
        <v>64</v>
      </c>
      <c r="E754" t="s">
        <v>28</v>
      </c>
      <c r="F754" t="s">
        <v>1707</v>
      </c>
      <c r="G754" s="9" t="s">
        <v>1893</v>
      </c>
      <c r="H754">
        <v>0</v>
      </c>
      <c r="I754">
        <v>0</v>
      </c>
      <c r="J754" s="21">
        <v>45444</v>
      </c>
      <c r="K754" t="s">
        <v>67</v>
      </c>
      <c r="L754" t="s">
        <v>68</v>
      </c>
      <c r="M754" t="s">
        <v>69</v>
      </c>
      <c r="O754">
        <v>0</v>
      </c>
      <c r="S754" t="str">
        <f>TEXT(Table1[[#This Row],[Date]],"MMM-YY")</f>
        <v>Jun-24</v>
      </c>
      <c r="T754">
        <f>_xlfn.ISOWEEKNUM(Table1[[#This Row],[Date]])</f>
        <v>23</v>
      </c>
      <c r="U754" t="str">
        <f>TEXT(Table1[[#This Row],[Expected Business Month]],"YYYY")</f>
        <v>2024</v>
      </c>
    </row>
    <row r="755" spans="1:21" hidden="1">
      <c r="A755" s="1">
        <v>45450</v>
      </c>
      <c r="B755" t="s">
        <v>2235</v>
      </c>
      <c r="C755" t="s">
        <v>63</v>
      </c>
      <c r="D755" t="s">
        <v>64</v>
      </c>
      <c r="E755" t="s">
        <v>32</v>
      </c>
      <c r="F755" t="s">
        <v>2236</v>
      </c>
      <c r="G755" s="9" t="s">
        <v>2114</v>
      </c>
      <c r="H755">
        <v>12000</v>
      </c>
      <c r="I755">
        <v>0</v>
      </c>
      <c r="J755" s="21">
        <v>45536</v>
      </c>
      <c r="K755" t="s">
        <v>67</v>
      </c>
      <c r="L755" t="s">
        <v>9</v>
      </c>
      <c r="M755" t="s">
        <v>9</v>
      </c>
      <c r="O755">
        <v>0</v>
      </c>
      <c r="S755" t="str">
        <f>TEXT(Table1[[#This Row],[Date]],"MMM-YY")</f>
        <v>Jun-24</v>
      </c>
      <c r="T755">
        <f>_xlfn.ISOWEEKNUM(Table1[[#This Row],[Date]])</f>
        <v>23</v>
      </c>
      <c r="U755" t="str">
        <f>TEXT(Table1[[#This Row],[Expected Business Month]],"YYYY")</f>
        <v>2024</v>
      </c>
    </row>
    <row r="756" spans="1:21" hidden="1">
      <c r="A756" s="1">
        <v>45450</v>
      </c>
      <c r="B756" t="s">
        <v>2237</v>
      </c>
      <c r="C756" t="s">
        <v>96</v>
      </c>
      <c r="D756" t="s">
        <v>64</v>
      </c>
      <c r="E756" t="s">
        <v>34</v>
      </c>
      <c r="F756" t="s">
        <v>2238</v>
      </c>
      <c r="G756" s="9" t="s">
        <v>2087</v>
      </c>
      <c r="H756">
        <v>10000</v>
      </c>
      <c r="I756">
        <v>0</v>
      </c>
      <c r="J756" s="21">
        <v>45536</v>
      </c>
      <c r="K756" t="s">
        <v>67</v>
      </c>
      <c r="L756" t="s">
        <v>9</v>
      </c>
      <c r="M756" t="s">
        <v>9</v>
      </c>
      <c r="O756">
        <v>0</v>
      </c>
      <c r="S756" t="str">
        <f>TEXT(Table1[[#This Row],[Date]],"MMM-YY")</f>
        <v>Jun-24</v>
      </c>
      <c r="T756">
        <f>_xlfn.ISOWEEKNUM(Table1[[#This Row],[Date]])</f>
        <v>23</v>
      </c>
      <c r="U756" t="str">
        <f>TEXT(Table1[[#This Row],[Expected Business Month]],"YYYY")</f>
        <v>2024</v>
      </c>
    </row>
    <row r="757" spans="1:21" hidden="1">
      <c r="A757" s="1">
        <v>45450</v>
      </c>
      <c r="B757" t="s">
        <v>2239</v>
      </c>
      <c r="C757" t="s">
        <v>163</v>
      </c>
      <c r="D757" t="s">
        <v>64</v>
      </c>
      <c r="E757" t="s">
        <v>26</v>
      </c>
      <c r="F757" t="s">
        <v>1411</v>
      </c>
      <c r="G757" s="9" t="s">
        <v>2087</v>
      </c>
      <c r="H757">
        <v>20000</v>
      </c>
      <c r="I757">
        <v>0</v>
      </c>
      <c r="J757" s="21">
        <v>45536</v>
      </c>
      <c r="K757" t="s">
        <v>67</v>
      </c>
      <c r="L757" t="s">
        <v>9</v>
      </c>
      <c r="M757" t="s">
        <v>9</v>
      </c>
      <c r="O757">
        <v>0</v>
      </c>
      <c r="S757" t="str">
        <f>TEXT(Table1[[#This Row],[Date]],"MMM-YY")</f>
        <v>Jun-24</v>
      </c>
      <c r="T757">
        <f>_xlfn.ISOWEEKNUM(Table1[[#This Row],[Date]])</f>
        <v>23</v>
      </c>
      <c r="U757" t="str">
        <f>TEXT(Table1[[#This Row],[Expected Business Month]],"YYYY")</f>
        <v>2024</v>
      </c>
    </row>
    <row r="758" spans="1:21" hidden="1">
      <c r="A758" s="1">
        <v>45452</v>
      </c>
      <c r="B758" t="s">
        <v>2240</v>
      </c>
      <c r="C758" t="s">
        <v>96</v>
      </c>
      <c r="D758" t="s">
        <v>20</v>
      </c>
      <c r="E758" t="s">
        <v>23</v>
      </c>
      <c r="F758" t="s">
        <v>2241</v>
      </c>
      <c r="G758" s="9" t="s">
        <v>2242</v>
      </c>
      <c r="H758">
        <v>12000</v>
      </c>
      <c r="I758">
        <v>0</v>
      </c>
      <c r="J758" s="21">
        <v>45444</v>
      </c>
      <c r="K758" t="s">
        <v>67</v>
      </c>
      <c r="L758" t="s">
        <v>9</v>
      </c>
      <c r="M758" t="s">
        <v>9</v>
      </c>
      <c r="N758" t="s">
        <v>2243</v>
      </c>
      <c r="O758">
        <v>0</v>
      </c>
      <c r="S758" t="str">
        <f>TEXT(Table1[[#This Row],[Date]],"MMM-YY")</f>
        <v>Jun-24</v>
      </c>
      <c r="T758">
        <f>_xlfn.ISOWEEKNUM(Table1[[#This Row],[Date]])</f>
        <v>23</v>
      </c>
      <c r="U758" t="str">
        <f>TEXT(Table1[[#This Row],[Expected Business Month]],"YYYY")</f>
        <v>2024</v>
      </c>
    </row>
    <row r="759" spans="1:21" hidden="1">
      <c r="A759" s="1">
        <v>45453</v>
      </c>
      <c r="B759" t="s">
        <v>2244</v>
      </c>
      <c r="C759" t="s">
        <v>96</v>
      </c>
      <c r="D759" t="s">
        <v>64</v>
      </c>
      <c r="E759" t="s">
        <v>26</v>
      </c>
      <c r="F759" t="s">
        <v>73</v>
      </c>
      <c r="G759" s="9" t="s">
        <v>2245</v>
      </c>
      <c r="H759">
        <v>11500</v>
      </c>
      <c r="I759">
        <v>11500</v>
      </c>
      <c r="J759" s="21">
        <v>45444</v>
      </c>
      <c r="K759" t="s">
        <v>67</v>
      </c>
      <c r="L759" t="s">
        <v>68</v>
      </c>
      <c r="M759" t="s">
        <v>69</v>
      </c>
      <c r="O759">
        <v>0</v>
      </c>
      <c r="S759" t="str">
        <f>TEXT(Table1[[#This Row],[Date]],"MMM-YY")</f>
        <v>Jun-24</v>
      </c>
      <c r="T759">
        <f>_xlfn.ISOWEEKNUM(Table1[[#This Row],[Date]])</f>
        <v>24</v>
      </c>
      <c r="U759" t="str">
        <f>TEXT(Table1[[#This Row],[Expected Business Month]],"YYYY")</f>
        <v>2024</v>
      </c>
    </row>
    <row r="760" spans="1:21" hidden="1">
      <c r="A760" s="1">
        <v>45453</v>
      </c>
      <c r="B760" t="s">
        <v>2246</v>
      </c>
      <c r="C760" t="s">
        <v>96</v>
      </c>
      <c r="D760" t="s">
        <v>64</v>
      </c>
      <c r="E760" t="s">
        <v>25</v>
      </c>
      <c r="F760" t="s">
        <v>2247</v>
      </c>
      <c r="G760" s="9" t="s">
        <v>2248</v>
      </c>
      <c r="H760">
        <v>12000</v>
      </c>
      <c r="I760">
        <v>12000</v>
      </c>
      <c r="J760" s="21">
        <v>45444</v>
      </c>
      <c r="K760" t="s">
        <v>67</v>
      </c>
      <c r="L760" t="s">
        <v>68</v>
      </c>
      <c r="M760" t="s">
        <v>69</v>
      </c>
      <c r="O760">
        <v>0</v>
      </c>
      <c r="S760" t="str">
        <f>TEXT(Table1[[#This Row],[Date]],"MMM-YY")</f>
        <v>Jun-24</v>
      </c>
      <c r="T760">
        <f>_xlfn.ISOWEEKNUM(Table1[[#This Row],[Date]])</f>
        <v>24</v>
      </c>
      <c r="U760" t="str">
        <f>TEXT(Table1[[#This Row],[Expected Business Month]],"YYYY")</f>
        <v>2024</v>
      </c>
    </row>
    <row r="761" spans="1:21" hidden="1">
      <c r="A761" s="1">
        <v>45454</v>
      </c>
      <c r="B761" t="s">
        <v>2249</v>
      </c>
      <c r="C761" t="s">
        <v>96</v>
      </c>
      <c r="D761" t="s">
        <v>64</v>
      </c>
      <c r="E761" t="s">
        <v>28</v>
      </c>
      <c r="F761" t="s">
        <v>1186</v>
      </c>
      <c r="G761" s="9" t="s">
        <v>2250</v>
      </c>
      <c r="H761">
        <v>13000</v>
      </c>
      <c r="I761">
        <v>13000</v>
      </c>
      <c r="J761" s="21">
        <v>45444</v>
      </c>
      <c r="K761" t="s">
        <v>67</v>
      </c>
      <c r="L761" t="s">
        <v>68</v>
      </c>
      <c r="M761" t="s">
        <v>69</v>
      </c>
      <c r="O761">
        <v>0</v>
      </c>
      <c r="S761" t="str">
        <f>TEXT(Table1[[#This Row],[Date]],"MMM-YY")</f>
        <v>Jun-24</v>
      </c>
      <c r="T761">
        <f>_xlfn.ISOWEEKNUM(Table1[[#This Row],[Date]])</f>
        <v>24</v>
      </c>
      <c r="U761" t="str">
        <f>TEXT(Table1[[#This Row],[Expected Business Month]],"YYYY")</f>
        <v>2024</v>
      </c>
    </row>
    <row r="762" spans="1:21" ht="29.1" hidden="1">
      <c r="A762" s="1">
        <v>45455</v>
      </c>
      <c r="B762" t="s">
        <v>324</v>
      </c>
      <c r="C762" t="s">
        <v>96</v>
      </c>
      <c r="D762" t="s">
        <v>64</v>
      </c>
      <c r="E762" t="s">
        <v>38</v>
      </c>
      <c r="F762" t="s">
        <v>325</v>
      </c>
      <c r="G762" s="9" t="s">
        <v>2251</v>
      </c>
      <c r="H762">
        <v>45953</v>
      </c>
      <c r="I762">
        <v>45953</v>
      </c>
      <c r="J762" s="21">
        <v>45444</v>
      </c>
      <c r="K762" t="s">
        <v>99</v>
      </c>
      <c r="L762" t="s">
        <v>68</v>
      </c>
      <c r="M762" t="s">
        <v>69</v>
      </c>
      <c r="O762">
        <v>0</v>
      </c>
      <c r="S762" t="str">
        <f>TEXT(Table1[[#This Row],[Date]],"MMM-YY")</f>
        <v>Jun-24</v>
      </c>
      <c r="T762">
        <f>_xlfn.ISOWEEKNUM(Table1[[#This Row],[Date]])</f>
        <v>24</v>
      </c>
      <c r="U762" t="str">
        <f>TEXT(Table1[[#This Row],[Expected Business Month]],"YYYY")</f>
        <v>2024</v>
      </c>
    </row>
    <row r="763" spans="1:21" hidden="1">
      <c r="A763" s="1">
        <v>45456</v>
      </c>
      <c r="B763" t="s">
        <v>288</v>
      </c>
      <c r="C763" t="s">
        <v>96</v>
      </c>
      <c r="D763" t="s">
        <v>64</v>
      </c>
      <c r="E763" t="s">
        <v>26</v>
      </c>
      <c r="F763" t="s">
        <v>80</v>
      </c>
      <c r="G763" s="9" t="s">
        <v>2252</v>
      </c>
      <c r="H763">
        <v>12000</v>
      </c>
      <c r="I763">
        <v>12000</v>
      </c>
      <c r="J763" s="21">
        <v>45444</v>
      </c>
      <c r="K763" t="s">
        <v>67</v>
      </c>
      <c r="L763" t="s">
        <v>68</v>
      </c>
      <c r="M763" t="s">
        <v>69</v>
      </c>
      <c r="O763">
        <v>0</v>
      </c>
      <c r="S763" t="str">
        <f>TEXT(Table1[[#This Row],[Date]],"MMM-YY")</f>
        <v>Jun-24</v>
      </c>
      <c r="T763">
        <f>_xlfn.ISOWEEKNUM(Table1[[#This Row],[Date]])</f>
        <v>24</v>
      </c>
      <c r="U763" t="str">
        <f>TEXT(Table1[[#This Row],[Expected Business Month]],"YYYY")</f>
        <v>2024</v>
      </c>
    </row>
    <row r="764" spans="1:21" hidden="1">
      <c r="A764" s="1">
        <v>45459</v>
      </c>
      <c r="B764" t="s">
        <v>2253</v>
      </c>
      <c r="C764" t="s">
        <v>96</v>
      </c>
      <c r="D764" t="s">
        <v>20</v>
      </c>
      <c r="E764" t="s">
        <v>23</v>
      </c>
      <c r="F764" t="s">
        <v>2254</v>
      </c>
      <c r="G764" s="9" t="s">
        <v>2255</v>
      </c>
      <c r="H764">
        <v>15000</v>
      </c>
      <c r="I764">
        <v>15000</v>
      </c>
      <c r="J764" s="21">
        <v>45444</v>
      </c>
      <c r="K764" t="s">
        <v>67</v>
      </c>
      <c r="L764" t="s">
        <v>68</v>
      </c>
      <c r="M764" t="s">
        <v>69</v>
      </c>
      <c r="O764">
        <v>0</v>
      </c>
      <c r="S764" t="str">
        <f>TEXT(Table1[[#This Row],[Date]],"MMM-YY")</f>
        <v>Jun-24</v>
      </c>
      <c r="T764">
        <f>_xlfn.ISOWEEKNUM(Table1[[#This Row],[Date]])</f>
        <v>24</v>
      </c>
      <c r="U764" t="str">
        <f>TEXT(Table1[[#This Row],[Expected Business Month]],"YYYY")</f>
        <v>2024</v>
      </c>
    </row>
    <row r="765" spans="1:21" hidden="1">
      <c r="A765" s="1">
        <v>45459</v>
      </c>
      <c r="B765" t="s">
        <v>1072</v>
      </c>
      <c r="C765" t="s">
        <v>96</v>
      </c>
      <c r="D765" t="s">
        <v>20</v>
      </c>
      <c r="E765" t="s">
        <v>23</v>
      </c>
      <c r="F765" t="s">
        <v>1056</v>
      </c>
      <c r="G765" s="9" t="s">
        <v>2256</v>
      </c>
      <c r="H765">
        <v>12000</v>
      </c>
      <c r="I765">
        <v>12000</v>
      </c>
      <c r="J765" s="21">
        <v>45444</v>
      </c>
      <c r="K765" t="s">
        <v>67</v>
      </c>
      <c r="L765" t="s">
        <v>68</v>
      </c>
      <c r="M765" t="s">
        <v>69</v>
      </c>
      <c r="O765">
        <v>0</v>
      </c>
      <c r="S765" t="str">
        <f>TEXT(Table1[[#This Row],[Date]],"MMM-YY")</f>
        <v>Jun-24</v>
      </c>
      <c r="T765">
        <f>_xlfn.ISOWEEKNUM(Table1[[#This Row],[Date]])</f>
        <v>24</v>
      </c>
      <c r="U765" t="str">
        <f>TEXT(Table1[[#This Row],[Expected Business Month]],"YYYY")</f>
        <v>2024</v>
      </c>
    </row>
    <row r="766" spans="1:21" hidden="1">
      <c r="A766" s="1">
        <v>45460</v>
      </c>
      <c r="B766" t="s">
        <v>2257</v>
      </c>
      <c r="C766" t="s">
        <v>96</v>
      </c>
      <c r="D766" t="s">
        <v>64</v>
      </c>
      <c r="E766" t="s">
        <v>38</v>
      </c>
      <c r="F766" t="s">
        <v>2216</v>
      </c>
      <c r="G766" s="9" t="s">
        <v>2258</v>
      </c>
      <c r="H766">
        <v>30000</v>
      </c>
      <c r="I766">
        <v>0</v>
      </c>
      <c r="J766" s="21">
        <v>45474</v>
      </c>
      <c r="K766" t="s">
        <v>67</v>
      </c>
      <c r="L766" t="s">
        <v>9</v>
      </c>
      <c r="M766" t="s">
        <v>9</v>
      </c>
      <c r="N766" t="s">
        <v>586</v>
      </c>
      <c r="O766">
        <v>0</v>
      </c>
      <c r="S766" t="str">
        <f>TEXT(Table1[[#This Row],[Date]],"MMM-YY")</f>
        <v>Jun-24</v>
      </c>
      <c r="T766">
        <f>_xlfn.ISOWEEKNUM(Table1[[#This Row],[Date]])</f>
        <v>25</v>
      </c>
      <c r="U766" t="str">
        <f>TEXT(Table1[[#This Row],[Expected Business Month]],"YYYY")</f>
        <v>2024</v>
      </c>
    </row>
    <row r="767" spans="1:21" hidden="1">
      <c r="A767" s="1">
        <v>45460</v>
      </c>
      <c r="B767" t="s">
        <v>2259</v>
      </c>
      <c r="C767" t="s">
        <v>63</v>
      </c>
      <c r="D767" t="s">
        <v>64</v>
      </c>
      <c r="E767" t="s">
        <v>26</v>
      </c>
      <c r="F767" t="s">
        <v>2260</v>
      </c>
      <c r="G767" s="9" t="s">
        <v>2261</v>
      </c>
      <c r="H767">
        <v>25000</v>
      </c>
      <c r="I767">
        <v>0</v>
      </c>
      <c r="J767" s="21">
        <v>45536</v>
      </c>
      <c r="K767" t="s">
        <v>67</v>
      </c>
      <c r="L767" t="s">
        <v>9</v>
      </c>
      <c r="M767" t="s">
        <v>9</v>
      </c>
      <c r="O767">
        <v>0</v>
      </c>
      <c r="S767" t="str">
        <f>TEXT(Table1[[#This Row],[Date]],"MMM-YY")</f>
        <v>Jun-24</v>
      </c>
      <c r="T767">
        <f>_xlfn.ISOWEEKNUM(Table1[[#This Row],[Date]])</f>
        <v>25</v>
      </c>
      <c r="U767" t="str">
        <f>TEXT(Table1[[#This Row],[Expected Business Month]],"YYYY")</f>
        <v>2024</v>
      </c>
    </row>
    <row r="768" spans="1:21" hidden="1">
      <c r="A768" s="1">
        <v>45460</v>
      </c>
      <c r="B768" t="s">
        <v>1858</v>
      </c>
      <c r="C768" t="s">
        <v>63</v>
      </c>
      <c r="D768" t="s">
        <v>64</v>
      </c>
      <c r="E768" t="s">
        <v>26</v>
      </c>
      <c r="F768" t="s">
        <v>2262</v>
      </c>
      <c r="G768" s="9" t="s">
        <v>1946</v>
      </c>
      <c r="H768">
        <v>20000</v>
      </c>
      <c r="I768">
        <v>0</v>
      </c>
      <c r="J768" s="21">
        <v>45536</v>
      </c>
      <c r="K768" t="s">
        <v>67</v>
      </c>
      <c r="L768" t="s">
        <v>9</v>
      </c>
      <c r="M768" t="s">
        <v>9</v>
      </c>
      <c r="O768">
        <v>0</v>
      </c>
      <c r="S768" t="str">
        <f>TEXT(Table1[[#This Row],[Date]],"MMM-YY")</f>
        <v>Jun-24</v>
      </c>
      <c r="T768">
        <f>_xlfn.ISOWEEKNUM(Table1[[#This Row],[Date]])</f>
        <v>25</v>
      </c>
      <c r="U768" t="str">
        <f>TEXT(Table1[[#This Row],[Expected Business Month]],"YYYY")</f>
        <v>2024</v>
      </c>
    </row>
    <row r="769" spans="1:21" hidden="1">
      <c r="A769" s="1">
        <v>45460</v>
      </c>
      <c r="B769" t="s">
        <v>1902</v>
      </c>
      <c r="C769" t="s">
        <v>96</v>
      </c>
      <c r="D769" t="s">
        <v>64</v>
      </c>
      <c r="E769" t="s">
        <v>26</v>
      </c>
      <c r="F769" t="s">
        <v>2263</v>
      </c>
      <c r="G769" s="9" t="s">
        <v>2126</v>
      </c>
      <c r="H769">
        <v>25000</v>
      </c>
      <c r="I769">
        <v>0</v>
      </c>
      <c r="J769" s="21">
        <v>45444</v>
      </c>
      <c r="K769" t="s">
        <v>67</v>
      </c>
      <c r="L769" t="s">
        <v>9</v>
      </c>
      <c r="M769" t="s">
        <v>9</v>
      </c>
      <c r="N769" t="s">
        <v>1436</v>
      </c>
      <c r="O769">
        <v>0</v>
      </c>
      <c r="S769" t="str">
        <f>TEXT(Table1[[#This Row],[Date]],"MMM-YY")</f>
        <v>Jun-24</v>
      </c>
      <c r="T769">
        <f>_xlfn.ISOWEEKNUM(Table1[[#This Row],[Date]])</f>
        <v>25</v>
      </c>
      <c r="U769" t="str">
        <f>TEXT(Table1[[#This Row],[Expected Business Month]],"YYYY")</f>
        <v>2024</v>
      </c>
    </row>
    <row r="770" spans="1:21" hidden="1">
      <c r="A770" s="1">
        <v>45460</v>
      </c>
      <c r="B770" t="s">
        <v>2264</v>
      </c>
      <c r="C770" t="s">
        <v>63</v>
      </c>
      <c r="D770" t="s">
        <v>64</v>
      </c>
      <c r="E770" t="s">
        <v>26</v>
      </c>
      <c r="F770" t="s">
        <v>2265</v>
      </c>
      <c r="G770" s="9" t="s">
        <v>2266</v>
      </c>
      <c r="H770">
        <v>15000</v>
      </c>
      <c r="I770">
        <v>0</v>
      </c>
      <c r="J770" s="21">
        <v>45536</v>
      </c>
      <c r="K770" t="s">
        <v>67</v>
      </c>
      <c r="L770" t="s">
        <v>9</v>
      </c>
      <c r="M770" t="s">
        <v>9</v>
      </c>
      <c r="O770">
        <v>0</v>
      </c>
      <c r="S770" t="str">
        <f>TEXT(Table1[[#This Row],[Date]],"MMM-YY")</f>
        <v>Jun-24</v>
      </c>
      <c r="T770">
        <f>_xlfn.ISOWEEKNUM(Table1[[#This Row],[Date]])</f>
        <v>25</v>
      </c>
      <c r="U770" t="str">
        <f>TEXT(Table1[[#This Row],[Expected Business Month]],"YYYY")</f>
        <v>2024</v>
      </c>
    </row>
    <row r="771" spans="1:21" hidden="1">
      <c r="A771" s="1">
        <v>45461</v>
      </c>
      <c r="B771" t="s">
        <v>1977</v>
      </c>
      <c r="C771" t="s">
        <v>96</v>
      </c>
      <c r="D771" t="s">
        <v>20</v>
      </c>
      <c r="E771" t="s">
        <v>23</v>
      </c>
      <c r="F771" t="s">
        <v>396</v>
      </c>
      <c r="G771" s="9" t="s">
        <v>2267</v>
      </c>
      <c r="H771">
        <v>10000</v>
      </c>
      <c r="I771">
        <v>10000</v>
      </c>
      <c r="J771" s="21">
        <v>45444</v>
      </c>
      <c r="K771" t="s">
        <v>67</v>
      </c>
      <c r="L771" t="s">
        <v>68</v>
      </c>
      <c r="M771" t="s">
        <v>69</v>
      </c>
      <c r="O771">
        <v>0</v>
      </c>
      <c r="S771" t="str">
        <f>TEXT(Table1[[#This Row],[Date]],"MMM-YY")</f>
        <v>Jun-24</v>
      </c>
      <c r="T771">
        <f>_xlfn.ISOWEEKNUM(Table1[[#This Row],[Date]])</f>
        <v>25</v>
      </c>
      <c r="U771" t="str">
        <f>TEXT(Table1[[#This Row],[Expected Business Month]],"YYYY")</f>
        <v>2024</v>
      </c>
    </row>
    <row r="772" spans="1:21" hidden="1">
      <c r="A772" s="1">
        <v>45461</v>
      </c>
      <c r="B772" t="s">
        <v>2268</v>
      </c>
      <c r="C772" t="s">
        <v>96</v>
      </c>
      <c r="D772" t="s">
        <v>20</v>
      </c>
      <c r="E772" t="s">
        <v>23</v>
      </c>
      <c r="F772" t="s">
        <v>2269</v>
      </c>
      <c r="G772" s="9" t="s">
        <v>2270</v>
      </c>
      <c r="H772">
        <v>7000</v>
      </c>
      <c r="I772">
        <v>7000</v>
      </c>
      <c r="J772" s="21">
        <v>45444</v>
      </c>
      <c r="K772" t="s">
        <v>67</v>
      </c>
      <c r="L772" t="s">
        <v>68</v>
      </c>
      <c r="M772" t="s">
        <v>69</v>
      </c>
      <c r="O772">
        <v>0</v>
      </c>
      <c r="S772" t="str">
        <f>TEXT(Table1[[#This Row],[Date]],"MMM-YY")</f>
        <v>Jun-24</v>
      </c>
      <c r="T772">
        <f>_xlfn.ISOWEEKNUM(Table1[[#This Row],[Date]])</f>
        <v>25</v>
      </c>
      <c r="U772" t="str">
        <f>TEXT(Table1[[#This Row],[Expected Business Month]],"YYYY")</f>
        <v>2024</v>
      </c>
    </row>
    <row r="773" spans="1:21" hidden="1">
      <c r="A773" s="1">
        <v>45461</v>
      </c>
      <c r="B773" t="s">
        <v>2271</v>
      </c>
      <c r="C773" t="s">
        <v>96</v>
      </c>
      <c r="D773" t="s">
        <v>64</v>
      </c>
      <c r="E773" t="s">
        <v>26</v>
      </c>
      <c r="F773" t="s">
        <v>1186</v>
      </c>
      <c r="G773" s="9" t="s">
        <v>2272</v>
      </c>
      <c r="H773">
        <v>8000</v>
      </c>
      <c r="I773">
        <v>8000</v>
      </c>
      <c r="J773" s="21">
        <v>45444</v>
      </c>
      <c r="K773" t="s">
        <v>67</v>
      </c>
      <c r="L773" t="s">
        <v>68</v>
      </c>
      <c r="M773" t="s">
        <v>69</v>
      </c>
      <c r="O773">
        <v>0</v>
      </c>
      <c r="S773" t="str">
        <f>TEXT(Table1[[#This Row],[Date]],"MMM-YY")</f>
        <v>Jun-24</v>
      </c>
      <c r="T773">
        <f>_xlfn.ISOWEEKNUM(Table1[[#This Row],[Date]])</f>
        <v>25</v>
      </c>
      <c r="U773" t="str">
        <f>TEXT(Table1[[#This Row],[Expected Business Month]],"YYYY")</f>
        <v>2024</v>
      </c>
    </row>
    <row r="774" spans="1:21" hidden="1">
      <c r="A774" s="1">
        <v>45461</v>
      </c>
      <c r="B774" t="s">
        <v>399</v>
      </c>
      <c r="C774" t="s">
        <v>96</v>
      </c>
      <c r="D774" t="s">
        <v>20</v>
      </c>
      <c r="E774" t="s">
        <v>23</v>
      </c>
      <c r="F774" t="s">
        <v>1613</v>
      </c>
      <c r="G774" s="9" t="s">
        <v>2273</v>
      </c>
      <c r="H774">
        <v>20000</v>
      </c>
      <c r="I774">
        <v>0</v>
      </c>
      <c r="J774" s="21">
        <v>45536</v>
      </c>
      <c r="K774" t="s">
        <v>67</v>
      </c>
      <c r="L774" t="s">
        <v>9</v>
      </c>
      <c r="M774" t="s">
        <v>9</v>
      </c>
      <c r="N774" t="s">
        <v>707</v>
      </c>
      <c r="O774">
        <v>0</v>
      </c>
      <c r="S774" t="str">
        <f>TEXT(Table1[[#This Row],[Date]],"MMM-YY")</f>
        <v>Jun-24</v>
      </c>
      <c r="T774">
        <f>_xlfn.ISOWEEKNUM(Table1[[#This Row],[Date]])</f>
        <v>25</v>
      </c>
      <c r="U774" t="str">
        <f>TEXT(Table1[[#This Row],[Expected Business Month]],"YYYY")</f>
        <v>2024</v>
      </c>
    </row>
    <row r="775" spans="1:21" hidden="1">
      <c r="A775" s="1">
        <v>45461</v>
      </c>
      <c r="B775" t="s">
        <v>2274</v>
      </c>
      <c r="C775" t="s">
        <v>63</v>
      </c>
      <c r="D775" t="s">
        <v>64</v>
      </c>
      <c r="E775" t="s">
        <v>18</v>
      </c>
      <c r="F775" t="s">
        <v>2275</v>
      </c>
      <c r="G775" s="9" t="s">
        <v>2276</v>
      </c>
      <c r="H775">
        <v>15000</v>
      </c>
      <c r="I775">
        <v>0</v>
      </c>
      <c r="J775" s="21">
        <v>45536</v>
      </c>
      <c r="K775" t="s">
        <v>67</v>
      </c>
      <c r="L775" t="s">
        <v>9</v>
      </c>
      <c r="M775" t="s">
        <v>9</v>
      </c>
      <c r="O775">
        <v>0</v>
      </c>
      <c r="S775" t="str">
        <f>TEXT(Table1[[#This Row],[Date]],"MMM-YY")</f>
        <v>Jun-24</v>
      </c>
      <c r="T775">
        <f>_xlfn.ISOWEEKNUM(Table1[[#This Row],[Date]])</f>
        <v>25</v>
      </c>
      <c r="U775" t="str">
        <f>TEXT(Table1[[#This Row],[Expected Business Month]],"YYYY")</f>
        <v>2024</v>
      </c>
    </row>
    <row r="776" spans="1:21" hidden="1">
      <c r="A776" s="1">
        <v>45461</v>
      </c>
      <c r="B776" t="s">
        <v>2277</v>
      </c>
      <c r="C776" t="s">
        <v>63</v>
      </c>
      <c r="D776" t="s">
        <v>64</v>
      </c>
      <c r="E776" t="s">
        <v>14</v>
      </c>
      <c r="F776" t="s">
        <v>1624</v>
      </c>
      <c r="G776" s="9" t="s">
        <v>1946</v>
      </c>
      <c r="H776">
        <v>18000</v>
      </c>
      <c r="I776">
        <v>0</v>
      </c>
      <c r="J776" s="21">
        <v>45536</v>
      </c>
      <c r="K776" t="s">
        <v>67</v>
      </c>
      <c r="L776" t="s">
        <v>9</v>
      </c>
      <c r="M776" t="s">
        <v>9</v>
      </c>
      <c r="O776">
        <v>0</v>
      </c>
      <c r="S776" t="str">
        <f>TEXT(Table1[[#This Row],[Date]],"MMM-YY")</f>
        <v>Jun-24</v>
      </c>
      <c r="T776">
        <f>_xlfn.ISOWEEKNUM(Table1[[#This Row],[Date]])</f>
        <v>25</v>
      </c>
      <c r="U776" t="str">
        <f>TEXT(Table1[[#This Row],[Expected Business Month]],"YYYY")</f>
        <v>2024</v>
      </c>
    </row>
    <row r="777" spans="1:21" ht="29.1" hidden="1">
      <c r="A777" s="1">
        <v>45462</v>
      </c>
      <c r="B777" t="s">
        <v>324</v>
      </c>
      <c r="C777" t="s">
        <v>96</v>
      </c>
      <c r="D777" t="s">
        <v>64</v>
      </c>
      <c r="E777" t="s">
        <v>38</v>
      </c>
      <c r="F777" t="s">
        <v>325</v>
      </c>
      <c r="G777" s="9" t="s">
        <v>2278</v>
      </c>
      <c r="H777">
        <v>45000</v>
      </c>
      <c r="I777">
        <v>45000</v>
      </c>
      <c r="J777" s="21">
        <v>45444</v>
      </c>
      <c r="K777" t="s">
        <v>99</v>
      </c>
      <c r="L777" t="s">
        <v>68</v>
      </c>
      <c r="M777" t="s">
        <v>69</v>
      </c>
      <c r="O777">
        <v>0</v>
      </c>
      <c r="S777" t="str">
        <f>TEXT(Table1[[#This Row],[Date]],"MMM-YY")</f>
        <v>Jun-24</v>
      </c>
      <c r="T777">
        <f>_xlfn.ISOWEEKNUM(Table1[[#This Row],[Date]])</f>
        <v>25</v>
      </c>
      <c r="U777" t="str">
        <f>TEXT(Table1[[#This Row],[Expected Business Month]],"YYYY")</f>
        <v>2024</v>
      </c>
    </row>
    <row r="778" spans="1:21" hidden="1">
      <c r="A778" s="1">
        <v>45462</v>
      </c>
      <c r="B778" t="s">
        <v>2279</v>
      </c>
      <c r="C778" t="s">
        <v>63</v>
      </c>
      <c r="D778" t="s">
        <v>618</v>
      </c>
      <c r="E778" t="s">
        <v>18</v>
      </c>
      <c r="F778" t="s">
        <v>334</v>
      </c>
      <c r="G778" s="9" t="s">
        <v>1860</v>
      </c>
      <c r="H778">
        <v>14000</v>
      </c>
      <c r="I778">
        <v>0</v>
      </c>
      <c r="J778" s="21">
        <v>45536</v>
      </c>
      <c r="K778" t="s">
        <v>67</v>
      </c>
      <c r="L778" t="s">
        <v>9</v>
      </c>
      <c r="M778" t="s">
        <v>9</v>
      </c>
      <c r="O778">
        <v>0</v>
      </c>
      <c r="S778" t="str">
        <f>TEXT(Table1[[#This Row],[Date]],"MMM-YY")</f>
        <v>Jun-24</v>
      </c>
      <c r="T778">
        <f>_xlfn.ISOWEEKNUM(Table1[[#This Row],[Date]])</f>
        <v>25</v>
      </c>
      <c r="U778" t="str">
        <f>TEXT(Table1[[#This Row],[Expected Business Month]],"YYYY")</f>
        <v>2024</v>
      </c>
    </row>
    <row r="779" spans="1:21" hidden="1">
      <c r="A779" s="1">
        <v>45462</v>
      </c>
      <c r="B779" t="s">
        <v>2280</v>
      </c>
      <c r="C779" t="s">
        <v>63</v>
      </c>
      <c r="D779" t="s">
        <v>1641</v>
      </c>
      <c r="E779" t="s">
        <v>18</v>
      </c>
      <c r="F779" t="s">
        <v>2281</v>
      </c>
      <c r="G779" s="9" t="s">
        <v>2282</v>
      </c>
      <c r="H779">
        <v>25000</v>
      </c>
      <c r="I779">
        <v>0</v>
      </c>
      <c r="J779" s="21">
        <v>45536</v>
      </c>
      <c r="K779" t="s">
        <v>67</v>
      </c>
      <c r="L779" t="s">
        <v>9</v>
      </c>
      <c r="M779" t="s">
        <v>9</v>
      </c>
      <c r="O779">
        <v>0</v>
      </c>
      <c r="S779" t="str">
        <f>TEXT(Table1[[#This Row],[Date]],"MMM-YY")</f>
        <v>Jun-24</v>
      </c>
      <c r="T779">
        <f>_xlfn.ISOWEEKNUM(Table1[[#This Row],[Date]])</f>
        <v>25</v>
      </c>
      <c r="U779" t="str">
        <f>TEXT(Table1[[#This Row],[Expected Business Month]],"YYYY")</f>
        <v>2024</v>
      </c>
    </row>
    <row r="780" spans="1:21" hidden="1">
      <c r="A780" s="1">
        <v>45462</v>
      </c>
      <c r="B780" t="s">
        <v>2283</v>
      </c>
      <c r="C780" t="s">
        <v>63</v>
      </c>
      <c r="D780" t="s">
        <v>64</v>
      </c>
      <c r="E780" t="s">
        <v>26</v>
      </c>
      <c r="F780" t="s">
        <v>2061</v>
      </c>
      <c r="G780" s="9" t="s">
        <v>2284</v>
      </c>
      <c r="H780">
        <v>18000</v>
      </c>
      <c r="I780">
        <v>0</v>
      </c>
      <c r="J780" s="21">
        <v>45536</v>
      </c>
      <c r="K780" t="s">
        <v>67</v>
      </c>
      <c r="L780" t="s">
        <v>9</v>
      </c>
      <c r="M780" t="s">
        <v>9</v>
      </c>
      <c r="O780">
        <v>0</v>
      </c>
      <c r="S780" t="str">
        <f>TEXT(Table1[[#This Row],[Date]],"MMM-YY")</f>
        <v>Jun-24</v>
      </c>
      <c r="T780">
        <f>_xlfn.ISOWEEKNUM(Table1[[#This Row],[Date]])</f>
        <v>25</v>
      </c>
      <c r="U780" t="str">
        <f>TEXT(Table1[[#This Row],[Expected Business Month]],"YYYY")</f>
        <v>2024</v>
      </c>
    </row>
    <row r="781" spans="1:21" hidden="1">
      <c r="A781" s="1">
        <v>45462</v>
      </c>
      <c r="B781" t="s">
        <v>1999</v>
      </c>
      <c r="C781" t="s">
        <v>63</v>
      </c>
      <c r="D781" t="s">
        <v>64</v>
      </c>
      <c r="E781" t="s">
        <v>30</v>
      </c>
      <c r="F781" t="s">
        <v>2285</v>
      </c>
      <c r="G781" s="9" t="s">
        <v>293</v>
      </c>
      <c r="H781">
        <v>20000</v>
      </c>
      <c r="I781">
        <v>0</v>
      </c>
      <c r="J781" s="21">
        <v>45536</v>
      </c>
      <c r="K781" t="s">
        <v>67</v>
      </c>
      <c r="L781" t="s">
        <v>9</v>
      </c>
      <c r="M781" t="s">
        <v>9</v>
      </c>
      <c r="O781">
        <v>0</v>
      </c>
      <c r="S781" t="str">
        <f>TEXT(Table1[[#This Row],[Date]],"MMM-YY")</f>
        <v>Jun-24</v>
      </c>
      <c r="T781">
        <f>_xlfn.ISOWEEKNUM(Table1[[#This Row],[Date]])</f>
        <v>25</v>
      </c>
      <c r="U781" t="str">
        <f>TEXT(Table1[[#This Row],[Expected Business Month]],"YYYY")</f>
        <v>2024</v>
      </c>
    </row>
    <row r="782" spans="1:21" hidden="1">
      <c r="A782" s="1">
        <v>45463</v>
      </c>
      <c r="B782" t="s">
        <v>2286</v>
      </c>
      <c r="C782" t="s">
        <v>96</v>
      </c>
      <c r="D782" t="s">
        <v>20</v>
      </c>
      <c r="E782" t="s">
        <v>23</v>
      </c>
      <c r="F782" t="s">
        <v>2287</v>
      </c>
      <c r="G782" s="9" t="s">
        <v>2288</v>
      </c>
      <c r="H782">
        <v>12000</v>
      </c>
      <c r="I782">
        <v>0</v>
      </c>
      <c r="J782" s="21">
        <v>45444</v>
      </c>
      <c r="K782" t="s">
        <v>67</v>
      </c>
      <c r="L782" t="s">
        <v>9</v>
      </c>
      <c r="M782" t="s">
        <v>9</v>
      </c>
      <c r="N782" t="s">
        <v>602</v>
      </c>
      <c r="O782">
        <v>0</v>
      </c>
      <c r="S782" t="str">
        <f>TEXT(Table1[[#This Row],[Date]],"MMM-YY")</f>
        <v>Jun-24</v>
      </c>
      <c r="T782">
        <f>_xlfn.ISOWEEKNUM(Table1[[#This Row],[Date]])</f>
        <v>25</v>
      </c>
      <c r="U782" t="str">
        <f>TEXT(Table1[[#This Row],[Expected Business Month]],"YYYY")</f>
        <v>2024</v>
      </c>
    </row>
    <row r="783" spans="1:21" hidden="1">
      <c r="A783" s="1">
        <v>45463</v>
      </c>
      <c r="B783" t="s">
        <v>2289</v>
      </c>
      <c r="C783" t="s">
        <v>63</v>
      </c>
      <c r="D783" t="s">
        <v>20</v>
      </c>
      <c r="E783" t="s">
        <v>20</v>
      </c>
      <c r="F783" t="s">
        <v>2290</v>
      </c>
      <c r="G783" s="9" t="s">
        <v>2291</v>
      </c>
      <c r="H783">
        <v>350000</v>
      </c>
      <c r="I783">
        <v>0</v>
      </c>
      <c r="J783" s="21">
        <v>45444</v>
      </c>
      <c r="K783" t="s">
        <v>67</v>
      </c>
      <c r="L783" t="s">
        <v>9</v>
      </c>
      <c r="M783" t="s">
        <v>9</v>
      </c>
      <c r="N783" t="s">
        <v>602</v>
      </c>
      <c r="O783">
        <v>0</v>
      </c>
      <c r="S783" t="str">
        <f>TEXT(Table1[[#This Row],[Date]],"MMM-YY")</f>
        <v>Jun-24</v>
      </c>
      <c r="T783">
        <f>_xlfn.ISOWEEKNUM(Table1[[#This Row],[Date]])</f>
        <v>25</v>
      </c>
      <c r="U783" t="str">
        <f>TEXT(Table1[[#This Row],[Expected Business Month]],"YYYY")</f>
        <v>2024</v>
      </c>
    </row>
    <row r="784" spans="1:21" hidden="1">
      <c r="A784" s="1">
        <v>45463</v>
      </c>
      <c r="B784" t="s">
        <v>2292</v>
      </c>
      <c r="C784" t="s">
        <v>96</v>
      </c>
      <c r="D784" t="s">
        <v>64</v>
      </c>
      <c r="E784" t="s">
        <v>27</v>
      </c>
      <c r="F784" t="s">
        <v>2103</v>
      </c>
      <c r="G784" s="9" t="s">
        <v>2150</v>
      </c>
      <c r="H784">
        <v>15000</v>
      </c>
      <c r="I784">
        <v>0</v>
      </c>
      <c r="J784" s="21">
        <v>45536</v>
      </c>
      <c r="K784" t="s">
        <v>67</v>
      </c>
      <c r="L784" t="s">
        <v>9</v>
      </c>
      <c r="M784" t="s">
        <v>9</v>
      </c>
      <c r="O784">
        <v>0</v>
      </c>
      <c r="S784" t="str">
        <f>TEXT(Table1[[#This Row],[Date]],"MMM-YY")</f>
        <v>Jun-24</v>
      </c>
      <c r="T784">
        <f>_xlfn.ISOWEEKNUM(Table1[[#This Row],[Date]])</f>
        <v>25</v>
      </c>
      <c r="U784" t="str">
        <f>TEXT(Table1[[#This Row],[Expected Business Month]],"YYYY")</f>
        <v>2024</v>
      </c>
    </row>
    <row r="785" spans="1:21" hidden="1">
      <c r="A785" s="1">
        <v>45463</v>
      </c>
      <c r="B785" t="s">
        <v>2293</v>
      </c>
      <c r="C785" t="s">
        <v>63</v>
      </c>
      <c r="D785" t="s">
        <v>64</v>
      </c>
      <c r="E785" t="s">
        <v>14</v>
      </c>
      <c r="F785" t="s">
        <v>2294</v>
      </c>
      <c r="G785" s="9" t="s">
        <v>2087</v>
      </c>
      <c r="H785">
        <v>20000</v>
      </c>
      <c r="I785">
        <v>0</v>
      </c>
      <c r="J785" s="21">
        <v>45536</v>
      </c>
      <c r="K785" t="s">
        <v>67</v>
      </c>
      <c r="L785" t="s">
        <v>9</v>
      </c>
      <c r="M785" t="s">
        <v>9</v>
      </c>
      <c r="O785">
        <v>0</v>
      </c>
      <c r="S785" t="str">
        <f>TEXT(Table1[[#This Row],[Date]],"MMM-YY")</f>
        <v>Jun-24</v>
      </c>
      <c r="T785">
        <f>_xlfn.ISOWEEKNUM(Table1[[#This Row],[Date]])</f>
        <v>25</v>
      </c>
      <c r="U785" t="str">
        <f>TEXT(Table1[[#This Row],[Expected Business Month]],"YYYY")</f>
        <v>2024</v>
      </c>
    </row>
    <row r="786" spans="1:21" hidden="1">
      <c r="A786" s="1">
        <v>45463</v>
      </c>
      <c r="B786" t="s">
        <v>1106</v>
      </c>
      <c r="C786" t="s">
        <v>96</v>
      </c>
      <c r="D786" t="s">
        <v>64</v>
      </c>
      <c r="E786" t="s">
        <v>26</v>
      </c>
      <c r="F786" t="s">
        <v>2295</v>
      </c>
      <c r="G786" s="9" t="s">
        <v>1946</v>
      </c>
      <c r="H786">
        <v>18000</v>
      </c>
      <c r="I786">
        <v>0</v>
      </c>
      <c r="J786" s="21">
        <v>45536</v>
      </c>
      <c r="K786" t="s">
        <v>67</v>
      </c>
      <c r="L786" t="s">
        <v>9</v>
      </c>
      <c r="M786" t="s">
        <v>9</v>
      </c>
      <c r="O786">
        <v>0</v>
      </c>
      <c r="S786" t="str">
        <f>TEXT(Table1[[#This Row],[Date]],"MMM-YY")</f>
        <v>Jun-24</v>
      </c>
      <c r="T786">
        <f>_xlfn.ISOWEEKNUM(Table1[[#This Row],[Date]])</f>
        <v>25</v>
      </c>
      <c r="U786" t="str">
        <f>TEXT(Table1[[#This Row],[Expected Business Month]],"YYYY")</f>
        <v>2024</v>
      </c>
    </row>
    <row r="787" spans="1:21" hidden="1">
      <c r="A787" s="1">
        <v>45463</v>
      </c>
      <c r="B787" t="s">
        <v>2296</v>
      </c>
      <c r="C787" t="s">
        <v>96</v>
      </c>
      <c r="D787" t="s">
        <v>64</v>
      </c>
      <c r="E787" t="s">
        <v>14</v>
      </c>
      <c r="F787" t="s">
        <v>196</v>
      </c>
      <c r="G787" s="9" t="s">
        <v>2297</v>
      </c>
      <c r="H787">
        <v>10335</v>
      </c>
      <c r="I787">
        <v>10335</v>
      </c>
      <c r="J787" s="21">
        <v>45444</v>
      </c>
      <c r="K787" t="s">
        <v>67</v>
      </c>
      <c r="L787" t="s">
        <v>68</v>
      </c>
      <c r="M787" t="s">
        <v>69</v>
      </c>
      <c r="O787">
        <v>0</v>
      </c>
      <c r="S787" t="str">
        <f>TEXT(Table1[[#This Row],[Date]],"MMM-YY")</f>
        <v>Jun-24</v>
      </c>
      <c r="T787">
        <f>_xlfn.ISOWEEKNUM(Table1[[#This Row],[Date]])</f>
        <v>25</v>
      </c>
      <c r="U787" t="str">
        <f>TEXT(Table1[[#This Row],[Expected Business Month]],"YYYY")</f>
        <v>2024</v>
      </c>
    </row>
    <row r="788" spans="1:21" hidden="1">
      <c r="A788" s="1">
        <v>45464</v>
      </c>
      <c r="B788" t="s">
        <v>1395</v>
      </c>
      <c r="C788" t="s">
        <v>63</v>
      </c>
      <c r="D788" t="s">
        <v>64</v>
      </c>
      <c r="E788" t="s">
        <v>14</v>
      </c>
      <c r="F788" t="s">
        <v>824</v>
      </c>
      <c r="G788" s="9" t="s">
        <v>2298</v>
      </c>
      <c r="H788">
        <v>0</v>
      </c>
      <c r="I788">
        <v>0</v>
      </c>
      <c r="J788" s="21">
        <v>45566</v>
      </c>
      <c r="K788" t="s">
        <v>67</v>
      </c>
      <c r="L788" t="s">
        <v>9</v>
      </c>
      <c r="M788" t="s">
        <v>9</v>
      </c>
      <c r="N788" t="s">
        <v>586</v>
      </c>
      <c r="O788">
        <v>0</v>
      </c>
      <c r="S788" t="str">
        <f>TEXT(Table1[[#This Row],[Date]],"MMM-YY")</f>
        <v>Jun-24</v>
      </c>
      <c r="T788">
        <f>_xlfn.ISOWEEKNUM(Table1[[#This Row],[Date]])</f>
        <v>25</v>
      </c>
      <c r="U788" t="str">
        <f>TEXT(Table1[[#This Row],[Expected Business Month]],"YYYY")</f>
        <v>2024</v>
      </c>
    </row>
    <row r="789" spans="1:21" hidden="1">
      <c r="A789" s="1">
        <v>45464</v>
      </c>
      <c r="B789" t="s">
        <v>1044</v>
      </c>
      <c r="C789" t="s">
        <v>63</v>
      </c>
      <c r="D789" t="s">
        <v>64</v>
      </c>
      <c r="E789" t="s">
        <v>25</v>
      </c>
      <c r="F789" t="s">
        <v>2299</v>
      </c>
      <c r="G789" s="9" t="s">
        <v>2300</v>
      </c>
      <c r="H789">
        <v>13000</v>
      </c>
      <c r="I789">
        <v>13000</v>
      </c>
      <c r="J789" s="21">
        <v>45444</v>
      </c>
      <c r="K789" t="s">
        <v>67</v>
      </c>
      <c r="L789" t="s">
        <v>68</v>
      </c>
      <c r="M789" t="s">
        <v>69</v>
      </c>
      <c r="O789">
        <v>0</v>
      </c>
      <c r="S789" t="str">
        <f>TEXT(Table1[[#This Row],[Date]],"MMM-YY")</f>
        <v>Jun-24</v>
      </c>
      <c r="T789">
        <f>_xlfn.ISOWEEKNUM(Table1[[#This Row],[Date]])</f>
        <v>25</v>
      </c>
      <c r="U789" t="str">
        <f>TEXT(Table1[[#This Row],[Expected Business Month]],"YYYY")</f>
        <v>2024</v>
      </c>
    </row>
    <row r="790" spans="1:21" hidden="1">
      <c r="A790" s="1">
        <v>45464</v>
      </c>
      <c r="B790" t="s">
        <v>2301</v>
      </c>
      <c r="C790" t="s">
        <v>63</v>
      </c>
      <c r="D790" t="s">
        <v>64</v>
      </c>
      <c r="E790" t="s">
        <v>25</v>
      </c>
      <c r="F790" t="s">
        <v>275</v>
      </c>
      <c r="G790" s="9" t="s">
        <v>1457</v>
      </c>
      <c r="H790">
        <v>10000</v>
      </c>
      <c r="I790">
        <v>0</v>
      </c>
      <c r="J790" s="21">
        <v>45536</v>
      </c>
      <c r="K790" t="s">
        <v>67</v>
      </c>
      <c r="L790" t="s">
        <v>9</v>
      </c>
      <c r="M790" t="s">
        <v>9</v>
      </c>
      <c r="O790">
        <v>0</v>
      </c>
      <c r="S790" t="str">
        <f>TEXT(Table1[[#This Row],[Date]],"MMM-YY")</f>
        <v>Jun-24</v>
      </c>
      <c r="T790">
        <f>_xlfn.ISOWEEKNUM(Table1[[#This Row],[Date]])</f>
        <v>25</v>
      </c>
      <c r="U790" t="str">
        <f>TEXT(Table1[[#This Row],[Expected Business Month]],"YYYY")</f>
        <v>2024</v>
      </c>
    </row>
    <row r="791" spans="1:21" hidden="1">
      <c r="A791" s="1">
        <v>45464</v>
      </c>
      <c r="B791" t="s">
        <v>781</v>
      </c>
      <c r="C791" t="s">
        <v>63</v>
      </c>
      <c r="D791" t="s">
        <v>64</v>
      </c>
      <c r="E791" t="s">
        <v>26</v>
      </c>
      <c r="F791" t="s">
        <v>2302</v>
      </c>
      <c r="G791" s="9" t="s">
        <v>2303</v>
      </c>
      <c r="H791">
        <v>20000</v>
      </c>
      <c r="I791">
        <v>0</v>
      </c>
      <c r="J791" s="21">
        <v>45536</v>
      </c>
      <c r="K791" t="s">
        <v>67</v>
      </c>
      <c r="L791" t="s">
        <v>9</v>
      </c>
      <c r="M791" t="s">
        <v>9</v>
      </c>
      <c r="O791">
        <v>0</v>
      </c>
      <c r="S791" t="str">
        <f>TEXT(Table1[[#This Row],[Date]],"MMM-YY")</f>
        <v>Jun-24</v>
      </c>
      <c r="T791">
        <f>_xlfn.ISOWEEKNUM(Table1[[#This Row],[Date]])</f>
        <v>25</v>
      </c>
      <c r="U791" t="str">
        <f>TEXT(Table1[[#This Row],[Expected Business Month]],"YYYY")</f>
        <v>2024</v>
      </c>
    </row>
    <row r="792" spans="1:21" hidden="1">
      <c r="A792" s="1">
        <v>45464</v>
      </c>
      <c r="B792" t="s">
        <v>2304</v>
      </c>
      <c r="C792" t="s">
        <v>96</v>
      </c>
      <c r="D792" t="s">
        <v>64</v>
      </c>
      <c r="E792" t="s">
        <v>26</v>
      </c>
      <c r="F792" t="s">
        <v>2305</v>
      </c>
      <c r="G792" s="9" t="s">
        <v>1946</v>
      </c>
      <c r="H792">
        <v>12000</v>
      </c>
      <c r="I792">
        <v>0</v>
      </c>
      <c r="J792" s="21">
        <v>45536</v>
      </c>
      <c r="K792" t="s">
        <v>67</v>
      </c>
      <c r="L792" t="s">
        <v>9</v>
      </c>
      <c r="M792" t="s">
        <v>9</v>
      </c>
      <c r="O792">
        <v>0</v>
      </c>
      <c r="S792" t="str">
        <f>TEXT(Table1[[#This Row],[Date]],"MMM-YY")</f>
        <v>Jun-24</v>
      </c>
      <c r="T792">
        <f>_xlfn.ISOWEEKNUM(Table1[[#This Row],[Date]])</f>
        <v>25</v>
      </c>
      <c r="U792" t="str">
        <f>TEXT(Table1[[#This Row],[Expected Business Month]],"YYYY")</f>
        <v>2024</v>
      </c>
    </row>
    <row r="793" spans="1:21" hidden="1">
      <c r="A793" s="1">
        <v>45466</v>
      </c>
      <c r="B793" t="s">
        <v>2306</v>
      </c>
      <c r="C793" t="s">
        <v>96</v>
      </c>
      <c r="D793" t="s">
        <v>618</v>
      </c>
      <c r="E793" t="s">
        <v>18</v>
      </c>
      <c r="F793" t="s">
        <v>2307</v>
      </c>
      <c r="G793" s="9" t="s">
        <v>2308</v>
      </c>
      <c r="H793">
        <v>22000</v>
      </c>
      <c r="I793">
        <v>0</v>
      </c>
      <c r="J793" s="21">
        <v>45474</v>
      </c>
      <c r="K793" t="s">
        <v>67</v>
      </c>
      <c r="L793" t="s">
        <v>9</v>
      </c>
      <c r="M793" t="s">
        <v>9</v>
      </c>
      <c r="N793" t="s">
        <v>586</v>
      </c>
      <c r="O793">
        <v>0</v>
      </c>
      <c r="S793" t="str">
        <f>TEXT(Table1[[#This Row],[Date]],"MMM-YY")</f>
        <v>Jun-24</v>
      </c>
      <c r="T793">
        <f>_xlfn.ISOWEEKNUM(Table1[[#This Row],[Date]])</f>
        <v>25</v>
      </c>
      <c r="U793" t="str">
        <f>TEXT(Table1[[#This Row],[Expected Business Month]],"YYYY")</f>
        <v>2024</v>
      </c>
    </row>
    <row r="794" spans="1:21" hidden="1">
      <c r="A794" s="1">
        <v>45467</v>
      </c>
      <c r="B794" t="s">
        <v>2309</v>
      </c>
      <c r="C794" t="s">
        <v>63</v>
      </c>
      <c r="D794" t="s">
        <v>64</v>
      </c>
      <c r="E794" t="s">
        <v>24</v>
      </c>
      <c r="F794" t="s">
        <v>1600</v>
      </c>
      <c r="G794" s="9" t="s">
        <v>1851</v>
      </c>
      <c r="H794">
        <v>20000</v>
      </c>
      <c r="I794">
        <v>0</v>
      </c>
      <c r="J794" s="21">
        <v>45536</v>
      </c>
      <c r="K794" t="s">
        <v>67</v>
      </c>
      <c r="L794" t="s">
        <v>9</v>
      </c>
      <c r="M794" t="s">
        <v>9</v>
      </c>
      <c r="O794">
        <v>0</v>
      </c>
      <c r="S794" t="str">
        <f>TEXT(Table1[[#This Row],[Date]],"MMM-YY")</f>
        <v>Jun-24</v>
      </c>
      <c r="T794">
        <f>_xlfn.ISOWEEKNUM(Table1[[#This Row],[Date]])</f>
        <v>26</v>
      </c>
      <c r="U794" t="str">
        <f>TEXT(Table1[[#This Row],[Expected Business Month]],"YYYY")</f>
        <v>2024</v>
      </c>
    </row>
    <row r="795" spans="1:21" hidden="1">
      <c r="A795" s="1">
        <v>45467</v>
      </c>
      <c r="B795" t="s">
        <v>2310</v>
      </c>
      <c r="C795" t="s">
        <v>63</v>
      </c>
      <c r="D795" t="s">
        <v>64</v>
      </c>
      <c r="E795" t="s">
        <v>24</v>
      </c>
      <c r="F795" t="s">
        <v>2311</v>
      </c>
      <c r="G795" s="9" t="s">
        <v>1851</v>
      </c>
      <c r="H795">
        <v>20000</v>
      </c>
      <c r="I795">
        <v>0</v>
      </c>
      <c r="J795" s="21">
        <v>45536</v>
      </c>
      <c r="K795" t="s">
        <v>67</v>
      </c>
      <c r="L795" t="s">
        <v>9</v>
      </c>
      <c r="M795" t="s">
        <v>9</v>
      </c>
      <c r="O795">
        <v>0</v>
      </c>
      <c r="S795" t="str">
        <f>TEXT(Table1[[#This Row],[Date]],"MMM-YY")</f>
        <v>Jun-24</v>
      </c>
      <c r="T795">
        <f>_xlfn.ISOWEEKNUM(Table1[[#This Row],[Date]])</f>
        <v>26</v>
      </c>
      <c r="U795" t="str">
        <f>TEXT(Table1[[#This Row],[Expected Business Month]],"YYYY")</f>
        <v>2024</v>
      </c>
    </row>
    <row r="796" spans="1:21" hidden="1">
      <c r="A796" s="1">
        <v>45467</v>
      </c>
      <c r="B796" t="s">
        <v>2312</v>
      </c>
      <c r="C796" t="s">
        <v>63</v>
      </c>
      <c r="D796" t="s">
        <v>64</v>
      </c>
      <c r="E796" t="s">
        <v>26</v>
      </c>
      <c r="F796" t="s">
        <v>1434</v>
      </c>
      <c r="G796" s="9" t="s">
        <v>2266</v>
      </c>
      <c r="H796">
        <v>12000</v>
      </c>
      <c r="I796">
        <v>0</v>
      </c>
      <c r="J796" s="21">
        <v>45536</v>
      </c>
      <c r="K796" t="s">
        <v>67</v>
      </c>
      <c r="L796" t="s">
        <v>9</v>
      </c>
      <c r="M796" t="s">
        <v>9</v>
      </c>
      <c r="O796">
        <v>0</v>
      </c>
      <c r="S796" t="str">
        <f>TEXT(Table1[[#This Row],[Date]],"MMM-YY")</f>
        <v>Jun-24</v>
      </c>
      <c r="T796">
        <f>_xlfn.ISOWEEKNUM(Table1[[#This Row],[Date]])</f>
        <v>26</v>
      </c>
      <c r="U796" t="str">
        <f>TEXT(Table1[[#This Row],[Expected Business Month]],"YYYY")</f>
        <v>2024</v>
      </c>
    </row>
    <row r="797" spans="1:21" ht="29.1" hidden="1">
      <c r="A797" s="1">
        <v>45467</v>
      </c>
      <c r="B797" t="s">
        <v>2313</v>
      </c>
      <c r="C797" t="s">
        <v>63</v>
      </c>
      <c r="D797" t="s">
        <v>64</v>
      </c>
      <c r="E797" t="s">
        <v>24</v>
      </c>
      <c r="F797" t="s">
        <v>2314</v>
      </c>
      <c r="G797" s="9" t="s">
        <v>2315</v>
      </c>
      <c r="H797">
        <v>22000</v>
      </c>
      <c r="I797">
        <v>0</v>
      </c>
      <c r="J797" s="21">
        <v>45536</v>
      </c>
      <c r="K797" t="s">
        <v>67</v>
      </c>
      <c r="L797" t="s">
        <v>9</v>
      </c>
      <c r="M797" t="s">
        <v>9</v>
      </c>
      <c r="O797">
        <v>0</v>
      </c>
      <c r="S797" t="str">
        <f>TEXT(Table1[[#This Row],[Date]],"MMM-YY")</f>
        <v>Jun-24</v>
      </c>
      <c r="T797">
        <f>_xlfn.ISOWEEKNUM(Table1[[#This Row],[Date]])</f>
        <v>26</v>
      </c>
      <c r="U797" t="str">
        <f>TEXT(Table1[[#This Row],[Expected Business Month]],"YYYY")</f>
        <v>2024</v>
      </c>
    </row>
    <row r="798" spans="1:21" hidden="1">
      <c r="A798" s="1">
        <v>45467</v>
      </c>
      <c r="B798" t="s">
        <v>2316</v>
      </c>
      <c r="C798" t="s">
        <v>63</v>
      </c>
      <c r="D798" t="s">
        <v>64</v>
      </c>
      <c r="E798" t="s">
        <v>28</v>
      </c>
      <c r="F798" t="s">
        <v>2317</v>
      </c>
      <c r="G798" s="9" t="s">
        <v>1860</v>
      </c>
      <c r="H798">
        <v>10000</v>
      </c>
      <c r="I798">
        <v>0</v>
      </c>
      <c r="J798" s="21">
        <v>45536</v>
      </c>
      <c r="K798" t="s">
        <v>67</v>
      </c>
      <c r="L798" t="s">
        <v>9</v>
      </c>
      <c r="M798" t="s">
        <v>9</v>
      </c>
      <c r="O798">
        <v>0</v>
      </c>
      <c r="S798" t="str">
        <f>TEXT(Table1[[#This Row],[Date]],"MMM-YY")</f>
        <v>Jun-24</v>
      </c>
      <c r="T798">
        <f>_xlfn.ISOWEEKNUM(Table1[[#This Row],[Date]])</f>
        <v>26</v>
      </c>
      <c r="U798" t="str">
        <f>TEXT(Table1[[#This Row],[Expected Business Month]],"YYYY")</f>
        <v>2024</v>
      </c>
    </row>
    <row r="799" spans="1:21" hidden="1">
      <c r="A799" s="1">
        <v>45468</v>
      </c>
      <c r="B799" t="s">
        <v>2318</v>
      </c>
      <c r="C799" t="s">
        <v>63</v>
      </c>
      <c r="D799" t="s">
        <v>64</v>
      </c>
      <c r="E799" t="s">
        <v>26</v>
      </c>
      <c r="F799" t="s">
        <v>1313</v>
      </c>
      <c r="G799" s="9" t="s">
        <v>2319</v>
      </c>
      <c r="H799">
        <v>6000</v>
      </c>
      <c r="I799">
        <v>6000</v>
      </c>
      <c r="J799" s="21">
        <v>45444</v>
      </c>
      <c r="K799" t="s">
        <v>67</v>
      </c>
      <c r="L799" t="s">
        <v>68</v>
      </c>
      <c r="M799" t="s">
        <v>69</v>
      </c>
      <c r="O799">
        <v>0</v>
      </c>
      <c r="S799" t="str">
        <f>TEXT(Table1[[#This Row],[Date]],"MMM-YY")</f>
        <v>Jun-24</v>
      </c>
      <c r="T799">
        <f>_xlfn.ISOWEEKNUM(Table1[[#This Row],[Date]])</f>
        <v>26</v>
      </c>
      <c r="U799" t="str">
        <f>TEXT(Table1[[#This Row],[Expected Business Month]],"YYYY")</f>
        <v>2024</v>
      </c>
    </row>
    <row r="800" spans="1:21" hidden="1">
      <c r="A800" s="1">
        <v>45468</v>
      </c>
      <c r="B800" t="s">
        <v>1522</v>
      </c>
      <c r="C800" t="s">
        <v>63</v>
      </c>
      <c r="D800" t="s">
        <v>64</v>
      </c>
      <c r="E800" t="s">
        <v>28</v>
      </c>
      <c r="F800" t="s">
        <v>1523</v>
      </c>
      <c r="G800" s="9" t="s">
        <v>2320</v>
      </c>
      <c r="H800">
        <v>0</v>
      </c>
      <c r="I800">
        <v>0</v>
      </c>
      <c r="J800" s="21">
        <v>45444</v>
      </c>
      <c r="K800" t="s">
        <v>67</v>
      </c>
      <c r="L800" t="s">
        <v>68</v>
      </c>
      <c r="M800" t="s">
        <v>69</v>
      </c>
      <c r="O800">
        <v>0</v>
      </c>
      <c r="S800" t="str">
        <f>TEXT(Table1[[#This Row],[Date]],"MMM-YY")</f>
        <v>Jun-24</v>
      </c>
      <c r="T800">
        <f>_xlfn.ISOWEEKNUM(Table1[[#This Row],[Date]])</f>
        <v>26</v>
      </c>
      <c r="U800" t="str">
        <f>TEXT(Table1[[#This Row],[Expected Business Month]],"YYYY")</f>
        <v>2024</v>
      </c>
    </row>
    <row r="801" spans="1:21" hidden="1">
      <c r="A801" s="1">
        <v>45468</v>
      </c>
      <c r="B801" t="s">
        <v>2321</v>
      </c>
      <c r="C801" t="s">
        <v>96</v>
      </c>
      <c r="D801" t="s">
        <v>64</v>
      </c>
      <c r="E801" t="s">
        <v>32</v>
      </c>
      <c r="F801" t="s">
        <v>625</v>
      </c>
      <c r="G801" s="9" t="s">
        <v>1860</v>
      </c>
      <c r="H801">
        <v>15000</v>
      </c>
      <c r="I801">
        <v>0</v>
      </c>
      <c r="J801" s="21">
        <v>45536</v>
      </c>
      <c r="K801" t="s">
        <v>67</v>
      </c>
      <c r="L801" t="s">
        <v>9</v>
      </c>
      <c r="M801" t="s">
        <v>9</v>
      </c>
      <c r="O801">
        <v>0</v>
      </c>
      <c r="S801" t="str">
        <f>TEXT(Table1[[#This Row],[Date]],"MMM-YY")</f>
        <v>Jun-24</v>
      </c>
      <c r="T801">
        <f>_xlfn.ISOWEEKNUM(Table1[[#This Row],[Date]])</f>
        <v>26</v>
      </c>
      <c r="U801" t="str">
        <f>TEXT(Table1[[#This Row],[Expected Business Month]],"YYYY")</f>
        <v>2024</v>
      </c>
    </row>
    <row r="802" spans="1:21" hidden="1">
      <c r="A802" s="1">
        <v>45468</v>
      </c>
      <c r="B802" t="s">
        <v>2322</v>
      </c>
      <c r="C802" t="s">
        <v>96</v>
      </c>
      <c r="D802" t="s">
        <v>64</v>
      </c>
      <c r="E802" t="s">
        <v>32</v>
      </c>
      <c r="F802" t="s">
        <v>1117</v>
      </c>
      <c r="G802" s="9" t="s">
        <v>2323</v>
      </c>
      <c r="H802">
        <v>12000</v>
      </c>
      <c r="I802">
        <v>0</v>
      </c>
      <c r="J802" s="21">
        <v>45536</v>
      </c>
      <c r="K802" t="s">
        <v>67</v>
      </c>
      <c r="L802" t="s">
        <v>9</v>
      </c>
      <c r="M802" t="s">
        <v>9</v>
      </c>
      <c r="O802">
        <v>0</v>
      </c>
      <c r="S802" t="str">
        <f>TEXT(Table1[[#This Row],[Date]],"MMM-YY")</f>
        <v>Jun-24</v>
      </c>
      <c r="T802">
        <f>_xlfn.ISOWEEKNUM(Table1[[#This Row],[Date]])</f>
        <v>26</v>
      </c>
      <c r="U802" t="str">
        <f>TEXT(Table1[[#This Row],[Expected Business Month]],"YYYY")</f>
        <v>2024</v>
      </c>
    </row>
    <row r="803" spans="1:21" hidden="1">
      <c r="A803" s="1">
        <v>45468</v>
      </c>
      <c r="B803" t="s">
        <v>2324</v>
      </c>
      <c r="C803" t="s">
        <v>96</v>
      </c>
      <c r="D803" t="s">
        <v>64</v>
      </c>
      <c r="E803" t="s">
        <v>20</v>
      </c>
      <c r="F803" t="s">
        <v>2325</v>
      </c>
      <c r="G803" s="9" t="s">
        <v>2326</v>
      </c>
      <c r="H803">
        <v>20000</v>
      </c>
      <c r="I803">
        <v>0</v>
      </c>
      <c r="J803" s="21">
        <v>45536</v>
      </c>
      <c r="K803" t="s">
        <v>67</v>
      </c>
      <c r="L803" t="s">
        <v>9</v>
      </c>
      <c r="M803" t="s">
        <v>9</v>
      </c>
      <c r="O803">
        <v>0</v>
      </c>
      <c r="S803" t="str">
        <f>TEXT(Table1[[#This Row],[Date]],"MMM-YY")</f>
        <v>Jun-24</v>
      </c>
      <c r="T803">
        <f>_xlfn.ISOWEEKNUM(Table1[[#This Row],[Date]])</f>
        <v>26</v>
      </c>
      <c r="U803" t="str">
        <f>TEXT(Table1[[#This Row],[Expected Business Month]],"YYYY")</f>
        <v>2024</v>
      </c>
    </row>
    <row r="804" spans="1:21" hidden="1">
      <c r="A804" s="1">
        <v>45469</v>
      </c>
      <c r="B804" t="s">
        <v>1522</v>
      </c>
      <c r="C804" t="s">
        <v>63</v>
      </c>
      <c r="D804" t="s">
        <v>64</v>
      </c>
      <c r="E804" t="s">
        <v>28</v>
      </c>
      <c r="F804" t="s">
        <v>1523</v>
      </c>
      <c r="G804" s="9" t="s">
        <v>2320</v>
      </c>
      <c r="H804">
        <v>0</v>
      </c>
      <c r="I804">
        <v>0</v>
      </c>
      <c r="J804" s="21">
        <v>45444</v>
      </c>
      <c r="K804" t="s">
        <v>67</v>
      </c>
      <c r="L804" t="s">
        <v>68</v>
      </c>
      <c r="M804" t="s">
        <v>69</v>
      </c>
      <c r="O804">
        <v>0</v>
      </c>
      <c r="S804" t="str">
        <f>TEXT(Table1[[#This Row],[Date]],"MMM-YY")</f>
        <v>Jun-24</v>
      </c>
      <c r="T804">
        <f>_xlfn.ISOWEEKNUM(Table1[[#This Row],[Date]])</f>
        <v>26</v>
      </c>
      <c r="U804" t="str">
        <f>TEXT(Table1[[#This Row],[Expected Business Month]],"YYYY")</f>
        <v>2024</v>
      </c>
    </row>
    <row r="805" spans="1:21" ht="29.1" hidden="1">
      <c r="A805" s="1">
        <v>45469</v>
      </c>
      <c r="B805" t="s">
        <v>324</v>
      </c>
      <c r="C805" t="s">
        <v>96</v>
      </c>
      <c r="D805" t="s">
        <v>64</v>
      </c>
      <c r="E805" t="s">
        <v>38</v>
      </c>
      <c r="F805" t="s">
        <v>325</v>
      </c>
      <c r="G805" s="9" t="s">
        <v>2327</v>
      </c>
      <c r="H805">
        <v>44198</v>
      </c>
      <c r="I805">
        <v>44198</v>
      </c>
      <c r="J805" s="21">
        <v>45444</v>
      </c>
      <c r="K805" t="s">
        <v>99</v>
      </c>
      <c r="L805" t="s">
        <v>68</v>
      </c>
      <c r="M805" t="s">
        <v>69</v>
      </c>
      <c r="O805">
        <v>0</v>
      </c>
      <c r="S805" t="str">
        <f>TEXT(Table1[[#This Row],[Date]],"MMM-YY")</f>
        <v>Jun-24</v>
      </c>
      <c r="T805">
        <f>_xlfn.ISOWEEKNUM(Table1[[#This Row],[Date]])</f>
        <v>26</v>
      </c>
      <c r="U805" t="str">
        <f>TEXT(Table1[[#This Row],[Expected Business Month]],"YYYY")</f>
        <v>2024</v>
      </c>
    </row>
    <row r="806" spans="1:21" hidden="1">
      <c r="A806" s="1">
        <v>45469</v>
      </c>
      <c r="B806" t="s">
        <v>2328</v>
      </c>
      <c r="C806" t="s">
        <v>63</v>
      </c>
      <c r="D806" t="s">
        <v>105</v>
      </c>
      <c r="E806" t="s">
        <v>18</v>
      </c>
      <c r="F806" t="s">
        <v>588</v>
      </c>
      <c r="G806" s="9" t="s">
        <v>2329</v>
      </c>
      <c r="H806">
        <v>20000</v>
      </c>
      <c r="I806">
        <v>0</v>
      </c>
      <c r="J806" s="21">
        <v>45536</v>
      </c>
      <c r="K806" t="s">
        <v>67</v>
      </c>
      <c r="L806" t="s">
        <v>9</v>
      </c>
      <c r="M806" t="s">
        <v>9</v>
      </c>
      <c r="O806">
        <v>0</v>
      </c>
      <c r="S806" t="str">
        <f>TEXT(Table1[[#This Row],[Date]],"MMM-YY")</f>
        <v>Jun-24</v>
      </c>
      <c r="T806">
        <f>_xlfn.ISOWEEKNUM(Table1[[#This Row],[Date]])</f>
        <v>26</v>
      </c>
      <c r="U806" t="str">
        <f>TEXT(Table1[[#This Row],[Expected Business Month]],"YYYY")</f>
        <v>2024</v>
      </c>
    </row>
    <row r="807" spans="1:21" hidden="1">
      <c r="A807" s="1">
        <v>45469</v>
      </c>
      <c r="B807" t="s">
        <v>2330</v>
      </c>
      <c r="C807" t="s">
        <v>63</v>
      </c>
      <c r="D807" t="s">
        <v>64</v>
      </c>
      <c r="E807" t="s">
        <v>14</v>
      </c>
      <c r="F807" t="s">
        <v>824</v>
      </c>
      <c r="G807" s="9" t="s">
        <v>2331</v>
      </c>
      <c r="H807">
        <v>15000</v>
      </c>
      <c r="I807">
        <v>0</v>
      </c>
      <c r="J807" s="21">
        <v>45536</v>
      </c>
      <c r="K807" t="s">
        <v>67</v>
      </c>
      <c r="L807" t="s">
        <v>9</v>
      </c>
      <c r="M807" t="s">
        <v>9</v>
      </c>
      <c r="O807">
        <v>0</v>
      </c>
      <c r="S807" t="str">
        <f>TEXT(Table1[[#This Row],[Date]],"MMM-YY")</f>
        <v>Jun-24</v>
      </c>
      <c r="T807">
        <f>_xlfn.ISOWEEKNUM(Table1[[#This Row],[Date]])</f>
        <v>26</v>
      </c>
      <c r="U807" t="str">
        <f>TEXT(Table1[[#This Row],[Expected Business Month]],"YYYY")</f>
        <v>2024</v>
      </c>
    </row>
    <row r="808" spans="1:21" hidden="1">
      <c r="A808" s="1">
        <v>45469</v>
      </c>
      <c r="B808" t="s">
        <v>2332</v>
      </c>
      <c r="C808" t="s">
        <v>63</v>
      </c>
      <c r="D808" t="s">
        <v>64</v>
      </c>
      <c r="E808" t="s">
        <v>26</v>
      </c>
      <c r="F808" t="s">
        <v>1711</v>
      </c>
      <c r="G808" s="9" t="s">
        <v>1860</v>
      </c>
      <c r="H808">
        <v>20000</v>
      </c>
      <c r="I808">
        <v>0</v>
      </c>
      <c r="J808" s="21">
        <v>45536</v>
      </c>
      <c r="K808" t="s">
        <v>67</v>
      </c>
      <c r="L808" t="s">
        <v>9</v>
      </c>
      <c r="M808" t="s">
        <v>9</v>
      </c>
      <c r="O808">
        <v>0</v>
      </c>
      <c r="S808" t="str">
        <f>TEXT(Table1[[#This Row],[Date]],"MMM-YY")</f>
        <v>Jun-24</v>
      </c>
      <c r="T808">
        <f>_xlfn.ISOWEEKNUM(Table1[[#This Row],[Date]])</f>
        <v>26</v>
      </c>
      <c r="U808" t="str">
        <f>TEXT(Table1[[#This Row],[Expected Business Month]],"YYYY")</f>
        <v>2024</v>
      </c>
    </row>
    <row r="809" spans="1:21" hidden="1">
      <c r="A809" s="1">
        <v>45470</v>
      </c>
      <c r="B809" t="s">
        <v>2333</v>
      </c>
      <c r="C809" t="s">
        <v>96</v>
      </c>
      <c r="D809" t="s">
        <v>105</v>
      </c>
      <c r="E809" t="s">
        <v>18</v>
      </c>
      <c r="F809" t="s">
        <v>2334</v>
      </c>
      <c r="G809" s="9" t="s">
        <v>2114</v>
      </c>
      <c r="H809">
        <v>18000</v>
      </c>
      <c r="I809">
        <v>0</v>
      </c>
      <c r="J809" s="21">
        <v>45536</v>
      </c>
      <c r="K809" t="s">
        <v>67</v>
      </c>
      <c r="L809" t="s">
        <v>9</v>
      </c>
      <c r="M809" t="s">
        <v>9</v>
      </c>
      <c r="O809">
        <v>0</v>
      </c>
      <c r="S809" t="str">
        <f>TEXT(Table1[[#This Row],[Date]],"MMM-YY")</f>
        <v>Jun-24</v>
      </c>
      <c r="T809">
        <f>_xlfn.ISOWEEKNUM(Table1[[#This Row],[Date]])</f>
        <v>26</v>
      </c>
      <c r="U809" t="str">
        <f>TEXT(Table1[[#This Row],[Expected Business Month]],"YYYY")</f>
        <v>2024</v>
      </c>
    </row>
    <row r="810" spans="1:21" hidden="1">
      <c r="A810" s="1">
        <v>45470</v>
      </c>
      <c r="B810" t="s">
        <v>2335</v>
      </c>
      <c r="C810" t="s">
        <v>63</v>
      </c>
      <c r="D810" t="s">
        <v>64</v>
      </c>
      <c r="E810" t="s">
        <v>28</v>
      </c>
      <c r="F810" t="s">
        <v>1048</v>
      </c>
      <c r="G810" s="9" t="s">
        <v>2336</v>
      </c>
      <c r="H810">
        <v>25000</v>
      </c>
      <c r="I810">
        <v>0</v>
      </c>
      <c r="J810" s="21">
        <v>45536</v>
      </c>
      <c r="K810" t="s">
        <v>67</v>
      </c>
      <c r="L810" t="s">
        <v>9</v>
      </c>
      <c r="M810" t="s">
        <v>9</v>
      </c>
      <c r="O810">
        <v>0</v>
      </c>
      <c r="S810" t="str">
        <f>TEXT(Table1[[#This Row],[Date]],"MMM-YY")</f>
        <v>Jun-24</v>
      </c>
      <c r="T810">
        <f>_xlfn.ISOWEEKNUM(Table1[[#This Row],[Date]])</f>
        <v>26</v>
      </c>
      <c r="U810" t="str">
        <f>TEXT(Table1[[#This Row],[Expected Business Month]],"YYYY")</f>
        <v>2024</v>
      </c>
    </row>
    <row r="811" spans="1:21" hidden="1">
      <c r="A811" s="1">
        <v>45470</v>
      </c>
      <c r="B811" t="s">
        <v>1999</v>
      </c>
      <c r="C811" t="s">
        <v>63</v>
      </c>
      <c r="D811" t="s">
        <v>64</v>
      </c>
      <c r="E811" t="s">
        <v>30</v>
      </c>
      <c r="F811" t="s">
        <v>2154</v>
      </c>
      <c r="G811" s="9" t="s">
        <v>293</v>
      </c>
      <c r="H811">
        <v>20000</v>
      </c>
      <c r="I811">
        <v>0</v>
      </c>
      <c r="J811" s="21">
        <v>45536</v>
      </c>
      <c r="K811" t="s">
        <v>67</v>
      </c>
      <c r="L811" t="s">
        <v>9</v>
      </c>
      <c r="M811" t="s">
        <v>9</v>
      </c>
      <c r="O811">
        <v>0</v>
      </c>
      <c r="S811" t="str">
        <f>TEXT(Table1[[#This Row],[Date]],"MMM-YY")</f>
        <v>Jun-24</v>
      </c>
      <c r="T811">
        <f>_xlfn.ISOWEEKNUM(Table1[[#This Row],[Date]])</f>
        <v>26</v>
      </c>
      <c r="U811" t="str">
        <f>TEXT(Table1[[#This Row],[Expected Business Month]],"YYYY")</f>
        <v>2024</v>
      </c>
    </row>
    <row r="812" spans="1:21" hidden="1">
      <c r="A812" s="1">
        <v>45470</v>
      </c>
      <c r="B812" t="s">
        <v>2337</v>
      </c>
      <c r="C812" t="s">
        <v>63</v>
      </c>
      <c r="D812" t="s">
        <v>64</v>
      </c>
      <c r="E812" t="s">
        <v>26</v>
      </c>
      <c r="F812" t="s">
        <v>2338</v>
      </c>
      <c r="G812" s="9" t="s">
        <v>1946</v>
      </c>
      <c r="H812">
        <v>22000</v>
      </c>
      <c r="I812">
        <v>0</v>
      </c>
      <c r="J812" s="21">
        <v>45536</v>
      </c>
      <c r="K812" t="s">
        <v>67</v>
      </c>
      <c r="L812" t="s">
        <v>9</v>
      </c>
      <c r="M812" t="s">
        <v>9</v>
      </c>
      <c r="O812">
        <v>0</v>
      </c>
      <c r="S812" t="str">
        <f>TEXT(Table1[[#This Row],[Date]],"MMM-YY")</f>
        <v>Jun-24</v>
      </c>
      <c r="T812">
        <f>_xlfn.ISOWEEKNUM(Table1[[#This Row],[Date]])</f>
        <v>26</v>
      </c>
      <c r="U812" t="str">
        <f>TEXT(Table1[[#This Row],[Expected Business Month]],"YYYY")</f>
        <v>2024</v>
      </c>
    </row>
    <row r="813" spans="1:21" hidden="1">
      <c r="A813" s="1">
        <v>45470</v>
      </c>
      <c r="B813" t="s">
        <v>2339</v>
      </c>
      <c r="C813" t="s">
        <v>63</v>
      </c>
      <c r="D813" t="s">
        <v>64</v>
      </c>
      <c r="E813" t="s">
        <v>26</v>
      </c>
      <c r="F813" t="s">
        <v>2340</v>
      </c>
      <c r="G813" s="9" t="s">
        <v>2341</v>
      </c>
      <c r="H813">
        <v>30000</v>
      </c>
      <c r="I813">
        <v>0</v>
      </c>
      <c r="J813" s="21">
        <v>45536</v>
      </c>
      <c r="K813" t="s">
        <v>67</v>
      </c>
      <c r="L813" t="s">
        <v>9</v>
      </c>
      <c r="M813" t="s">
        <v>9</v>
      </c>
      <c r="O813">
        <v>0</v>
      </c>
      <c r="S813" t="str">
        <f>TEXT(Table1[[#This Row],[Date]],"MMM-YY")</f>
        <v>Jun-24</v>
      </c>
      <c r="T813">
        <f>_xlfn.ISOWEEKNUM(Table1[[#This Row],[Date]])</f>
        <v>26</v>
      </c>
      <c r="U813" t="str">
        <f>TEXT(Table1[[#This Row],[Expected Business Month]],"YYYY")</f>
        <v>2024</v>
      </c>
    </row>
    <row r="814" spans="1:21" hidden="1">
      <c r="A814" s="1">
        <v>45471</v>
      </c>
      <c r="B814" t="s">
        <v>2342</v>
      </c>
      <c r="C814" t="s">
        <v>63</v>
      </c>
      <c r="D814" t="s">
        <v>64</v>
      </c>
      <c r="E814" t="s">
        <v>14</v>
      </c>
      <c r="F814" t="s">
        <v>214</v>
      </c>
      <c r="G814" s="9" t="s">
        <v>1946</v>
      </c>
      <c r="H814">
        <v>15000</v>
      </c>
      <c r="I814">
        <v>0</v>
      </c>
      <c r="J814" s="21">
        <v>45536</v>
      </c>
      <c r="K814" t="s">
        <v>67</v>
      </c>
      <c r="L814" t="s">
        <v>9</v>
      </c>
      <c r="M814" t="s">
        <v>9</v>
      </c>
      <c r="O814">
        <v>0</v>
      </c>
      <c r="S814" t="str">
        <f>TEXT(Table1[[#This Row],[Date]],"MMM-YY")</f>
        <v>Jun-24</v>
      </c>
      <c r="T814">
        <f>_xlfn.ISOWEEKNUM(Table1[[#This Row],[Date]])</f>
        <v>26</v>
      </c>
      <c r="U814" t="str">
        <f>TEXT(Table1[[#This Row],[Expected Business Month]],"YYYY")</f>
        <v>2024</v>
      </c>
    </row>
    <row r="815" spans="1:21" hidden="1">
      <c r="A815" s="1">
        <v>45471</v>
      </c>
      <c r="B815" t="s">
        <v>2343</v>
      </c>
      <c r="C815" t="s">
        <v>96</v>
      </c>
      <c r="D815" t="s">
        <v>20</v>
      </c>
      <c r="E815" t="s">
        <v>23</v>
      </c>
      <c r="F815" t="s">
        <v>2344</v>
      </c>
      <c r="G815" s="9" t="s">
        <v>2345</v>
      </c>
      <c r="H815">
        <v>14000</v>
      </c>
      <c r="I815">
        <v>14000</v>
      </c>
      <c r="J815" s="21">
        <v>45444</v>
      </c>
      <c r="K815" t="s">
        <v>67</v>
      </c>
      <c r="L815" t="s">
        <v>68</v>
      </c>
      <c r="M815" t="s">
        <v>69</v>
      </c>
      <c r="O815">
        <v>0</v>
      </c>
      <c r="S815" t="str">
        <f>TEXT(Table1[[#This Row],[Date]],"MMM-YY")</f>
        <v>Jun-24</v>
      </c>
      <c r="T815">
        <f>_xlfn.ISOWEEKNUM(Table1[[#This Row],[Date]])</f>
        <v>26</v>
      </c>
      <c r="U815" t="str">
        <f>TEXT(Table1[[#This Row],[Expected Business Month]],"YYYY")</f>
        <v>2024</v>
      </c>
    </row>
    <row r="816" spans="1:21" hidden="1">
      <c r="A816" s="1">
        <v>45471</v>
      </c>
      <c r="B816" t="s">
        <v>2346</v>
      </c>
      <c r="C816" t="s">
        <v>63</v>
      </c>
      <c r="D816" t="s">
        <v>64</v>
      </c>
      <c r="E816" t="s">
        <v>24</v>
      </c>
      <c r="F816" t="s">
        <v>2347</v>
      </c>
      <c r="G816" s="9" t="s">
        <v>1457</v>
      </c>
      <c r="H816">
        <v>20000</v>
      </c>
      <c r="I816">
        <v>0</v>
      </c>
      <c r="J816" s="21">
        <v>45536</v>
      </c>
      <c r="K816" t="s">
        <v>67</v>
      </c>
      <c r="L816" t="s">
        <v>9</v>
      </c>
      <c r="M816" t="s">
        <v>9</v>
      </c>
      <c r="O816">
        <v>0</v>
      </c>
      <c r="S816" t="str">
        <f>TEXT(Table1[[#This Row],[Date]],"MMM-YY")</f>
        <v>Jun-24</v>
      </c>
      <c r="T816">
        <f>_xlfn.ISOWEEKNUM(Table1[[#This Row],[Date]])</f>
        <v>26</v>
      </c>
      <c r="U816" t="str">
        <f>TEXT(Table1[[#This Row],[Expected Business Month]],"YYYY")</f>
        <v>2024</v>
      </c>
    </row>
    <row r="817" spans="1:21" hidden="1">
      <c r="A817" s="1">
        <v>45471</v>
      </c>
      <c r="B817" t="s">
        <v>2348</v>
      </c>
      <c r="C817" t="s">
        <v>63</v>
      </c>
      <c r="D817" t="s">
        <v>64</v>
      </c>
      <c r="E817" t="s">
        <v>25</v>
      </c>
      <c r="F817" t="s">
        <v>2349</v>
      </c>
      <c r="G817" s="9" t="s">
        <v>293</v>
      </c>
      <c r="H817">
        <v>20000</v>
      </c>
      <c r="I817">
        <v>0</v>
      </c>
      <c r="J817" s="21">
        <v>45536</v>
      </c>
      <c r="K817" t="s">
        <v>67</v>
      </c>
      <c r="L817" t="s">
        <v>9</v>
      </c>
      <c r="M817" t="s">
        <v>9</v>
      </c>
      <c r="O817">
        <v>0</v>
      </c>
      <c r="S817" t="str">
        <f>TEXT(Table1[[#This Row],[Date]],"MMM-YY")</f>
        <v>Jun-24</v>
      </c>
      <c r="T817">
        <f>_xlfn.ISOWEEKNUM(Table1[[#This Row],[Date]])</f>
        <v>26</v>
      </c>
      <c r="U817" t="str">
        <f>TEXT(Table1[[#This Row],[Expected Business Month]],"YYYY")</f>
        <v>2024</v>
      </c>
    </row>
    <row r="818" spans="1:21" hidden="1">
      <c r="A818" s="1">
        <v>45471</v>
      </c>
      <c r="B818" t="s">
        <v>2350</v>
      </c>
      <c r="C818" t="s">
        <v>96</v>
      </c>
      <c r="D818" t="s">
        <v>20</v>
      </c>
      <c r="E818" t="s">
        <v>23</v>
      </c>
      <c r="F818" t="s">
        <v>2351</v>
      </c>
      <c r="G818" s="9" t="s">
        <v>2352</v>
      </c>
      <c r="H818">
        <v>3000</v>
      </c>
      <c r="I818">
        <v>3000</v>
      </c>
      <c r="J818" s="21">
        <v>45444</v>
      </c>
      <c r="K818" t="s">
        <v>67</v>
      </c>
      <c r="L818" t="s">
        <v>68</v>
      </c>
      <c r="M818" t="s">
        <v>69</v>
      </c>
      <c r="O818">
        <v>0</v>
      </c>
      <c r="S818" t="str">
        <f>TEXT(Table1[[#This Row],[Date]],"MMM-YY")</f>
        <v>Jun-24</v>
      </c>
      <c r="T818">
        <f>_xlfn.ISOWEEKNUM(Table1[[#This Row],[Date]])</f>
        <v>26</v>
      </c>
      <c r="U818" t="str">
        <f>TEXT(Table1[[#This Row],[Expected Business Month]],"YYYY")</f>
        <v>2024</v>
      </c>
    </row>
    <row r="819" spans="1:21" hidden="1">
      <c r="A819" s="1">
        <v>45472</v>
      </c>
      <c r="B819" t="s">
        <v>2353</v>
      </c>
      <c r="C819" t="s">
        <v>96</v>
      </c>
      <c r="D819" t="s">
        <v>20</v>
      </c>
      <c r="E819" t="s">
        <v>23</v>
      </c>
      <c r="F819" t="s">
        <v>2354</v>
      </c>
      <c r="G819" s="9" t="s">
        <v>2355</v>
      </c>
      <c r="H819">
        <v>12000</v>
      </c>
      <c r="I819">
        <v>12000</v>
      </c>
      <c r="J819" s="21">
        <v>45444</v>
      </c>
      <c r="K819" t="s">
        <v>67</v>
      </c>
      <c r="L819" t="s">
        <v>68</v>
      </c>
      <c r="M819" t="s">
        <v>69</v>
      </c>
      <c r="O819">
        <v>0</v>
      </c>
      <c r="S819" t="str">
        <f>TEXT(Table1[[#This Row],[Date]],"MMM-YY")</f>
        <v>Jun-24</v>
      </c>
      <c r="T819">
        <f>_xlfn.ISOWEEKNUM(Table1[[#This Row],[Date]])</f>
        <v>26</v>
      </c>
      <c r="U819" t="str">
        <f>TEXT(Table1[[#This Row],[Expected Business Month]],"YYYY")</f>
        <v>2024</v>
      </c>
    </row>
    <row r="820" spans="1:21" ht="29.1" hidden="1">
      <c r="A820" s="1">
        <v>45474</v>
      </c>
      <c r="B820" t="s">
        <v>2356</v>
      </c>
      <c r="C820" t="s">
        <v>96</v>
      </c>
      <c r="D820" t="s">
        <v>2357</v>
      </c>
      <c r="E820" t="s">
        <v>41</v>
      </c>
      <c r="F820" t="s">
        <v>2358</v>
      </c>
      <c r="G820" s="9" t="s">
        <v>2359</v>
      </c>
      <c r="H820">
        <v>8000</v>
      </c>
      <c r="I820">
        <v>8000</v>
      </c>
      <c r="J820" s="21">
        <v>45474</v>
      </c>
      <c r="K820" t="s">
        <v>67</v>
      </c>
      <c r="L820" t="s">
        <v>68</v>
      </c>
      <c r="M820" t="s">
        <v>69</v>
      </c>
      <c r="O820">
        <v>0</v>
      </c>
      <c r="S820" t="str">
        <f>TEXT(Table1[[#This Row],[Date]],"MMM-YY")</f>
        <v>Jul-24</v>
      </c>
      <c r="T820">
        <f>_xlfn.ISOWEEKNUM(Table1[[#This Row],[Date]])</f>
        <v>27</v>
      </c>
      <c r="U820" t="str">
        <f>TEXT(Table1[[#This Row],[Expected Business Month]],"YYYY")</f>
        <v>2024</v>
      </c>
    </row>
    <row r="821" spans="1:21" hidden="1">
      <c r="A821" s="1">
        <v>45474</v>
      </c>
      <c r="B821" t="s">
        <v>2360</v>
      </c>
      <c r="C821" t="s">
        <v>63</v>
      </c>
      <c r="D821" t="s">
        <v>618</v>
      </c>
      <c r="E821" t="s">
        <v>18</v>
      </c>
      <c r="F821" t="s">
        <v>2361</v>
      </c>
      <c r="G821" s="9" t="s">
        <v>2362</v>
      </c>
      <c r="H821">
        <v>12000</v>
      </c>
      <c r="I821">
        <v>0</v>
      </c>
      <c r="J821" s="21">
        <v>45536</v>
      </c>
      <c r="K821" t="s">
        <v>67</v>
      </c>
      <c r="L821" t="s">
        <v>9</v>
      </c>
      <c r="M821" t="s">
        <v>9</v>
      </c>
      <c r="O821">
        <v>0</v>
      </c>
      <c r="S821" t="str">
        <f>TEXT(Table1[[#This Row],[Date]],"MMM-YY")</f>
        <v>Jul-24</v>
      </c>
      <c r="T821">
        <f>_xlfn.ISOWEEKNUM(Table1[[#This Row],[Date]])</f>
        <v>27</v>
      </c>
      <c r="U821" t="str">
        <f>TEXT(Table1[[#This Row],[Expected Business Month]],"YYYY")</f>
        <v>2024</v>
      </c>
    </row>
    <row r="822" spans="1:21" hidden="1">
      <c r="A822" s="1">
        <v>45474</v>
      </c>
      <c r="B822" t="s">
        <v>2363</v>
      </c>
      <c r="C822" t="s">
        <v>63</v>
      </c>
      <c r="D822" t="s">
        <v>618</v>
      </c>
      <c r="E822" t="s">
        <v>18</v>
      </c>
      <c r="F822" t="s">
        <v>2364</v>
      </c>
      <c r="G822" s="9" t="s">
        <v>2087</v>
      </c>
      <c r="H822">
        <v>15000</v>
      </c>
      <c r="I822">
        <v>0</v>
      </c>
      <c r="J822" s="21">
        <v>45536</v>
      </c>
      <c r="K822" t="s">
        <v>67</v>
      </c>
      <c r="L822" t="s">
        <v>9</v>
      </c>
      <c r="M822" t="s">
        <v>9</v>
      </c>
      <c r="O822">
        <v>0</v>
      </c>
      <c r="S822" t="str">
        <f>TEXT(Table1[[#This Row],[Date]],"MMM-YY")</f>
        <v>Jul-24</v>
      </c>
      <c r="T822">
        <f>_xlfn.ISOWEEKNUM(Table1[[#This Row],[Date]])</f>
        <v>27</v>
      </c>
      <c r="U822" t="str">
        <f>TEXT(Table1[[#This Row],[Expected Business Month]],"YYYY")</f>
        <v>2024</v>
      </c>
    </row>
    <row r="823" spans="1:21" hidden="1">
      <c r="A823" s="1">
        <v>45474</v>
      </c>
      <c r="B823" t="s">
        <v>2365</v>
      </c>
      <c r="C823" t="s">
        <v>63</v>
      </c>
      <c r="D823" t="s">
        <v>64</v>
      </c>
      <c r="E823" t="s">
        <v>26</v>
      </c>
      <c r="F823" t="s">
        <v>2366</v>
      </c>
      <c r="G823" s="9" t="s">
        <v>1457</v>
      </c>
      <c r="H823">
        <v>18000</v>
      </c>
      <c r="I823">
        <v>0</v>
      </c>
      <c r="J823" s="21">
        <v>45536</v>
      </c>
      <c r="K823" t="s">
        <v>67</v>
      </c>
      <c r="L823" t="s">
        <v>9</v>
      </c>
      <c r="M823" t="s">
        <v>9</v>
      </c>
      <c r="O823">
        <v>0</v>
      </c>
      <c r="S823" t="str">
        <f>TEXT(Table1[[#This Row],[Date]],"MMM-YY")</f>
        <v>Jul-24</v>
      </c>
      <c r="T823">
        <f>_xlfn.ISOWEEKNUM(Table1[[#This Row],[Date]])</f>
        <v>27</v>
      </c>
      <c r="U823" t="str">
        <f>TEXT(Table1[[#This Row],[Expected Business Month]],"YYYY")</f>
        <v>2024</v>
      </c>
    </row>
    <row r="824" spans="1:21" hidden="1">
      <c r="A824" s="1">
        <v>45474</v>
      </c>
      <c r="B824" t="s">
        <v>2367</v>
      </c>
      <c r="C824" t="s">
        <v>63</v>
      </c>
      <c r="D824" t="s">
        <v>64</v>
      </c>
      <c r="E824" t="s">
        <v>24</v>
      </c>
      <c r="F824" t="s">
        <v>2368</v>
      </c>
      <c r="G824" s="9" t="s">
        <v>1457</v>
      </c>
      <c r="H824">
        <v>20000</v>
      </c>
      <c r="I824">
        <v>0</v>
      </c>
      <c r="J824" s="21">
        <v>45536</v>
      </c>
      <c r="K824" t="s">
        <v>67</v>
      </c>
      <c r="L824" t="s">
        <v>9</v>
      </c>
      <c r="M824" t="s">
        <v>9</v>
      </c>
      <c r="O824">
        <v>0</v>
      </c>
      <c r="S824" t="str">
        <f>TEXT(Table1[[#This Row],[Date]],"MMM-YY")</f>
        <v>Jul-24</v>
      </c>
      <c r="T824">
        <f>_xlfn.ISOWEEKNUM(Table1[[#This Row],[Date]])</f>
        <v>27</v>
      </c>
      <c r="U824" t="str">
        <f>TEXT(Table1[[#This Row],[Expected Business Month]],"YYYY")</f>
        <v>2024</v>
      </c>
    </row>
    <row r="825" spans="1:21" hidden="1">
      <c r="A825" s="1">
        <v>45475</v>
      </c>
      <c r="B825" t="s">
        <v>2369</v>
      </c>
      <c r="C825" t="s">
        <v>96</v>
      </c>
      <c r="D825" t="s">
        <v>64</v>
      </c>
      <c r="E825" t="s">
        <v>26</v>
      </c>
      <c r="F825" t="s">
        <v>2369</v>
      </c>
      <c r="G825" s="9" t="s">
        <v>2370</v>
      </c>
      <c r="H825">
        <v>60000</v>
      </c>
      <c r="I825">
        <v>0</v>
      </c>
      <c r="J825" s="21">
        <v>45474</v>
      </c>
      <c r="K825" t="s">
        <v>99</v>
      </c>
      <c r="L825" t="s">
        <v>9</v>
      </c>
      <c r="M825" t="s">
        <v>9</v>
      </c>
      <c r="N825" t="s">
        <v>602</v>
      </c>
      <c r="O825">
        <v>0</v>
      </c>
      <c r="S825" t="str">
        <f>TEXT(Table1[[#This Row],[Date]],"MMM-YY")</f>
        <v>Jul-24</v>
      </c>
      <c r="T825">
        <f>_xlfn.ISOWEEKNUM(Table1[[#This Row],[Date]])</f>
        <v>27</v>
      </c>
      <c r="U825" t="str">
        <f>TEXT(Table1[[#This Row],[Expected Business Month]],"YYYY")</f>
        <v>2024</v>
      </c>
    </row>
    <row r="826" spans="1:21" hidden="1">
      <c r="A826" s="1">
        <v>45475</v>
      </c>
      <c r="B826" t="s">
        <v>1375</v>
      </c>
      <c r="C826" t="s">
        <v>96</v>
      </c>
      <c r="D826" t="s">
        <v>20</v>
      </c>
      <c r="E826" t="s">
        <v>23</v>
      </c>
      <c r="F826" t="s">
        <v>2371</v>
      </c>
      <c r="G826" s="9" t="s">
        <v>2372</v>
      </c>
      <c r="H826">
        <v>8000</v>
      </c>
      <c r="I826">
        <v>8000</v>
      </c>
      <c r="J826" s="21">
        <v>45474</v>
      </c>
      <c r="K826" t="s">
        <v>67</v>
      </c>
      <c r="L826" t="s">
        <v>68</v>
      </c>
      <c r="M826" t="s">
        <v>69</v>
      </c>
      <c r="O826">
        <v>0</v>
      </c>
      <c r="S826" t="str">
        <f>TEXT(Table1[[#This Row],[Date]],"MMM-YY")</f>
        <v>Jul-24</v>
      </c>
      <c r="T826">
        <f>_xlfn.ISOWEEKNUM(Table1[[#This Row],[Date]])</f>
        <v>27</v>
      </c>
      <c r="U826" t="str">
        <f>TEXT(Table1[[#This Row],[Expected Business Month]],"YYYY")</f>
        <v>2024</v>
      </c>
    </row>
    <row r="827" spans="1:21" hidden="1">
      <c r="A827" s="1">
        <v>45475</v>
      </c>
      <c r="B827" t="s">
        <v>399</v>
      </c>
      <c r="C827" t="s">
        <v>96</v>
      </c>
      <c r="D827" t="s">
        <v>32</v>
      </c>
      <c r="E827" t="s">
        <v>32</v>
      </c>
      <c r="F827" t="s">
        <v>2373</v>
      </c>
      <c r="G827" s="9" t="s">
        <v>2374</v>
      </c>
      <c r="H827">
        <v>45000</v>
      </c>
      <c r="I827">
        <v>0</v>
      </c>
      <c r="J827" s="21">
        <v>45566</v>
      </c>
      <c r="K827" t="s">
        <v>67</v>
      </c>
      <c r="L827" t="s">
        <v>9</v>
      </c>
      <c r="M827" t="s">
        <v>9</v>
      </c>
      <c r="N827" t="s">
        <v>586</v>
      </c>
      <c r="O827">
        <v>0</v>
      </c>
      <c r="S827" t="str">
        <f>TEXT(Table1[[#This Row],[Date]],"MMM-YY")</f>
        <v>Jul-24</v>
      </c>
      <c r="T827">
        <f>_xlfn.ISOWEEKNUM(Table1[[#This Row],[Date]])</f>
        <v>27</v>
      </c>
      <c r="U827" t="str">
        <f>TEXT(Table1[[#This Row],[Expected Business Month]],"YYYY")</f>
        <v>2024</v>
      </c>
    </row>
    <row r="828" spans="1:21" hidden="1">
      <c r="A828" s="1">
        <v>45475</v>
      </c>
      <c r="B828" t="s">
        <v>2375</v>
      </c>
      <c r="C828" t="s">
        <v>63</v>
      </c>
      <c r="D828" t="s">
        <v>2077</v>
      </c>
      <c r="E828" t="s">
        <v>25</v>
      </c>
      <c r="F828" t="s">
        <v>1600</v>
      </c>
      <c r="G828" s="9" t="s">
        <v>2376</v>
      </c>
      <c r="H828">
        <v>15000</v>
      </c>
      <c r="I828">
        <v>0</v>
      </c>
      <c r="J828" s="21">
        <v>45536</v>
      </c>
      <c r="K828" t="s">
        <v>67</v>
      </c>
      <c r="L828" t="s">
        <v>9</v>
      </c>
      <c r="M828" t="s">
        <v>9</v>
      </c>
      <c r="O828">
        <v>0</v>
      </c>
      <c r="S828" t="str">
        <f>TEXT(Table1[[#This Row],[Date]],"MMM-YY")</f>
        <v>Jul-24</v>
      </c>
      <c r="T828">
        <f>_xlfn.ISOWEEKNUM(Table1[[#This Row],[Date]])</f>
        <v>27</v>
      </c>
      <c r="U828" t="str">
        <f>TEXT(Table1[[#This Row],[Expected Business Month]],"YYYY")</f>
        <v>2024</v>
      </c>
    </row>
    <row r="829" spans="1:21" hidden="1">
      <c r="A829" s="1">
        <v>45475</v>
      </c>
      <c r="B829" t="s">
        <v>2377</v>
      </c>
      <c r="C829" t="s">
        <v>63</v>
      </c>
      <c r="D829" t="s">
        <v>618</v>
      </c>
      <c r="E829" t="s">
        <v>18</v>
      </c>
      <c r="F829" t="s">
        <v>2378</v>
      </c>
      <c r="G829" s="9" t="s">
        <v>1860</v>
      </c>
      <c r="H829">
        <v>20000</v>
      </c>
      <c r="I829">
        <v>0</v>
      </c>
      <c r="J829" s="21">
        <v>45566</v>
      </c>
      <c r="K829" t="s">
        <v>67</v>
      </c>
      <c r="L829" t="s">
        <v>9</v>
      </c>
      <c r="M829" t="s">
        <v>9</v>
      </c>
      <c r="N829" t="s">
        <v>586</v>
      </c>
      <c r="O829">
        <v>0</v>
      </c>
      <c r="S829" t="str">
        <f>TEXT(Table1[[#This Row],[Date]],"MMM-YY")</f>
        <v>Jul-24</v>
      </c>
      <c r="T829">
        <f>_xlfn.ISOWEEKNUM(Table1[[#This Row],[Date]])</f>
        <v>27</v>
      </c>
      <c r="U829" t="str">
        <f>TEXT(Table1[[#This Row],[Expected Business Month]],"YYYY")</f>
        <v>2024</v>
      </c>
    </row>
    <row r="830" spans="1:21" ht="29.1" hidden="1">
      <c r="A830" s="1">
        <v>45476</v>
      </c>
      <c r="B830" t="s">
        <v>2379</v>
      </c>
      <c r="C830" t="s">
        <v>96</v>
      </c>
      <c r="D830" t="s">
        <v>105</v>
      </c>
      <c r="E830" t="s">
        <v>18</v>
      </c>
      <c r="F830" t="s">
        <v>2380</v>
      </c>
      <c r="G830" s="9" t="s">
        <v>2381</v>
      </c>
      <c r="H830">
        <v>1896308</v>
      </c>
      <c r="I830">
        <v>1896308</v>
      </c>
      <c r="J830" s="21">
        <v>45505</v>
      </c>
      <c r="K830" t="s">
        <v>67</v>
      </c>
      <c r="L830" t="s">
        <v>68</v>
      </c>
      <c r="M830" t="s">
        <v>69</v>
      </c>
      <c r="O830">
        <v>0</v>
      </c>
      <c r="S830" t="str">
        <f>TEXT(Table1[[#This Row],[Date]],"MMM-YY")</f>
        <v>Jul-24</v>
      </c>
      <c r="T830">
        <f>_xlfn.ISOWEEKNUM(Table1[[#This Row],[Date]])</f>
        <v>27</v>
      </c>
      <c r="U830" t="str">
        <f>TEXT(Table1[[#This Row],[Expected Business Month]],"YYYY")</f>
        <v>2024</v>
      </c>
    </row>
    <row r="831" spans="1:21" ht="29.1" hidden="1">
      <c r="A831" s="1">
        <v>45476</v>
      </c>
      <c r="B831" t="s">
        <v>324</v>
      </c>
      <c r="C831" t="s">
        <v>96</v>
      </c>
      <c r="D831" t="s">
        <v>64</v>
      </c>
      <c r="E831" t="s">
        <v>38</v>
      </c>
      <c r="F831" t="s">
        <v>325</v>
      </c>
      <c r="G831" s="9" t="s">
        <v>2382</v>
      </c>
      <c r="H831">
        <v>41079</v>
      </c>
      <c r="I831">
        <v>41079</v>
      </c>
      <c r="J831" s="21">
        <v>45474</v>
      </c>
      <c r="K831" t="s">
        <v>99</v>
      </c>
      <c r="L831" t="s">
        <v>68</v>
      </c>
      <c r="M831" t="s">
        <v>69</v>
      </c>
      <c r="O831">
        <v>0</v>
      </c>
      <c r="S831" t="str">
        <f>TEXT(Table1[[#This Row],[Date]],"MMM-YY")</f>
        <v>Jul-24</v>
      </c>
      <c r="T831">
        <f>_xlfn.ISOWEEKNUM(Table1[[#This Row],[Date]])</f>
        <v>27</v>
      </c>
      <c r="U831" t="str">
        <f>TEXT(Table1[[#This Row],[Expected Business Month]],"YYYY")</f>
        <v>2024</v>
      </c>
    </row>
    <row r="832" spans="1:21" hidden="1">
      <c r="A832" s="1">
        <v>45476</v>
      </c>
      <c r="B832" t="s">
        <v>2161</v>
      </c>
      <c r="C832" t="s">
        <v>96</v>
      </c>
      <c r="D832" t="s">
        <v>105</v>
      </c>
      <c r="E832" t="s">
        <v>18</v>
      </c>
      <c r="F832" t="s">
        <v>2162</v>
      </c>
      <c r="G832" s="9" t="s">
        <v>293</v>
      </c>
      <c r="H832">
        <v>15000</v>
      </c>
      <c r="I832">
        <v>0</v>
      </c>
      <c r="J832" s="21">
        <v>45566</v>
      </c>
      <c r="K832" t="s">
        <v>67</v>
      </c>
      <c r="L832" t="s">
        <v>9</v>
      </c>
      <c r="M832" t="s">
        <v>9</v>
      </c>
      <c r="N832" t="s">
        <v>586</v>
      </c>
      <c r="O832">
        <v>0</v>
      </c>
      <c r="S832" t="str">
        <f>TEXT(Table1[[#This Row],[Date]],"MMM-YY")</f>
        <v>Jul-24</v>
      </c>
      <c r="T832">
        <f>_xlfn.ISOWEEKNUM(Table1[[#This Row],[Date]])</f>
        <v>27</v>
      </c>
      <c r="U832" t="str">
        <f>TEXT(Table1[[#This Row],[Expected Business Month]],"YYYY")</f>
        <v>2024</v>
      </c>
    </row>
    <row r="833" spans="1:21" hidden="1">
      <c r="A833" s="1">
        <v>45476</v>
      </c>
      <c r="B833" t="s">
        <v>2383</v>
      </c>
      <c r="C833" t="s">
        <v>63</v>
      </c>
      <c r="D833" t="s">
        <v>64</v>
      </c>
      <c r="E833" t="s">
        <v>26</v>
      </c>
      <c r="F833" t="s">
        <v>2384</v>
      </c>
      <c r="G833" s="9" t="s">
        <v>1946</v>
      </c>
      <c r="H833">
        <v>20000</v>
      </c>
      <c r="I833">
        <v>0</v>
      </c>
      <c r="J833" s="21">
        <v>45566</v>
      </c>
      <c r="K833" t="s">
        <v>67</v>
      </c>
      <c r="L833" t="s">
        <v>9</v>
      </c>
      <c r="M833" t="s">
        <v>9</v>
      </c>
      <c r="N833" t="s">
        <v>586</v>
      </c>
      <c r="O833">
        <v>0</v>
      </c>
      <c r="S833" t="str">
        <f>TEXT(Table1[[#This Row],[Date]],"MMM-YY")</f>
        <v>Jul-24</v>
      </c>
      <c r="T833">
        <f>_xlfn.ISOWEEKNUM(Table1[[#This Row],[Date]])</f>
        <v>27</v>
      </c>
      <c r="U833" t="str">
        <f>TEXT(Table1[[#This Row],[Expected Business Month]],"YYYY")</f>
        <v>2024</v>
      </c>
    </row>
    <row r="834" spans="1:21" hidden="1">
      <c r="A834" s="1">
        <v>45476</v>
      </c>
      <c r="B834" t="s">
        <v>2385</v>
      </c>
      <c r="C834" t="s">
        <v>63</v>
      </c>
      <c r="D834" t="s">
        <v>64</v>
      </c>
      <c r="E834" t="s">
        <v>29</v>
      </c>
      <c r="F834" t="s">
        <v>2386</v>
      </c>
      <c r="G834" s="9" t="s">
        <v>1857</v>
      </c>
      <c r="H834">
        <v>20000</v>
      </c>
      <c r="I834">
        <v>0</v>
      </c>
      <c r="J834" s="21">
        <v>45566</v>
      </c>
      <c r="K834" t="s">
        <v>67</v>
      </c>
      <c r="L834" t="s">
        <v>9</v>
      </c>
      <c r="M834" t="s">
        <v>9</v>
      </c>
      <c r="N834" t="s">
        <v>586</v>
      </c>
      <c r="O834">
        <v>0</v>
      </c>
      <c r="S834" t="str">
        <f>TEXT(Table1[[#This Row],[Date]],"MMM-YY")</f>
        <v>Jul-24</v>
      </c>
      <c r="T834">
        <f>_xlfn.ISOWEEKNUM(Table1[[#This Row],[Date]])</f>
        <v>27</v>
      </c>
      <c r="U834" t="str">
        <f>TEXT(Table1[[#This Row],[Expected Business Month]],"YYYY")</f>
        <v>2024</v>
      </c>
    </row>
    <row r="835" spans="1:21" hidden="1">
      <c r="A835" s="1">
        <v>45477</v>
      </c>
      <c r="B835" t="s">
        <v>2387</v>
      </c>
      <c r="C835" t="s">
        <v>63</v>
      </c>
      <c r="D835" t="s">
        <v>64</v>
      </c>
      <c r="E835" t="s">
        <v>20</v>
      </c>
      <c r="F835" t="s">
        <v>133</v>
      </c>
      <c r="G835" s="9" t="s">
        <v>2388</v>
      </c>
      <c r="H835">
        <v>85000</v>
      </c>
      <c r="I835">
        <v>0</v>
      </c>
      <c r="J835" s="21">
        <v>45536</v>
      </c>
      <c r="K835" t="s">
        <v>67</v>
      </c>
      <c r="L835" t="s">
        <v>9</v>
      </c>
      <c r="M835" t="s">
        <v>9</v>
      </c>
      <c r="N835" t="s">
        <v>831</v>
      </c>
      <c r="O835">
        <v>0</v>
      </c>
      <c r="S835" t="str">
        <f>TEXT(Table1[[#This Row],[Date]],"MMM-YY")</f>
        <v>Jul-24</v>
      </c>
      <c r="T835">
        <f>_xlfn.ISOWEEKNUM(Table1[[#This Row],[Date]])</f>
        <v>27</v>
      </c>
      <c r="U835" t="str">
        <f>TEXT(Table1[[#This Row],[Expected Business Month]],"YYYY")</f>
        <v>2024</v>
      </c>
    </row>
    <row r="836" spans="1:21" hidden="1">
      <c r="A836" s="1">
        <v>45477</v>
      </c>
      <c r="B836" t="s">
        <v>2389</v>
      </c>
      <c r="C836" t="s">
        <v>63</v>
      </c>
      <c r="D836" t="s">
        <v>64</v>
      </c>
      <c r="E836" t="s">
        <v>14</v>
      </c>
      <c r="F836" t="s">
        <v>2390</v>
      </c>
      <c r="G836" s="9" t="s">
        <v>2391</v>
      </c>
      <c r="H836">
        <v>12000</v>
      </c>
      <c r="I836">
        <v>0</v>
      </c>
      <c r="J836" s="21">
        <v>45566</v>
      </c>
      <c r="K836" t="s">
        <v>67</v>
      </c>
      <c r="L836" t="s">
        <v>9</v>
      </c>
      <c r="M836" t="s">
        <v>9</v>
      </c>
      <c r="N836" t="s">
        <v>586</v>
      </c>
      <c r="O836">
        <v>0</v>
      </c>
      <c r="S836" t="str">
        <f>TEXT(Table1[[#This Row],[Date]],"MMM-YY")</f>
        <v>Jul-24</v>
      </c>
      <c r="T836">
        <f>_xlfn.ISOWEEKNUM(Table1[[#This Row],[Date]])</f>
        <v>27</v>
      </c>
      <c r="U836" t="str">
        <f>TEXT(Table1[[#This Row],[Expected Business Month]],"YYYY")</f>
        <v>2024</v>
      </c>
    </row>
    <row r="837" spans="1:21" hidden="1">
      <c r="A837" s="1">
        <v>45477</v>
      </c>
      <c r="B837" t="s">
        <v>2392</v>
      </c>
      <c r="C837" t="s">
        <v>63</v>
      </c>
      <c r="D837" t="s">
        <v>64</v>
      </c>
      <c r="E837" t="s">
        <v>14</v>
      </c>
      <c r="F837" t="s">
        <v>2393</v>
      </c>
      <c r="G837" s="9" t="s">
        <v>2394</v>
      </c>
      <c r="H837">
        <v>20000</v>
      </c>
      <c r="I837">
        <v>0</v>
      </c>
      <c r="J837" s="21">
        <v>45627</v>
      </c>
      <c r="K837" t="s">
        <v>67</v>
      </c>
      <c r="L837" t="s">
        <v>9</v>
      </c>
      <c r="M837" t="s">
        <v>9</v>
      </c>
      <c r="O837">
        <v>0</v>
      </c>
      <c r="S837" t="str">
        <f>TEXT(Table1[[#This Row],[Date]],"MMM-YY")</f>
        <v>Jul-24</v>
      </c>
      <c r="T837">
        <f>_xlfn.ISOWEEKNUM(Table1[[#This Row],[Date]])</f>
        <v>27</v>
      </c>
      <c r="U837" t="str">
        <f>TEXT(Table1[[#This Row],[Expected Business Month]],"YYYY")</f>
        <v>2024</v>
      </c>
    </row>
    <row r="838" spans="1:21" hidden="1">
      <c r="A838" s="1">
        <v>45477</v>
      </c>
      <c r="B838" t="s">
        <v>2395</v>
      </c>
      <c r="C838" t="s">
        <v>63</v>
      </c>
      <c r="D838" t="s">
        <v>64</v>
      </c>
      <c r="E838" t="s">
        <v>14</v>
      </c>
      <c r="F838" t="s">
        <v>334</v>
      </c>
      <c r="G838" s="9" t="s">
        <v>2391</v>
      </c>
      <c r="H838">
        <v>30000</v>
      </c>
      <c r="I838">
        <v>0</v>
      </c>
      <c r="J838" s="21">
        <v>45261</v>
      </c>
      <c r="K838" t="s">
        <v>67</v>
      </c>
      <c r="L838" t="s">
        <v>9</v>
      </c>
      <c r="M838" t="s">
        <v>9</v>
      </c>
      <c r="N838" t="s">
        <v>586</v>
      </c>
      <c r="O838">
        <v>0</v>
      </c>
      <c r="S838" t="str">
        <f>TEXT(Table1[[#This Row],[Date]],"MMM-YY")</f>
        <v>Jul-24</v>
      </c>
      <c r="T838">
        <f>_xlfn.ISOWEEKNUM(Table1[[#This Row],[Date]])</f>
        <v>27</v>
      </c>
      <c r="U838" t="str">
        <f>TEXT(Table1[[#This Row],[Expected Business Month]],"YYYY")</f>
        <v>2023</v>
      </c>
    </row>
    <row r="839" spans="1:21" hidden="1">
      <c r="A839" s="1">
        <v>45477</v>
      </c>
      <c r="B839" t="s">
        <v>2396</v>
      </c>
      <c r="C839" t="s">
        <v>63</v>
      </c>
      <c r="D839" t="s">
        <v>64</v>
      </c>
      <c r="E839" t="s">
        <v>25</v>
      </c>
      <c r="F839" t="s">
        <v>349</v>
      </c>
      <c r="G839" s="9" t="s">
        <v>2397</v>
      </c>
      <c r="H839">
        <v>15000</v>
      </c>
      <c r="I839">
        <v>0</v>
      </c>
      <c r="J839" s="21">
        <v>45261</v>
      </c>
      <c r="K839" t="s">
        <v>67</v>
      </c>
      <c r="L839" t="s">
        <v>9</v>
      </c>
      <c r="M839" t="s">
        <v>9</v>
      </c>
      <c r="N839" t="s">
        <v>586</v>
      </c>
      <c r="O839">
        <v>0</v>
      </c>
      <c r="S839" t="str">
        <f>TEXT(Table1[[#This Row],[Date]],"MMM-YY")</f>
        <v>Jul-24</v>
      </c>
      <c r="T839">
        <f>_xlfn.ISOWEEKNUM(Table1[[#This Row],[Date]])</f>
        <v>27</v>
      </c>
      <c r="U839" t="str">
        <f>TEXT(Table1[[#This Row],[Expected Business Month]],"YYYY")</f>
        <v>2023</v>
      </c>
    </row>
    <row r="840" spans="1:21" hidden="1">
      <c r="A840" s="1">
        <v>45478</v>
      </c>
      <c r="B840" t="s">
        <v>2398</v>
      </c>
      <c r="C840" t="s">
        <v>96</v>
      </c>
      <c r="D840" t="s">
        <v>64</v>
      </c>
      <c r="E840" t="s">
        <v>14</v>
      </c>
      <c r="F840" t="s">
        <v>2399</v>
      </c>
      <c r="G840" s="9" t="s">
        <v>2400</v>
      </c>
      <c r="H840">
        <v>13000</v>
      </c>
      <c r="I840">
        <v>13000</v>
      </c>
      <c r="J840" s="21">
        <v>45474</v>
      </c>
      <c r="K840" t="s">
        <v>99</v>
      </c>
      <c r="L840" t="s">
        <v>68</v>
      </c>
      <c r="M840" t="s">
        <v>69</v>
      </c>
      <c r="O840">
        <v>0</v>
      </c>
      <c r="S840" t="str">
        <f>TEXT(Table1[[#This Row],[Date]],"MMM-YY")</f>
        <v>Jul-24</v>
      </c>
      <c r="T840">
        <f>_xlfn.ISOWEEKNUM(Table1[[#This Row],[Date]])</f>
        <v>27</v>
      </c>
      <c r="U840" t="str">
        <f>TEXT(Table1[[#This Row],[Expected Business Month]],"YYYY")</f>
        <v>2024</v>
      </c>
    </row>
    <row r="841" spans="1:21" hidden="1">
      <c r="A841" s="1">
        <v>45478</v>
      </c>
      <c r="B841" t="s">
        <v>1053</v>
      </c>
      <c r="C841" t="s">
        <v>63</v>
      </c>
      <c r="D841" t="s">
        <v>64</v>
      </c>
      <c r="E841" t="s">
        <v>28</v>
      </c>
      <c r="F841" t="s">
        <v>1054</v>
      </c>
      <c r="G841" s="9" t="s">
        <v>293</v>
      </c>
      <c r="H841">
        <v>15000</v>
      </c>
      <c r="I841">
        <v>0</v>
      </c>
      <c r="J841" s="21">
        <v>45261</v>
      </c>
      <c r="K841" t="s">
        <v>67</v>
      </c>
      <c r="L841" t="s">
        <v>9</v>
      </c>
      <c r="M841" t="s">
        <v>9</v>
      </c>
      <c r="N841" t="s">
        <v>586</v>
      </c>
      <c r="O841">
        <v>0</v>
      </c>
      <c r="S841" t="str">
        <f>TEXT(Table1[[#This Row],[Date]],"MMM-YY")</f>
        <v>Jul-24</v>
      </c>
      <c r="T841">
        <f>_xlfn.ISOWEEKNUM(Table1[[#This Row],[Date]])</f>
        <v>27</v>
      </c>
      <c r="U841" t="str">
        <f>TEXT(Table1[[#This Row],[Expected Business Month]],"YYYY")</f>
        <v>2023</v>
      </c>
    </row>
    <row r="842" spans="1:21" hidden="1">
      <c r="A842" s="1">
        <v>45478</v>
      </c>
      <c r="B842" t="s">
        <v>2401</v>
      </c>
      <c r="C842" t="s">
        <v>63</v>
      </c>
      <c r="D842" t="s">
        <v>64</v>
      </c>
      <c r="E842" t="s">
        <v>26</v>
      </c>
      <c r="F842" t="s">
        <v>2402</v>
      </c>
      <c r="G842" s="9" t="s">
        <v>1946</v>
      </c>
      <c r="H842">
        <v>18000</v>
      </c>
      <c r="I842">
        <v>0</v>
      </c>
      <c r="J842" s="21">
        <v>45261</v>
      </c>
      <c r="K842" t="s">
        <v>67</v>
      </c>
      <c r="L842" t="s">
        <v>9</v>
      </c>
      <c r="M842" t="s">
        <v>9</v>
      </c>
      <c r="N842" t="s">
        <v>586</v>
      </c>
      <c r="O842">
        <v>0</v>
      </c>
      <c r="S842" t="str">
        <f>TEXT(Table1[[#This Row],[Date]],"MMM-YY")</f>
        <v>Jul-24</v>
      </c>
      <c r="T842">
        <f>_xlfn.ISOWEEKNUM(Table1[[#This Row],[Date]])</f>
        <v>27</v>
      </c>
      <c r="U842" t="str">
        <f>TEXT(Table1[[#This Row],[Expected Business Month]],"YYYY")</f>
        <v>2023</v>
      </c>
    </row>
    <row r="843" spans="1:21" hidden="1">
      <c r="A843" s="1">
        <v>45478</v>
      </c>
      <c r="B843" t="s">
        <v>2403</v>
      </c>
      <c r="C843" t="s">
        <v>63</v>
      </c>
      <c r="D843" t="s">
        <v>64</v>
      </c>
      <c r="E843" t="s">
        <v>10</v>
      </c>
      <c r="F843" t="s">
        <v>937</v>
      </c>
      <c r="G843" s="9" t="s">
        <v>1860</v>
      </c>
      <c r="H843">
        <v>20000</v>
      </c>
      <c r="I843">
        <v>0</v>
      </c>
      <c r="J843" s="21">
        <v>45627</v>
      </c>
      <c r="K843" t="s">
        <v>67</v>
      </c>
      <c r="L843" t="s">
        <v>9</v>
      </c>
      <c r="M843" t="s">
        <v>9</v>
      </c>
      <c r="O843">
        <v>0</v>
      </c>
      <c r="S843" t="str">
        <f>TEXT(Table1[[#This Row],[Date]],"MMM-YY")</f>
        <v>Jul-24</v>
      </c>
      <c r="T843">
        <f>_xlfn.ISOWEEKNUM(Table1[[#This Row],[Date]])</f>
        <v>27</v>
      </c>
      <c r="U843" t="str">
        <f>TEXT(Table1[[#This Row],[Expected Business Month]],"YYYY")</f>
        <v>2024</v>
      </c>
    </row>
    <row r="844" spans="1:21" hidden="1">
      <c r="A844" s="1">
        <v>45478</v>
      </c>
      <c r="B844" t="s">
        <v>2404</v>
      </c>
      <c r="C844" t="s">
        <v>63</v>
      </c>
      <c r="D844" t="s">
        <v>64</v>
      </c>
      <c r="E844" t="s">
        <v>18</v>
      </c>
      <c r="F844" t="s">
        <v>2405</v>
      </c>
      <c r="G844" s="9" t="s">
        <v>1457</v>
      </c>
      <c r="H844">
        <v>18000</v>
      </c>
      <c r="I844">
        <v>0</v>
      </c>
      <c r="J844" s="21">
        <v>45627</v>
      </c>
      <c r="K844" t="s">
        <v>67</v>
      </c>
      <c r="L844" t="s">
        <v>9</v>
      </c>
      <c r="M844" t="s">
        <v>9</v>
      </c>
      <c r="O844">
        <v>0</v>
      </c>
      <c r="S844" t="str">
        <f>TEXT(Table1[[#This Row],[Date]],"MMM-YY")</f>
        <v>Jul-24</v>
      </c>
      <c r="T844">
        <f>_xlfn.ISOWEEKNUM(Table1[[#This Row],[Date]])</f>
        <v>27</v>
      </c>
      <c r="U844" t="str">
        <f>TEXT(Table1[[#This Row],[Expected Business Month]],"YYYY")</f>
        <v>2024</v>
      </c>
    </row>
    <row r="845" spans="1:21" hidden="1">
      <c r="A845" s="1">
        <v>45482</v>
      </c>
      <c r="B845" t="s">
        <v>2406</v>
      </c>
      <c r="C845" t="s">
        <v>96</v>
      </c>
      <c r="D845" t="s">
        <v>64</v>
      </c>
      <c r="E845" t="s">
        <v>33</v>
      </c>
      <c r="F845" t="s">
        <v>1537</v>
      </c>
      <c r="G845" s="9" t="s">
        <v>2407</v>
      </c>
      <c r="H845">
        <v>16000</v>
      </c>
      <c r="I845">
        <v>16000</v>
      </c>
      <c r="J845" s="21">
        <v>45474</v>
      </c>
      <c r="K845" t="s">
        <v>99</v>
      </c>
      <c r="L845" t="s">
        <v>68</v>
      </c>
      <c r="M845" t="s">
        <v>69</v>
      </c>
      <c r="O845">
        <v>0</v>
      </c>
      <c r="S845" t="str">
        <f>TEXT(Table1[[#This Row],[Date]],"MMM-YY")</f>
        <v>Jul-24</v>
      </c>
      <c r="T845">
        <f>_xlfn.ISOWEEKNUM(Table1[[#This Row],[Date]])</f>
        <v>28</v>
      </c>
      <c r="U845" t="str">
        <f>TEXT(Table1[[#This Row],[Expected Business Month]],"YYYY")</f>
        <v>2024</v>
      </c>
    </row>
    <row r="846" spans="1:21" ht="29.1" hidden="1">
      <c r="A846" s="1">
        <v>45483</v>
      </c>
      <c r="B846" t="s">
        <v>324</v>
      </c>
      <c r="C846" t="s">
        <v>96</v>
      </c>
      <c r="D846" t="s">
        <v>64</v>
      </c>
      <c r="E846" t="s">
        <v>38</v>
      </c>
      <c r="F846" t="s">
        <v>325</v>
      </c>
      <c r="G846" s="9" t="s">
        <v>2408</v>
      </c>
      <c r="H846">
        <v>44198</v>
      </c>
      <c r="I846">
        <v>44198</v>
      </c>
      <c r="J846" s="21">
        <v>45474</v>
      </c>
      <c r="K846" t="s">
        <v>99</v>
      </c>
      <c r="L846" t="s">
        <v>68</v>
      </c>
      <c r="M846" t="s">
        <v>69</v>
      </c>
      <c r="O846">
        <v>0</v>
      </c>
      <c r="S846" t="str">
        <f>TEXT(Table1[[#This Row],[Date]],"MMM-YY")</f>
        <v>Jul-24</v>
      </c>
      <c r="T846">
        <f>_xlfn.ISOWEEKNUM(Table1[[#This Row],[Date]])</f>
        <v>28</v>
      </c>
      <c r="U846" t="str">
        <f>TEXT(Table1[[#This Row],[Expected Business Month]],"YYYY")</f>
        <v>2024</v>
      </c>
    </row>
    <row r="847" spans="1:21" hidden="1">
      <c r="A847" s="1">
        <v>45483</v>
      </c>
      <c r="B847" t="s">
        <v>2409</v>
      </c>
      <c r="C847" t="s">
        <v>96</v>
      </c>
      <c r="D847" t="s">
        <v>64</v>
      </c>
      <c r="E847" t="s">
        <v>18</v>
      </c>
      <c r="F847" t="s">
        <v>770</v>
      </c>
      <c r="G847" s="9" t="s">
        <v>2410</v>
      </c>
      <c r="H847">
        <v>30000</v>
      </c>
      <c r="I847">
        <v>0</v>
      </c>
      <c r="J847" s="21">
        <v>45689</v>
      </c>
      <c r="K847" t="s">
        <v>67</v>
      </c>
      <c r="L847" t="s">
        <v>9</v>
      </c>
      <c r="M847" t="s">
        <v>9</v>
      </c>
      <c r="N847" t="s">
        <v>707</v>
      </c>
      <c r="O847">
        <v>0</v>
      </c>
      <c r="S847" t="str">
        <f>TEXT(Table1[[#This Row],[Date]],"MMM-YY")</f>
        <v>Jul-24</v>
      </c>
      <c r="T847">
        <f>_xlfn.ISOWEEKNUM(Table1[[#This Row],[Date]])</f>
        <v>28</v>
      </c>
      <c r="U847" t="str">
        <f>TEXT(Table1[[#This Row],[Expected Business Month]],"YYYY")</f>
        <v>2025</v>
      </c>
    </row>
    <row r="848" spans="1:21" hidden="1">
      <c r="A848" s="1">
        <v>45484</v>
      </c>
      <c r="B848" t="s">
        <v>2411</v>
      </c>
      <c r="C848" t="s">
        <v>96</v>
      </c>
      <c r="D848" t="s">
        <v>64</v>
      </c>
      <c r="E848" t="s">
        <v>41</v>
      </c>
      <c r="F848" t="s">
        <v>2412</v>
      </c>
      <c r="G848" s="9" t="s">
        <v>2413</v>
      </c>
      <c r="H848">
        <v>9000</v>
      </c>
      <c r="I848">
        <v>0</v>
      </c>
      <c r="J848" s="21">
        <v>45474</v>
      </c>
      <c r="K848" t="s">
        <v>67</v>
      </c>
      <c r="L848" t="s">
        <v>9</v>
      </c>
      <c r="M848" t="s">
        <v>9</v>
      </c>
      <c r="N848" t="s">
        <v>602</v>
      </c>
      <c r="O848">
        <v>0</v>
      </c>
      <c r="S848" t="str">
        <f>TEXT(Table1[[#This Row],[Date]],"MMM-YY")</f>
        <v>Jul-24</v>
      </c>
      <c r="T848">
        <f>_xlfn.ISOWEEKNUM(Table1[[#This Row],[Date]])</f>
        <v>28</v>
      </c>
      <c r="U848" t="str">
        <f>TEXT(Table1[[#This Row],[Expected Business Month]],"YYYY")</f>
        <v>2024</v>
      </c>
    </row>
    <row r="849" spans="1:21" hidden="1">
      <c r="A849" s="1">
        <v>45484</v>
      </c>
      <c r="B849" t="s">
        <v>241</v>
      </c>
      <c r="C849" t="s">
        <v>96</v>
      </c>
      <c r="D849" t="s">
        <v>20</v>
      </c>
      <c r="E849" t="s">
        <v>23</v>
      </c>
      <c r="F849" t="s">
        <v>2414</v>
      </c>
      <c r="G849" s="9" t="s">
        <v>2415</v>
      </c>
      <c r="H849">
        <v>16900</v>
      </c>
      <c r="I849">
        <v>0</v>
      </c>
      <c r="J849" s="21">
        <v>45536</v>
      </c>
      <c r="K849" t="s">
        <v>67</v>
      </c>
      <c r="L849" t="s">
        <v>9</v>
      </c>
      <c r="M849" t="s">
        <v>9</v>
      </c>
      <c r="N849" t="s">
        <v>602</v>
      </c>
      <c r="O849">
        <v>0</v>
      </c>
      <c r="S849" t="str">
        <f>TEXT(Table1[[#This Row],[Date]],"MMM-YY")</f>
        <v>Jul-24</v>
      </c>
      <c r="T849">
        <f>_xlfn.ISOWEEKNUM(Table1[[#This Row],[Date]])</f>
        <v>28</v>
      </c>
      <c r="U849" t="str">
        <f>TEXT(Table1[[#This Row],[Expected Business Month]],"YYYY")</f>
        <v>2024</v>
      </c>
    </row>
    <row r="850" spans="1:21" hidden="1">
      <c r="A850" s="1">
        <v>45485</v>
      </c>
      <c r="B850" t="s">
        <v>1522</v>
      </c>
      <c r="C850" t="s">
        <v>63</v>
      </c>
      <c r="D850" t="s">
        <v>64</v>
      </c>
      <c r="E850" t="s">
        <v>28</v>
      </c>
      <c r="F850" t="s">
        <v>1707</v>
      </c>
      <c r="G850" s="9" t="s">
        <v>2416</v>
      </c>
      <c r="H850">
        <v>0</v>
      </c>
      <c r="I850">
        <v>0</v>
      </c>
      <c r="J850" s="21">
        <v>45474</v>
      </c>
      <c r="K850" t="s">
        <v>67</v>
      </c>
      <c r="L850" t="s">
        <v>68</v>
      </c>
      <c r="M850" t="s">
        <v>69</v>
      </c>
      <c r="O850">
        <v>0</v>
      </c>
      <c r="S850" t="str">
        <f>TEXT(Table1[[#This Row],[Date]],"MMM-YY")</f>
        <v>Jul-24</v>
      </c>
      <c r="T850">
        <f>_xlfn.ISOWEEKNUM(Table1[[#This Row],[Date]])</f>
        <v>28</v>
      </c>
      <c r="U850" t="str">
        <f>TEXT(Table1[[#This Row],[Expected Business Month]],"YYYY")</f>
        <v>2024</v>
      </c>
    </row>
    <row r="851" spans="1:21" hidden="1">
      <c r="A851" s="1">
        <v>45485</v>
      </c>
      <c r="B851" t="s">
        <v>2417</v>
      </c>
      <c r="C851" t="s">
        <v>96</v>
      </c>
      <c r="D851" t="s">
        <v>2027</v>
      </c>
      <c r="E851" t="s">
        <v>30</v>
      </c>
      <c r="F851" t="s">
        <v>2418</v>
      </c>
      <c r="G851" s="9" t="s">
        <v>2419</v>
      </c>
      <c r="H851">
        <v>200000</v>
      </c>
      <c r="I851">
        <v>0</v>
      </c>
      <c r="J851" s="21">
        <v>45627</v>
      </c>
      <c r="K851" t="s">
        <v>67</v>
      </c>
      <c r="L851" t="s">
        <v>9</v>
      </c>
      <c r="M851" t="s">
        <v>9</v>
      </c>
      <c r="N851" t="s">
        <v>602</v>
      </c>
      <c r="O851">
        <v>0</v>
      </c>
      <c r="S851" t="str">
        <f>TEXT(Table1[[#This Row],[Date]],"MMM-YY")</f>
        <v>Jul-24</v>
      </c>
      <c r="T851">
        <f>_xlfn.ISOWEEKNUM(Table1[[#This Row],[Date]])</f>
        <v>28</v>
      </c>
      <c r="U851" t="str">
        <f>TEXT(Table1[[#This Row],[Expected Business Month]],"YYYY")</f>
        <v>2024</v>
      </c>
    </row>
    <row r="852" spans="1:21" hidden="1">
      <c r="A852" s="1">
        <v>45485</v>
      </c>
      <c r="B852" t="s">
        <v>2420</v>
      </c>
      <c r="C852" t="s">
        <v>96</v>
      </c>
      <c r="D852" t="s">
        <v>20</v>
      </c>
      <c r="E852" t="s">
        <v>23</v>
      </c>
      <c r="F852" t="s">
        <v>1174</v>
      </c>
      <c r="G852" s="9" t="s">
        <v>2421</v>
      </c>
      <c r="H852">
        <v>16900</v>
      </c>
      <c r="I852">
        <v>16900</v>
      </c>
      <c r="J852" s="21">
        <v>45474</v>
      </c>
      <c r="K852" t="s">
        <v>67</v>
      </c>
      <c r="L852" t="s">
        <v>68</v>
      </c>
      <c r="M852" t="s">
        <v>69</v>
      </c>
      <c r="O852">
        <v>0</v>
      </c>
      <c r="S852" t="str">
        <f>TEXT(Table1[[#This Row],[Date]],"MMM-YY")</f>
        <v>Jul-24</v>
      </c>
      <c r="T852">
        <f>_xlfn.ISOWEEKNUM(Table1[[#This Row],[Date]])</f>
        <v>28</v>
      </c>
      <c r="U852" t="str">
        <f>TEXT(Table1[[#This Row],[Expected Business Month]],"YYYY")</f>
        <v>2024</v>
      </c>
    </row>
    <row r="853" spans="1:21" hidden="1">
      <c r="A853" s="1">
        <v>45485</v>
      </c>
      <c r="B853" t="s">
        <v>2422</v>
      </c>
      <c r="C853" t="s">
        <v>63</v>
      </c>
      <c r="D853" t="s">
        <v>2027</v>
      </c>
      <c r="E853" t="s">
        <v>30</v>
      </c>
      <c r="F853" t="s">
        <v>2207</v>
      </c>
      <c r="G853" s="9" t="s">
        <v>1860</v>
      </c>
      <c r="H853">
        <v>20000</v>
      </c>
      <c r="I853">
        <v>0</v>
      </c>
      <c r="J853" s="21">
        <v>45627</v>
      </c>
      <c r="K853" t="s">
        <v>67</v>
      </c>
      <c r="L853" t="s">
        <v>9</v>
      </c>
      <c r="M853" t="s">
        <v>9</v>
      </c>
      <c r="O853">
        <v>0</v>
      </c>
      <c r="S853" t="str">
        <f>TEXT(Table1[[#This Row],[Date]],"MMM-YY")</f>
        <v>Jul-24</v>
      </c>
      <c r="T853">
        <f>_xlfn.ISOWEEKNUM(Table1[[#This Row],[Date]])</f>
        <v>28</v>
      </c>
      <c r="U853" t="str">
        <f>TEXT(Table1[[#This Row],[Expected Business Month]],"YYYY")</f>
        <v>2024</v>
      </c>
    </row>
    <row r="854" spans="1:21" hidden="1">
      <c r="A854" s="1">
        <v>45486</v>
      </c>
      <c r="B854" t="s">
        <v>2423</v>
      </c>
      <c r="C854" t="s">
        <v>96</v>
      </c>
      <c r="D854" t="s">
        <v>20</v>
      </c>
      <c r="E854" t="s">
        <v>23</v>
      </c>
      <c r="F854" t="s">
        <v>2424</v>
      </c>
      <c r="G854" s="9" t="s">
        <v>2425</v>
      </c>
      <c r="H854">
        <v>6000</v>
      </c>
      <c r="I854">
        <v>6000</v>
      </c>
      <c r="J854" s="21">
        <v>45474</v>
      </c>
      <c r="K854" t="s">
        <v>99</v>
      </c>
      <c r="L854" t="s">
        <v>68</v>
      </c>
      <c r="M854" t="s">
        <v>69</v>
      </c>
      <c r="O854">
        <v>0</v>
      </c>
      <c r="S854" t="str">
        <f>TEXT(Table1[[#This Row],[Date]],"MMM-YY")</f>
        <v>Jul-24</v>
      </c>
      <c r="T854">
        <f>_xlfn.ISOWEEKNUM(Table1[[#This Row],[Date]])</f>
        <v>28</v>
      </c>
      <c r="U854" t="str">
        <f>TEXT(Table1[[#This Row],[Expected Business Month]],"YYYY")</f>
        <v>2024</v>
      </c>
    </row>
    <row r="855" spans="1:21" ht="29.1" hidden="1">
      <c r="A855" s="1">
        <v>45486</v>
      </c>
      <c r="B855" t="s">
        <v>2426</v>
      </c>
      <c r="C855" t="s">
        <v>63</v>
      </c>
      <c r="D855" t="s">
        <v>64</v>
      </c>
      <c r="E855" t="s">
        <v>38</v>
      </c>
      <c r="F855" t="s">
        <v>1174</v>
      </c>
      <c r="G855" s="9" t="s">
        <v>2427</v>
      </c>
      <c r="H855">
        <v>183680</v>
      </c>
      <c r="I855">
        <v>183680</v>
      </c>
      <c r="J855" s="21">
        <v>45474</v>
      </c>
      <c r="K855" t="s">
        <v>67</v>
      </c>
      <c r="L855" t="s">
        <v>68</v>
      </c>
      <c r="M855" t="s">
        <v>69</v>
      </c>
      <c r="O855">
        <v>0</v>
      </c>
      <c r="S855" t="str">
        <f>TEXT(Table1[[#This Row],[Date]],"MMM-YY")</f>
        <v>Jul-24</v>
      </c>
      <c r="T855">
        <f>_xlfn.ISOWEEKNUM(Table1[[#This Row],[Date]])</f>
        <v>28</v>
      </c>
      <c r="U855" t="str">
        <f>TEXT(Table1[[#This Row],[Expected Business Month]],"YYYY")</f>
        <v>2024</v>
      </c>
    </row>
    <row r="856" spans="1:21" hidden="1">
      <c r="A856" s="1">
        <v>45488</v>
      </c>
      <c r="B856" t="s">
        <v>2232</v>
      </c>
      <c r="C856" t="s">
        <v>96</v>
      </c>
      <c r="D856" t="s">
        <v>64</v>
      </c>
      <c r="E856" t="s">
        <v>32</v>
      </c>
      <c r="F856" t="s">
        <v>334</v>
      </c>
      <c r="G856" s="9" t="s">
        <v>2428</v>
      </c>
      <c r="H856">
        <v>117000</v>
      </c>
      <c r="I856">
        <v>117000</v>
      </c>
      <c r="J856" s="21">
        <v>45474</v>
      </c>
      <c r="K856" t="s">
        <v>67</v>
      </c>
      <c r="L856" t="s">
        <v>68</v>
      </c>
      <c r="M856" t="s">
        <v>69</v>
      </c>
      <c r="O856">
        <v>0</v>
      </c>
      <c r="S856" t="str">
        <f>TEXT(Table1[[#This Row],[Date]],"MMM-YY")</f>
        <v>Jul-24</v>
      </c>
      <c r="T856">
        <f>_xlfn.ISOWEEKNUM(Table1[[#This Row],[Date]])</f>
        <v>29</v>
      </c>
      <c r="U856" t="str">
        <f>TEXT(Table1[[#This Row],[Expected Business Month]],"YYYY")</f>
        <v>2024</v>
      </c>
    </row>
    <row r="857" spans="1:21" hidden="1">
      <c r="A857" s="1">
        <v>45489</v>
      </c>
      <c r="B857" t="s">
        <v>2429</v>
      </c>
      <c r="C857" t="s">
        <v>63</v>
      </c>
      <c r="D857" t="s">
        <v>64</v>
      </c>
      <c r="E857" t="s">
        <v>29</v>
      </c>
      <c r="F857" t="s">
        <v>2430</v>
      </c>
      <c r="G857" s="9" t="s">
        <v>2431</v>
      </c>
      <c r="H857">
        <v>32000</v>
      </c>
      <c r="I857">
        <v>0</v>
      </c>
      <c r="J857" s="21">
        <v>45474</v>
      </c>
      <c r="K857" t="s">
        <v>67</v>
      </c>
      <c r="L857" t="s">
        <v>9</v>
      </c>
      <c r="M857" t="s">
        <v>9</v>
      </c>
      <c r="N857" t="s">
        <v>2110</v>
      </c>
      <c r="O857">
        <v>0</v>
      </c>
      <c r="S857" t="str">
        <f>TEXT(Table1[[#This Row],[Date]],"MMM-YY")</f>
        <v>Jul-24</v>
      </c>
      <c r="T857">
        <f>_xlfn.ISOWEEKNUM(Table1[[#This Row],[Date]])</f>
        <v>29</v>
      </c>
      <c r="U857" t="str">
        <f>TEXT(Table1[[#This Row],[Expected Business Month]],"YYYY")</f>
        <v>2024</v>
      </c>
    </row>
    <row r="858" spans="1:21" hidden="1">
      <c r="A858" s="1">
        <v>45489</v>
      </c>
      <c r="B858" t="s">
        <v>2432</v>
      </c>
      <c r="C858" t="s">
        <v>63</v>
      </c>
      <c r="D858" t="s">
        <v>64</v>
      </c>
      <c r="E858" t="s">
        <v>26</v>
      </c>
      <c r="F858" t="s">
        <v>2433</v>
      </c>
      <c r="G858" s="9" t="s">
        <v>2434</v>
      </c>
      <c r="H858">
        <v>15000</v>
      </c>
      <c r="I858">
        <v>0</v>
      </c>
      <c r="J858" s="21">
        <v>45474</v>
      </c>
      <c r="K858" t="s">
        <v>67</v>
      </c>
      <c r="L858" t="s">
        <v>9</v>
      </c>
      <c r="M858" t="s">
        <v>9</v>
      </c>
      <c r="N858" t="s">
        <v>602</v>
      </c>
      <c r="O858">
        <v>0</v>
      </c>
      <c r="S858" t="str">
        <f>TEXT(Table1[[#This Row],[Date]],"MMM-YY")</f>
        <v>Jul-24</v>
      </c>
      <c r="T858">
        <f>_xlfn.ISOWEEKNUM(Table1[[#This Row],[Date]])</f>
        <v>29</v>
      </c>
      <c r="U858" t="str">
        <f>TEXT(Table1[[#This Row],[Expected Business Month]],"YYYY")</f>
        <v>2024</v>
      </c>
    </row>
    <row r="859" spans="1:21" ht="29.1" hidden="1">
      <c r="A859" s="1">
        <v>45489</v>
      </c>
      <c r="B859" t="s">
        <v>2435</v>
      </c>
      <c r="C859" t="s">
        <v>63</v>
      </c>
      <c r="D859" t="s">
        <v>64</v>
      </c>
      <c r="E859" t="s">
        <v>28</v>
      </c>
      <c r="F859" t="s">
        <v>2390</v>
      </c>
      <c r="G859" s="9" t="s">
        <v>1521</v>
      </c>
      <c r="H859">
        <v>25000</v>
      </c>
      <c r="I859">
        <v>0</v>
      </c>
      <c r="J859" s="21">
        <v>45627</v>
      </c>
      <c r="K859" t="s">
        <v>67</v>
      </c>
      <c r="L859" t="s">
        <v>9</v>
      </c>
      <c r="M859" t="s">
        <v>9</v>
      </c>
      <c r="O859">
        <v>0</v>
      </c>
      <c r="S859" t="str">
        <f>TEXT(Table1[[#This Row],[Date]],"MMM-YY")</f>
        <v>Jul-24</v>
      </c>
      <c r="T859">
        <f>_xlfn.ISOWEEKNUM(Table1[[#This Row],[Date]])</f>
        <v>29</v>
      </c>
      <c r="U859" t="str">
        <f>TEXT(Table1[[#This Row],[Expected Business Month]],"YYYY")</f>
        <v>2024</v>
      </c>
    </row>
    <row r="860" spans="1:21" hidden="1">
      <c r="A860" s="1">
        <v>45489</v>
      </c>
      <c r="B860" t="s">
        <v>2436</v>
      </c>
      <c r="C860" t="s">
        <v>63</v>
      </c>
      <c r="D860" t="s">
        <v>64</v>
      </c>
      <c r="E860" t="s">
        <v>26</v>
      </c>
      <c r="F860" t="s">
        <v>1256</v>
      </c>
      <c r="G860" s="9" t="s">
        <v>1857</v>
      </c>
      <c r="H860">
        <v>15000</v>
      </c>
      <c r="I860">
        <v>0</v>
      </c>
      <c r="J860" s="21">
        <v>45627</v>
      </c>
      <c r="K860" t="s">
        <v>67</v>
      </c>
      <c r="L860" t="s">
        <v>9</v>
      </c>
      <c r="M860" t="s">
        <v>9</v>
      </c>
      <c r="O860">
        <v>0</v>
      </c>
      <c r="S860" t="str">
        <f>TEXT(Table1[[#This Row],[Date]],"MMM-YY")</f>
        <v>Jul-24</v>
      </c>
      <c r="T860">
        <f>_xlfn.ISOWEEKNUM(Table1[[#This Row],[Date]])</f>
        <v>29</v>
      </c>
      <c r="U860" t="str">
        <f>TEXT(Table1[[#This Row],[Expected Business Month]],"YYYY")</f>
        <v>2024</v>
      </c>
    </row>
    <row r="861" spans="1:21" hidden="1">
      <c r="A861" s="1">
        <v>45489</v>
      </c>
      <c r="B861" t="s">
        <v>1106</v>
      </c>
      <c r="C861" t="s">
        <v>96</v>
      </c>
      <c r="D861" t="s">
        <v>64</v>
      </c>
      <c r="E861" t="s">
        <v>26</v>
      </c>
      <c r="F861" t="s">
        <v>2089</v>
      </c>
      <c r="G861" s="9" t="s">
        <v>293</v>
      </c>
      <c r="H861">
        <v>20000</v>
      </c>
      <c r="I861">
        <v>0</v>
      </c>
      <c r="J861" s="21">
        <v>45627</v>
      </c>
      <c r="K861" t="s">
        <v>67</v>
      </c>
      <c r="L861" t="s">
        <v>9</v>
      </c>
      <c r="M861" t="s">
        <v>9</v>
      </c>
      <c r="O861">
        <v>0</v>
      </c>
      <c r="S861" t="str">
        <f>TEXT(Table1[[#This Row],[Date]],"MMM-YY")</f>
        <v>Jul-24</v>
      </c>
      <c r="T861">
        <f>_xlfn.ISOWEEKNUM(Table1[[#This Row],[Date]])</f>
        <v>29</v>
      </c>
      <c r="U861" t="str">
        <f>TEXT(Table1[[#This Row],[Expected Business Month]],"YYYY")</f>
        <v>2024</v>
      </c>
    </row>
    <row r="862" spans="1:21" ht="29.1" hidden="1">
      <c r="A862" s="1">
        <v>45490</v>
      </c>
      <c r="B862" t="s">
        <v>324</v>
      </c>
      <c r="C862" t="s">
        <v>96</v>
      </c>
      <c r="D862" t="s">
        <v>64</v>
      </c>
      <c r="E862" t="s">
        <v>38</v>
      </c>
      <c r="F862" t="s">
        <v>325</v>
      </c>
      <c r="G862" s="9" t="s">
        <v>2437</v>
      </c>
      <c r="H862">
        <v>40117</v>
      </c>
      <c r="I862">
        <v>40117</v>
      </c>
      <c r="J862" s="21">
        <v>45474</v>
      </c>
      <c r="K862" t="s">
        <v>99</v>
      </c>
      <c r="L862" t="s">
        <v>68</v>
      </c>
      <c r="M862" t="s">
        <v>69</v>
      </c>
      <c r="O862">
        <v>0</v>
      </c>
      <c r="S862" t="str">
        <f>TEXT(Table1[[#This Row],[Date]],"MMM-YY")</f>
        <v>Jul-24</v>
      </c>
      <c r="T862">
        <f>_xlfn.ISOWEEKNUM(Table1[[#This Row],[Date]])</f>
        <v>29</v>
      </c>
      <c r="U862" t="str">
        <f>TEXT(Table1[[#This Row],[Expected Business Month]],"YYYY")</f>
        <v>2024</v>
      </c>
    </row>
    <row r="863" spans="1:21" hidden="1">
      <c r="A863" s="1">
        <v>45490</v>
      </c>
      <c r="B863" t="s">
        <v>2215</v>
      </c>
      <c r="C863" t="s">
        <v>63</v>
      </c>
      <c r="D863" t="s">
        <v>64</v>
      </c>
      <c r="E863" t="s">
        <v>20</v>
      </c>
      <c r="F863" t="s">
        <v>2438</v>
      </c>
      <c r="G863" s="9" t="s">
        <v>2439</v>
      </c>
      <c r="H863">
        <v>12000</v>
      </c>
      <c r="I863">
        <v>0</v>
      </c>
      <c r="J863" s="21">
        <v>45627</v>
      </c>
      <c r="K863" t="s">
        <v>67</v>
      </c>
      <c r="L863" t="s">
        <v>9</v>
      </c>
      <c r="M863" t="s">
        <v>9</v>
      </c>
      <c r="N863" t="s">
        <v>9</v>
      </c>
      <c r="O863">
        <v>0</v>
      </c>
      <c r="S863" t="str">
        <f>TEXT(Table1[[#This Row],[Date]],"MMM-YY")</f>
        <v>Jul-24</v>
      </c>
      <c r="T863">
        <f>_xlfn.ISOWEEKNUM(Table1[[#This Row],[Date]])</f>
        <v>29</v>
      </c>
      <c r="U863" t="str">
        <f>TEXT(Table1[[#This Row],[Expected Business Month]],"YYYY")</f>
        <v>2024</v>
      </c>
    </row>
    <row r="864" spans="1:21" ht="29.1" hidden="1">
      <c r="A864" s="1">
        <v>45490</v>
      </c>
      <c r="B864" t="s">
        <v>2440</v>
      </c>
      <c r="C864" t="s">
        <v>96</v>
      </c>
      <c r="D864" t="s">
        <v>64</v>
      </c>
      <c r="E864" t="s">
        <v>32</v>
      </c>
      <c r="F864" t="s">
        <v>153</v>
      </c>
      <c r="G864" s="9" t="s">
        <v>2441</v>
      </c>
      <c r="H864">
        <v>15000</v>
      </c>
      <c r="I864">
        <v>0</v>
      </c>
      <c r="J864" s="21">
        <v>45627</v>
      </c>
      <c r="K864" t="s">
        <v>67</v>
      </c>
      <c r="L864" t="s">
        <v>9</v>
      </c>
      <c r="M864" t="s">
        <v>9</v>
      </c>
      <c r="O864">
        <v>0</v>
      </c>
      <c r="S864" t="str">
        <f>TEXT(Table1[[#This Row],[Date]],"MMM-YY")</f>
        <v>Jul-24</v>
      </c>
      <c r="T864">
        <f>_xlfn.ISOWEEKNUM(Table1[[#This Row],[Date]])</f>
        <v>29</v>
      </c>
      <c r="U864" t="str">
        <f>TEXT(Table1[[#This Row],[Expected Business Month]],"YYYY")</f>
        <v>2024</v>
      </c>
    </row>
    <row r="865" spans="1:21" hidden="1">
      <c r="A865" s="1">
        <v>45490</v>
      </c>
      <c r="B865" t="s">
        <v>2442</v>
      </c>
      <c r="C865" t="s">
        <v>96</v>
      </c>
      <c r="D865" t="s">
        <v>64</v>
      </c>
      <c r="E865" t="s">
        <v>26</v>
      </c>
      <c r="F865" t="s">
        <v>2443</v>
      </c>
      <c r="G865" s="9" t="s">
        <v>2444</v>
      </c>
      <c r="H865">
        <v>18000</v>
      </c>
      <c r="I865">
        <v>0</v>
      </c>
      <c r="J865" s="21">
        <v>45627</v>
      </c>
      <c r="K865" t="s">
        <v>67</v>
      </c>
      <c r="L865" t="s">
        <v>9</v>
      </c>
      <c r="M865" t="s">
        <v>9</v>
      </c>
      <c r="O865">
        <v>0</v>
      </c>
      <c r="S865" t="str">
        <f>TEXT(Table1[[#This Row],[Date]],"MMM-YY")</f>
        <v>Jul-24</v>
      </c>
      <c r="T865">
        <f>_xlfn.ISOWEEKNUM(Table1[[#This Row],[Date]])</f>
        <v>29</v>
      </c>
      <c r="U865" t="str">
        <f>TEXT(Table1[[#This Row],[Expected Business Month]],"YYYY")</f>
        <v>2024</v>
      </c>
    </row>
    <row r="866" spans="1:21" hidden="1">
      <c r="A866" s="1">
        <v>45490</v>
      </c>
      <c r="B866" t="s">
        <v>1080</v>
      </c>
      <c r="C866" t="s">
        <v>96</v>
      </c>
      <c r="D866" t="s">
        <v>64</v>
      </c>
      <c r="E866" t="s">
        <v>26</v>
      </c>
      <c r="F866" t="s">
        <v>2433</v>
      </c>
      <c r="G866" s="9" t="s">
        <v>293</v>
      </c>
      <c r="H866">
        <v>15000</v>
      </c>
      <c r="I866">
        <v>0</v>
      </c>
      <c r="J866" s="21">
        <v>45627</v>
      </c>
      <c r="K866" t="s">
        <v>67</v>
      </c>
      <c r="L866" t="s">
        <v>9</v>
      </c>
      <c r="M866" t="s">
        <v>9</v>
      </c>
      <c r="O866">
        <v>0</v>
      </c>
      <c r="S866" t="str">
        <f>TEXT(Table1[[#This Row],[Date]],"MMM-YY")</f>
        <v>Jul-24</v>
      </c>
      <c r="T866">
        <f>_xlfn.ISOWEEKNUM(Table1[[#This Row],[Date]])</f>
        <v>29</v>
      </c>
      <c r="U866" t="str">
        <f>TEXT(Table1[[#This Row],[Expected Business Month]],"YYYY")</f>
        <v>2024</v>
      </c>
    </row>
    <row r="867" spans="1:21" hidden="1">
      <c r="A867" s="1">
        <v>45491</v>
      </c>
      <c r="B867" t="s">
        <v>1720</v>
      </c>
      <c r="C867" t="s">
        <v>63</v>
      </c>
      <c r="D867" t="s">
        <v>64</v>
      </c>
      <c r="E867" t="s">
        <v>28</v>
      </c>
      <c r="F867" t="s">
        <v>2445</v>
      </c>
      <c r="G867" s="9" t="s">
        <v>2446</v>
      </c>
      <c r="H867">
        <v>8000</v>
      </c>
      <c r="I867">
        <v>8000</v>
      </c>
      <c r="J867" s="21">
        <v>45474</v>
      </c>
      <c r="K867" t="s">
        <v>67</v>
      </c>
      <c r="L867" t="s">
        <v>68</v>
      </c>
      <c r="M867" t="s">
        <v>69</v>
      </c>
      <c r="O867">
        <v>0</v>
      </c>
      <c r="S867" t="str">
        <f>TEXT(Table1[[#This Row],[Date]],"MMM-YY")</f>
        <v>Jul-24</v>
      </c>
      <c r="T867">
        <f>_xlfn.ISOWEEKNUM(Table1[[#This Row],[Date]])</f>
        <v>29</v>
      </c>
      <c r="U867" t="str">
        <f>TEXT(Table1[[#This Row],[Expected Business Month]],"YYYY")</f>
        <v>2024</v>
      </c>
    </row>
    <row r="868" spans="1:21" hidden="1">
      <c r="A868" s="1">
        <v>45491</v>
      </c>
      <c r="B868" t="s">
        <v>2447</v>
      </c>
      <c r="C868" t="s">
        <v>96</v>
      </c>
      <c r="D868" t="s">
        <v>64</v>
      </c>
      <c r="E868" t="s">
        <v>26</v>
      </c>
      <c r="F868" t="s">
        <v>2448</v>
      </c>
      <c r="G868" s="9" t="s">
        <v>2449</v>
      </c>
      <c r="H868">
        <v>13000</v>
      </c>
      <c r="I868">
        <v>13000</v>
      </c>
      <c r="J868" s="21">
        <v>45474</v>
      </c>
      <c r="K868" t="s">
        <v>67</v>
      </c>
      <c r="L868" t="s">
        <v>68</v>
      </c>
      <c r="M868" t="s">
        <v>69</v>
      </c>
      <c r="O868">
        <v>0</v>
      </c>
      <c r="S868" t="str">
        <f>TEXT(Table1[[#This Row],[Date]],"MMM-YY")</f>
        <v>Jul-24</v>
      </c>
      <c r="T868">
        <f>_xlfn.ISOWEEKNUM(Table1[[#This Row],[Date]])</f>
        <v>29</v>
      </c>
      <c r="U868" t="str">
        <f>TEXT(Table1[[#This Row],[Expected Business Month]],"YYYY")</f>
        <v>2024</v>
      </c>
    </row>
    <row r="869" spans="1:21" hidden="1">
      <c r="A869" s="1">
        <v>45491</v>
      </c>
      <c r="B869" t="s">
        <v>2450</v>
      </c>
      <c r="C869" t="s">
        <v>63</v>
      </c>
      <c r="D869" t="s">
        <v>618</v>
      </c>
      <c r="E869" t="s">
        <v>18</v>
      </c>
      <c r="F869" t="s">
        <v>2451</v>
      </c>
      <c r="G869" s="9" t="s">
        <v>2266</v>
      </c>
      <c r="H869">
        <v>15000</v>
      </c>
      <c r="I869">
        <v>0</v>
      </c>
      <c r="J869" s="21">
        <v>45627</v>
      </c>
      <c r="K869" t="s">
        <v>67</v>
      </c>
      <c r="L869" t="s">
        <v>9</v>
      </c>
      <c r="M869" t="s">
        <v>9</v>
      </c>
      <c r="O869">
        <v>0</v>
      </c>
      <c r="S869" t="str">
        <f>TEXT(Table1[[#This Row],[Date]],"MMM-YY")</f>
        <v>Jul-24</v>
      </c>
      <c r="T869">
        <f>_xlfn.ISOWEEKNUM(Table1[[#This Row],[Date]])</f>
        <v>29</v>
      </c>
      <c r="U869" t="str">
        <f>TEXT(Table1[[#This Row],[Expected Business Month]],"YYYY")</f>
        <v>2024</v>
      </c>
    </row>
    <row r="870" spans="1:21" hidden="1">
      <c r="A870" s="1">
        <v>45492</v>
      </c>
      <c r="B870" t="s">
        <v>82</v>
      </c>
      <c r="C870" t="s">
        <v>63</v>
      </c>
      <c r="D870" t="s">
        <v>64</v>
      </c>
      <c r="E870" t="s">
        <v>38</v>
      </c>
      <c r="F870" t="s">
        <v>93</v>
      </c>
      <c r="G870" s="9" t="s">
        <v>2452</v>
      </c>
      <c r="H870">
        <v>20000</v>
      </c>
      <c r="I870">
        <v>0</v>
      </c>
      <c r="J870" s="21">
        <v>45658</v>
      </c>
      <c r="K870" t="s">
        <v>67</v>
      </c>
      <c r="L870" t="s">
        <v>9</v>
      </c>
      <c r="M870" t="s">
        <v>9</v>
      </c>
      <c r="N870" t="s">
        <v>586</v>
      </c>
      <c r="O870">
        <v>0</v>
      </c>
      <c r="S870" t="str">
        <f>TEXT(Table1[[#This Row],[Date]],"MMM-YY")</f>
        <v>Jul-24</v>
      </c>
      <c r="T870">
        <f>_xlfn.ISOWEEKNUM(Table1[[#This Row],[Date]])</f>
        <v>29</v>
      </c>
      <c r="U870" t="str">
        <f>TEXT(Table1[[#This Row],[Expected Business Month]],"YYYY")</f>
        <v>2025</v>
      </c>
    </row>
    <row r="871" spans="1:21" hidden="1">
      <c r="A871" s="1">
        <v>45492</v>
      </c>
      <c r="B871" t="s">
        <v>2453</v>
      </c>
      <c r="C871" t="s">
        <v>63</v>
      </c>
      <c r="D871" t="s">
        <v>64</v>
      </c>
      <c r="E871" t="s">
        <v>14</v>
      </c>
      <c r="F871" t="s">
        <v>2454</v>
      </c>
      <c r="G871" s="9" t="s">
        <v>1860</v>
      </c>
      <c r="H871">
        <v>25000</v>
      </c>
      <c r="I871">
        <v>0</v>
      </c>
      <c r="J871" s="21">
        <v>45627</v>
      </c>
      <c r="K871" t="s">
        <v>67</v>
      </c>
      <c r="L871" t="s">
        <v>9</v>
      </c>
      <c r="M871" t="s">
        <v>9</v>
      </c>
      <c r="O871">
        <v>0</v>
      </c>
      <c r="S871" t="str">
        <f>TEXT(Table1[[#This Row],[Date]],"MMM-YY")</f>
        <v>Jul-24</v>
      </c>
      <c r="T871">
        <f>_xlfn.ISOWEEKNUM(Table1[[#This Row],[Date]])</f>
        <v>29</v>
      </c>
      <c r="U871" t="str">
        <f>TEXT(Table1[[#This Row],[Expected Business Month]],"YYYY")</f>
        <v>2024</v>
      </c>
    </row>
    <row r="872" spans="1:21" hidden="1">
      <c r="A872" s="1">
        <v>45492</v>
      </c>
      <c r="B872" t="s">
        <v>2455</v>
      </c>
      <c r="C872" t="s">
        <v>63</v>
      </c>
      <c r="D872" t="s">
        <v>618</v>
      </c>
      <c r="E872" t="s">
        <v>18</v>
      </c>
      <c r="F872" t="s">
        <v>2456</v>
      </c>
      <c r="G872" s="9" t="s">
        <v>2114</v>
      </c>
      <c r="H872">
        <v>28000</v>
      </c>
      <c r="I872">
        <v>0</v>
      </c>
      <c r="J872" s="21">
        <v>45627</v>
      </c>
      <c r="K872" t="s">
        <v>67</v>
      </c>
      <c r="L872" t="s">
        <v>9</v>
      </c>
      <c r="M872" t="s">
        <v>9</v>
      </c>
      <c r="O872">
        <v>0</v>
      </c>
      <c r="S872" t="str">
        <f>TEXT(Table1[[#This Row],[Date]],"MMM-YY")</f>
        <v>Jul-24</v>
      </c>
      <c r="T872">
        <f>_xlfn.ISOWEEKNUM(Table1[[#This Row],[Date]])</f>
        <v>29</v>
      </c>
      <c r="U872" t="str">
        <f>TEXT(Table1[[#This Row],[Expected Business Month]],"YYYY")</f>
        <v>2024</v>
      </c>
    </row>
    <row r="873" spans="1:21" hidden="1">
      <c r="A873" s="1">
        <v>45495</v>
      </c>
      <c r="B873" t="s">
        <v>2457</v>
      </c>
      <c r="C873" t="s">
        <v>63</v>
      </c>
      <c r="D873" t="s">
        <v>64</v>
      </c>
      <c r="E873" t="s">
        <v>16</v>
      </c>
      <c r="F873" t="s">
        <v>2458</v>
      </c>
      <c r="G873" s="9" t="s">
        <v>2114</v>
      </c>
      <c r="H873">
        <v>35000</v>
      </c>
      <c r="I873">
        <v>0</v>
      </c>
      <c r="J873" s="21">
        <v>45627</v>
      </c>
      <c r="K873" t="s">
        <v>67</v>
      </c>
      <c r="L873" t="s">
        <v>9</v>
      </c>
      <c r="M873" t="s">
        <v>9</v>
      </c>
      <c r="O873">
        <v>0</v>
      </c>
      <c r="S873" t="str">
        <f>TEXT(Table1[[#This Row],[Date]],"MMM-YY")</f>
        <v>Jul-24</v>
      </c>
      <c r="T873">
        <f>_xlfn.ISOWEEKNUM(Table1[[#This Row],[Date]])</f>
        <v>30</v>
      </c>
      <c r="U873" t="str">
        <f>TEXT(Table1[[#This Row],[Expected Business Month]],"YYYY")</f>
        <v>2024</v>
      </c>
    </row>
    <row r="874" spans="1:21" hidden="1">
      <c r="A874" s="1">
        <v>45495</v>
      </c>
      <c r="B874" t="s">
        <v>330</v>
      </c>
      <c r="C874" t="s">
        <v>96</v>
      </c>
      <c r="D874" t="s">
        <v>20</v>
      </c>
      <c r="E874" t="s">
        <v>23</v>
      </c>
      <c r="F874" t="s">
        <v>2459</v>
      </c>
      <c r="G874" s="9" t="s">
        <v>2460</v>
      </c>
      <c r="H874">
        <v>17000</v>
      </c>
      <c r="I874">
        <v>0</v>
      </c>
      <c r="J874" s="21">
        <v>45474</v>
      </c>
      <c r="K874" t="s">
        <v>67</v>
      </c>
      <c r="L874" t="s">
        <v>9</v>
      </c>
      <c r="M874" t="s">
        <v>9</v>
      </c>
      <c r="N874" t="s">
        <v>2110</v>
      </c>
      <c r="O874">
        <v>0</v>
      </c>
      <c r="S874" t="str">
        <f>TEXT(Table1[[#This Row],[Date]],"MMM-YY")</f>
        <v>Jul-24</v>
      </c>
      <c r="T874">
        <f>_xlfn.ISOWEEKNUM(Table1[[#This Row],[Date]])</f>
        <v>30</v>
      </c>
      <c r="U874" t="str">
        <f>TEXT(Table1[[#This Row],[Expected Business Month]],"YYYY")</f>
        <v>2024</v>
      </c>
    </row>
    <row r="875" spans="1:21" hidden="1">
      <c r="A875" s="1">
        <v>45495</v>
      </c>
      <c r="B875" t="s">
        <v>2461</v>
      </c>
      <c r="C875" t="s">
        <v>96</v>
      </c>
      <c r="D875" t="s">
        <v>20</v>
      </c>
      <c r="E875" t="s">
        <v>23</v>
      </c>
      <c r="F875" t="s">
        <v>2462</v>
      </c>
      <c r="G875" s="9" t="s">
        <v>2463</v>
      </c>
      <c r="H875">
        <v>18000</v>
      </c>
      <c r="I875">
        <v>0</v>
      </c>
      <c r="J875" s="21">
        <v>45474</v>
      </c>
      <c r="K875" t="s">
        <v>67</v>
      </c>
      <c r="L875" t="s">
        <v>9</v>
      </c>
      <c r="M875" t="s">
        <v>9</v>
      </c>
      <c r="N875" t="s">
        <v>602</v>
      </c>
      <c r="O875">
        <v>0</v>
      </c>
      <c r="S875" t="str">
        <f>TEXT(Table1[[#This Row],[Date]],"MMM-YY")</f>
        <v>Jul-24</v>
      </c>
      <c r="T875">
        <f>_xlfn.ISOWEEKNUM(Table1[[#This Row],[Date]])</f>
        <v>30</v>
      </c>
      <c r="U875" t="str">
        <f>TEXT(Table1[[#This Row],[Expected Business Month]],"YYYY")</f>
        <v>2024</v>
      </c>
    </row>
    <row r="876" spans="1:21" hidden="1">
      <c r="A876" s="1">
        <v>45496</v>
      </c>
      <c r="B876" t="s">
        <v>1055</v>
      </c>
      <c r="C876" t="s">
        <v>63</v>
      </c>
      <c r="D876" t="s">
        <v>64</v>
      </c>
      <c r="E876" t="s">
        <v>17</v>
      </c>
      <c r="F876" t="s">
        <v>1913</v>
      </c>
      <c r="G876" s="9" t="s">
        <v>293</v>
      </c>
      <c r="H876">
        <v>20000</v>
      </c>
      <c r="I876">
        <v>0</v>
      </c>
      <c r="J876" s="21">
        <v>45627</v>
      </c>
      <c r="K876" t="s">
        <v>67</v>
      </c>
      <c r="L876" t="s">
        <v>9</v>
      </c>
      <c r="M876" t="s">
        <v>9</v>
      </c>
      <c r="O876">
        <v>0</v>
      </c>
      <c r="S876" t="str">
        <f>TEXT(Table1[[#This Row],[Date]],"MMM-YY")</f>
        <v>Jul-24</v>
      </c>
      <c r="T876">
        <f>_xlfn.ISOWEEKNUM(Table1[[#This Row],[Date]])</f>
        <v>30</v>
      </c>
      <c r="U876" t="str">
        <f>TEXT(Table1[[#This Row],[Expected Business Month]],"YYYY")</f>
        <v>2024</v>
      </c>
    </row>
    <row r="877" spans="1:21" hidden="1">
      <c r="A877" s="1">
        <v>45496</v>
      </c>
      <c r="B877" t="s">
        <v>2196</v>
      </c>
      <c r="C877" t="s">
        <v>63</v>
      </c>
      <c r="D877" t="s">
        <v>64</v>
      </c>
      <c r="E877" t="s">
        <v>17</v>
      </c>
      <c r="F877" t="s">
        <v>2464</v>
      </c>
      <c r="G877" s="9" t="s">
        <v>293</v>
      </c>
      <c r="H877">
        <v>22000</v>
      </c>
      <c r="I877">
        <v>0</v>
      </c>
      <c r="J877" s="21">
        <v>45627</v>
      </c>
      <c r="K877" t="s">
        <v>67</v>
      </c>
      <c r="L877" t="s">
        <v>9</v>
      </c>
      <c r="M877" t="s">
        <v>9</v>
      </c>
      <c r="O877">
        <v>0</v>
      </c>
      <c r="S877" t="str">
        <f>TEXT(Table1[[#This Row],[Date]],"MMM-YY")</f>
        <v>Jul-24</v>
      </c>
      <c r="T877">
        <f>_xlfn.ISOWEEKNUM(Table1[[#This Row],[Date]])</f>
        <v>30</v>
      </c>
      <c r="U877" t="str">
        <f>TEXT(Table1[[#This Row],[Expected Business Month]],"YYYY")</f>
        <v>2024</v>
      </c>
    </row>
    <row r="878" spans="1:21" hidden="1">
      <c r="A878" s="1">
        <v>45496</v>
      </c>
      <c r="B878" t="s">
        <v>1343</v>
      </c>
      <c r="C878" t="s">
        <v>96</v>
      </c>
      <c r="D878" t="s">
        <v>618</v>
      </c>
      <c r="E878" t="s">
        <v>18</v>
      </c>
      <c r="F878" t="s">
        <v>1344</v>
      </c>
      <c r="G878" s="9" t="s">
        <v>1860</v>
      </c>
      <c r="H878">
        <v>15000</v>
      </c>
      <c r="I878">
        <v>0</v>
      </c>
      <c r="J878" s="21">
        <v>45261</v>
      </c>
      <c r="K878" t="s">
        <v>67</v>
      </c>
      <c r="L878" t="s">
        <v>9</v>
      </c>
      <c r="M878" t="s">
        <v>9</v>
      </c>
      <c r="N878" t="s">
        <v>586</v>
      </c>
      <c r="O878">
        <v>0</v>
      </c>
      <c r="S878" t="str">
        <f>TEXT(Table1[[#This Row],[Date]],"MMM-YY")</f>
        <v>Jul-24</v>
      </c>
      <c r="T878">
        <f>_xlfn.ISOWEEKNUM(Table1[[#This Row],[Date]])</f>
        <v>30</v>
      </c>
      <c r="U878" t="str">
        <f>TEXT(Table1[[#This Row],[Expected Business Month]],"YYYY")</f>
        <v>2023</v>
      </c>
    </row>
    <row r="879" spans="1:21" hidden="1">
      <c r="A879" s="1">
        <v>45496</v>
      </c>
      <c r="B879" t="s">
        <v>1214</v>
      </c>
      <c r="C879" t="s">
        <v>96</v>
      </c>
      <c r="D879" t="s">
        <v>64</v>
      </c>
      <c r="E879" t="s">
        <v>17</v>
      </c>
      <c r="F879" t="s">
        <v>1015</v>
      </c>
      <c r="G879" s="9" t="s">
        <v>2465</v>
      </c>
      <c r="H879">
        <v>12000</v>
      </c>
      <c r="I879">
        <v>0</v>
      </c>
      <c r="J879" s="21">
        <v>45261</v>
      </c>
      <c r="K879" t="s">
        <v>67</v>
      </c>
      <c r="L879" t="s">
        <v>9</v>
      </c>
      <c r="M879" t="s">
        <v>9</v>
      </c>
      <c r="N879" t="s">
        <v>586</v>
      </c>
      <c r="O879">
        <v>0</v>
      </c>
      <c r="S879" t="str">
        <f>TEXT(Table1[[#This Row],[Date]],"MMM-YY")</f>
        <v>Jul-24</v>
      </c>
      <c r="T879">
        <f>_xlfn.ISOWEEKNUM(Table1[[#This Row],[Date]])</f>
        <v>30</v>
      </c>
      <c r="U879" t="str">
        <f>TEXT(Table1[[#This Row],[Expected Business Month]],"YYYY")</f>
        <v>2023</v>
      </c>
    </row>
    <row r="880" spans="1:21" hidden="1">
      <c r="A880" s="1">
        <v>45496</v>
      </c>
      <c r="B880" t="s">
        <v>2466</v>
      </c>
      <c r="C880" t="s">
        <v>96</v>
      </c>
      <c r="D880" t="s">
        <v>64</v>
      </c>
      <c r="E880" t="s">
        <v>29</v>
      </c>
      <c r="F880" t="s">
        <v>2467</v>
      </c>
      <c r="G880" s="9" t="s">
        <v>1857</v>
      </c>
      <c r="H880">
        <v>15000</v>
      </c>
      <c r="I880">
        <v>0</v>
      </c>
      <c r="J880" s="21">
        <v>45261</v>
      </c>
      <c r="K880" t="s">
        <v>67</v>
      </c>
      <c r="L880" t="s">
        <v>9</v>
      </c>
      <c r="M880" t="s">
        <v>9</v>
      </c>
      <c r="N880" t="s">
        <v>586</v>
      </c>
      <c r="O880">
        <v>0</v>
      </c>
      <c r="S880" t="str">
        <f>TEXT(Table1[[#This Row],[Date]],"MMM-YY")</f>
        <v>Jul-24</v>
      </c>
      <c r="T880">
        <f>_xlfn.ISOWEEKNUM(Table1[[#This Row],[Date]])</f>
        <v>30</v>
      </c>
      <c r="U880" t="str">
        <f>TEXT(Table1[[#This Row],[Expected Business Month]],"YYYY")</f>
        <v>2023</v>
      </c>
    </row>
    <row r="881" spans="1:21" ht="29.1" hidden="1">
      <c r="A881" s="1">
        <v>45497</v>
      </c>
      <c r="B881" t="s">
        <v>324</v>
      </c>
      <c r="C881" t="s">
        <v>96</v>
      </c>
      <c r="D881" t="s">
        <v>64</v>
      </c>
      <c r="E881" t="s">
        <v>38</v>
      </c>
      <c r="F881" t="s">
        <v>325</v>
      </c>
      <c r="G881" s="9" t="s">
        <v>2468</v>
      </c>
      <c r="H881">
        <v>43028</v>
      </c>
      <c r="I881">
        <v>43028</v>
      </c>
      <c r="J881" s="21">
        <v>45474</v>
      </c>
      <c r="K881" t="s">
        <v>99</v>
      </c>
      <c r="L881" t="s">
        <v>68</v>
      </c>
      <c r="M881" t="s">
        <v>69</v>
      </c>
      <c r="O881">
        <v>0</v>
      </c>
      <c r="S881" t="str">
        <f>TEXT(Table1[[#This Row],[Date]],"MMM-YY")</f>
        <v>Jul-24</v>
      </c>
      <c r="T881">
        <f>_xlfn.ISOWEEKNUM(Table1[[#This Row],[Date]])</f>
        <v>30</v>
      </c>
      <c r="U881" t="str">
        <f>TEXT(Table1[[#This Row],[Expected Business Month]],"YYYY")</f>
        <v>2024</v>
      </c>
    </row>
    <row r="882" spans="1:21" hidden="1">
      <c r="A882" s="1">
        <v>45497</v>
      </c>
      <c r="B882" t="s">
        <v>2469</v>
      </c>
      <c r="C882" t="s">
        <v>63</v>
      </c>
      <c r="D882" t="s">
        <v>64</v>
      </c>
      <c r="E882" t="s">
        <v>28</v>
      </c>
      <c r="F882" t="s">
        <v>2470</v>
      </c>
      <c r="G882" s="9" t="s">
        <v>2471</v>
      </c>
      <c r="H882">
        <v>6360</v>
      </c>
      <c r="I882">
        <v>6360</v>
      </c>
      <c r="J882" s="21">
        <v>45474</v>
      </c>
      <c r="K882" t="s">
        <v>67</v>
      </c>
      <c r="L882" t="s">
        <v>68</v>
      </c>
      <c r="M882" t="s">
        <v>69</v>
      </c>
      <c r="O882">
        <v>0</v>
      </c>
      <c r="S882" t="str">
        <f>TEXT(Table1[[#This Row],[Date]],"MMM-YY")</f>
        <v>Jul-24</v>
      </c>
      <c r="T882">
        <f>_xlfn.ISOWEEKNUM(Table1[[#This Row],[Date]])</f>
        <v>30</v>
      </c>
      <c r="U882" t="str">
        <f>TEXT(Table1[[#This Row],[Expected Business Month]],"YYYY")</f>
        <v>2024</v>
      </c>
    </row>
    <row r="883" spans="1:21" hidden="1">
      <c r="A883" s="1">
        <v>45502</v>
      </c>
      <c r="B883" t="s">
        <v>2472</v>
      </c>
      <c r="C883" t="s">
        <v>96</v>
      </c>
      <c r="D883" t="s">
        <v>64</v>
      </c>
      <c r="E883" t="s">
        <v>26</v>
      </c>
      <c r="F883" t="s">
        <v>1650</v>
      </c>
      <c r="G883" s="9" t="s">
        <v>2473</v>
      </c>
      <c r="H883">
        <v>112323</v>
      </c>
      <c r="I883">
        <v>112323</v>
      </c>
      <c r="J883" s="21">
        <v>45474</v>
      </c>
      <c r="K883" t="s">
        <v>99</v>
      </c>
      <c r="L883" t="s">
        <v>68</v>
      </c>
      <c r="M883" t="s">
        <v>69</v>
      </c>
      <c r="O883">
        <v>0</v>
      </c>
      <c r="S883" t="str">
        <f>TEXT(Table1[[#This Row],[Date]],"MMM-YY")</f>
        <v>Jul-24</v>
      </c>
      <c r="T883">
        <f>_xlfn.ISOWEEKNUM(Table1[[#This Row],[Date]])</f>
        <v>31</v>
      </c>
      <c r="U883" t="str">
        <f>TEXT(Table1[[#This Row],[Expected Business Month]],"YYYY")</f>
        <v>2024</v>
      </c>
    </row>
    <row r="884" spans="1:21" ht="29.1" hidden="1">
      <c r="A884" s="1">
        <v>45504</v>
      </c>
      <c r="B884" t="s">
        <v>324</v>
      </c>
      <c r="C884" t="s">
        <v>96</v>
      </c>
      <c r="D884" t="s">
        <v>64</v>
      </c>
      <c r="E884" t="s">
        <v>38</v>
      </c>
      <c r="F884" t="s">
        <v>325</v>
      </c>
      <c r="G884" s="9" t="s">
        <v>2474</v>
      </c>
      <c r="H884">
        <v>41560</v>
      </c>
      <c r="I884">
        <v>41560</v>
      </c>
      <c r="J884" s="21">
        <v>45474</v>
      </c>
      <c r="K884" t="s">
        <v>99</v>
      </c>
      <c r="L884" t="s">
        <v>68</v>
      </c>
      <c r="M884" t="s">
        <v>69</v>
      </c>
      <c r="O884">
        <v>0</v>
      </c>
      <c r="S884" t="str">
        <f>TEXT(Table1[[#This Row],[Date]],"MMM-YY")</f>
        <v>Jul-24</v>
      </c>
      <c r="T884">
        <f>_xlfn.ISOWEEKNUM(Table1[[#This Row],[Date]])</f>
        <v>31</v>
      </c>
      <c r="U884" t="str">
        <f>TEXT(Table1[[#This Row],[Expected Business Month]],"YYYY")</f>
        <v>2024</v>
      </c>
    </row>
    <row r="885" spans="1:21" hidden="1">
      <c r="A885" s="1">
        <v>45505</v>
      </c>
      <c r="B885" t="s">
        <v>2475</v>
      </c>
      <c r="C885" t="s">
        <v>96</v>
      </c>
      <c r="D885" t="s">
        <v>20</v>
      </c>
      <c r="E885" t="s">
        <v>23</v>
      </c>
      <c r="F885" t="s">
        <v>2476</v>
      </c>
      <c r="G885" s="9" t="s">
        <v>2477</v>
      </c>
      <c r="H885">
        <v>14000</v>
      </c>
      <c r="I885">
        <v>14000</v>
      </c>
      <c r="J885" s="21">
        <v>45505</v>
      </c>
      <c r="K885" t="s">
        <v>67</v>
      </c>
      <c r="L885" t="s">
        <v>68</v>
      </c>
      <c r="M885" t="s">
        <v>69</v>
      </c>
      <c r="O885">
        <v>0</v>
      </c>
      <c r="S885" t="str">
        <f>TEXT(Table1[[#This Row],[Date]],"MMM-YY")</f>
        <v>Aug-24</v>
      </c>
      <c r="T885">
        <f>_xlfn.ISOWEEKNUM(Table1[[#This Row],[Date]])</f>
        <v>31</v>
      </c>
      <c r="U885" t="str">
        <f>TEXT(Table1[[#This Row],[Expected Business Month]],"YYYY")</f>
        <v>2024</v>
      </c>
    </row>
    <row r="886" spans="1:21" hidden="1">
      <c r="A886" s="1">
        <v>45506</v>
      </c>
      <c r="B886" t="s">
        <v>2478</v>
      </c>
      <c r="C886" t="s">
        <v>96</v>
      </c>
      <c r="D886" t="s">
        <v>64</v>
      </c>
      <c r="E886" t="s">
        <v>26</v>
      </c>
      <c r="F886" t="s">
        <v>127</v>
      </c>
      <c r="G886" s="9" t="s">
        <v>2479</v>
      </c>
      <c r="H886">
        <v>100000</v>
      </c>
      <c r="I886">
        <v>0</v>
      </c>
      <c r="J886" s="21">
        <v>45536</v>
      </c>
      <c r="K886" t="s">
        <v>99</v>
      </c>
      <c r="L886" t="s">
        <v>9</v>
      </c>
      <c r="M886" t="s">
        <v>9</v>
      </c>
      <c r="N886" t="s">
        <v>602</v>
      </c>
      <c r="O886">
        <v>0</v>
      </c>
      <c r="S886" t="str">
        <f>TEXT(Table1[[#This Row],[Date]],"MMM-YY")</f>
        <v>Aug-24</v>
      </c>
      <c r="T886">
        <f>_xlfn.ISOWEEKNUM(Table1[[#This Row],[Date]])</f>
        <v>31</v>
      </c>
      <c r="U886" t="str">
        <f>TEXT(Table1[[#This Row],[Expected Business Month]],"YYYY")</f>
        <v>2024</v>
      </c>
    </row>
    <row r="887" spans="1:21" hidden="1">
      <c r="A887" s="1">
        <v>45506</v>
      </c>
      <c r="B887" t="s">
        <v>2480</v>
      </c>
      <c r="C887" t="s">
        <v>96</v>
      </c>
      <c r="D887" t="s">
        <v>20</v>
      </c>
      <c r="E887" t="s">
        <v>23</v>
      </c>
      <c r="F887" t="s">
        <v>2481</v>
      </c>
      <c r="G887" s="9" t="s">
        <v>2482</v>
      </c>
      <c r="H887">
        <v>18000</v>
      </c>
      <c r="I887">
        <v>18000</v>
      </c>
      <c r="J887" s="21">
        <v>45505</v>
      </c>
      <c r="K887" t="s">
        <v>67</v>
      </c>
      <c r="L887" t="s">
        <v>68</v>
      </c>
      <c r="M887" t="s">
        <v>69</v>
      </c>
      <c r="O887">
        <v>0</v>
      </c>
      <c r="S887" t="str">
        <f>TEXT(Table1[[#This Row],[Date]],"MMM-YY")</f>
        <v>Aug-24</v>
      </c>
      <c r="T887">
        <f>_xlfn.ISOWEEKNUM(Table1[[#This Row],[Date]])</f>
        <v>31</v>
      </c>
      <c r="U887" t="str">
        <f>TEXT(Table1[[#This Row],[Expected Business Month]],"YYYY")</f>
        <v>2024</v>
      </c>
    </row>
    <row r="888" spans="1:21" hidden="1">
      <c r="A888" s="1">
        <v>45506</v>
      </c>
      <c r="B888" t="s">
        <v>2483</v>
      </c>
      <c r="C888" t="s">
        <v>63</v>
      </c>
      <c r="D888" t="s">
        <v>64</v>
      </c>
      <c r="E888" t="s">
        <v>32</v>
      </c>
      <c r="F888" t="s">
        <v>2484</v>
      </c>
      <c r="G888" s="9" t="s">
        <v>2485</v>
      </c>
      <c r="H888">
        <v>0</v>
      </c>
      <c r="I888">
        <v>0</v>
      </c>
      <c r="J888" s="21">
        <v>45627</v>
      </c>
      <c r="K888" t="s">
        <v>67</v>
      </c>
      <c r="L888" t="s">
        <v>68</v>
      </c>
      <c r="M888" t="s">
        <v>69</v>
      </c>
      <c r="O888">
        <v>0</v>
      </c>
      <c r="S888" t="str">
        <f>TEXT(Table1[[#This Row],[Date]],"MMM-YY")</f>
        <v>Aug-24</v>
      </c>
      <c r="T888">
        <f>_xlfn.ISOWEEKNUM(Table1[[#This Row],[Date]])</f>
        <v>31</v>
      </c>
      <c r="U888" t="str">
        <f>TEXT(Table1[[#This Row],[Expected Business Month]],"YYYY")</f>
        <v>2024</v>
      </c>
    </row>
    <row r="889" spans="1:21" hidden="1">
      <c r="A889" s="1">
        <v>45506</v>
      </c>
      <c r="B889" t="s">
        <v>2486</v>
      </c>
      <c r="C889" t="s">
        <v>96</v>
      </c>
      <c r="D889" t="s">
        <v>20</v>
      </c>
      <c r="E889" t="s">
        <v>23</v>
      </c>
      <c r="F889" t="s">
        <v>2487</v>
      </c>
      <c r="G889" s="9" t="s">
        <v>2488</v>
      </c>
      <c r="H889">
        <v>10000</v>
      </c>
      <c r="I889">
        <v>10000</v>
      </c>
      <c r="J889" s="21">
        <v>45505</v>
      </c>
      <c r="K889" t="s">
        <v>67</v>
      </c>
      <c r="L889" t="s">
        <v>68</v>
      </c>
      <c r="M889" t="s">
        <v>69</v>
      </c>
      <c r="O889">
        <v>0</v>
      </c>
      <c r="S889" t="str">
        <f>TEXT(Table1[[#This Row],[Date]],"MMM-YY")</f>
        <v>Aug-24</v>
      </c>
      <c r="T889">
        <f>_xlfn.ISOWEEKNUM(Table1[[#This Row],[Date]])</f>
        <v>31</v>
      </c>
      <c r="U889" t="str">
        <f>TEXT(Table1[[#This Row],[Expected Business Month]],"YYYY")</f>
        <v>2024</v>
      </c>
    </row>
    <row r="890" spans="1:21" hidden="1">
      <c r="A890" s="1">
        <v>45508</v>
      </c>
      <c r="B890" t="s">
        <v>2489</v>
      </c>
      <c r="C890" t="s">
        <v>96</v>
      </c>
      <c r="D890" t="s">
        <v>1641</v>
      </c>
      <c r="E890" t="s">
        <v>41</v>
      </c>
      <c r="F890" t="s">
        <v>2490</v>
      </c>
      <c r="G890" s="9" t="s">
        <v>2491</v>
      </c>
      <c r="H890">
        <v>12000</v>
      </c>
      <c r="I890">
        <v>12000</v>
      </c>
      <c r="J890" s="21">
        <v>45505</v>
      </c>
      <c r="K890" t="s">
        <v>67</v>
      </c>
      <c r="L890" t="s">
        <v>68</v>
      </c>
      <c r="M890" t="s">
        <v>69</v>
      </c>
      <c r="O890">
        <v>0</v>
      </c>
      <c r="S890" t="str">
        <f>TEXT(Table1[[#This Row],[Date]],"MMM-YY")</f>
        <v>Aug-24</v>
      </c>
      <c r="T890">
        <f>_xlfn.ISOWEEKNUM(Table1[[#This Row],[Date]])</f>
        <v>31</v>
      </c>
      <c r="U890" t="str">
        <f>TEXT(Table1[[#This Row],[Expected Business Month]],"YYYY")</f>
        <v>2024</v>
      </c>
    </row>
    <row r="891" spans="1:21" ht="29.1" hidden="1">
      <c r="A891" s="1">
        <v>45509</v>
      </c>
      <c r="B891" t="s">
        <v>2483</v>
      </c>
      <c r="C891" t="s">
        <v>63</v>
      </c>
      <c r="D891" t="s">
        <v>64</v>
      </c>
      <c r="E891" t="s">
        <v>32</v>
      </c>
      <c r="F891" t="s">
        <v>2484</v>
      </c>
      <c r="G891" s="9" t="s">
        <v>2492</v>
      </c>
      <c r="H891">
        <v>0</v>
      </c>
      <c r="I891">
        <v>0</v>
      </c>
      <c r="J891" s="21">
        <v>45627</v>
      </c>
      <c r="K891" t="s">
        <v>67</v>
      </c>
      <c r="L891" t="s">
        <v>68</v>
      </c>
      <c r="M891" t="s">
        <v>69</v>
      </c>
      <c r="O891">
        <v>0</v>
      </c>
      <c r="S891" t="str">
        <f>TEXT(Table1[[#This Row],[Date]],"MMM-YY")</f>
        <v>Aug-24</v>
      </c>
      <c r="T891">
        <f>_xlfn.ISOWEEKNUM(Table1[[#This Row],[Date]])</f>
        <v>32</v>
      </c>
      <c r="U891" t="str">
        <f>TEXT(Table1[[#This Row],[Expected Business Month]],"YYYY")</f>
        <v>2024</v>
      </c>
    </row>
    <row r="892" spans="1:21" hidden="1">
      <c r="A892" s="1">
        <v>45509</v>
      </c>
      <c r="B892" t="s">
        <v>1395</v>
      </c>
      <c r="C892" t="s">
        <v>63</v>
      </c>
      <c r="D892" t="s">
        <v>64</v>
      </c>
      <c r="E892" t="s">
        <v>14</v>
      </c>
      <c r="F892" t="s">
        <v>1528</v>
      </c>
      <c r="G892" s="9" t="s">
        <v>2493</v>
      </c>
      <c r="H892">
        <v>100000</v>
      </c>
      <c r="I892">
        <v>0</v>
      </c>
      <c r="J892" s="21">
        <v>45566</v>
      </c>
      <c r="K892" t="s">
        <v>67</v>
      </c>
      <c r="L892" t="s">
        <v>9</v>
      </c>
      <c r="M892" t="s">
        <v>9</v>
      </c>
      <c r="N892" t="s">
        <v>2494</v>
      </c>
      <c r="O892">
        <v>0</v>
      </c>
      <c r="S892" t="str">
        <f>TEXT(Table1[[#This Row],[Date]],"MMM-YY")</f>
        <v>Aug-24</v>
      </c>
      <c r="T892">
        <f>_xlfn.ISOWEEKNUM(Table1[[#This Row],[Date]])</f>
        <v>32</v>
      </c>
      <c r="U892" t="str">
        <f>TEXT(Table1[[#This Row],[Expected Business Month]],"YYYY")</f>
        <v>2024</v>
      </c>
    </row>
    <row r="893" spans="1:21" hidden="1">
      <c r="A893" s="1">
        <v>45509</v>
      </c>
      <c r="B893" t="s">
        <v>2495</v>
      </c>
      <c r="C893" t="s">
        <v>96</v>
      </c>
      <c r="D893" t="s">
        <v>20</v>
      </c>
      <c r="E893" t="s">
        <v>23</v>
      </c>
      <c r="F893" t="s">
        <v>2496</v>
      </c>
      <c r="G893" s="9" t="s">
        <v>2497</v>
      </c>
      <c r="H893">
        <v>10000</v>
      </c>
      <c r="I893">
        <v>10000</v>
      </c>
      <c r="J893" s="21">
        <v>45505</v>
      </c>
      <c r="K893" t="s">
        <v>67</v>
      </c>
      <c r="L893" t="s">
        <v>68</v>
      </c>
      <c r="M893" t="s">
        <v>69</v>
      </c>
      <c r="O893">
        <v>0</v>
      </c>
      <c r="S893" t="str">
        <f>TEXT(Table1[[#This Row],[Date]],"MMM-YY")</f>
        <v>Aug-24</v>
      </c>
      <c r="T893">
        <f>_xlfn.ISOWEEKNUM(Table1[[#This Row],[Date]])</f>
        <v>32</v>
      </c>
      <c r="U893" t="str">
        <f>TEXT(Table1[[#This Row],[Expected Business Month]],"YYYY")</f>
        <v>2024</v>
      </c>
    </row>
    <row r="894" spans="1:21" hidden="1">
      <c r="A894" s="1">
        <v>45509</v>
      </c>
      <c r="B894" t="s">
        <v>788</v>
      </c>
      <c r="C894" t="s">
        <v>63</v>
      </c>
      <c r="D894" t="s">
        <v>618</v>
      </c>
      <c r="E894" t="s">
        <v>18</v>
      </c>
      <c r="F894" t="s">
        <v>2074</v>
      </c>
      <c r="G894" s="9" t="s">
        <v>1860</v>
      </c>
      <c r="H894">
        <v>28000</v>
      </c>
      <c r="I894">
        <v>0</v>
      </c>
      <c r="J894" s="21">
        <v>45261</v>
      </c>
      <c r="K894" t="s">
        <v>67</v>
      </c>
      <c r="L894" t="s">
        <v>9</v>
      </c>
      <c r="M894" t="s">
        <v>9</v>
      </c>
      <c r="N894" t="s">
        <v>586</v>
      </c>
      <c r="O894">
        <v>0</v>
      </c>
      <c r="S894" t="str">
        <f>TEXT(Table1[[#This Row],[Date]],"MMM-YY")</f>
        <v>Aug-24</v>
      </c>
      <c r="T894">
        <f>_xlfn.ISOWEEKNUM(Table1[[#This Row],[Date]])</f>
        <v>32</v>
      </c>
      <c r="U894" t="str">
        <f>TEXT(Table1[[#This Row],[Expected Business Month]],"YYYY")</f>
        <v>2023</v>
      </c>
    </row>
    <row r="895" spans="1:21" hidden="1">
      <c r="A895" s="1">
        <v>45509</v>
      </c>
      <c r="B895" t="s">
        <v>2498</v>
      </c>
      <c r="C895" t="s">
        <v>63</v>
      </c>
      <c r="D895" t="s">
        <v>105</v>
      </c>
      <c r="E895" t="s">
        <v>18</v>
      </c>
      <c r="F895" t="s">
        <v>2499</v>
      </c>
      <c r="G895" s="9" t="s">
        <v>1860</v>
      </c>
      <c r="H895">
        <v>30000</v>
      </c>
      <c r="I895">
        <v>0</v>
      </c>
      <c r="J895" s="21">
        <v>45627</v>
      </c>
      <c r="K895" t="s">
        <v>67</v>
      </c>
      <c r="L895" t="s">
        <v>9</v>
      </c>
      <c r="M895" t="s">
        <v>9</v>
      </c>
      <c r="O895">
        <v>0</v>
      </c>
      <c r="S895" t="str">
        <f>TEXT(Table1[[#This Row],[Date]],"MMM-YY")</f>
        <v>Aug-24</v>
      </c>
      <c r="T895">
        <f>_xlfn.ISOWEEKNUM(Table1[[#This Row],[Date]])</f>
        <v>32</v>
      </c>
      <c r="U895" t="str">
        <f>TEXT(Table1[[#This Row],[Expected Business Month]],"YYYY")</f>
        <v>2024</v>
      </c>
    </row>
    <row r="896" spans="1:21" hidden="1">
      <c r="A896" s="1">
        <v>45510</v>
      </c>
      <c r="B896" t="s">
        <v>2500</v>
      </c>
      <c r="C896" t="s">
        <v>96</v>
      </c>
      <c r="D896" t="s">
        <v>20</v>
      </c>
      <c r="E896" t="s">
        <v>23</v>
      </c>
      <c r="F896" t="s">
        <v>2501</v>
      </c>
      <c r="G896" s="9" t="s">
        <v>2502</v>
      </c>
      <c r="H896">
        <v>8000</v>
      </c>
      <c r="I896">
        <v>8000</v>
      </c>
      <c r="J896" s="21">
        <v>45505</v>
      </c>
      <c r="K896" t="s">
        <v>67</v>
      </c>
      <c r="L896" t="s">
        <v>68</v>
      </c>
      <c r="M896" t="s">
        <v>69</v>
      </c>
      <c r="O896">
        <v>0</v>
      </c>
      <c r="S896" t="str">
        <f>TEXT(Table1[[#This Row],[Date]],"MMM-YY")</f>
        <v>Aug-24</v>
      </c>
      <c r="T896">
        <f>_xlfn.ISOWEEKNUM(Table1[[#This Row],[Date]])</f>
        <v>32</v>
      </c>
      <c r="U896" t="str">
        <f>TEXT(Table1[[#This Row],[Expected Business Month]],"YYYY")</f>
        <v>2024</v>
      </c>
    </row>
    <row r="897" spans="1:21" hidden="1">
      <c r="A897" s="1">
        <v>45510</v>
      </c>
      <c r="B897" t="s">
        <v>2503</v>
      </c>
      <c r="C897" t="s">
        <v>63</v>
      </c>
      <c r="D897" t="s">
        <v>20</v>
      </c>
      <c r="E897" t="s">
        <v>23</v>
      </c>
      <c r="F897" t="s">
        <v>2504</v>
      </c>
      <c r="G897" s="9" t="s">
        <v>2505</v>
      </c>
      <c r="H897">
        <v>0</v>
      </c>
      <c r="I897">
        <v>0</v>
      </c>
      <c r="J897" s="21">
        <v>45566</v>
      </c>
      <c r="K897" t="s">
        <v>67</v>
      </c>
      <c r="L897" t="s">
        <v>68</v>
      </c>
      <c r="M897" t="s">
        <v>69</v>
      </c>
      <c r="O897">
        <v>0</v>
      </c>
      <c r="S897" t="str">
        <f>TEXT(Table1[[#This Row],[Date]],"MMM-YY")</f>
        <v>Aug-24</v>
      </c>
      <c r="T897">
        <f>_xlfn.ISOWEEKNUM(Table1[[#This Row],[Date]])</f>
        <v>32</v>
      </c>
      <c r="U897" t="str">
        <f>TEXT(Table1[[#This Row],[Expected Business Month]],"YYYY")</f>
        <v>2024</v>
      </c>
    </row>
    <row r="898" spans="1:21" hidden="1">
      <c r="A898" s="1">
        <v>45510</v>
      </c>
      <c r="B898" t="s">
        <v>627</v>
      </c>
      <c r="C898" t="s">
        <v>63</v>
      </c>
      <c r="D898" t="s">
        <v>64</v>
      </c>
      <c r="E898" t="s">
        <v>26</v>
      </c>
      <c r="F898" t="s">
        <v>2506</v>
      </c>
      <c r="G898" s="9" t="s">
        <v>2507</v>
      </c>
      <c r="H898">
        <v>25000</v>
      </c>
      <c r="I898">
        <v>0</v>
      </c>
      <c r="J898" s="21">
        <v>45627</v>
      </c>
      <c r="K898" t="s">
        <v>67</v>
      </c>
      <c r="L898" t="s">
        <v>9</v>
      </c>
      <c r="M898" t="s">
        <v>9</v>
      </c>
      <c r="O898">
        <v>0</v>
      </c>
      <c r="S898" t="str">
        <f>TEXT(Table1[[#This Row],[Date]],"MMM-YY")</f>
        <v>Aug-24</v>
      </c>
      <c r="T898">
        <f>_xlfn.ISOWEEKNUM(Table1[[#This Row],[Date]])</f>
        <v>32</v>
      </c>
      <c r="U898" t="str">
        <f>TEXT(Table1[[#This Row],[Expected Business Month]],"YYYY")</f>
        <v>2024</v>
      </c>
    </row>
    <row r="899" spans="1:21" hidden="1">
      <c r="A899" s="1">
        <v>45510</v>
      </c>
      <c r="B899" t="s">
        <v>869</v>
      </c>
      <c r="C899" t="s">
        <v>96</v>
      </c>
      <c r="D899" t="s">
        <v>64</v>
      </c>
      <c r="E899" t="s">
        <v>14</v>
      </c>
      <c r="F899" t="s">
        <v>2508</v>
      </c>
      <c r="G899" s="9" t="s">
        <v>2087</v>
      </c>
      <c r="H899">
        <v>30000</v>
      </c>
      <c r="I899">
        <v>0</v>
      </c>
      <c r="J899" s="21">
        <v>45627</v>
      </c>
      <c r="K899" t="s">
        <v>67</v>
      </c>
      <c r="L899" t="s">
        <v>9</v>
      </c>
      <c r="M899" t="s">
        <v>9</v>
      </c>
      <c r="O899">
        <v>0</v>
      </c>
      <c r="S899" t="str">
        <f>TEXT(Table1[[#This Row],[Date]],"MMM-YY")</f>
        <v>Aug-24</v>
      </c>
      <c r="T899">
        <f>_xlfn.ISOWEEKNUM(Table1[[#This Row],[Date]])</f>
        <v>32</v>
      </c>
      <c r="U899" t="str">
        <f>TEXT(Table1[[#This Row],[Expected Business Month]],"YYYY")</f>
        <v>2024</v>
      </c>
    </row>
    <row r="900" spans="1:21" hidden="1">
      <c r="A900" s="1">
        <v>45510</v>
      </c>
      <c r="B900" t="s">
        <v>1124</v>
      </c>
      <c r="C900" t="s">
        <v>96</v>
      </c>
      <c r="D900" t="s">
        <v>64</v>
      </c>
      <c r="E900" t="s">
        <v>26</v>
      </c>
      <c r="F900" t="s">
        <v>1105</v>
      </c>
      <c r="G900" s="9" t="s">
        <v>1860</v>
      </c>
      <c r="H900">
        <v>20000</v>
      </c>
      <c r="I900">
        <v>0</v>
      </c>
      <c r="J900" s="21">
        <v>45627</v>
      </c>
      <c r="K900" t="s">
        <v>67</v>
      </c>
      <c r="L900" t="s">
        <v>9</v>
      </c>
      <c r="M900" t="s">
        <v>9</v>
      </c>
      <c r="O900">
        <v>0</v>
      </c>
      <c r="S900" t="str">
        <f>TEXT(Table1[[#This Row],[Date]],"MMM-YY")</f>
        <v>Aug-24</v>
      </c>
      <c r="T900">
        <f>_xlfn.ISOWEEKNUM(Table1[[#This Row],[Date]])</f>
        <v>32</v>
      </c>
      <c r="U900" t="str">
        <f>TEXT(Table1[[#This Row],[Expected Business Month]],"YYYY")</f>
        <v>2024</v>
      </c>
    </row>
    <row r="901" spans="1:21" ht="29.1" hidden="1">
      <c r="A901" s="1">
        <v>45511</v>
      </c>
      <c r="B901" t="s">
        <v>2509</v>
      </c>
      <c r="C901" t="s">
        <v>63</v>
      </c>
      <c r="D901" t="s">
        <v>2027</v>
      </c>
      <c r="E901" t="s">
        <v>18</v>
      </c>
      <c r="F901" t="s">
        <v>2484</v>
      </c>
      <c r="G901" s="9" t="s">
        <v>2510</v>
      </c>
      <c r="H901">
        <v>0</v>
      </c>
      <c r="I901">
        <v>0</v>
      </c>
      <c r="J901" s="21">
        <v>45536</v>
      </c>
      <c r="K901" t="s">
        <v>67</v>
      </c>
      <c r="L901" t="s">
        <v>9</v>
      </c>
      <c r="M901" t="s">
        <v>9</v>
      </c>
      <c r="N901" t="s">
        <v>2243</v>
      </c>
      <c r="O901">
        <v>0</v>
      </c>
      <c r="S901" t="str">
        <f>TEXT(Table1[[#This Row],[Date]],"MMM-YY")</f>
        <v>Aug-24</v>
      </c>
      <c r="T901">
        <f>_xlfn.ISOWEEKNUM(Table1[[#This Row],[Date]])</f>
        <v>32</v>
      </c>
      <c r="U901" t="str">
        <f>TEXT(Table1[[#This Row],[Expected Business Month]],"YYYY")</f>
        <v>2024</v>
      </c>
    </row>
    <row r="902" spans="1:21" hidden="1">
      <c r="A902" s="1">
        <v>45511</v>
      </c>
      <c r="B902" t="s">
        <v>2511</v>
      </c>
      <c r="C902" t="s">
        <v>63</v>
      </c>
      <c r="D902" t="s">
        <v>2027</v>
      </c>
      <c r="E902" t="s">
        <v>30</v>
      </c>
      <c r="F902" t="s">
        <v>2512</v>
      </c>
      <c r="G902" s="9" t="s">
        <v>2513</v>
      </c>
      <c r="H902">
        <v>20000</v>
      </c>
      <c r="I902">
        <v>0</v>
      </c>
      <c r="J902" s="21">
        <v>45627</v>
      </c>
      <c r="K902" t="s">
        <v>67</v>
      </c>
      <c r="L902" t="s">
        <v>9</v>
      </c>
      <c r="M902" t="s">
        <v>9</v>
      </c>
      <c r="O902">
        <v>0</v>
      </c>
      <c r="S902" t="str">
        <f>TEXT(Table1[[#This Row],[Date]],"MMM-YY")</f>
        <v>Aug-24</v>
      </c>
      <c r="T902">
        <f>_xlfn.ISOWEEKNUM(Table1[[#This Row],[Date]])</f>
        <v>32</v>
      </c>
      <c r="U902" t="str">
        <f>TEXT(Table1[[#This Row],[Expected Business Month]],"YYYY")</f>
        <v>2024</v>
      </c>
    </row>
    <row r="903" spans="1:21" ht="29.1" hidden="1">
      <c r="A903" s="1">
        <v>45511</v>
      </c>
      <c r="B903" t="s">
        <v>2514</v>
      </c>
      <c r="C903" t="s">
        <v>96</v>
      </c>
      <c r="D903" t="s">
        <v>105</v>
      </c>
      <c r="E903" t="s">
        <v>18</v>
      </c>
      <c r="F903" t="s">
        <v>545</v>
      </c>
      <c r="G903" s="9" t="s">
        <v>2441</v>
      </c>
      <c r="H903">
        <v>25000</v>
      </c>
      <c r="I903">
        <v>0</v>
      </c>
      <c r="J903" s="21">
        <v>45627</v>
      </c>
      <c r="K903" t="s">
        <v>67</v>
      </c>
      <c r="L903" t="s">
        <v>9</v>
      </c>
      <c r="M903" t="s">
        <v>9</v>
      </c>
      <c r="O903">
        <v>0</v>
      </c>
      <c r="S903" t="str">
        <f>TEXT(Table1[[#This Row],[Date]],"MMM-YY")</f>
        <v>Aug-24</v>
      </c>
      <c r="T903">
        <f>_xlfn.ISOWEEKNUM(Table1[[#This Row],[Date]])</f>
        <v>32</v>
      </c>
      <c r="U903" t="str">
        <f>TEXT(Table1[[#This Row],[Expected Business Month]],"YYYY")</f>
        <v>2024</v>
      </c>
    </row>
    <row r="904" spans="1:21" hidden="1">
      <c r="A904" s="1">
        <v>45511</v>
      </c>
      <c r="B904" t="s">
        <v>2515</v>
      </c>
      <c r="C904" t="s">
        <v>63</v>
      </c>
      <c r="D904" t="s">
        <v>64</v>
      </c>
      <c r="E904" t="s">
        <v>28</v>
      </c>
      <c r="F904" t="s">
        <v>1048</v>
      </c>
      <c r="G904" s="9" t="s">
        <v>293</v>
      </c>
      <c r="H904">
        <v>50000</v>
      </c>
      <c r="I904">
        <v>0</v>
      </c>
      <c r="J904" s="21">
        <v>45627</v>
      </c>
      <c r="K904" t="s">
        <v>67</v>
      </c>
      <c r="L904" t="s">
        <v>9</v>
      </c>
      <c r="M904" t="s">
        <v>9</v>
      </c>
      <c r="O904">
        <v>0</v>
      </c>
      <c r="S904" t="str">
        <f>TEXT(Table1[[#This Row],[Date]],"MMM-YY")</f>
        <v>Aug-24</v>
      </c>
      <c r="T904">
        <f>_xlfn.ISOWEEKNUM(Table1[[#This Row],[Date]])</f>
        <v>32</v>
      </c>
      <c r="U904" t="str">
        <f>TEXT(Table1[[#This Row],[Expected Business Month]],"YYYY")</f>
        <v>2024</v>
      </c>
    </row>
    <row r="905" spans="1:21" hidden="1">
      <c r="A905" s="1">
        <v>45511</v>
      </c>
      <c r="B905" t="s">
        <v>2516</v>
      </c>
      <c r="C905" t="s">
        <v>96</v>
      </c>
      <c r="D905" t="s">
        <v>618</v>
      </c>
      <c r="E905" t="s">
        <v>18</v>
      </c>
      <c r="F905" t="s">
        <v>2517</v>
      </c>
      <c r="G905" s="9" t="s">
        <v>2087</v>
      </c>
      <c r="H905">
        <v>18000</v>
      </c>
      <c r="I905">
        <v>0</v>
      </c>
      <c r="J905" s="21">
        <v>45627</v>
      </c>
      <c r="K905" t="s">
        <v>67</v>
      </c>
      <c r="L905" t="s">
        <v>9</v>
      </c>
      <c r="M905" t="s">
        <v>9</v>
      </c>
      <c r="O905">
        <v>0</v>
      </c>
      <c r="S905" t="str">
        <f>TEXT(Table1[[#This Row],[Date]],"MMM-YY")</f>
        <v>Aug-24</v>
      </c>
      <c r="T905">
        <f>_xlfn.ISOWEEKNUM(Table1[[#This Row],[Date]])</f>
        <v>32</v>
      </c>
      <c r="U905" t="str">
        <f>TEXT(Table1[[#This Row],[Expected Business Month]],"YYYY")</f>
        <v>2024</v>
      </c>
    </row>
    <row r="906" spans="1:21" ht="29.1" hidden="1">
      <c r="A906" s="1">
        <v>45511</v>
      </c>
      <c r="B906" t="s">
        <v>324</v>
      </c>
      <c r="C906" t="s">
        <v>96</v>
      </c>
      <c r="D906" t="s">
        <v>64</v>
      </c>
      <c r="E906" t="s">
        <v>38</v>
      </c>
      <c r="F906" t="s">
        <v>325</v>
      </c>
      <c r="G906" s="9" t="s">
        <v>2518</v>
      </c>
      <c r="H906">
        <v>41560</v>
      </c>
      <c r="I906">
        <v>41560</v>
      </c>
      <c r="J906" s="21">
        <v>45505</v>
      </c>
      <c r="K906" t="s">
        <v>99</v>
      </c>
      <c r="L906" t="s">
        <v>68</v>
      </c>
      <c r="M906" t="s">
        <v>69</v>
      </c>
      <c r="O906">
        <v>0</v>
      </c>
      <c r="S906" t="str">
        <f>TEXT(Table1[[#This Row],[Date]],"MMM-YY")</f>
        <v>Aug-24</v>
      </c>
      <c r="T906">
        <f>_xlfn.ISOWEEKNUM(Table1[[#This Row],[Date]])</f>
        <v>32</v>
      </c>
      <c r="U906" t="str">
        <f>TEXT(Table1[[#This Row],[Expected Business Month]],"YYYY")</f>
        <v>2024</v>
      </c>
    </row>
    <row r="907" spans="1:21" hidden="1">
      <c r="A907" s="1">
        <v>45512</v>
      </c>
      <c r="B907" t="s">
        <v>2519</v>
      </c>
      <c r="C907" t="s">
        <v>63</v>
      </c>
      <c r="D907" t="s">
        <v>105</v>
      </c>
      <c r="E907" t="s">
        <v>18</v>
      </c>
      <c r="F907" t="s">
        <v>1621</v>
      </c>
      <c r="G907" s="9" t="s">
        <v>2520</v>
      </c>
      <c r="H907">
        <v>60000</v>
      </c>
      <c r="I907">
        <v>0</v>
      </c>
      <c r="J907" s="21">
        <v>45627</v>
      </c>
      <c r="K907" t="s">
        <v>67</v>
      </c>
      <c r="L907" t="s">
        <v>9</v>
      </c>
      <c r="M907" t="s">
        <v>9</v>
      </c>
      <c r="O907">
        <v>0</v>
      </c>
      <c r="S907" t="str">
        <f>TEXT(Table1[[#This Row],[Date]],"MMM-YY")</f>
        <v>Aug-24</v>
      </c>
      <c r="T907">
        <f>_xlfn.ISOWEEKNUM(Table1[[#This Row],[Date]])</f>
        <v>32</v>
      </c>
      <c r="U907" t="str">
        <f>TEXT(Table1[[#This Row],[Expected Business Month]],"YYYY")</f>
        <v>2024</v>
      </c>
    </row>
    <row r="908" spans="1:21" hidden="1">
      <c r="A908" s="1">
        <v>45512</v>
      </c>
      <c r="B908" t="s">
        <v>2521</v>
      </c>
      <c r="C908" t="s">
        <v>63</v>
      </c>
      <c r="D908" t="s">
        <v>64</v>
      </c>
      <c r="E908" t="s">
        <v>13</v>
      </c>
      <c r="F908" t="s">
        <v>1978</v>
      </c>
      <c r="G908" s="9" t="s">
        <v>293</v>
      </c>
      <c r="H908">
        <v>30000</v>
      </c>
      <c r="I908">
        <v>0</v>
      </c>
      <c r="J908" s="21">
        <v>45627</v>
      </c>
      <c r="K908" t="s">
        <v>67</v>
      </c>
      <c r="L908" t="s">
        <v>9</v>
      </c>
      <c r="M908" t="s">
        <v>9</v>
      </c>
      <c r="O908">
        <v>0</v>
      </c>
      <c r="S908" t="str">
        <f>TEXT(Table1[[#This Row],[Date]],"MMM-YY")</f>
        <v>Aug-24</v>
      </c>
      <c r="T908">
        <f>_xlfn.ISOWEEKNUM(Table1[[#This Row],[Date]])</f>
        <v>32</v>
      </c>
      <c r="U908" t="str">
        <f>TEXT(Table1[[#This Row],[Expected Business Month]],"YYYY")</f>
        <v>2024</v>
      </c>
    </row>
    <row r="909" spans="1:21" hidden="1">
      <c r="A909" s="1">
        <v>45512</v>
      </c>
      <c r="B909" t="s">
        <v>2522</v>
      </c>
      <c r="C909" t="s">
        <v>63</v>
      </c>
      <c r="D909" t="s">
        <v>105</v>
      </c>
      <c r="E909" t="s">
        <v>18</v>
      </c>
      <c r="F909" t="s">
        <v>2523</v>
      </c>
      <c r="G909" s="9" t="s">
        <v>2114</v>
      </c>
      <c r="H909">
        <v>40000</v>
      </c>
      <c r="I909">
        <v>0</v>
      </c>
      <c r="J909" s="21">
        <v>45627</v>
      </c>
      <c r="K909" t="s">
        <v>67</v>
      </c>
      <c r="L909" t="s">
        <v>9</v>
      </c>
      <c r="M909" t="s">
        <v>9</v>
      </c>
      <c r="O909">
        <v>0</v>
      </c>
      <c r="S909" t="str">
        <f>TEXT(Table1[[#This Row],[Date]],"MMM-YY")</f>
        <v>Aug-24</v>
      </c>
      <c r="T909">
        <f>_xlfn.ISOWEEKNUM(Table1[[#This Row],[Date]])</f>
        <v>32</v>
      </c>
      <c r="U909" t="str">
        <f>TEXT(Table1[[#This Row],[Expected Business Month]],"YYYY")</f>
        <v>2024</v>
      </c>
    </row>
    <row r="910" spans="1:21" hidden="1">
      <c r="A910" s="1">
        <v>45512</v>
      </c>
      <c r="B910" t="s">
        <v>2524</v>
      </c>
      <c r="C910" t="s">
        <v>63</v>
      </c>
      <c r="D910" t="s">
        <v>64</v>
      </c>
      <c r="E910" t="s">
        <v>26</v>
      </c>
      <c r="F910" t="s">
        <v>1624</v>
      </c>
      <c r="G910" s="9" t="s">
        <v>293</v>
      </c>
      <c r="H910">
        <v>0</v>
      </c>
      <c r="I910">
        <v>0</v>
      </c>
      <c r="J910" s="21">
        <v>45717</v>
      </c>
      <c r="K910" t="s">
        <v>67</v>
      </c>
      <c r="L910" t="s">
        <v>68</v>
      </c>
      <c r="M910" t="s">
        <v>69</v>
      </c>
      <c r="O910">
        <v>0</v>
      </c>
      <c r="S910" t="str">
        <f>TEXT(Table1[[#This Row],[Date]],"MMM-YY")</f>
        <v>Aug-24</v>
      </c>
      <c r="T910">
        <f>_xlfn.ISOWEEKNUM(Table1[[#This Row],[Date]])</f>
        <v>32</v>
      </c>
      <c r="U910" t="str">
        <f>TEXT(Table1[[#This Row],[Expected Business Month]],"YYYY")</f>
        <v>2025</v>
      </c>
    </row>
    <row r="911" spans="1:21" hidden="1">
      <c r="A911" s="1">
        <v>45513</v>
      </c>
      <c r="B911" t="s">
        <v>749</v>
      </c>
      <c r="C911" t="s">
        <v>63</v>
      </c>
      <c r="D911" t="s">
        <v>64</v>
      </c>
      <c r="E911" t="s">
        <v>26</v>
      </c>
      <c r="F911" t="s">
        <v>1040</v>
      </c>
      <c r="G911" s="9" t="s">
        <v>2114</v>
      </c>
      <c r="H911">
        <v>30000</v>
      </c>
      <c r="I911">
        <v>0</v>
      </c>
      <c r="J911" s="21">
        <v>45627</v>
      </c>
      <c r="K911" t="s">
        <v>67</v>
      </c>
      <c r="L911" t="s">
        <v>9</v>
      </c>
      <c r="M911" t="s">
        <v>9</v>
      </c>
      <c r="O911">
        <v>0</v>
      </c>
      <c r="S911" t="str">
        <f>TEXT(Table1[[#This Row],[Date]],"MMM-YY")</f>
        <v>Aug-24</v>
      </c>
      <c r="T911">
        <f>_xlfn.ISOWEEKNUM(Table1[[#This Row],[Date]])</f>
        <v>32</v>
      </c>
      <c r="U911" t="str">
        <f>TEXT(Table1[[#This Row],[Expected Business Month]],"YYYY")</f>
        <v>2024</v>
      </c>
    </row>
    <row r="912" spans="1:21" hidden="1">
      <c r="A912" s="1">
        <v>45513</v>
      </c>
      <c r="B912" t="s">
        <v>1354</v>
      </c>
      <c r="C912" t="s">
        <v>63</v>
      </c>
      <c r="D912" t="s">
        <v>64</v>
      </c>
      <c r="E912" t="s">
        <v>26</v>
      </c>
      <c r="F912" t="s">
        <v>1105</v>
      </c>
      <c r="G912" s="9" t="s">
        <v>293</v>
      </c>
      <c r="H912">
        <v>12000</v>
      </c>
      <c r="I912">
        <v>0</v>
      </c>
      <c r="J912" s="21">
        <v>45261</v>
      </c>
      <c r="K912" t="s">
        <v>67</v>
      </c>
      <c r="L912" t="s">
        <v>9</v>
      </c>
      <c r="M912" t="s">
        <v>9</v>
      </c>
      <c r="N912" t="s">
        <v>586</v>
      </c>
      <c r="O912">
        <v>0</v>
      </c>
      <c r="S912" t="str">
        <f>TEXT(Table1[[#This Row],[Date]],"MMM-YY")</f>
        <v>Aug-24</v>
      </c>
      <c r="T912">
        <f>_xlfn.ISOWEEKNUM(Table1[[#This Row],[Date]])</f>
        <v>32</v>
      </c>
      <c r="U912" t="str">
        <f>TEXT(Table1[[#This Row],[Expected Business Month]],"YYYY")</f>
        <v>2023</v>
      </c>
    </row>
    <row r="913" spans="1:21" hidden="1">
      <c r="A913" s="1">
        <v>45513</v>
      </c>
      <c r="B913" t="s">
        <v>2525</v>
      </c>
      <c r="C913" t="s">
        <v>63</v>
      </c>
      <c r="D913" t="s">
        <v>64</v>
      </c>
      <c r="E913" t="s">
        <v>26</v>
      </c>
      <c r="F913" t="s">
        <v>2526</v>
      </c>
      <c r="G913" s="9" t="s">
        <v>2114</v>
      </c>
      <c r="H913">
        <v>15000</v>
      </c>
      <c r="I913">
        <v>0</v>
      </c>
      <c r="J913" s="21">
        <v>45261</v>
      </c>
      <c r="K913" t="s">
        <v>67</v>
      </c>
      <c r="L913" t="s">
        <v>9</v>
      </c>
      <c r="M913" t="s">
        <v>9</v>
      </c>
      <c r="N913" t="s">
        <v>586</v>
      </c>
      <c r="O913">
        <v>0</v>
      </c>
      <c r="S913" t="str">
        <f>TEXT(Table1[[#This Row],[Date]],"MMM-YY")</f>
        <v>Aug-24</v>
      </c>
      <c r="T913">
        <f>_xlfn.ISOWEEKNUM(Table1[[#This Row],[Date]])</f>
        <v>32</v>
      </c>
      <c r="U913" t="str">
        <f>TEXT(Table1[[#This Row],[Expected Business Month]],"YYYY")</f>
        <v>2023</v>
      </c>
    </row>
    <row r="914" spans="1:21" hidden="1">
      <c r="A914" s="1">
        <v>45513</v>
      </c>
      <c r="B914" t="s">
        <v>2527</v>
      </c>
      <c r="C914" t="s">
        <v>63</v>
      </c>
      <c r="D914" t="s">
        <v>64</v>
      </c>
      <c r="E914" t="s">
        <v>26</v>
      </c>
      <c r="F914" t="s">
        <v>2528</v>
      </c>
      <c r="G914" s="9" t="s">
        <v>1946</v>
      </c>
      <c r="H914">
        <v>20000</v>
      </c>
      <c r="I914">
        <v>0</v>
      </c>
      <c r="J914" s="21">
        <v>45261</v>
      </c>
      <c r="K914" t="s">
        <v>67</v>
      </c>
      <c r="L914" t="s">
        <v>9</v>
      </c>
      <c r="M914" t="s">
        <v>9</v>
      </c>
      <c r="N914" t="s">
        <v>586</v>
      </c>
      <c r="O914">
        <v>0</v>
      </c>
      <c r="S914" t="str">
        <f>TEXT(Table1[[#This Row],[Date]],"MMM-YY")</f>
        <v>Aug-24</v>
      </c>
      <c r="T914">
        <f>_xlfn.ISOWEEKNUM(Table1[[#This Row],[Date]])</f>
        <v>32</v>
      </c>
      <c r="U914" t="str">
        <f>TEXT(Table1[[#This Row],[Expected Business Month]],"YYYY")</f>
        <v>2023</v>
      </c>
    </row>
    <row r="915" spans="1:21" hidden="1">
      <c r="A915" s="1">
        <v>45516</v>
      </c>
      <c r="B915" t="s">
        <v>82</v>
      </c>
      <c r="C915" t="s">
        <v>63</v>
      </c>
      <c r="D915" t="s">
        <v>64</v>
      </c>
      <c r="E915" t="s">
        <v>38</v>
      </c>
      <c r="F915" t="s">
        <v>83</v>
      </c>
      <c r="G915" s="9" t="s">
        <v>2529</v>
      </c>
      <c r="H915">
        <v>160000</v>
      </c>
      <c r="I915">
        <v>0</v>
      </c>
      <c r="J915" s="21">
        <v>45627</v>
      </c>
      <c r="K915" t="s">
        <v>67</v>
      </c>
      <c r="L915" t="s">
        <v>9</v>
      </c>
      <c r="M915" t="s">
        <v>9</v>
      </c>
      <c r="O915">
        <v>0</v>
      </c>
      <c r="S915" t="str">
        <f>TEXT(Table1[[#This Row],[Date]],"MMM-YY")</f>
        <v>Aug-24</v>
      </c>
      <c r="T915">
        <f>_xlfn.ISOWEEKNUM(Table1[[#This Row],[Date]])</f>
        <v>33</v>
      </c>
      <c r="U915" t="str">
        <f>TEXT(Table1[[#This Row],[Expected Business Month]],"YYYY")</f>
        <v>2024</v>
      </c>
    </row>
    <row r="916" spans="1:21" ht="29.1" hidden="1">
      <c r="A916" s="1">
        <v>45516</v>
      </c>
      <c r="B916" t="s">
        <v>2530</v>
      </c>
      <c r="C916" t="s">
        <v>96</v>
      </c>
      <c r="D916" t="s">
        <v>64</v>
      </c>
      <c r="E916" t="s">
        <v>38</v>
      </c>
      <c r="F916" t="s">
        <v>776</v>
      </c>
      <c r="G916" s="9" t="s">
        <v>2531</v>
      </c>
      <c r="H916">
        <v>100000</v>
      </c>
      <c r="I916">
        <v>0</v>
      </c>
      <c r="J916" s="21">
        <v>45536</v>
      </c>
      <c r="K916" t="s">
        <v>67</v>
      </c>
      <c r="L916" t="s">
        <v>9</v>
      </c>
      <c r="M916" t="s">
        <v>9</v>
      </c>
      <c r="N916" t="s">
        <v>2532</v>
      </c>
      <c r="O916">
        <v>0</v>
      </c>
      <c r="S916" t="str">
        <f>TEXT(Table1[[#This Row],[Date]],"MMM-YY")</f>
        <v>Aug-24</v>
      </c>
      <c r="T916">
        <f>_xlfn.ISOWEEKNUM(Table1[[#This Row],[Date]])</f>
        <v>33</v>
      </c>
      <c r="U916" t="str">
        <f>TEXT(Table1[[#This Row],[Expected Business Month]],"YYYY")</f>
        <v>2024</v>
      </c>
    </row>
    <row r="917" spans="1:21" hidden="1">
      <c r="A917" s="1">
        <v>45516</v>
      </c>
      <c r="B917" t="s">
        <v>2426</v>
      </c>
      <c r="C917" t="s">
        <v>63</v>
      </c>
      <c r="D917" t="s">
        <v>64</v>
      </c>
      <c r="E917" t="s">
        <v>38</v>
      </c>
      <c r="F917" t="s">
        <v>1174</v>
      </c>
      <c r="G917" s="9" t="s">
        <v>2533</v>
      </c>
      <c r="H917">
        <v>50000</v>
      </c>
      <c r="I917">
        <v>0</v>
      </c>
      <c r="J917" s="21">
        <v>45627</v>
      </c>
      <c r="K917" t="s">
        <v>67</v>
      </c>
      <c r="L917" t="s">
        <v>9</v>
      </c>
      <c r="M917" t="s">
        <v>9</v>
      </c>
      <c r="O917">
        <v>0</v>
      </c>
      <c r="S917" t="str">
        <f>TEXT(Table1[[#This Row],[Date]],"MMM-YY")</f>
        <v>Aug-24</v>
      </c>
      <c r="T917">
        <f>_xlfn.ISOWEEKNUM(Table1[[#This Row],[Date]])</f>
        <v>33</v>
      </c>
      <c r="U917" t="str">
        <f>TEXT(Table1[[#This Row],[Expected Business Month]],"YYYY")</f>
        <v>2024</v>
      </c>
    </row>
    <row r="918" spans="1:21" hidden="1">
      <c r="A918" s="1">
        <v>45516</v>
      </c>
      <c r="B918" t="s">
        <v>2360</v>
      </c>
      <c r="C918" t="s">
        <v>63</v>
      </c>
      <c r="D918" t="s">
        <v>618</v>
      </c>
      <c r="E918" t="s">
        <v>18</v>
      </c>
      <c r="F918" t="s">
        <v>2361</v>
      </c>
      <c r="G918" s="9" t="s">
        <v>293</v>
      </c>
      <c r="H918">
        <v>20000</v>
      </c>
      <c r="I918">
        <v>0</v>
      </c>
      <c r="J918" s="21">
        <v>45261</v>
      </c>
      <c r="K918" t="s">
        <v>67</v>
      </c>
      <c r="L918" t="s">
        <v>9</v>
      </c>
      <c r="M918" t="s">
        <v>9</v>
      </c>
      <c r="N918" t="s">
        <v>586</v>
      </c>
      <c r="O918">
        <v>0</v>
      </c>
      <c r="S918" t="str">
        <f>TEXT(Table1[[#This Row],[Date]],"MMM-YY")</f>
        <v>Aug-24</v>
      </c>
      <c r="T918">
        <f>_xlfn.ISOWEEKNUM(Table1[[#This Row],[Date]])</f>
        <v>33</v>
      </c>
      <c r="U918" t="str">
        <f>TEXT(Table1[[#This Row],[Expected Business Month]],"YYYY")</f>
        <v>2023</v>
      </c>
    </row>
    <row r="919" spans="1:21" hidden="1">
      <c r="A919" s="1">
        <v>45517</v>
      </c>
      <c r="B919" t="s">
        <v>717</v>
      </c>
      <c r="C919" t="s">
        <v>63</v>
      </c>
      <c r="D919" t="s">
        <v>64</v>
      </c>
      <c r="E919" t="s">
        <v>13</v>
      </c>
      <c r="F919" t="s">
        <v>464</v>
      </c>
      <c r="G919" s="9" t="s">
        <v>2534</v>
      </c>
      <c r="H919">
        <v>12000</v>
      </c>
      <c r="I919">
        <v>0</v>
      </c>
      <c r="J919" s="21">
        <v>45627</v>
      </c>
      <c r="K919" t="s">
        <v>67</v>
      </c>
      <c r="L919" t="s">
        <v>9</v>
      </c>
      <c r="M919" t="s">
        <v>9</v>
      </c>
      <c r="O919">
        <v>0</v>
      </c>
      <c r="S919" t="str">
        <f>TEXT(Table1[[#This Row],[Date]],"MMM-YY")</f>
        <v>Aug-24</v>
      </c>
      <c r="T919">
        <f>_xlfn.ISOWEEKNUM(Table1[[#This Row],[Date]])</f>
        <v>33</v>
      </c>
      <c r="U919" t="str">
        <f>TEXT(Table1[[#This Row],[Expected Business Month]],"YYYY")</f>
        <v>2024</v>
      </c>
    </row>
    <row r="920" spans="1:21" hidden="1">
      <c r="A920" s="1">
        <v>45517</v>
      </c>
      <c r="B920" t="s">
        <v>2535</v>
      </c>
      <c r="C920" t="s">
        <v>63</v>
      </c>
      <c r="D920" t="s">
        <v>64</v>
      </c>
      <c r="E920" t="s">
        <v>26</v>
      </c>
      <c r="F920" t="s">
        <v>1174</v>
      </c>
      <c r="G920" s="9" t="s">
        <v>2536</v>
      </c>
      <c r="H920">
        <v>20955</v>
      </c>
      <c r="I920">
        <v>20955</v>
      </c>
      <c r="J920" s="21">
        <v>45505</v>
      </c>
      <c r="K920" t="s">
        <v>67</v>
      </c>
      <c r="L920" t="s">
        <v>68</v>
      </c>
      <c r="M920" t="s">
        <v>69</v>
      </c>
      <c r="O920">
        <v>0</v>
      </c>
      <c r="S920" t="str">
        <f>TEXT(Table1[[#This Row],[Date]],"MMM-YY")</f>
        <v>Aug-24</v>
      </c>
      <c r="T920">
        <f>_xlfn.ISOWEEKNUM(Table1[[#This Row],[Date]])</f>
        <v>33</v>
      </c>
      <c r="U920" t="str">
        <f>TEXT(Table1[[#This Row],[Expected Business Month]],"YYYY")</f>
        <v>2024</v>
      </c>
    </row>
    <row r="921" spans="1:21" hidden="1">
      <c r="A921" s="1">
        <v>45517</v>
      </c>
      <c r="B921" t="s">
        <v>2537</v>
      </c>
      <c r="C921" t="s">
        <v>63</v>
      </c>
      <c r="D921" t="s">
        <v>64</v>
      </c>
      <c r="E921" t="s">
        <v>30</v>
      </c>
      <c r="F921" t="s">
        <v>2538</v>
      </c>
      <c r="G921" s="9" t="s">
        <v>2539</v>
      </c>
      <c r="H921">
        <v>8000</v>
      </c>
      <c r="I921">
        <v>8000</v>
      </c>
      <c r="J921" s="21">
        <v>45505</v>
      </c>
      <c r="K921" t="s">
        <v>67</v>
      </c>
      <c r="L921" t="s">
        <v>68</v>
      </c>
      <c r="M921" t="s">
        <v>69</v>
      </c>
      <c r="O921">
        <v>0</v>
      </c>
      <c r="S921" t="str">
        <f>TEXT(Table1[[#This Row],[Date]],"MMM-YY")</f>
        <v>Aug-24</v>
      </c>
      <c r="T921">
        <f>_xlfn.ISOWEEKNUM(Table1[[#This Row],[Date]])</f>
        <v>33</v>
      </c>
      <c r="U921" t="str">
        <f>TEXT(Table1[[#This Row],[Expected Business Month]],"YYYY")</f>
        <v>2024</v>
      </c>
    </row>
    <row r="922" spans="1:21" hidden="1">
      <c r="A922" s="1">
        <v>45517</v>
      </c>
      <c r="B922" t="s">
        <v>1971</v>
      </c>
      <c r="C922" t="s">
        <v>63</v>
      </c>
      <c r="D922" t="s">
        <v>64</v>
      </c>
      <c r="E922" t="s">
        <v>25</v>
      </c>
      <c r="F922" t="s">
        <v>1972</v>
      </c>
      <c r="G922" s="9" t="s">
        <v>2540</v>
      </c>
      <c r="H922">
        <v>17000</v>
      </c>
      <c r="I922">
        <v>17000</v>
      </c>
      <c r="J922" s="21">
        <v>45505</v>
      </c>
      <c r="K922" t="s">
        <v>67</v>
      </c>
      <c r="L922" t="s">
        <v>68</v>
      </c>
      <c r="M922" t="s">
        <v>69</v>
      </c>
      <c r="O922">
        <v>0</v>
      </c>
      <c r="S922" t="str">
        <f>TEXT(Table1[[#This Row],[Date]],"MMM-YY")</f>
        <v>Aug-24</v>
      </c>
      <c r="T922">
        <f>_xlfn.ISOWEEKNUM(Table1[[#This Row],[Date]])</f>
        <v>33</v>
      </c>
      <c r="U922" t="str">
        <f>TEXT(Table1[[#This Row],[Expected Business Month]],"YYYY")</f>
        <v>2024</v>
      </c>
    </row>
    <row r="923" spans="1:21" hidden="1">
      <c r="A923" s="1">
        <v>45517</v>
      </c>
      <c r="B923" t="s">
        <v>2541</v>
      </c>
      <c r="C923" t="s">
        <v>63</v>
      </c>
      <c r="D923" t="s">
        <v>64</v>
      </c>
      <c r="E923" t="s">
        <v>30</v>
      </c>
      <c r="F923" t="s">
        <v>2542</v>
      </c>
      <c r="G923" s="9" t="s">
        <v>2543</v>
      </c>
      <c r="H923">
        <v>20000</v>
      </c>
      <c r="I923">
        <v>0</v>
      </c>
      <c r="J923" s="21">
        <v>45566</v>
      </c>
      <c r="K923" t="s">
        <v>67</v>
      </c>
      <c r="L923" t="s">
        <v>9</v>
      </c>
      <c r="M923" t="s">
        <v>9</v>
      </c>
      <c r="N923" t="s">
        <v>586</v>
      </c>
      <c r="O923">
        <v>0</v>
      </c>
      <c r="S923" t="str">
        <f>TEXT(Table1[[#This Row],[Date]],"MMM-YY")</f>
        <v>Aug-24</v>
      </c>
      <c r="T923">
        <f>_xlfn.ISOWEEKNUM(Table1[[#This Row],[Date]])</f>
        <v>33</v>
      </c>
      <c r="U923" t="str">
        <f>TEXT(Table1[[#This Row],[Expected Business Month]],"YYYY")</f>
        <v>2024</v>
      </c>
    </row>
    <row r="924" spans="1:21" ht="29.1" hidden="1">
      <c r="A924" s="1">
        <v>45518</v>
      </c>
      <c r="B924" t="s">
        <v>324</v>
      </c>
      <c r="C924" t="s">
        <v>96</v>
      </c>
      <c r="D924" t="s">
        <v>64</v>
      </c>
      <c r="E924" t="s">
        <v>38</v>
      </c>
      <c r="F924" t="s">
        <v>325</v>
      </c>
      <c r="G924" s="9" t="s">
        <v>2544</v>
      </c>
      <c r="H924">
        <v>43500</v>
      </c>
      <c r="I924">
        <v>43500</v>
      </c>
      <c r="J924" s="21">
        <v>45505</v>
      </c>
      <c r="K924" t="s">
        <v>99</v>
      </c>
      <c r="L924" t="s">
        <v>68</v>
      </c>
      <c r="M924" t="s">
        <v>69</v>
      </c>
      <c r="O924">
        <v>0</v>
      </c>
      <c r="S924" t="str">
        <f>TEXT(Table1[[#This Row],[Date]],"MMM-YY")</f>
        <v>Aug-24</v>
      </c>
      <c r="T924">
        <f>_xlfn.ISOWEEKNUM(Table1[[#This Row],[Date]])</f>
        <v>33</v>
      </c>
      <c r="U924" t="str">
        <f>TEXT(Table1[[#This Row],[Expected Business Month]],"YYYY")</f>
        <v>2024</v>
      </c>
    </row>
    <row r="925" spans="1:21" hidden="1">
      <c r="A925" s="1">
        <v>45518</v>
      </c>
      <c r="B925" t="s">
        <v>249</v>
      </c>
      <c r="C925" t="s">
        <v>63</v>
      </c>
      <c r="D925" t="s">
        <v>64</v>
      </c>
      <c r="E925" t="s">
        <v>26</v>
      </c>
      <c r="F925" t="s">
        <v>675</v>
      </c>
      <c r="G925" s="9" t="s">
        <v>2545</v>
      </c>
      <c r="H925">
        <v>25000</v>
      </c>
      <c r="I925">
        <v>0</v>
      </c>
      <c r="J925" s="21">
        <v>45627</v>
      </c>
      <c r="K925" t="s">
        <v>67</v>
      </c>
      <c r="L925" t="s">
        <v>9</v>
      </c>
      <c r="M925" t="s">
        <v>9</v>
      </c>
      <c r="O925">
        <v>0</v>
      </c>
      <c r="S925" t="str">
        <f>TEXT(Table1[[#This Row],[Date]],"MMM-YY")</f>
        <v>Aug-24</v>
      </c>
      <c r="T925">
        <f>_xlfn.ISOWEEKNUM(Table1[[#This Row],[Date]])</f>
        <v>33</v>
      </c>
      <c r="U925" t="str">
        <f>TEXT(Table1[[#This Row],[Expected Business Month]],"YYYY")</f>
        <v>2024</v>
      </c>
    </row>
    <row r="926" spans="1:21" hidden="1">
      <c r="A926" s="1">
        <v>45518</v>
      </c>
      <c r="B926" t="s">
        <v>2058</v>
      </c>
      <c r="C926" t="s">
        <v>63</v>
      </c>
      <c r="D926" t="s">
        <v>64</v>
      </c>
      <c r="E926" t="s">
        <v>14</v>
      </c>
      <c r="F926" t="s">
        <v>371</v>
      </c>
      <c r="G926" s="9" t="s">
        <v>293</v>
      </c>
      <c r="H926">
        <v>20000</v>
      </c>
      <c r="I926">
        <v>0</v>
      </c>
      <c r="J926" s="21">
        <v>45627</v>
      </c>
      <c r="K926" t="s">
        <v>67</v>
      </c>
      <c r="L926" t="s">
        <v>9</v>
      </c>
      <c r="M926" t="s">
        <v>9</v>
      </c>
      <c r="O926">
        <v>0</v>
      </c>
      <c r="S926" t="str">
        <f>TEXT(Table1[[#This Row],[Date]],"MMM-YY")</f>
        <v>Aug-24</v>
      </c>
      <c r="T926">
        <f>_xlfn.ISOWEEKNUM(Table1[[#This Row],[Date]])</f>
        <v>33</v>
      </c>
      <c r="U926" t="str">
        <f>TEXT(Table1[[#This Row],[Expected Business Month]],"YYYY")</f>
        <v>2024</v>
      </c>
    </row>
    <row r="927" spans="1:21" hidden="1">
      <c r="A927" s="1">
        <v>45518</v>
      </c>
      <c r="B927" t="s">
        <v>2546</v>
      </c>
      <c r="C927" t="s">
        <v>63</v>
      </c>
      <c r="D927" t="s">
        <v>64</v>
      </c>
      <c r="E927" t="s">
        <v>32</v>
      </c>
      <c r="F927" t="s">
        <v>2351</v>
      </c>
      <c r="G927" s="9" t="s">
        <v>2547</v>
      </c>
      <c r="H927">
        <v>60000</v>
      </c>
      <c r="I927">
        <v>0</v>
      </c>
      <c r="J927" s="21">
        <v>45627</v>
      </c>
      <c r="K927" t="s">
        <v>67</v>
      </c>
      <c r="L927" t="s">
        <v>9</v>
      </c>
      <c r="M927" t="s">
        <v>9</v>
      </c>
      <c r="N927" t="s">
        <v>2548</v>
      </c>
      <c r="O927">
        <v>0</v>
      </c>
      <c r="S927" t="str">
        <f>TEXT(Table1[[#This Row],[Date]],"MMM-YY")</f>
        <v>Aug-24</v>
      </c>
      <c r="T927">
        <f>_xlfn.ISOWEEKNUM(Table1[[#This Row],[Date]])</f>
        <v>33</v>
      </c>
      <c r="U927" t="str">
        <f>TEXT(Table1[[#This Row],[Expected Business Month]],"YYYY")</f>
        <v>2024</v>
      </c>
    </row>
    <row r="928" spans="1:21" hidden="1">
      <c r="A928" s="1">
        <v>45518</v>
      </c>
      <c r="B928" t="s">
        <v>2549</v>
      </c>
      <c r="C928" t="s">
        <v>63</v>
      </c>
      <c r="D928" t="s">
        <v>64</v>
      </c>
      <c r="E928" t="s">
        <v>30</v>
      </c>
      <c r="F928" t="s">
        <v>2550</v>
      </c>
      <c r="G928" s="9" t="s">
        <v>2551</v>
      </c>
      <c r="H928">
        <v>50000</v>
      </c>
      <c r="I928">
        <v>0</v>
      </c>
      <c r="J928" s="21">
        <v>45627</v>
      </c>
      <c r="K928" t="s">
        <v>67</v>
      </c>
      <c r="L928" t="s">
        <v>9</v>
      </c>
      <c r="M928" t="s">
        <v>9</v>
      </c>
      <c r="O928">
        <v>0</v>
      </c>
      <c r="S928" t="str">
        <f>TEXT(Table1[[#This Row],[Date]],"MMM-YY")</f>
        <v>Aug-24</v>
      </c>
      <c r="T928">
        <f>_xlfn.ISOWEEKNUM(Table1[[#This Row],[Date]])</f>
        <v>33</v>
      </c>
      <c r="U928" t="str">
        <f>TEXT(Table1[[#This Row],[Expected Business Month]],"YYYY")</f>
        <v>2024</v>
      </c>
    </row>
    <row r="929" spans="1:21" hidden="1">
      <c r="A929" s="1">
        <v>45521</v>
      </c>
      <c r="B929" t="s">
        <v>2552</v>
      </c>
      <c r="C929" t="s">
        <v>96</v>
      </c>
      <c r="D929" t="s">
        <v>20</v>
      </c>
      <c r="E929" t="s">
        <v>23</v>
      </c>
      <c r="F929" t="s">
        <v>715</v>
      </c>
      <c r="G929" s="9" t="s">
        <v>2553</v>
      </c>
      <c r="H929">
        <v>50000</v>
      </c>
      <c r="I929">
        <v>0</v>
      </c>
      <c r="J929" s="21">
        <v>45566</v>
      </c>
      <c r="K929" t="s">
        <v>67</v>
      </c>
      <c r="L929" t="s">
        <v>9</v>
      </c>
      <c r="M929" t="s">
        <v>9</v>
      </c>
      <c r="O929">
        <v>0</v>
      </c>
      <c r="S929" t="str">
        <f>TEXT(Table1[[#This Row],[Date]],"MMM-YY")</f>
        <v>Aug-24</v>
      </c>
      <c r="T929">
        <f>_xlfn.ISOWEEKNUM(Table1[[#This Row],[Date]])</f>
        <v>33</v>
      </c>
      <c r="U929" t="str">
        <f>TEXT(Table1[[#This Row],[Expected Business Month]],"YYYY")</f>
        <v>2024</v>
      </c>
    </row>
    <row r="930" spans="1:21" hidden="1">
      <c r="A930" s="1">
        <v>45523</v>
      </c>
      <c r="B930" t="s">
        <v>2554</v>
      </c>
      <c r="C930" t="s">
        <v>63</v>
      </c>
      <c r="D930" t="s">
        <v>64</v>
      </c>
      <c r="E930" t="s">
        <v>25</v>
      </c>
      <c r="F930" t="s">
        <v>2555</v>
      </c>
      <c r="G930" s="9" t="s">
        <v>2556</v>
      </c>
      <c r="H930">
        <v>10000</v>
      </c>
      <c r="I930">
        <v>10000</v>
      </c>
      <c r="J930" s="21">
        <v>45505</v>
      </c>
      <c r="K930" t="s">
        <v>67</v>
      </c>
      <c r="L930" t="s">
        <v>68</v>
      </c>
      <c r="M930" t="s">
        <v>69</v>
      </c>
      <c r="O930">
        <v>0</v>
      </c>
      <c r="S930" t="str">
        <f>TEXT(Table1[[#This Row],[Date]],"MMM-YY")</f>
        <v>Aug-24</v>
      </c>
      <c r="T930">
        <f>_xlfn.ISOWEEKNUM(Table1[[#This Row],[Date]])</f>
        <v>34</v>
      </c>
      <c r="U930" t="str">
        <f>TEXT(Table1[[#This Row],[Expected Business Month]],"YYYY")</f>
        <v>2024</v>
      </c>
    </row>
    <row r="931" spans="1:21" hidden="1">
      <c r="A931" s="1">
        <v>45523</v>
      </c>
      <c r="B931" t="s">
        <v>1104</v>
      </c>
      <c r="C931" t="s">
        <v>63</v>
      </c>
      <c r="D931" t="s">
        <v>64</v>
      </c>
      <c r="E931" t="s">
        <v>38</v>
      </c>
      <c r="F931" t="s">
        <v>1105</v>
      </c>
      <c r="G931" s="9" t="s">
        <v>2261</v>
      </c>
      <c r="H931">
        <v>20000</v>
      </c>
      <c r="I931">
        <v>0</v>
      </c>
      <c r="J931" s="21">
        <v>45627</v>
      </c>
      <c r="K931" t="s">
        <v>67</v>
      </c>
      <c r="L931" t="s">
        <v>9</v>
      </c>
      <c r="M931" t="s">
        <v>9</v>
      </c>
      <c r="O931">
        <v>0</v>
      </c>
      <c r="S931" t="str">
        <f>TEXT(Table1[[#This Row],[Date]],"MMM-YY")</f>
        <v>Aug-24</v>
      </c>
      <c r="T931">
        <f>_xlfn.ISOWEEKNUM(Table1[[#This Row],[Date]])</f>
        <v>34</v>
      </c>
      <c r="U931" t="str">
        <f>TEXT(Table1[[#This Row],[Expected Business Month]],"YYYY")</f>
        <v>2024</v>
      </c>
    </row>
    <row r="932" spans="1:21" hidden="1">
      <c r="A932" s="1">
        <v>45523</v>
      </c>
      <c r="B932" t="s">
        <v>788</v>
      </c>
      <c r="C932" t="s">
        <v>63</v>
      </c>
      <c r="D932" t="s">
        <v>618</v>
      </c>
      <c r="E932" t="s">
        <v>18</v>
      </c>
      <c r="F932" t="s">
        <v>789</v>
      </c>
      <c r="G932" s="9" t="s">
        <v>2557</v>
      </c>
      <c r="H932">
        <v>22000</v>
      </c>
      <c r="I932">
        <v>0</v>
      </c>
      <c r="J932" s="21">
        <v>45627</v>
      </c>
      <c r="K932" t="s">
        <v>67</v>
      </c>
      <c r="L932" t="s">
        <v>9</v>
      </c>
      <c r="M932" t="s">
        <v>9</v>
      </c>
      <c r="O932">
        <v>0</v>
      </c>
      <c r="S932" t="str">
        <f>TEXT(Table1[[#This Row],[Date]],"MMM-YY")</f>
        <v>Aug-24</v>
      </c>
      <c r="T932">
        <f>_xlfn.ISOWEEKNUM(Table1[[#This Row],[Date]])</f>
        <v>34</v>
      </c>
      <c r="U932" t="str">
        <f>TEXT(Table1[[#This Row],[Expected Business Month]],"YYYY")</f>
        <v>2024</v>
      </c>
    </row>
    <row r="933" spans="1:21" hidden="1">
      <c r="A933" s="1">
        <v>45523</v>
      </c>
      <c r="B933" t="s">
        <v>1736</v>
      </c>
      <c r="C933" t="s">
        <v>63</v>
      </c>
      <c r="D933" t="s">
        <v>64</v>
      </c>
      <c r="E933" t="s">
        <v>26</v>
      </c>
      <c r="F933" t="s">
        <v>1737</v>
      </c>
      <c r="G933" s="9" t="s">
        <v>1857</v>
      </c>
      <c r="H933">
        <v>20000</v>
      </c>
      <c r="I933">
        <v>0</v>
      </c>
      <c r="J933" s="21">
        <v>45627</v>
      </c>
      <c r="K933" t="s">
        <v>67</v>
      </c>
      <c r="L933" t="s">
        <v>9</v>
      </c>
      <c r="M933" t="s">
        <v>9</v>
      </c>
      <c r="O933">
        <v>0</v>
      </c>
      <c r="S933" t="str">
        <f>TEXT(Table1[[#This Row],[Date]],"MMM-YY")</f>
        <v>Aug-24</v>
      </c>
      <c r="T933">
        <f>_xlfn.ISOWEEKNUM(Table1[[#This Row],[Date]])</f>
        <v>34</v>
      </c>
      <c r="U933" t="str">
        <f>TEXT(Table1[[#This Row],[Expected Business Month]],"YYYY")</f>
        <v>2024</v>
      </c>
    </row>
    <row r="934" spans="1:21" hidden="1">
      <c r="A934" s="1">
        <v>45523</v>
      </c>
      <c r="B934" t="s">
        <v>1902</v>
      </c>
      <c r="C934" t="s">
        <v>63</v>
      </c>
      <c r="D934" t="s">
        <v>64</v>
      </c>
      <c r="E934" t="s">
        <v>26</v>
      </c>
      <c r="F934" t="s">
        <v>106</v>
      </c>
      <c r="G934" s="9" t="s">
        <v>1857</v>
      </c>
      <c r="H934">
        <v>25000</v>
      </c>
      <c r="I934">
        <v>0</v>
      </c>
      <c r="J934" s="21">
        <v>45627</v>
      </c>
      <c r="K934" t="s">
        <v>67</v>
      </c>
      <c r="L934" t="s">
        <v>9</v>
      </c>
      <c r="M934" t="s">
        <v>9</v>
      </c>
      <c r="O934">
        <v>0</v>
      </c>
      <c r="S934" t="str">
        <f>TEXT(Table1[[#This Row],[Date]],"MMM-YY")</f>
        <v>Aug-24</v>
      </c>
      <c r="T934">
        <f>_xlfn.ISOWEEKNUM(Table1[[#This Row],[Date]])</f>
        <v>34</v>
      </c>
      <c r="U934" t="str">
        <f>TEXT(Table1[[#This Row],[Expected Business Month]],"YYYY")</f>
        <v>2024</v>
      </c>
    </row>
    <row r="935" spans="1:21" hidden="1">
      <c r="A935" s="1">
        <v>45524</v>
      </c>
      <c r="B935" t="s">
        <v>2558</v>
      </c>
      <c r="C935" t="s">
        <v>96</v>
      </c>
      <c r="D935" t="s">
        <v>105</v>
      </c>
      <c r="E935" t="s">
        <v>18</v>
      </c>
      <c r="F935" t="s">
        <v>704</v>
      </c>
      <c r="G935" s="9" t="s">
        <v>2559</v>
      </c>
      <c r="H935">
        <v>50000</v>
      </c>
      <c r="I935">
        <v>0</v>
      </c>
      <c r="J935" s="21">
        <v>45505</v>
      </c>
      <c r="K935" t="s">
        <v>67</v>
      </c>
      <c r="L935" t="s">
        <v>9</v>
      </c>
      <c r="M935" t="s">
        <v>9</v>
      </c>
      <c r="N935" t="s">
        <v>2560</v>
      </c>
      <c r="O935">
        <v>0</v>
      </c>
      <c r="S935" t="str">
        <f>TEXT(Table1[[#This Row],[Date]],"MMM-YY")</f>
        <v>Aug-24</v>
      </c>
      <c r="T935">
        <f>_xlfn.ISOWEEKNUM(Table1[[#This Row],[Date]])</f>
        <v>34</v>
      </c>
      <c r="U935" t="str">
        <f>TEXT(Table1[[#This Row],[Expected Business Month]],"YYYY")</f>
        <v>2024</v>
      </c>
    </row>
    <row r="936" spans="1:21" hidden="1">
      <c r="A936" s="1">
        <v>45524</v>
      </c>
      <c r="B936" t="s">
        <v>2561</v>
      </c>
      <c r="C936" t="s">
        <v>63</v>
      </c>
      <c r="D936" t="s">
        <v>64</v>
      </c>
      <c r="E936" t="s">
        <v>20</v>
      </c>
      <c r="F936" t="s">
        <v>534</v>
      </c>
      <c r="G936" s="9" t="s">
        <v>2562</v>
      </c>
      <c r="H936">
        <v>0</v>
      </c>
      <c r="I936">
        <v>0</v>
      </c>
      <c r="J936" s="21">
        <v>45566</v>
      </c>
      <c r="K936" t="s">
        <v>67</v>
      </c>
      <c r="L936" t="s">
        <v>68</v>
      </c>
      <c r="M936" t="s">
        <v>69</v>
      </c>
      <c r="O936">
        <v>0</v>
      </c>
      <c r="S936" t="str">
        <f>TEXT(Table1[[#This Row],[Date]],"MMM-YY")</f>
        <v>Aug-24</v>
      </c>
      <c r="T936">
        <f>_xlfn.ISOWEEKNUM(Table1[[#This Row],[Date]])</f>
        <v>34</v>
      </c>
      <c r="U936" t="str">
        <f>TEXT(Table1[[#This Row],[Expected Business Month]],"YYYY")</f>
        <v>2024</v>
      </c>
    </row>
    <row r="937" spans="1:21" hidden="1">
      <c r="A937" s="1">
        <v>45524</v>
      </c>
      <c r="B937" t="s">
        <v>2563</v>
      </c>
      <c r="C937" t="s">
        <v>96</v>
      </c>
      <c r="D937" t="s">
        <v>64</v>
      </c>
      <c r="E937" t="s">
        <v>20</v>
      </c>
      <c r="F937" t="s">
        <v>2564</v>
      </c>
      <c r="G937" s="9" t="s">
        <v>2562</v>
      </c>
      <c r="H937">
        <v>250000</v>
      </c>
      <c r="I937">
        <v>0</v>
      </c>
      <c r="J937" s="21">
        <v>45566</v>
      </c>
      <c r="K937" t="s">
        <v>67</v>
      </c>
      <c r="L937" t="s">
        <v>9</v>
      </c>
      <c r="M937" t="s">
        <v>9</v>
      </c>
      <c r="N937" t="s">
        <v>1436</v>
      </c>
      <c r="O937">
        <v>0</v>
      </c>
      <c r="S937" t="str">
        <f>TEXT(Table1[[#This Row],[Date]],"MMM-YY")</f>
        <v>Aug-24</v>
      </c>
      <c r="T937">
        <f>_xlfn.ISOWEEKNUM(Table1[[#This Row],[Date]])</f>
        <v>34</v>
      </c>
      <c r="U937" t="str">
        <f>TEXT(Table1[[#This Row],[Expected Business Month]],"YYYY")</f>
        <v>2024</v>
      </c>
    </row>
    <row r="938" spans="1:21" hidden="1">
      <c r="A938" s="1">
        <v>45524</v>
      </c>
      <c r="B938" t="s">
        <v>1886</v>
      </c>
      <c r="C938" t="s">
        <v>63</v>
      </c>
      <c r="D938" t="s">
        <v>64</v>
      </c>
      <c r="E938" t="s">
        <v>14</v>
      </c>
      <c r="F938" t="s">
        <v>2565</v>
      </c>
      <c r="G938" s="9" t="s">
        <v>2566</v>
      </c>
      <c r="H938">
        <v>30000</v>
      </c>
      <c r="I938">
        <v>0</v>
      </c>
      <c r="J938" s="21">
        <v>45627</v>
      </c>
      <c r="K938" t="s">
        <v>67</v>
      </c>
      <c r="L938" t="s">
        <v>9</v>
      </c>
      <c r="M938" t="s">
        <v>9</v>
      </c>
      <c r="O938">
        <v>0</v>
      </c>
      <c r="S938" t="str">
        <f>TEXT(Table1[[#This Row],[Date]],"MMM-YY")</f>
        <v>Aug-24</v>
      </c>
      <c r="T938">
        <f>_xlfn.ISOWEEKNUM(Table1[[#This Row],[Date]])</f>
        <v>34</v>
      </c>
      <c r="U938" t="str">
        <f>TEXT(Table1[[#This Row],[Expected Business Month]],"YYYY")</f>
        <v>2024</v>
      </c>
    </row>
    <row r="939" spans="1:21" hidden="1">
      <c r="A939" s="1">
        <v>45524</v>
      </c>
      <c r="B939" t="s">
        <v>2524</v>
      </c>
      <c r="C939" t="s">
        <v>96</v>
      </c>
      <c r="D939" t="s">
        <v>64</v>
      </c>
      <c r="E939" t="s">
        <v>26</v>
      </c>
      <c r="F939" t="s">
        <v>2567</v>
      </c>
      <c r="G939" s="9" t="s">
        <v>2568</v>
      </c>
      <c r="H939">
        <v>7000</v>
      </c>
      <c r="I939">
        <v>7000</v>
      </c>
      <c r="J939" s="21">
        <v>45505</v>
      </c>
      <c r="K939" t="s">
        <v>67</v>
      </c>
      <c r="L939" t="s">
        <v>68</v>
      </c>
      <c r="M939" t="s">
        <v>69</v>
      </c>
      <c r="O939">
        <v>0</v>
      </c>
      <c r="S939" t="str">
        <f>TEXT(Table1[[#This Row],[Date]],"MMM-YY")</f>
        <v>Aug-24</v>
      </c>
      <c r="T939">
        <f>_xlfn.ISOWEEKNUM(Table1[[#This Row],[Date]])</f>
        <v>34</v>
      </c>
      <c r="U939" t="str">
        <f>TEXT(Table1[[#This Row],[Expected Business Month]],"YYYY")</f>
        <v>2024</v>
      </c>
    </row>
    <row r="940" spans="1:21" hidden="1">
      <c r="A940" s="1">
        <v>45525</v>
      </c>
      <c r="B940" t="s">
        <v>2569</v>
      </c>
      <c r="C940" t="s">
        <v>63</v>
      </c>
      <c r="D940" t="s">
        <v>105</v>
      </c>
      <c r="E940" t="s">
        <v>18</v>
      </c>
      <c r="F940" t="s">
        <v>206</v>
      </c>
      <c r="G940" s="9" t="s">
        <v>2570</v>
      </c>
      <c r="H940">
        <v>50000</v>
      </c>
      <c r="I940">
        <v>0</v>
      </c>
      <c r="J940" s="21">
        <v>45505</v>
      </c>
      <c r="K940" t="s">
        <v>67</v>
      </c>
      <c r="L940" t="s">
        <v>9</v>
      </c>
      <c r="M940" t="s">
        <v>9</v>
      </c>
      <c r="N940" t="s">
        <v>2571</v>
      </c>
      <c r="O940">
        <v>0</v>
      </c>
      <c r="S940" t="str">
        <f>TEXT(Table1[[#This Row],[Date]],"MMM-YY")</f>
        <v>Aug-24</v>
      </c>
      <c r="T940">
        <f>_xlfn.ISOWEEKNUM(Table1[[#This Row],[Date]])</f>
        <v>34</v>
      </c>
      <c r="U940" t="str">
        <f>TEXT(Table1[[#This Row],[Expected Business Month]],"YYYY")</f>
        <v>2024</v>
      </c>
    </row>
    <row r="941" spans="1:21" hidden="1">
      <c r="A941" s="1">
        <v>45525</v>
      </c>
      <c r="B941" t="s">
        <v>2535</v>
      </c>
      <c r="C941" t="s">
        <v>63</v>
      </c>
      <c r="D941" t="s">
        <v>64</v>
      </c>
      <c r="E941" t="s">
        <v>26</v>
      </c>
      <c r="F941" t="s">
        <v>2572</v>
      </c>
      <c r="G941" s="9" t="s">
        <v>2573</v>
      </c>
      <c r="H941">
        <v>22000</v>
      </c>
      <c r="I941">
        <v>22000</v>
      </c>
      <c r="J941" s="21">
        <v>45505</v>
      </c>
      <c r="K941" t="s">
        <v>67</v>
      </c>
      <c r="L941" t="s">
        <v>68</v>
      </c>
      <c r="M941" t="s">
        <v>69</v>
      </c>
      <c r="O941">
        <v>0</v>
      </c>
      <c r="S941" t="str">
        <f>TEXT(Table1[[#This Row],[Date]],"MMM-YY")</f>
        <v>Aug-24</v>
      </c>
      <c r="T941">
        <f>_xlfn.ISOWEEKNUM(Table1[[#This Row],[Date]])</f>
        <v>34</v>
      </c>
      <c r="U941" t="str">
        <f>TEXT(Table1[[#This Row],[Expected Business Month]],"YYYY")</f>
        <v>2024</v>
      </c>
    </row>
    <row r="942" spans="1:21" hidden="1">
      <c r="A942" s="1">
        <v>45525</v>
      </c>
      <c r="B942" t="s">
        <v>2574</v>
      </c>
      <c r="C942" t="s">
        <v>63</v>
      </c>
      <c r="D942" t="s">
        <v>105</v>
      </c>
      <c r="E942" t="s">
        <v>18</v>
      </c>
      <c r="F942" t="s">
        <v>704</v>
      </c>
      <c r="G942" s="9" t="s">
        <v>2575</v>
      </c>
      <c r="H942">
        <v>40000</v>
      </c>
      <c r="I942">
        <v>0</v>
      </c>
      <c r="J942" s="21">
        <v>45536</v>
      </c>
      <c r="K942" t="s">
        <v>67</v>
      </c>
      <c r="L942" t="s">
        <v>9</v>
      </c>
      <c r="M942" t="s">
        <v>9</v>
      </c>
      <c r="N942" t="s">
        <v>2576</v>
      </c>
      <c r="O942">
        <v>0</v>
      </c>
      <c r="S942" t="str">
        <f>TEXT(Table1[[#This Row],[Date]],"MMM-YY")</f>
        <v>Aug-24</v>
      </c>
      <c r="T942">
        <f>_xlfn.ISOWEEKNUM(Table1[[#This Row],[Date]])</f>
        <v>34</v>
      </c>
      <c r="U942" t="str">
        <f>TEXT(Table1[[#This Row],[Expected Business Month]],"YYYY")</f>
        <v>2024</v>
      </c>
    </row>
    <row r="943" spans="1:21" hidden="1">
      <c r="A943" s="1">
        <v>45525</v>
      </c>
      <c r="B943" t="s">
        <v>2577</v>
      </c>
      <c r="C943" t="s">
        <v>63</v>
      </c>
      <c r="D943" t="s">
        <v>618</v>
      </c>
      <c r="E943" t="s">
        <v>18</v>
      </c>
      <c r="F943" t="s">
        <v>2390</v>
      </c>
      <c r="G943" s="9" t="s">
        <v>2397</v>
      </c>
      <c r="H943">
        <v>18000</v>
      </c>
      <c r="I943">
        <v>0</v>
      </c>
      <c r="J943" s="21">
        <v>45627</v>
      </c>
      <c r="K943" t="s">
        <v>67</v>
      </c>
      <c r="L943" t="s">
        <v>9</v>
      </c>
      <c r="M943" t="s">
        <v>9</v>
      </c>
      <c r="O943">
        <v>0</v>
      </c>
      <c r="S943" t="str">
        <f>TEXT(Table1[[#This Row],[Date]],"MMM-YY")</f>
        <v>Aug-24</v>
      </c>
      <c r="T943">
        <f>_xlfn.ISOWEEKNUM(Table1[[#This Row],[Date]])</f>
        <v>34</v>
      </c>
      <c r="U943" t="str">
        <f>TEXT(Table1[[#This Row],[Expected Business Month]],"YYYY")</f>
        <v>2024</v>
      </c>
    </row>
    <row r="944" spans="1:21" hidden="1">
      <c r="A944" s="1">
        <v>45525</v>
      </c>
      <c r="B944" t="s">
        <v>2578</v>
      </c>
      <c r="C944" t="s">
        <v>63</v>
      </c>
      <c r="D944" t="s">
        <v>64</v>
      </c>
      <c r="E944" t="s">
        <v>14</v>
      </c>
      <c r="F944" t="s">
        <v>2579</v>
      </c>
      <c r="G944" s="9" t="s">
        <v>293</v>
      </c>
      <c r="H944">
        <v>25000</v>
      </c>
      <c r="I944">
        <v>0</v>
      </c>
      <c r="J944" s="21">
        <v>45627</v>
      </c>
      <c r="K944" t="s">
        <v>67</v>
      </c>
      <c r="L944" t="s">
        <v>9</v>
      </c>
      <c r="M944" t="s">
        <v>9</v>
      </c>
      <c r="O944">
        <v>0</v>
      </c>
      <c r="S944" t="str">
        <f>TEXT(Table1[[#This Row],[Date]],"MMM-YY")</f>
        <v>Aug-24</v>
      </c>
      <c r="T944">
        <f>_xlfn.ISOWEEKNUM(Table1[[#This Row],[Date]])</f>
        <v>34</v>
      </c>
      <c r="U944" t="str">
        <f>TEXT(Table1[[#This Row],[Expected Business Month]],"YYYY")</f>
        <v>2024</v>
      </c>
    </row>
    <row r="945" spans="1:21" ht="29.1" hidden="1">
      <c r="A945" s="1">
        <v>45525</v>
      </c>
      <c r="B945" t="s">
        <v>324</v>
      </c>
      <c r="C945" t="s">
        <v>96</v>
      </c>
      <c r="D945" t="s">
        <v>64</v>
      </c>
      <c r="E945" t="s">
        <v>38</v>
      </c>
      <c r="F945" t="s">
        <v>325</v>
      </c>
      <c r="G945" s="9" t="s">
        <v>2580</v>
      </c>
      <c r="H945">
        <v>43500</v>
      </c>
      <c r="I945">
        <v>43500</v>
      </c>
      <c r="J945" s="21">
        <v>45505</v>
      </c>
      <c r="K945" t="s">
        <v>99</v>
      </c>
      <c r="L945" t="s">
        <v>68</v>
      </c>
      <c r="M945" t="s">
        <v>69</v>
      </c>
      <c r="O945">
        <v>0</v>
      </c>
      <c r="S945" t="str">
        <f>TEXT(Table1[[#This Row],[Date]],"MMM-YY")</f>
        <v>Aug-24</v>
      </c>
      <c r="T945">
        <f>_xlfn.ISOWEEKNUM(Table1[[#This Row],[Date]])</f>
        <v>34</v>
      </c>
      <c r="U945" t="str">
        <f>TEXT(Table1[[#This Row],[Expected Business Month]],"YYYY")</f>
        <v>2024</v>
      </c>
    </row>
    <row r="946" spans="1:21" ht="29.1" hidden="1">
      <c r="A946" s="1">
        <v>45526</v>
      </c>
      <c r="B946" t="s">
        <v>2581</v>
      </c>
      <c r="C946" t="s">
        <v>96</v>
      </c>
      <c r="D946" t="s">
        <v>20</v>
      </c>
      <c r="E946" t="s">
        <v>23</v>
      </c>
      <c r="F946" t="s">
        <v>2582</v>
      </c>
      <c r="G946" s="9" t="s">
        <v>2583</v>
      </c>
      <c r="H946">
        <v>12000</v>
      </c>
      <c r="I946">
        <v>12000</v>
      </c>
      <c r="J946" s="21">
        <v>45505</v>
      </c>
      <c r="K946" t="s">
        <v>67</v>
      </c>
      <c r="L946" t="s">
        <v>68</v>
      </c>
      <c r="M946" t="s">
        <v>69</v>
      </c>
      <c r="O946">
        <v>0</v>
      </c>
      <c r="S946" t="str">
        <f>TEXT(Table1[[#This Row],[Date]],"MMM-YY")</f>
        <v>Aug-24</v>
      </c>
      <c r="T946">
        <f>_xlfn.ISOWEEKNUM(Table1[[#This Row],[Date]])</f>
        <v>34</v>
      </c>
      <c r="U946" t="str">
        <f>TEXT(Table1[[#This Row],[Expected Business Month]],"YYYY")</f>
        <v>2024</v>
      </c>
    </row>
    <row r="947" spans="1:21" hidden="1">
      <c r="A947" s="1">
        <v>45526</v>
      </c>
      <c r="B947" t="s">
        <v>2161</v>
      </c>
      <c r="C947" t="s">
        <v>63</v>
      </c>
      <c r="D947" t="s">
        <v>105</v>
      </c>
      <c r="E947" t="s">
        <v>18</v>
      </c>
      <c r="F947" t="s">
        <v>2162</v>
      </c>
      <c r="G947" s="9" t="s">
        <v>293</v>
      </c>
      <c r="H947">
        <v>18000</v>
      </c>
      <c r="I947">
        <v>0</v>
      </c>
      <c r="J947" s="21">
        <v>45627</v>
      </c>
      <c r="K947" t="s">
        <v>67</v>
      </c>
      <c r="L947" t="s">
        <v>9</v>
      </c>
      <c r="M947" t="s">
        <v>9</v>
      </c>
      <c r="O947">
        <v>0</v>
      </c>
      <c r="S947" t="str">
        <f>TEXT(Table1[[#This Row],[Date]],"MMM-YY")</f>
        <v>Aug-24</v>
      </c>
      <c r="T947">
        <f>_xlfn.ISOWEEKNUM(Table1[[#This Row],[Date]])</f>
        <v>34</v>
      </c>
      <c r="U947" t="str">
        <f>TEXT(Table1[[#This Row],[Expected Business Month]],"YYYY")</f>
        <v>2024</v>
      </c>
    </row>
    <row r="948" spans="1:21" hidden="1">
      <c r="A948" s="1">
        <v>37490</v>
      </c>
      <c r="B948" t="s">
        <v>2584</v>
      </c>
      <c r="C948" t="s">
        <v>63</v>
      </c>
      <c r="D948" t="s">
        <v>64</v>
      </c>
      <c r="E948" t="s">
        <v>30</v>
      </c>
      <c r="F948" t="s">
        <v>1415</v>
      </c>
      <c r="G948" s="9" t="s">
        <v>2585</v>
      </c>
      <c r="H948">
        <v>200000</v>
      </c>
      <c r="I948">
        <v>0</v>
      </c>
      <c r="J948" s="21">
        <v>45627</v>
      </c>
      <c r="K948" t="s">
        <v>67</v>
      </c>
      <c r="L948" t="s">
        <v>9</v>
      </c>
      <c r="M948" t="s">
        <v>9</v>
      </c>
      <c r="O948">
        <v>0</v>
      </c>
      <c r="S948" t="str">
        <f>TEXT(Table1[[#This Row],[Date]],"MMM-YY")</f>
        <v>Aug-02</v>
      </c>
      <c r="T948">
        <f>_xlfn.ISOWEEKNUM(Table1[[#This Row],[Date]])</f>
        <v>34</v>
      </c>
      <c r="U948" t="str">
        <f>TEXT(Table1[[#This Row],[Expected Business Month]],"YYYY")</f>
        <v>2024</v>
      </c>
    </row>
    <row r="949" spans="1:21" hidden="1">
      <c r="A949" s="1">
        <v>45526</v>
      </c>
      <c r="B949" t="s">
        <v>2586</v>
      </c>
      <c r="C949" t="s">
        <v>63</v>
      </c>
      <c r="D949" t="s">
        <v>64</v>
      </c>
      <c r="E949" t="s">
        <v>26</v>
      </c>
      <c r="F949" t="s">
        <v>441</v>
      </c>
      <c r="G949" s="9" t="s">
        <v>2114</v>
      </c>
      <c r="H949">
        <v>15000</v>
      </c>
      <c r="I949">
        <v>0</v>
      </c>
      <c r="J949" s="21">
        <v>45627</v>
      </c>
      <c r="K949" t="s">
        <v>67</v>
      </c>
      <c r="L949" t="s">
        <v>9</v>
      </c>
      <c r="M949" t="s">
        <v>9</v>
      </c>
      <c r="O949">
        <v>0</v>
      </c>
      <c r="S949" t="str">
        <f>TEXT(Table1[[#This Row],[Date]],"MMM-YY")</f>
        <v>Aug-24</v>
      </c>
      <c r="T949">
        <f>_xlfn.ISOWEEKNUM(Table1[[#This Row],[Date]])</f>
        <v>34</v>
      </c>
      <c r="U949" t="str">
        <f>TEXT(Table1[[#This Row],[Expected Business Month]],"YYYY")</f>
        <v>2024</v>
      </c>
    </row>
    <row r="950" spans="1:21" hidden="1">
      <c r="A950" s="1">
        <v>45526</v>
      </c>
      <c r="B950" t="s">
        <v>1124</v>
      </c>
      <c r="C950" t="s">
        <v>63</v>
      </c>
      <c r="D950" t="s">
        <v>64</v>
      </c>
      <c r="E950" t="s">
        <v>26</v>
      </c>
      <c r="F950" t="s">
        <v>1799</v>
      </c>
      <c r="G950" s="9" t="s">
        <v>1946</v>
      </c>
      <c r="H950">
        <v>25000</v>
      </c>
      <c r="I950">
        <v>0</v>
      </c>
      <c r="J950" s="21">
        <v>45627</v>
      </c>
      <c r="K950" t="s">
        <v>67</v>
      </c>
      <c r="L950" t="s">
        <v>9</v>
      </c>
      <c r="M950" t="s">
        <v>9</v>
      </c>
      <c r="O950">
        <v>0</v>
      </c>
      <c r="S950" t="str">
        <f>TEXT(Table1[[#This Row],[Date]],"MMM-YY")</f>
        <v>Aug-24</v>
      </c>
      <c r="T950">
        <f>_xlfn.ISOWEEKNUM(Table1[[#This Row],[Date]])</f>
        <v>34</v>
      </c>
      <c r="U950" t="str">
        <f>TEXT(Table1[[#This Row],[Expected Business Month]],"YYYY")</f>
        <v>2024</v>
      </c>
    </row>
    <row r="951" spans="1:21" hidden="1">
      <c r="A951" s="1">
        <v>45527</v>
      </c>
      <c r="B951" t="s">
        <v>2587</v>
      </c>
      <c r="C951" t="s">
        <v>63</v>
      </c>
      <c r="D951" t="s">
        <v>64</v>
      </c>
      <c r="E951" t="s">
        <v>25</v>
      </c>
      <c r="F951" t="s">
        <v>2056</v>
      </c>
      <c r="G951" s="9" t="s">
        <v>2588</v>
      </c>
      <c r="H951">
        <v>8000</v>
      </c>
      <c r="I951">
        <v>8000</v>
      </c>
      <c r="J951" s="21">
        <v>45505</v>
      </c>
      <c r="K951" t="s">
        <v>67</v>
      </c>
      <c r="L951" t="s">
        <v>68</v>
      </c>
      <c r="M951" t="s">
        <v>69</v>
      </c>
      <c r="O951">
        <v>0</v>
      </c>
      <c r="S951" t="str">
        <f>TEXT(Table1[[#This Row],[Date]],"MMM-YY")</f>
        <v>Aug-24</v>
      </c>
      <c r="T951">
        <f>_xlfn.ISOWEEKNUM(Table1[[#This Row],[Date]])</f>
        <v>34</v>
      </c>
      <c r="U951" t="str">
        <f>TEXT(Table1[[#This Row],[Expected Business Month]],"YYYY")</f>
        <v>2024</v>
      </c>
    </row>
    <row r="952" spans="1:21" hidden="1">
      <c r="A952" s="1">
        <v>45527</v>
      </c>
      <c r="B952" t="s">
        <v>2589</v>
      </c>
      <c r="C952" t="s">
        <v>96</v>
      </c>
      <c r="D952" t="s">
        <v>64</v>
      </c>
      <c r="E952" t="s">
        <v>14</v>
      </c>
      <c r="F952" t="s">
        <v>396</v>
      </c>
      <c r="G952" s="9" t="s">
        <v>2590</v>
      </c>
      <c r="H952">
        <v>600000</v>
      </c>
      <c r="I952">
        <v>0</v>
      </c>
      <c r="J952" s="21">
        <v>45536</v>
      </c>
      <c r="K952" t="s">
        <v>67</v>
      </c>
      <c r="L952" t="s">
        <v>9</v>
      </c>
      <c r="M952" t="s">
        <v>9</v>
      </c>
      <c r="N952" t="s">
        <v>2591</v>
      </c>
      <c r="O952">
        <v>0</v>
      </c>
      <c r="S952" t="str">
        <f>TEXT(Table1[[#This Row],[Date]],"MMM-YY")</f>
        <v>Aug-24</v>
      </c>
      <c r="T952">
        <f>_xlfn.ISOWEEKNUM(Table1[[#This Row],[Date]])</f>
        <v>34</v>
      </c>
      <c r="U952" t="str">
        <f>TEXT(Table1[[#This Row],[Expected Business Month]],"YYYY")</f>
        <v>2024</v>
      </c>
    </row>
    <row r="953" spans="1:21" ht="29.1" hidden="1">
      <c r="A953" s="1">
        <v>45527</v>
      </c>
      <c r="B953" t="s">
        <v>2592</v>
      </c>
      <c r="C953" t="s">
        <v>63</v>
      </c>
      <c r="D953" t="s">
        <v>64</v>
      </c>
      <c r="E953" t="s">
        <v>20</v>
      </c>
      <c r="F953" t="s">
        <v>2593</v>
      </c>
      <c r="G953" s="9" t="s">
        <v>2594</v>
      </c>
      <c r="H953">
        <v>0</v>
      </c>
      <c r="I953">
        <v>0</v>
      </c>
      <c r="J953" s="21">
        <v>45566</v>
      </c>
      <c r="K953" t="s">
        <v>67</v>
      </c>
      <c r="L953" t="s">
        <v>68</v>
      </c>
      <c r="M953" t="s">
        <v>69</v>
      </c>
      <c r="O953">
        <v>0</v>
      </c>
      <c r="S953" t="str">
        <f>TEXT(Table1[[#This Row],[Date]],"MMM-YY")</f>
        <v>Aug-24</v>
      </c>
      <c r="T953">
        <f>_xlfn.ISOWEEKNUM(Table1[[#This Row],[Date]])</f>
        <v>34</v>
      </c>
      <c r="U953" t="str">
        <f>TEXT(Table1[[#This Row],[Expected Business Month]],"YYYY")</f>
        <v>2024</v>
      </c>
    </row>
    <row r="954" spans="1:21" hidden="1">
      <c r="A954" s="1">
        <v>45527</v>
      </c>
      <c r="B954" t="s">
        <v>988</v>
      </c>
      <c r="C954" t="s">
        <v>63</v>
      </c>
      <c r="D954" t="s">
        <v>64</v>
      </c>
      <c r="E954" t="s">
        <v>28</v>
      </c>
      <c r="F954" t="s">
        <v>989</v>
      </c>
      <c r="G954" s="9" t="s">
        <v>1942</v>
      </c>
      <c r="H954">
        <v>25000</v>
      </c>
      <c r="I954">
        <v>0</v>
      </c>
      <c r="J954" s="21">
        <v>45627</v>
      </c>
      <c r="K954" t="s">
        <v>67</v>
      </c>
      <c r="L954" t="s">
        <v>9</v>
      </c>
      <c r="M954" t="s">
        <v>9</v>
      </c>
      <c r="O954">
        <v>0</v>
      </c>
      <c r="S954" t="str">
        <f>TEXT(Table1[[#This Row],[Date]],"MMM-YY")</f>
        <v>Aug-24</v>
      </c>
      <c r="T954">
        <f>_xlfn.ISOWEEKNUM(Table1[[#This Row],[Date]])</f>
        <v>34</v>
      </c>
      <c r="U954" t="str">
        <f>TEXT(Table1[[#This Row],[Expected Business Month]],"YYYY")</f>
        <v>2024</v>
      </c>
    </row>
    <row r="955" spans="1:21" hidden="1">
      <c r="A955" s="1">
        <v>45527</v>
      </c>
      <c r="B955" t="s">
        <v>2595</v>
      </c>
      <c r="C955" t="s">
        <v>63</v>
      </c>
      <c r="D955" t="s">
        <v>64</v>
      </c>
      <c r="E955" t="s">
        <v>27</v>
      </c>
      <c r="F955" t="s">
        <v>2596</v>
      </c>
      <c r="G955" s="9" t="s">
        <v>1857</v>
      </c>
      <c r="H955">
        <v>30000</v>
      </c>
      <c r="I955">
        <v>0</v>
      </c>
      <c r="J955" s="21">
        <v>45627</v>
      </c>
      <c r="K955" t="s">
        <v>67</v>
      </c>
      <c r="L955" t="s">
        <v>9</v>
      </c>
      <c r="M955" t="s">
        <v>9</v>
      </c>
      <c r="O955">
        <v>0</v>
      </c>
      <c r="S955" t="str">
        <f>TEXT(Table1[[#This Row],[Date]],"MMM-YY")</f>
        <v>Aug-24</v>
      </c>
      <c r="T955">
        <f>_xlfn.ISOWEEKNUM(Table1[[#This Row],[Date]])</f>
        <v>34</v>
      </c>
      <c r="U955" t="str">
        <f>TEXT(Table1[[#This Row],[Expected Business Month]],"YYYY")</f>
        <v>2024</v>
      </c>
    </row>
    <row r="956" spans="1:21" hidden="1">
      <c r="A956" s="1">
        <v>45530</v>
      </c>
      <c r="B956" t="s">
        <v>382</v>
      </c>
      <c r="C956" t="s">
        <v>63</v>
      </c>
      <c r="D956" t="s">
        <v>64</v>
      </c>
      <c r="E956" t="s">
        <v>28</v>
      </c>
      <c r="F956" t="s">
        <v>1707</v>
      </c>
      <c r="G956" s="9" t="s">
        <v>2597</v>
      </c>
      <c r="H956">
        <v>0</v>
      </c>
      <c r="I956">
        <v>0</v>
      </c>
      <c r="J956" s="21">
        <v>45597</v>
      </c>
      <c r="K956" t="s">
        <v>67</v>
      </c>
      <c r="L956" t="s">
        <v>68</v>
      </c>
      <c r="M956" t="s">
        <v>69</v>
      </c>
      <c r="O956">
        <v>0</v>
      </c>
      <c r="S956" t="str">
        <f>TEXT(Table1[[#This Row],[Date]],"MMM-YY")</f>
        <v>Aug-24</v>
      </c>
      <c r="T956">
        <f>_xlfn.ISOWEEKNUM(Table1[[#This Row],[Date]])</f>
        <v>35</v>
      </c>
      <c r="U956" t="str">
        <f>TEXT(Table1[[#This Row],[Expected Business Month]],"YYYY")</f>
        <v>2024</v>
      </c>
    </row>
    <row r="957" spans="1:21" hidden="1">
      <c r="A957" s="1">
        <v>45530</v>
      </c>
      <c r="B957" t="s">
        <v>2589</v>
      </c>
      <c r="C957" t="s">
        <v>96</v>
      </c>
      <c r="D957" t="s">
        <v>64</v>
      </c>
      <c r="E957" t="s">
        <v>14</v>
      </c>
      <c r="F957" t="s">
        <v>396</v>
      </c>
      <c r="G957" s="9" t="s">
        <v>2598</v>
      </c>
      <c r="H957">
        <v>0</v>
      </c>
      <c r="I957">
        <v>0</v>
      </c>
      <c r="J957" s="21">
        <v>45536</v>
      </c>
      <c r="K957" t="s">
        <v>67</v>
      </c>
      <c r="L957" t="s">
        <v>9</v>
      </c>
      <c r="M957" t="s">
        <v>9</v>
      </c>
      <c r="O957">
        <v>0</v>
      </c>
      <c r="S957" t="str">
        <f>TEXT(Table1[[#This Row],[Date]],"MMM-YY")</f>
        <v>Aug-24</v>
      </c>
      <c r="T957">
        <f>_xlfn.ISOWEEKNUM(Table1[[#This Row],[Date]])</f>
        <v>35</v>
      </c>
      <c r="U957" t="str">
        <f>TEXT(Table1[[#This Row],[Expected Business Month]],"YYYY")</f>
        <v>2024</v>
      </c>
    </row>
    <row r="958" spans="1:21" ht="29.1" hidden="1">
      <c r="A958" s="1">
        <v>45530</v>
      </c>
      <c r="B958" t="s">
        <v>2599</v>
      </c>
      <c r="C958" t="s">
        <v>96</v>
      </c>
      <c r="D958" t="s">
        <v>64</v>
      </c>
      <c r="E958" t="s">
        <v>26</v>
      </c>
      <c r="F958" t="s">
        <v>2600</v>
      </c>
      <c r="G958" s="9" t="s">
        <v>2601</v>
      </c>
      <c r="H958">
        <v>12000</v>
      </c>
      <c r="I958">
        <v>12000</v>
      </c>
      <c r="J958" s="21">
        <v>45505</v>
      </c>
      <c r="K958" t="s">
        <v>67</v>
      </c>
      <c r="L958" t="s">
        <v>68</v>
      </c>
      <c r="M958" t="s">
        <v>69</v>
      </c>
      <c r="O958">
        <v>0</v>
      </c>
      <c r="S958" t="str">
        <f>TEXT(Table1[[#This Row],[Date]],"MMM-YY")</f>
        <v>Aug-24</v>
      </c>
      <c r="T958">
        <f>_xlfn.ISOWEEKNUM(Table1[[#This Row],[Date]])</f>
        <v>35</v>
      </c>
      <c r="U958" t="str">
        <f>TEXT(Table1[[#This Row],[Expected Business Month]],"YYYY")</f>
        <v>2024</v>
      </c>
    </row>
    <row r="959" spans="1:21" hidden="1">
      <c r="A959" s="1">
        <v>45530</v>
      </c>
      <c r="B959" t="s">
        <v>2161</v>
      </c>
      <c r="C959" t="s">
        <v>96</v>
      </c>
      <c r="D959" t="s">
        <v>618</v>
      </c>
      <c r="E959" t="s">
        <v>18</v>
      </c>
      <c r="F959" t="s">
        <v>2162</v>
      </c>
      <c r="G959" s="9" t="s">
        <v>2602</v>
      </c>
      <c r="H959">
        <v>20000</v>
      </c>
      <c r="I959">
        <v>0</v>
      </c>
      <c r="J959" s="21">
        <v>45261</v>
      </c>
      <c r="K959" t="s">
        <v>67</v>
      </c>
      <c r="L959" t="s">
        <v>9</v>
      </c>
      <c r="M959" t="s">
        <v>9</v>
      </c>
      <c r="N959" t="s">
        <v>586</v>
      </c>
      <c r="O959">
        <v>0</v>
      </c>
      <c r="S959" t="str">
        <f>TEXT(Table1[[#This Row],[Date]],"MMM-YY")</f>
        <v>Aug-24</v>
      </c>
      <c r="T959">
        <f>_xlfn.ISOWEEKNUM(Table1[[#This Row],[Date]])</f>
        <v>35</v>
      </c>
      <c r="U959" t="str">
        <f>TEXT(Table1[[#This Row],[Expected Business Month]],"YYYY")</f>
        <v>2023</v>
      </c>
    </row>
    <row r="960" spans="1:21" hidden="1">
      <c r="A960" s="1">
        <v>45530</v>
      </c>
      <c r="B960" t="s">
        <v>2603</v>
      </c>
      <c r="C960" t="s">
        <v>96</v>
      </c>
      <c r="D960" t="s">
        <v>618</v>
      </c>
      <c r="E960" t="s">
        <v>18</v>
      </c>
      <c r="F960" t="s">
        <v>2604</v>
      </c>
      <c r="G960" s="9" t="s">
        <v>2605</v>
      </c>
      <c r="H960">
        <v>15000</v>
      </c>
      <c r="I960">
        <v>0</v>
      </c>
      <c r="J960" s="21">
        <v>45627</v>
      </c>
      <c r="K960" t="s">
        <v>67</v>
      </c>
      <c r="L960" t="s">
        <v>9</v>
      </c>
      <c r="M960" t="s">
        <v>9</v>
      </c>
      <c r="O960">
        <v>0</v>
      </c>
      <c r="S960" t="str">
        <f>TEXT(Table1[[#This Row],[Date]],"MMM-YY")</f>
        <v>Aug-24</v>
      </c>
      <c r="T960">
        <f>_xlfn.ISOWEEKNUM(Table1[[#This Row],[Date]])</f>
        <v>35</v>
      </c>
      <c r="U960" t="str">
        <f>TEXT(Table1[[#This Row],[Expected Business Month]],"YYYY")</f>
        <v>2024</v>
      </c>
    </row>
    <row r="961" spans="1:21" hidden="1">
      <c r="A961" s="1">
        <v>45531</v>
      </c>
      <c r="B961" t="s">
        <v>2606</v>
      </c>
      <c r="C961" t="s">
        <v>63</v>
      </c>
      <c r="D961" t="s">
        <v>64</v>
      </c>
      <c r="E961" t="s">
        <v>10</v>
      </c>
      <c r="F961" t="s">
        <v>2607</v>
      </c>
      <c r="G961" s="9" t="s">
        <v>2608</v>
      </c>
      <c r="H961">
        <v>30000</v>
      </c>
      <c r="I961">
        <v>0</v>
      </c>
      <c r="J961" s="21">
        <v>45627</v>
      </c>
      <c r="K961" t="s">
        <v>67</v>
      </c>
      <c r="L961" t="s">
        <v>9</v>
      </c>
      <c r="M961" t="s">
        <v>9</v>
      </c>
      <c r="O961">
        <v>0</v>
      </c>
      <c r="S961" t="str">
        <f>TEXT(Table1[[#This Row],[Date]],"MMM-YY")</f>
        <v>Aug-24</v>
      </c>
      <c r="T961">
        <f>_xlfn.ISOWEEKNUM(Table1[[#This Row],[Date]])</f>
        <v>35</v>
      </c>
      <c r="U961" t="str">
        <f>TEXT(Table1[[#This Row],[Expected Business Month]],"YYYY")</f>
        <v>2024</v>
      </c>
    </row>
    <row r="962" spans="1:21" hidden="1">
      <c r="A962" s="1">
        <v>45531</v>
      </c>
      <c r="B962" t="s">
        <v>2609</v>
      </c>
      <c r="C962" t="s">
        <v>63</v>
      </c>
      <c r="D962" t="s">
        <v>64</v>
      </c>
      <c r="E962" t="s">
        <v>26</v>
      </c>
      <c r="F962" t="s">
        <v>120</v>
      </c>
      <c r="G962" s="9" t="s">
        <v>2610</v>
      </c>
      <c r="H962">
        <v>20000</v>
      </c>
      <c r="I962">
        <v>0</v>
      </c>
      <c r="J962" s="21">
        <v>45566</v>
      </c>
      <c r="K962" t="s">
        <v>67</v>
      </c>
      <c r="L962" t="s">
        <v>9</v>
      </c>
      <c r="M962" t="s">
        <v>9</v>
      </c>
      <c r="N962" t="s">
        <v>2611</v>
      </c>
      <c r="O962">
        <v>0</v>
      </c>
      <c r="S962" t="str">
        <f>TEXT(Table1[[#This Row],[Date]],"MMM-YY")</f>
        <v>Aug-24</v>
      </c>
      <c r="T962">
        <f>_xlfn.ISOWEEKNUM(Table1[[#This Row],[Date]])</f>
        <v>35</v>
      </c>
      <c r="U962" t="str">
        <f>TEXT(Table1[[#This Row],[Expected Business Month]],"YYYY")</f>
        <v>2024</v>
      </c>
    </row>
    <row r="963" spans="1:21" hidden="1">
      <c r="A963" s="1">
        <v>45531</v>
      </c>
      <c r="B963" t="s">
        <v>2612</v>
      </c>
      <c r="C963" t="s">
        <v>63</v>
      </c>
      <c r="D963" t="s">
        <v>64</v>
      </c>
      <c r="E963" t="s">
        <v>26</v>
      </c>
      <c r="F963" t="s">
        <v>2613</v>
      </c>
      <c r="G963" s="9" t="s">
        <v>2614</v>
      </c>
      <c r="H963">
        <v>15000</v>
      </c>
      <c r="I963">
        <v>0</v>
      </c>
      <c r="J963" s="21">
        <v>45627</v>
      </c>
      <c r="K963" t="s">
        <v>67</v>
      </c>
      <c r="L963" t="s">
        <v>9</v>
      </c>
      <c r="M963" t="s">
        <v>9</v>
      </c>
      <c r="O963">
        <v>0</v>
      </c>
      <c r="S963" t="str">
        <f>TEXT(Table1[[#This Row],[Date]],"MMM-YY")</f>
        <v>Aug-24</v>
      </c>
      <c r="T963">
        <f>_xlfn.ISOWEEKNUM(Table1[[#This Row],[Date]])</f>
        <v>35</v>
      </c>
      <c r="U963" t="str">
        <f>TEXT(Table1[[#This Row],[Expected Business Month]],"YYYY")</f>
        <v>2024</v>
      </c>
    </row>
    <row r="964" spans="1:21" hidden="1">
      <c r="A964" s="1">
        <v>45531</v>
      </c>
      <c r="B964" t="s">
        <v>2615</v>
      </c>
      <c r="C964" t="s">
        <v>96</v>
      </c>
      <c r="D964" t="s">
        <v>64</v>
      </c>
      <c r="E964" t="s">
        <v>26</v>
      </c>
      <c r="F964" t="s">
        <v>233</v>
      </c>
      <c r="G964" s="9" t="s">
        <v>2616</v>
      </c>
      <c r="H964">
        <v>8000</v>
      </c>
      <c r="I964">
        <v>8000</v>
      </c>
      <c r="J964" s="21">
        <v>45536</v>
      </c>
      <c r="K964" t="s">
        <v>67</v>
      </c>
      <c r="L964" t="s">
        <v>68</v>
      </c>
      <c r="M964" t="s">
        <v>69</v>
      </c>
      <c r="O964">
        <v>0</v>
      </c>
      <c r="S964" t="str">
        <f>TEXT(Table1[[#This Row],[Date]],"MMM-YY")</f>
        <v>Aug-24</v>
      </c>
      <c r="T964">
        <f>_xlfn.ISOWEEKNUM(Table1[[#This Row],[Date]])</f>
        <v>35</v>
      </c>
      <c r="U964" t="str">
        <f>TEXT(Table1[[#This Row],[Expected Business Month]],"YYYY")</f>
        <v>2024</v>
      </c>
    </row>
    <row r="965" spans="1:21" hidden="1">
      <c r="A965" s="1">
        <v>45531</v>
      </c>
      <c r="B965" t="s">
        <v>2617</v>
      </c>
      <c r="C965" t="s">
        <v>63</v>
      </c>
      <c r="D965" t="s">
        <v>64</v>
      </c>
      <c r="E965" t="s">
        <v>26</v>
      </c>
      <c r="F965" t="s">
        <v>2618</v>
      </c>
      <c r="G965" s="9" t="s">
        <v>2619</v>
      </c>
      <c r="H965">
        <v>20000</v>
      </c>
      <c r="I965">
        <v>0</v>
      </c>
      <c r="J965" s="21">
        <v>45627</v>
      </c>
      <c r="K965" t="s">
        <v>67</v>
      </c>
      <c r="L965" t="s">
        <v>9</v>
      </c>
      <c r="M965" t="s">
        <v>9</v>
      </c>
      <c r="O965">
        <v>0</v>
      </c>
      <c r="S965" t="str">
        <f>TEXT(Table1[[#This Row],[Date]],"MMM-YY")</f>
        <v>Aug-24</v>
      </c>
      <c r="T965">
        <f>_xlfn.ISOWEEKNUM(Table1[[#This Row],[Date]])</f>
        <v>35</v>
      </c>
      <c r="U965" t="str">
        <f>TEXT(Table1[[#This Row],[Expected Business Month]],"YYYY")</f>
        <v>2024</v>
      </c>
    </row>
    <row r="966" spans="1:21" hidden="1">
      <c r="A966" s="1">
        <v>45532</v>
      </c>
      <c r="B966" t="s">
        <v>1720</v>
      </c>
      <c r="C966" t="s">
        <v>63</v>
      </c>
      <c r="D966" t="s">
        <v>64</v>
      </c>
      <c r="E966" t="s">
        <v>28</v>
      </c>
      <c r="F966" t="s">
        <v>1721</v>
      </c>
      <c r="G966" s="9" t="s">
        <v>2620</v>
      </c>
      <c r="H966">
        <v>40000</v>
      </c>
      <c r="I966">
        <v>0</v>
      </c>
      <c r="J966" s="21">
        <v>45566</v>
      </c>
      <c r="K966" t="s">
        <v>67</v>
      </c>
      <c r="L966" t="s">
        <v>9</v>
      </c>
      <c r="M966" t="s">
        <v>9</v>
      </c>
      <c r="N966" t="s">
        <v>2621</v>
      </c>
      <c r="O966">
        <v>0</v>
      </c>
      <c r="S966" t="str">
        <f>TEXT(Table1[[#This Row],[Date]],"MMM-YY")</f>
        <v>Aug-24</v>
      </c>
      <c r="T966">
        <f>_xlfn.ISOWEEKNUM(Table1[[#This Row],[Date]])</f>
        <v>35</v>
      </c>
      <c r="U966" t="str">
        <f>TEXT(Table1[[#This Row],[Expected Business Month]],"YYYY")</f>
        <v>2024</v>
      </c>
    </row>
    <row r="967" spans="1:21" hidden="1">
      <c r="A967" s="1">
        <v>45532</v>
      </c>
      <c r="B967" t="s">
        <v>2622</v>
      </c>
      <c r="C967" t="s">
        <v>63</v>
      </c>
      <c r="D967" t="s">
        <v>64</v>
      </c>
      <c r="E967" t="s">
        <v>38</v>
      </c>
      <c r="F967" t="s">
        <v>2623</v>
      </c>
      <c r="G967" s="9" t="s">
        <v>2624</v>
      </c>
      <c r="H967">
        <v>50000</v>
      </c>
      <c r="I967">
        <v>0</v>
      </c>
      <c r="J967" s="21">
        <v>45627</v>
      </c>
      <c r="K967" t="s">
        <v>67</v>
      </c>
      <c r="L967" t="s">
        <v>9</v>
      </c>
      <c r="M967" t="s">
        <v>9</v>
      </c>
      <c r="O967">
        <v>0</v>
      </c>
      <c r="S967" t="str">
        <f>TEXT(Table1[[#This Row],[Date]],"MMM-YY")</f>
        <v>Aug-24</v>
      </c>
      <c r="T967">
        <f>_xlfn.ISOWEEKNUM(Table1[[#This Row],[Date]])</f>
        <v>35</v>
      </c>
      <c r="U967" t="str">
        <f>TEXT(Table1[[#This Row],[Expected Business Month]],"YYYY")</f>
        <v>2024</v>
      </c>
    </row>
    <row r="968" spans="1:21" hidden="1">
      <c r="A968" s="1">
        <v>45532</v>
      </c>
      <c r="B968" t="s">
        <v>2625</v>
      </c>
      <c r="C968" t="s">
        <v>63</v>
      </c>
      <c r="D968" t="s">
        <v>64</v>
      </c>
      <c r="E968" t="s">
        <v>38</v>
      </c>
      <c r="F968" t="s">
        <v>1541</v>
      </c>
      <c r="G968" s="9" t="s">
        <v>2626</v>
      </c>
      <c r="H968">
        <v>40000</v>
      </c>
      <c r="I968">
        <v>0</v>
      </c>
      <c r="J968" s="21">
        <v>45627</v>
      </c>
      <c r="K968" t="s">
        <v>67</v>
      </c>
      <c r="L968" t="s">
        <v>9</v>
      </c>
      <c r="M968" t="s">
        <v>9</v>
      </c>
      <c r="O968">
        <v>0</v>
      </c>
      <c r="S968" t="str">
        <f>TEXT(Table1[[#This Row],[Date]],"MMM-YY")</f>
        <v>Aug-24</v>
      </c>
      <c r="T968">
        <f>_xlfn.ISOWEEKNUM(Table1[[#This Row],[Date]])</f>
        <v>35</v>
      </c>
      <c r="U968" t="str">
        <f>TEXT(Table1[[#This Row],[Expected Business Month]],"YYYY")</f>
        <v>2024</v>
      </c>
    </row>
    <row r="969" spans="1:21" hidden="1">
      <c r="A969" s="1">
        <v>45532</v>
      </c>
      <c r="B969" t="s">
        <v>2627</v>
      </c>
      <c r="C969" t="s">
        <v>63</v>
      </c>
      <c r="D969" t="s">
        <v>64</v>
      </c>
      <c r="E969" t="s">
        <v>29</v>
      </c>
      <c r="F969" t="s">
        <v>2628</v>
      </c>
      <c r="G969" s="9" t="s">
        <v>2629</v>
      </c>
      <c r="H969">
        <v>30000</v>
      </c>
      <c r="I969">
        <v>0</v>
      </c>
      <c r="J969" s="21">
        <v>45627</v>
      </c>
      <c r="K969" t="s">
        <v>67</v>
      </c>
      <c r="L969" t="s">
        <v>9</v>
      </c>
      <c r="M969" t="s">
        <v>9</v>
      </c>
      <c r="O969">
        <v>0</v>
      </c>
      <c r="S969" t="str">
        <f>TEXT(Table1[[#This Row],[Date]],"MMM-YY")</f>
        <v>Aug-24</v>
      </c>
      <c r="T969">
        <f>_xlfn.ISOWEEKNUM(Table1[[#This Row],[Date]])</f>
        <v>35</v>
      </c>
      <c r="U969" t="str">
        <f>TEXT(Table1[[#This Row],[Expected Business Month]],"YYYY")</f>
        <v>2024</v>
      </c>
    </row>
    <row r="970" spans="1:21" ht="29.1" hidden="1">
      <c r="A970" s="1">
        <v>45532</v>
      </c>
      <c r="B970" t="s">
        <v>324</v>
      </c>
      <c r="C970" t="s">
        <v>96</v>
      </c>
      <c r="D970" t="s">
        <v>64</v>
      </c>
      <c r="E970" t="s">
        <v>38</v>
      </c>
      <c r="F970" t="s">
        <v>325</v>
      </c>
      <c r="G970" s="9" t="s">
        <v>2630</v>
      </c>
      <c r="H970">
        <v>43500</v>
      </c>
      <c r="I970">
        <v>43500</v>
      </c>
      <c r="J970" s="21">
        <v>45505</v>
      </c>
      <c r="K970" t="s">
        <v>99</v>
      </c>
      <c r="L970" t="s">
        <v>68</v>
      </c>
      <c r="M970" t="s">
        <v>69</v>
      </c>
      <c r="O970">
        <v>0</v>
      </c>
      <c r="S970" t="str">
        <f>TEXT(Table1[[#This Row],[Date]],"MMM-YY")</f>
        <v>Aug-24</v>
      </c>
      <c r="T970">
        <f>_xlfn.ISOWEEKNUM(Table1[[#This Row],[Date]])</f>
        <v>35</v>
      </c>
      <c r="U970" t="str">
        <f>TEXT(Table1[[#This Row],[Expected Business Month]],"YYYY")</f>
        <v>2024</v>
      </c>
    </row>
    <row r="971" spans="1:21" ht="29.1" hidden="1">
      <c r="A971" s="1">
        <v>45533</v>
      </c>
      <c r="B971" t="s">
        <v>399</v>
      </c>
      <c r="C971" t="s">
        <v>63</v>
      </c>
      <c r="D971" t="s">
        <v>64</v>
      </c>
      <c r="E971" t="s">
        <v>32</v>
      </c>
      <c r="F971" t="s">
        <v>824</v>
      </c>
      <c r="G971" s="9" t="s">
        <v>2631</v>
      </c>
      <c r="H971">
        <v>27300</v>
      </c>
      <c r="I971">
        <v>27300</v>
      </c>
      <c r="J971" s="21">
        <v>45505</v>
      </c>
      <c r="K971" t="s">
        <v>67</v>
      </c>
      <c r="L971" t="s">
        <v>68</v>
      </c>
      <c r="M971" t="s">
        <v>69</v>
      </c>
      <c r="O971">
        <v>0</v>
      </c>
      <c r="S971" t="str">
        <f>TEXT(Table1[[#This Row],[Date]],"MMM-YY")</f>
        <v>Aug-24</v>
      </c>
      <c r="T971">
        <f>_xlfn.ISOWEEKNUM(Table1[[#This Row],[Date]])</f>
        <v>35</v>
      </c>
      <c r="U971" t="str">
        <f>TEXT(Table1[[#This Row],[Expected Business Month]],"YYYY")</f>
        <v>2024</v>
      </c>
    </row>
    <row r="972" spans="1:21" hidden="1">
      <c r="A972" s="1">
        <v>45533</v>
      </c>
      <c r="B972" t="s">
        <v>2622</v>
      </c>
      <c r="C972" t="s">
        <v>96</v>
      </c>
      <c r="D972" t="s">
        <v>64</v>
      </c>
      <c r="E972" t="s">
        <v>38</v>
      </c>
      <c r="F972" t="s">
        <v>1189</v>
      </c>
      <c r="G972" s="9" t="s">
        <v>2632</v>
      </c>
      <c r="H972">
        <v>17000</v>
      </c>
      <c r="I972">
        <v>0</v>
      </c>
      <c r="J972" s="21">
        <v>45627</v>
      </c>
      <c r="K972" t="s">
        <v>67</v>
      </c>
      <c r="L972" t="s">
        <v>9</v>
      </c>
      <c r="M972" t="s">
        <v>9</v>
      </c>
      <c r="N972" t="s">
        <v>2633</v>
      </c>
      <c r="O972">
        <v>0</v>
      </c>
      <c r="S972" t="str">
        <f>TEXT(Table1[[#This Row],[Date]],"MMM-YY")</f>
        <v>Aug-24</v>
      </c>
      <c r="T972">
        <f>_xlfn.ISOWEEKNUM(Table1[[#This Row],[Date]])</f>
        <v>35</v>
      </c>
      <c r="U972" t="str">
        <f>TEXT(Table1[[#This Row],[Expected Business Month]],"YYYY")</f>
        <v>2024</v>
      </c>
    </row>
    <row r="973" spans="1:21" ht="29.1" hidden="1">
      <c r="A973" s="1">
        <v>45533</v>
      </c>
      <c r="B973" t="s">
        <v>1762</v>
      </c>
      <c r="C973" t="s">
        <v>63</v>
      </c>
      <c r="D973" t="s">
        <v>64</v>
      </c>
      <c r="E973" t="s">
        <v>32</v>
      </c>
      <c r="F973" t="s">
        <v>824</v>
      </c>
      <c r="G973" s="9" t="s">
        <v>2634</v>
      </c>
      <c r="H973">
        <v>28000</v>
      </c>
      <c r="I973">
        <v>28000</v>
      </c>
      <c r="J973" s="21">
        <v>45505</v>
      </c>
      <c r="K973" t="s">
        <v>67</v>
      </c>
      <c r="L973" t="s">
        <v>68</v>
      </c>
      <c r="M973" t="s">
        <v>69</v>
      </c>
      <c r="O973">
        <v>0</v>
      </c>
      <c r="S973" t="str">
        <f>TEXT(Table1[[#This Row],[Date]],"MMM-YY")</f>
        <v>Aug-24</v>
      </c>
      <c r="T973">
        <f>_xlfn.ISOWEEKNUM(Table1[[#This Row],[Date]])</f>
        <v>35</v>
      </c>
      <c r="U973" t="str">
        <f>TEXT(Table1[[#This Row],[Expected Business Month]],"YYYY")</f>
        <v>2024</v>
      </c>
    </row>
    <row r="974" spans="1:21" hidden="1">
      <c r="A974" s="1">
        <v>45533</v>
      </c>
      <c r="B974" t="s">
        <v>2120</v>
      </c>
      <c r="C974" t="s">
        <v>63</v>
      </c>
      <c r="D974" t="s">
        <v>64</v>
      </c>
      <c r="E974" t="s">
        <v>26</v>
      </c>
      <c r="F974" t="s">
        <v>2635</v>
      </c>
      <c r="G974" s="9" t="s">
        <v>2636</v>
      </c>
      <c r="H974">
        <v>18000</v>
      </c>
      <c r="I974">
        <v>0</v>
      </c>
      <c r="J974" s="21">
        <v>45536</v>
      </c>
      <c r="K974" t="s">
        <v>67</v>
      </c>
      <c r="L974" t="s">
        <v>9</v>
      </c>
      <c r="M974" t="s">
        <v>9</v>
      </c>
      <c r="O974">
        <v>0</v>
      </c>
      <c r="S974" t="str">
        <f>TEXT(Table1[[#This Row],[Date]],"MMM-YY")</f>
        <v>Aug-24</v>
      </c>
      <c r="T974">
        <f>_xlfn.ISOWEEKNUM(Table1[[#This Row],[Date]])</f>
        <v>35</v>
      </c>
      <c r="U974" t="str">
        <f>TEXT(Table1[[#This Row],[Expected Business Month]],"YYYY")</f>
        <v>2024</v>
      </c>
    </row>
    <row r="975" spans="1:21" hidden="1">
      <c r="A975" s="1">
        <v>45534</v>
      </c>
      <c r="B975" t="s">
        <v>2193</v>
      </c>
      <c r="C975" t="s">
        <v>63</v>
      </c>
      <c r="D975" t="s">
        <v>105</v>
      </c>
      <c r="E975" t="s">
        <v>18</v>
      </c>
      <c r="F975" t="s">
        <v>1709</v>
      </c>
      <c r="G975" s="9" t="s">
        <v>2637</v>
      </c>
      <c r="H975">
        <v>20000</v>
      </c>
      <c r="I975">
        <v>0</v>
      </c>
      <c r="J975" s="21">
        <v>45627</v>
      </c>
      <c r="K975" t="s">
        <v>67</v>
      </c>
      <c r="L975" t="s">
        <v>9</v>
      </c>
      <c r="M975" t="s">
        <v>9</v>
      </c>
      <c r="O975">
        <v>0</v>
      </c>
      <c r="S975" t="str">
        <f>TEXT(Table1[[#This Row],[Date]],"MMM-YY")</f>
        <v>Aug-24</v>
      </c>
      <c r="T975">
        <f>_xlfn.ISOWEEKNUM(Table1[[#This Row],[Date]])</f>
        <v>35</v>
      </c>
      <c r="U975" t="str">
        <f>TEXT(Table1[[#This Row],[Expected Business Month]],"YYYY")</f>
        <v>2024</v>
      </c>
    </row>
    <row r="976" spans="1:21" hidden="1">
      <c r="A976" s="1">
        <v>45534</v>
      </c>
      <c r="B976" t="s">
        <v>2057</v>
      </c>
      <c r="C976" t="s">
        <v>63</v>
      </c>
      <c r="D976" t="s">
        <v>64</v>
      </c>
      <c r="E976" t="s">
        <v>26</v>
      </c>
      <c r="F976" t="s">
        <v>1300</v>
      </c>
      <c r="G976" s="9" t="s">
        <v>1857</v>
      </c>
      <c r="H976">
        <v>15000</v>
      </c>
      <c r="I976">
        <v>0</v>
      </c>
      <c r="J976" s="21">
        <v>45566</v>
      </c>
      <c r="K976" t="s">
        <v>67</v>
      </c>
      <c r="L976" t="s">
        <v>9</v>
      </c>
      <c r="M976" t="s">
        <v>9</v>
      </c>
      <c r="N976" t="s">
        <v>2611</v>
      </c>
      <c r="O976">
        <v>0</v>
      </c>
      <c r="S976" t="str">
        <f>TEXT(Table1[[#This Row],[Date]],"MMM-YY")</f>
        <v>Aug-24</v>
      </c>
      <c r="T976">
        <f>_xlfn.ISOWEEKNUM(Table1[[#This Row],[Date]])</f>
        <v>35</v>
      </c>
      <c r="U976" t="str">
        <f>TEXT(Table1[[#This Row],[Expected Business Month]],"YYYY")</f>
        <v>2024</v>
      </c>
    </row>
    <row r="977" spans="1:21" hidden="1">
      <c r="A977" s="1">
        <v>45536</v>
      </c>
      <c r="B977" t="s">
        <v>2581</v>
      </c>
      <c r="C977" t="s">
        <v>96</v>
      </c>
      <c r="D977" t="s">
        <v>20</v>
      </c>
      <c r="E977" t="s">
        <v>23</v>
      </c>
      <c r="F977" t="s">
        <v>2638</v>
      </c>
      <c r="G977" s="9" t="s">
        <v>2639</v>
      </c>
      <c r="H977">
        <v>12000</v>
      </c>
      <c r="I977">
        <v>0</v>
      </c>
      <c r="J977" s="21">
        <v>45536</v>
      </c>
      <c r="K977" t="s">
        <v>67</v>
      </c>
      <c r="L977" t="s">
        <v>9</v>
      </c>
      <c r="M977" t="s">
        <v>9</v>
      </c>
      <c r="N977" t="s">
        <v>822</v>
      </c>
      <c r="O977">
        <v>0</v>
      </c>
      <c r="S977" t="str">
        <f>TEXT(Table1[[#This Row],[Date]],"MMM-YY")</f>
        <v>Sep-24</v>
      </c>
      <c r="T977">
        <f>_xlfn.ISOWEEKNUM(Table1[[#This Row],[Date]])</f>
        <v>35</v>
      </c>
      <c r="U977" t="str">
        <f>TEXT(Table1[[#This Row],[Expected Business Month]],"YYYY")</f>
        <v>2024</v>
      </c>
    </row>
    <row r="978" spans="1:21" hidden="1">
      <c r="A978" s="1">
        <v>45536</v>
      </c>
      <c r="B978" t="s">
        <v>274</v>
      </c>
      <c r="C978" t="s">
        <v>96</v>
      </c>
      <c r="D978" t="s">
        <v>20</v>
      </c>
      <c r="E978" t="s">
        <v>23</v>
      </c>
      <c r="F978" t="s">
        <v>2640</v>
      </c>
      <c r="G978" s="9" t="s">
        <v>274</v>
      </c>
      <c r="H978">
        <v>22000</v>
      </c>
      <c r="I978">
        <v>0</v>
      </c>
      <c r="J978" s="21">
        <v>45536</v>
      </c>
      <c r="K978" t="s">
        <v>67</v>
      </c>
      <c r="L978" t="s">
        <v>9</v>
      </c>
      <c r="M978" t="s">
        <v>9</v>
      </c>
      <c r="N978" t="s">
        <v>2641</v>
      </c>
      <c r="O978">
        <v>0</v>
      </c>
      <c r="S978" t="str">
        <f>TEXT(Table1[[#This Row],[Date]],"MMM-YY")</f>
        <v>Sep-24</v>
      </c>
      <c r="T978">
        <f>_xlfn.ISOWEEKNUM(Table1[[#This Row],[Date]])</f>
        <v>35</v>
      </c>
      <c r="U978" t="str">
        <f>TEXT(Table1[[#This Row],[Expected Business Month]],"YYYY")</f>
        <v>2024</v>
      </c>
    </row>
    <row r="979" spans="1:21" ht="29.1" hidden="1">
      <c r="A979" s="1">
        <v>45537</v>
      </c>
      <c r="B979" t="s">
        <v>2642</v>
      </c>
      <c r="C979" t="s">
        <v>96</v>
      </c>
      <c r="D979" t="s">
        <v>64</v>
      </c>
      <c r="E979" t="s">
        <v>16</v>
      </c>
      <c r="F979" t="s">
        <v>1676</v>
      </c>
      <c r="G979" s="9" t="s">
        <v>2643</v>
      </c>
      <c r="H979">
        <v>1200000</v>
      </c>
      <c r="I979">
        <v>0</v>
      </c>
      <c r="J979" s="21">
        <v>45627</v>
      </c>
      <c r="K979" t="s">
        <v>67</v>
      </c>
      <c r="L979" t="s">
        <v>9</v>
      </c>
      <c r="M979" t="s">
        <v>9</v>
      </c>
      <c r="N979" t="s">
        <v>707</v>
      </c>
      <c r="O979">
        <v>0</v>
      </c>
      <c r="S979" t="str">
        <f>TEXT(Table1[[#This Row],[Date]],"MMM-YY")</f>
        <v>Sep-24</v>
      </c>
      <c r="T979">
        <f>_xlfn.ISOWEEKNUM(Table1[[#This Row],[Date]])</f>
        <v>36</v>
      </c>
      <c r="U979" t="str">
        <f>TEXT(Table1[[#This Row],[Expected Business Month]],"YYYY")</f>
        <v>2024</v>
      </c>
    </row>
    <row r="980" spans="1:21" hidden="1">
      <c r="A980" s="1">
        <v>45537</v>
      </c>
      <c r="B980" t="s">
        <v>2644</v>
      </c>
      <c r="C980" t="s">
        <v>63</v>
      </c>
      <c r="D980" t="s">
        <v>64</v>
      </c>
      <c r="E980" t="s">
        <v>27</v>
      </c>
      <c r="F980" t="s">
        <v>2645</v>
      </c>
      <c r="G980" s="9" t="s">
        <v>1860</v>
      </c>
      <c r="H980">
        <v>18000</v>
      </c>
      <c r="I980">
        <v>0</v>
      </c>
      <c r="J980" s="21">
        <v>45566</v>
      </c>
      <c r="K980" t="s">
        <v>67</v>
      </c>
      <c r="L980" t="s">
        <v>9</v>
      </c>
      <c r="M980" t="s">
        <v>9</v>
      </c>
      <c r="N980" t="s">
        <v>586</v>
      </c>
      <c r="O980">
        <v>0</v>
      </c>
      <c r="S980" t="str">
        <f>TEXT(Table1[[#This Row],[Date]],"MMM-YY")</f>
        <v>Sep-24</v>
      </c>
      <c r="T980">
        <f>_xlfn.ISOWEEKNUM(Table1[[#This Row],[Date]])</f>
        <v>36</v>
      </c>
      <c r="U980" t="str">
        <f>TEXT(Table1[[#This Row],[Expected Business Month]],"YYYY")</f>
        <v>2024</v>
      </c>
    </row>
    <row r="981" spans="1:21" hidden="1">
      <c r="A981" s="1">
        <v>45537</v>
      </c>
      <c r="B981" t="s">
        <v>2646</v>
      </c>
      <c r="C981" t="s">
        <v>63</v>
      </c>
      <c r="D981" t="s">
        <v>64</v>
      </c>
      <c r="E981" t="s">
        <v>26</v>
      </c>
      <c r="F981" t="s">
        <v>2044</v>
      </c>
      <c r="G981" s="9" t="s">
        <v>293</v>
      </c>
      <c r="H981">
        <v>20000</v>
      </c>
      <c r="I981">
        <v>0</v>
      </c>
      <c r="J981" s="21">
        <v>45627</v>
      </c>
      <c r="K981" t="s">
        <v>67</v>
      </c>
      <c r="L981" t="s">
        <v>9</v>
      </c>
      <c r="M981" t="s">
        <v>9</v>
      </c>
      <c r="O981">
        <v>0</v>
      </c>
      <c r="S981" t="str">
        <f>TEXT(Table1[[#This Row],[Date]],"MMM-YY")</f>
        <v>Sep-24</v>
      </c>
      <c r="T981">
        <f>_xlfn.ISOWEEKNUM(Table1[[#This Row],[Date]])</f>
        <v>36</v>
      </c>
      <c r="U981" t="str">
        <f>TEXT(Table1[[#This Row],[Expected Business Month]],"YYYY")</f>
        <v>2024</v>
      </c>
    </row>
    <row r="982" spans="1:21" hidden="1">
      <c r="A982" s="1">
        <v>45537</v>
      </c>
      <c r="B982" t="s">
        <v>2045</v>
      </c>
      <c r="C982" t="s">
        <v>63</v>
      </c>
      <c r="D982" t="s">
        <v>64</v>
      </c>
      <c r="E982" t="s">
        <v>10</v>
      </c>
      <c r="F982" t="s">
        <v>2046</v>
      </c>
      <c r="G982" s="9" t="s">
        <v>2093</v>
      </c>
      <c r="H982">
        <v>40000</v>
      </c>
      <c r="I982">
        <v>0</v>
      </c>
      <c r="J982" s="21">
        <v>45627</v>
      </c>
      <c r="K982" t="s">
        <v>67</v>
      </c>
      <c r="L982" t="s">
        <v>9</v>
      </c>
      <c r="M982" t="s">
        <v>9</v>
      </c>
      <c r="O982">
        <v>0</v>
      </c>
      <c r="S982" t="str">
        <f>TEXT(Table1[[#This Row],[Date]],"MMM-YY")</f>
        <v>Sep-24</v>
      </c>
      <c r="T982">
        <f>_xlfn.ISOWEEKNUM(Table1[[#This Row],[Date]])</f>
        <v>36</v>
      </c>
      <c r="U982" t="str">
        <f>TEXT(Table1[[#This Row],[Expected Business Month]],"YYYY")</f>
        <v>2024</v>
      </c>
    </row>
    <row r="983" spans="1:21" hidden="1">
      <c r="A983" s="1">
        <v>45538</v>
      </c>
      <c r="B983" t="s">
        <v>382</v>
      </c>
      <c r="C983" t="s">
        <v>63</v>
      </c>
      <c r="D983" t="s">
        <v>64</v>
      </c>
      <c r="E983" t="s">
        <v>28</v>
      </c>
      <c r="F983" t="s">
        <v>1707</v>
      </c>
      <c r="G983" s="9" t="s">
        <v>2647</v>
      </c>
      <c r="H983">
        <v>14000</v>
      </c>
      <c r="I983">
        <v>0</v>
      </c>
      <c r="J983" s="21">
        <v>45536</v>
      </c>
      <c r="K983" t="s">
        <v>67</v>
      </c>
      <c r="L983" t="s">
        <v>9</v>
      </c>
      <c r="M983" t="s">
        <v>9</v>
      </c>
      <c r="N983" t="s">
        <v>822</v>
      </c>
      <c r="O983">
        <v>0</v>
      </c>
      <c r="S983" t="str">
        <f>TEXT(Table1[[#This Row],[Date]],"MMM-YY")</f>
        <v>Sep-24</v>
      </c>
      <c r="T983">
        <f>_xlfn.ISOWEEKNUM(Table1[[#This Row],[Date]])</f>
        <v>36</v>
      </c>
      <c r="U983" t="str">
        <f>TEXT(Table1[[#This Row],[Expected Business Month]],"YYYY")</f>
        <v>2024</v>
      </c>
    </row>
    <row r="984" spans="1:21" ht="15.75" hidden="1" customHeight="1">
      <c r="A984" s="1">
        <v>45538</v>
      </c>
      <c r="B984" t="s">
        <v>2648</v>
      </c>
      <c r="C984" t="s">
        <v>63</v>
      </c>
      <c r="D984" t="s">
        <v>64</v>
      </c>
      <c r="E984" t="s">
        <v>20</v>
      </c>
      <c r="F984" t="s">
        <v>2649</v>
      </c>
      <c r="G984" s="9" t="s">
        <v>2650</v>
      </c>
      <c r="H984">
        <v>50000</v>
      </c>
      <c r="I984">
        <v>0</v>
      </c>
      <c r="J984" s="21">
        <v>45627</v>
      </c>
      <c r="K984" t="s">
        <v>67</v>
      </c>
      <c r="L984" t="s">
        <v>9</v>
      </c>
      <c r="M984" t="s">
        <v>9</v>
      </c>
      <c r="N984" t="s">
        <v>602</v>
      </c>
      <c r="O984">
        <v>0</v>
      </c>
      <c r="S984" t="str">
        <f>TEXT(Table1[[#This Row],[Date]],"MMM-YY")</f>
        <v>Sep-24</v>
      </c>
      <c r="T984">
        <f>_xlfn.ISOWEEKNUM(Table1[[#This Row],[Date]])</f>
        <v>36</v>
      </c>
      <c r="U984" t="str">
        <f>TEXT(Table1[[#This Row],[Expected Business Month]],"YYYY")</f>
        <v>2024</v>
      </c>
    </row>
    <row r="985" spans="1:21" hidden="1">
      <c r="A985" s="1">
        <v>37502</v>
      </c>
      <c r="B985" t="s">
        <v>2651</v>
      </c>
      <c r="C985" t="s">
        <v>96</v>
      </c>
      <c r="D985" t="s">
        <v>64</v>
      </c>
      <c r="E985" t="s">
        <v>14</v>
      </c>
      <c r="F985" t="s">
        <v>2652</v>
      </c>
      <c r="G985" s="9" t="s">
        <v>2653</v>
      </c>
      <c r="H985">
        <v>10000</v>
      </c>
      <c r="I985">
        <v>0</v>
      </c>
      <c r="J985" s="21">
        <v>45627</v>
      </c>
      <c r="K985" t="s">
        <v>67</v>
      </c>
      <c r="L985" t="s">
        <v>9</v>
      </c>
      <c r="M985" t="s">
        <v>9</v>
      </c>
      <c r="O985">
        <v>0</v>
      </c>
      <c r="S985" t="str">
        <f>TEXT(Table1[[#This Row],[Date]],"MMM-YY")</f>
        <v>Sep-02</v>
      </c>
      <c r="T985">
        <f>_xlfn.ISOWEEKNUM(Table1[[#This Row],[Date]])</f>
        <v>36</v>
      </c>
      <c r="U985" t="str">
        <f>TEXT(Table1[[#This Row],[Expected Business Month]],"YYYY")</f>
        <v>2024</v>
      </c>
    </row>
    <row r="986" spans="1:21" hidden="1">
      <c r="A986" s="1">
        <v>45538</v>
      </c>
      <c r="B986" t="s">
        <v>2654</v>
      </c>
      <c r="C986" t="s">
        <v>63</v>
      </c>
      <c r="D986" t="s">
        <v>64</v>
      </c>
      <c r="E986" t="s">
        <v>26</v>
      </c>
      <c r="F986" t="s">
        <v>534</v>
      </c>
      <c r="G986" s="9" t="s">
        <v>2655</v>
      </c>
      <c r="H986">
        <v>20000</v>
      </c>
      <c r="I986">
        <v>0</v>
      </c>
      <c r="J986" s="21">
        <v>45566</v>
      </c>
      <c r="K986" t="s">
        <v>67</v>
      </c>
      <c r="L986" t="s">
        <v>9</v>
      </c>
      <c r="M986" t="s">
        <v>9</v>
      </c>
      <c r="N986" t="s">
        <v>991</v>
      </c>
      <c r="O986">
        <v>0</v>
      </c>
      <c r="S986" t="str">
        <f>TEXT(Table1[[#This Row],[Date]],"MMM-YY")</f>
        <v>Sep-24</v>
      </c>
      <c r="T986">
        <f>_xlfn.ISOWEEKNUM(Table1[[#This Row],[Date]])</f>
        <v>36</v>
      </c>
      <c r="U986" t="str">
        <f>TEXT(Table1[[#This Row],[Expected Business Month]],"YYYY")</f>
        <v>2024</v>
      </c>
    </row>
    <row r="987" spans="1:21" hidden="1">
      <c r="A987" s="1">
        <v>45538</v>
      </c>
      <c r="B987" t="s">
        <v>2088</v>
      </c>
      <c r="C987" t="s">
        <v>96</v>
      </c>
      <c r="D987" t="s">
        <v>64</v>
      </c>
      <c r="E987" t="s">
        <v>26</v>
      </c>
      <c r="F987" t="s">
        <v>2656</v>
      </c>
      <c r="G987" s="9" t="s">
        <v>2114</v>
      </c>
      <c r="H987">
        <v>30000</v>
      </c>
      <c r="I987">
        <v>0</v>
      </c>
      <c r="J987" s="21">
        <v>45627</v>
      </c>
      <c r="K987" t="s">
        <v>67</v>
      </c>
      <c r="L987" t="s">
        <v>9</v>
      </c>
      <c r="M987" t="s">
        <v>9</v>
      </c>
      <c r="O987">
        <v>0</v>
      </c>
      <c r="S987" t="str">
        <f>TEXT(Table1[[#This Row],[Date]],"MMM-YY")</f>
        <v>Sep-24</v>
      </c>
      <c r="T987">
        <f>_xlfn.ISOWEEKNUM(Table1[[#This Row],[Date]])</f>
        <v>36</v>
      </c>
      <c r="U987" t="str">
        <f>TEXT(Table1[[#This Row],[Expected Business Month]],"YYYY")</f>
        <v>2024</v>
      </c>
    </row>
    <row r="988" spans="1:21" ht="29.1" hidden="1">
      <c r="A988" s="1">
        <v>45539</v>
      </c>
      <c r="B988" t="s">
        <v>324</v>
      </c>
      <c r="C988" t="s">
        <v>96</v>
      </c>
      <c r="D988" t="s">
        <v>64</v>
      </c>
      <c r="E988" t="s">
        <v>38</v>
      </c>
      <c r="F988" t="s">
        <v>325</v>
      </c>
      <c r="G988" s="9" t="s">
        <v>2657</v>
      </c>
      <c r="H988">
        <v>43500</v>
      </c>
      <c r="I988">
        <v>43500</v>
      </c>
      <c r="J988" s="21">
        <v>45536</v>
      </c>
      <c r="K988" t="s">
        <v>99</v>
      </c>
      <c r="L988" t="s">
        <v>68</v>
      </c>
      <c r="M988" t="s">
        <v>69</v>
      </c>
      <c r="O988">
        <v>0</v>
      </c>
      <c r="S988" t="str">
        <f>TEXT(Table1[[#This Row],[Date]],"MMM-YY")</f>
        <v>Sep-24</v>
      </c>
      <c r="T988">
        <f>_xlfn.ISOWEEKNUM(Table1[[#This Row],[Date]])</f>
        <v>36</v>
      </c>
      <c r="U988" t="str">
        <f>TEXT(Table1[[#This Row],[Expected Business Month]],"YYYY")</f>
        <v>2024</v>
      </c>
    </row>
    <row r="989" spans="1:21" hidden="1">
      <c r="A989" s="1">
        <v>45539</v>
      </c>
      <c r="B989" t="s">
        <v>2658</v>
      </c>
      <c r="C989" t="s">
        <v>63</v>
      </c>
      <c r="D989" t="s">
        <v>64</v>
      </c>
      <c r="E989" t="s">
        <v>25</v>
      </c>
      <c r="F989" t="s">
        <v>2555</v>
      </c>
      <c r="G989" s="9" t="s">
        <v>2659</v>
      </c>
      <c r="H989">
        <v>20000</v>
      </c>
      <c r="I989">
        <v>20000</v>
      </c>
      <c r="J989" s="21">
        <v>45536</v>
      </c>
      <c r="K989" t="s">
        <v>67</v>
      </c>
      <c r="L989" t="s">
        <v>68</v>
      </c>
      <c r="M989" t="s">
        <v>69</v>
      </c>
      <c r="O989">
        <v>0</v>
      </c>
      <c r="S989" t="str">
        <f>TEXT(Table1[[#This Row],[Date]],"MMM-YY")</f>
        <v>Sep-24</v>
      </c>
      <c r="T989">
        <f>_xlfn.ISOWEEKNUM(Table1[[#This Row],[Date]])</f>
        <v>36</v>
      </c>
      <c r="U989" t="str">
        <f>TEXT(Table1[[#This Row],[Expected Business Month]],"YYYY")</f>
        <v>2024</v>
      </c>
    </row>
    <row r="990" spans="1:21" hidden="1">
      <c r="A990" s="1">
        <v>45540</v>
      </c>
      <c r="B990" t="s">
        <v>2660</v>
      </c>
      <c r="C990" t="s">
        <v>96</v>
      </c>
      <c r="D990" t="s">
        <v>20</v>
      </c>
      <c r="E990" t="s">
        <v>23</v>
      </c>
      <c r="F990" t="s">
        <v>2661</v>
      </c>
      <c r="G990" s="9" t="s">
        <v>2662</v>
      </c>
      <c r="H990">
        <v>10000</v>
      </c>
      <c r="I990">
        <v>0</v>
      </c>
      <c r="J990" s="21">
        <v>45536</v>
      </c>
      <c r="K990" t="s">
        <v>67</v>
      </c>
      <c r="L990" t="s">
        <v>9</v>
      </c>
      <c r="M990" t="s">
        <v>9</v>
      </c>
      <c r="N990" t="s">
        <v>2663</v>
      </c>
      <c r="O990">
        <v>0</v>
      </c>
      <c r="S990" t="str">
        <f>TEXT(Table1[[#This Row],[Date]],"MMM-YY")</f>
        <v>Sep-24</v>
      </c>
      <c r="T990">
        <f>_xlfn.ISOWEEKNUM(Table1[[#This Row],[Date]])</f>
        <v>36</v>
      </c>
      <c r="U990" t="str">
        <f>TEXT(Table1[[#This Row],[Expected Business Month]],"YYYY")</f>
        <v>2024</v>
      </c>
    </row>
    <row r="991" spans="1:21" hidden="1">
      <c r="A991" s="1">
        <v>45541</v>
      </c>
      <c r="B991" t="s">
        <v>2664</v>
      </c>
      <c r="C991" t="s">
        <v>63</v>
      </c>
      <c r="D991" t="s">
        <v>20</v>
      </c>
      <c r="E991" t="s">
        <v>23</v>
      </c>
      <c r="F991" t="s">
        <v>1600</v>
      </c>
      <c r="G991" s="9" t="s">
        <v>2665</v>
      </c>
      <c r="H991">
        <v>80000</v>
      </c>
      <c r="I991">
        <v>0</v>
      </c>
      <c r="J991" s="21">
        <v>45536</v>
      </c>
      <c r="K991" t="s">
        <v>67</v>
      </c>
      <c r="L991" t="s">
        <v>9</v>
      </c>
      <c r="M991" t="s">
        <v>9</v>
      </c>
      <c r="N991" t="s">
        <v>822</v>
      </c>
      <c r="O991">
        <v>0</v>
      </c>
      <c r="S991" t="str">
        <f>TEXT(Table1[[#This Row],[Date]],"MMM-YY")</f>
        <v>Sep-24</v>
      </c>
      <c r="T991">
        <f>_xlfn.ISOWEEKNUM(Table1[[#This Row],[Date]])</f>
        <v>36</v>
      </c>
      <c r="U991" t="str">
        <f>TEXT(Table1[[#This Row],[Expected Business Month]],"YYYY")</f>
        <v>2024</v>
      </c>
    </row>
    <row r="992" spans="1:21" hidden="1">
      <c r="A992" s="1">
        <v>45541</v>
      </c>
      <c r="B992" t="s">
        <v>2666</v>
      </c>
      <c r="C992" t="s">
        <v>63</v>
      </c>
      <c r="D992" t="s">
        <v>64</v>
      </c>
      <c r="E992" t="s">
        <v>30</v>
      </c>
      <c r="F992" t="s">
        <v>1117</v>
      </c>
      <c r="G992" s="9" t="s">
        <v>2667</v>
      </c>
      <c r="H992">
        <v>60000</v>
      </c>
      <c r="I992">
        <v>0</v>
      </c>
      <c r="J992" s="21">
        <v>45566</v>
      </c>
      <c r="K992" t="s">
        <v>67</v>
      </c>
      <c r="L992" t="s">
        <v>9</v>
      </c>
      <c r="M992" t="s">
        <v>9</v>
      </c>
      <c r="N992" t="s">
        <v>991</v>
      </c>
      <c r="O992">
        <v>0</v>
      </c>
      <c r="S992" t="str">
        <f>TEXT(Table1[[#This Row],[Date]],"MMM-YY")</f>
        <v>Sep-24</v>
      </c>
      <c r="T992">
        <f>_xlfn.ISOWEEKNUM(Table1[[#This Row],[Date]])</f>
        <v>36</v>
      </c>
      <c r="U992" t="str">
        <f>TEXT(Table1[[#This Row],[Expected Business Month]],"YYYY")</f>
        <v>2024</v>
      </c>
    </row>
    <row r="993" spans="1:21" hidden="1">
      <c r="A993" s="1">
        <v>45543</v>
      </c>
      <c r="B993" t="s">
        <v>152</v>
      </c>
      <c r="C993" t="s">
        <v>96</v>
      </c>
      <c r="D993" t="s">
        <v>20</v>
      </c>
      <c r="E993" t="s">
        <v>23</v>
      </c>
      <c r="F993" t="s">
        <v>73</v>
      </c>
      <c r="G993" s="9" t="s">
        <v>2668</v>
      </c>
      <c r="H993">
        <v>12000</v>
      </c>
      <c r="I993">
        <v>0</v>
      </c>
      <c r="J993" s="21">
        <v>45536</v>
      </c>
      <c r="K993" t="s">
        <v>67</v>
      </c>
      <c r="L993" t="s">
        <v>9</v>
      </c>
      <c r="M993" t="s">
        <v>9</v>
      </c>
      <c r="N993" t="s">
        <v>602</v>
      </c>
      <c r="O993">
        <v>0</v>
      </c>
      <c r="S993" t="str">
        <f>TEXT(Table1[[#This Row],[Date]],"MMM-YY")</f>
        <v>Sep-24</v>
      </c>
      <c r="T993">
        <f>_xlfn.ISOWEEKNUM(Table1[[#This Row],[Date]])</f>
        <v>36</v>
      </c>
      <c r="U993" t="str">
        <f>TEXT(Table1[[#This Row],[Expected Business Month]],"YYYY")</f>
        <v>2024</v>
      </c>
    </row>
    <row r="994" spans="1:21" ht="29.1" hidden="1">
      <c r="A994" s="1">
        <v>45544</v>
      </c>
      <c r="B994" t="s">
        <v>2669</v>
      </c>
      <c r="C994" t="s">
        <v>63</v>
      </c>
      <c r="D994" t="s">
        <v>64</v>
      </c>
      <c r="E994" t="s">
        <v>26</v>
      </c>
      <c r="F994" t="s">
        <v>2613</v>
      </c>
      <c r="G994" s="9" t="s">
        <v>2670</v>
      </c>
      <c r="H994">
        <v>24000</v>
      </c>
      <c r="I994">
        <v>24000</v>
      </c>
      <c r="J994" s="21">
        <v>45536</v>
      </c>
      <c r="K994" t="s">
        <v>67</v>
      </c>
      <c r="L994" t="s">
        <v>68</v>
      </c>
      <c r="M994" t="s">
        <v>69</v>
      </c>
      <c r="O994">
        <v>0</v>
      </c>
      <c r="S994" t="str">
        <f>TEXT(Table1[[#This Row],[Date]],"MMM-YY")</f>
        <v>Sep-24</v>
      </c>
      <c r="T994">
        <f>_xlfn.ISOWEEKNUM(Table1[[#This Row],[Date]])</f>
        <v>37</v>
      </c>
      <c r="U994" t="str">
        <f>TEXT(Table1[[#This Row],[Expected Business Month]],"YYYY")</f>
        <v>2024</v>
      </c>
    </row>
    <row r="995" spans="1:21" hidden="1">
      <c r="A995" s="1">
        <v>45544</v>
      </c>
      <c r="B995" t="s">
        <v>1720</v>
      </c>
      <c r="C995" t="s">
        <v>63</v>
      </c>
      <c r="D995" t="s">
        <v>64</v>
      </c>
      <c r="E995" t="s">
        <v>28</v>
      </c>
      <c r="F995" t="s">
        <v>2445</v>
      </c>
      <c r="G995" s="9" t="s">
        <v>2671</v>
      </c>
      <c r="H995">
        <v>14000</v>
      </c>
      <c r="I995">
        <v>14000</v>
      </c>
      <c r="J995" s="21">
        <v>45536</v>
      </c>
      <c r="K995" t="s">
        <v>67</v>
      </c>
      <c r="L995" t="s">
        <v>68</v>
      </c>
      <c r="M995" t="s">
        <v>69</v>
      </c>
      <c r="O995">
        <v>0</v>
      </c>
      <c r="S995" t="str">
        <f>TEXT(Table1[[#This Row],[Date]],"MMM-YY")</f>
        <v>Sep-24</v>
      </c>
      <c r="T995">
        <f>_xlfn.ISOWEEKNUM(Table1[[#This Row],[Date]])</f>
        <v>37</v>
      </c>
      <c r="U995" t="str">
        <f>TEXT(Table1[[#This Row],[Expected Business Month]],"YYYY")</f>
        <v>2024</v>
      </c>
    </row>
    <row r="996" spans="1:21" hidden="1">
      <c r="A996" s="1">
        <v>45544</v>
      </c>
      <c r="B996" t="s">
        <v>2574</v>
      </c>
      <c r="C996" t="s">
        <v>96</v>
      </c>
      <c r="D996" t="s">
        <v>105</v>
      </c>
      <c r="E996" t="s">
        <v>18</v>
      </c>
      <c r="F996" t="s">
        <v>2672</v>
      </c>
      <c r="G996" s="9" t="s">
        <v>2673</v>
      </c>
      <c r="H996">
        <v>40000</v>
      </c>
      <c r="I996">
        <v>0</v>
      </c>
      <c r="J996" s="21">
        <v>45566</v>
      </c>
      <c r="K996" t="s">
        <v>67</v>
      </c>
      <c r="L996" t="s">
        <v>9</v>
      </c>
      <c r="M996" t="s">
        <v>9</v>
      </c>
      <c r="N996" t="s">
        <v>1428</v>
      </c>
      <c r="O996">
        <v>0</v>
      </c>
      <c r="S996" t="str">
        <f>TEXT(Table1[[#This Row],[Date]],"MMM-YY")</f>
        <v>Sep-24</v>
      </c>
      <c r="T996">
        <f>_xlfn.ISOWEEKNUM(Table1[[#This Row],[Date]])</f>
        <v>37</v>
      </c>
      <c r="U996" t="str">
        <f>TEXT(Table1[[#This Row],[Expected Business Month]],"YYYY")</f>
        <v>2024</v>
      </c>
    </row>
    <row r="997" spans="1:21" hidden="1">
      <c r="A997" s="1">
        <v>45544</v>
      </c>
      <c r="B997" t="s">
        <v>2674</v>
      </c>
      <c r="C997" t="s">
        <v>96</v>
      </c>
      <c r="D997" t="s">
        <v>64</v>
      </c>
      <c r="E997" t="s">
        <v>38</v>
      </c>
      <c r="F997" t="s">
        <v>1127</v>
      </c>
      <c r="G997" s="9" t="s">
        <v>2675</v>
      </c>
      <c r="H997">
        <v>50000</v>
      </c>
      <c r="I997">
        <v>0</v>
      </c>
      <c r="J997" s="21">
        <v>45536</v>
      </c>
      <c r="K997" t="s">
        <v>67</v>
      </c>
      <c r="L997" t="s">
        <v>9</v>
      </c>
      <c r="M997" t="s">
        <v>9</v>
      </c>
      <c r="N997" t="s">
        <v>2676</v>
      </c>
      <c r="O997">
        <v>0</v>
      </c>
      <c r="S997" t="str">
        <f>TEXT(Table1[[#This Row],[Date]],"MMM-YY")</f>
        <v>Sep-24</v>
      </c>
      <c r="T997">
        <f>_xlfn.ISOWEEKNUM(Table1[[#This Row],[Date]])</f>
        <v>37</v>
      </c>
      <c r="U997" t="str">
        <f>TEXT(Table1[[#This Row],[Expected Business Month]],"YYYY")</f>
        <v>2024</v>
      </c>
    </row>
    <row r="998" spans="1:21" hidden="1">
      <c r="A998" s="1">
        <v>45544</v>
      </c>
      <c r="B998" t="s">
        <v>2677</v>
      </c>
      <c r="C998" t="s">
        <v>63</v>
      </c>
      <c r="D998" t="s">
        <v>105</v>
      </c>
      <c r="E998" t="s">
        <v>18</v>
      </c>
      <c r="F998" t="s">
        <v>820</v>
      </c>
      <c r="G998" s="9" t="s">
        <v>2673</v>
      </c>
      <c r="H998">
        <v>40000</v>
      </c>
      <c r="I998">
        <v>0</v>
      </c>
      <c r="J998" s="21">
        <v>45536</v>
      </c>
      <c r="K998" t="s">
        <v>67</v>
      </c>
      <c r="L998" t="s">
        <v>9</v>
      </c>
      <c r="M998" t="s">
        <v>9</v>
      </c>
      <c r="N998" t="s">
        <v>680</v>
      </c>
      <c r="O998">
        <v>0</v>
      </c>
      <c r="S998" t="str">
        <f>TEXT(Table1[[#This Row],[Date]],"MMM-YY")</f>
        <v>Sep-24</v>
      </c>
      <c r="T998">
        <f>_xlfn.ISOWEEKNUM(Table1[[#This Row],[Date]])</f>
        <v>37</v>
      </c>
      <c r="U998" t="str">
        <f>TEXT(Table1[[#This Row],[Expected Business Month]],"YYYY")</f>
        <v>2024</v>
      </c>
    </row>
    <row r="999" spans="1:21" ht="29.1" hidden="1">
      <c r="A999" s="1">
        <v>45545</v>
      </c>
      <c r="B999" t="s">
        <v>2678</v>
      </c>
      <c r="C999" t="s">
        <v>63</v>
      </c>
      <c r="D999" t="s">
        <v>2027</v>
      </c>
      <c r="E999" t="s">
        <v>26</v>
      </c>
      <c r="F999" t="s">
        <v>1186</v>
      </c>
      <c r="G999" s="9" t="s">
        <v>2679</v>
      </c>
      <c r="H999">
        <v>10000</v>
      </c>
      <c r="I999">
        <v>10000</v>
      </c>
      <c r="J999" s="21">
        <v>45536</v>
      </c>
      <c r="K999" t="s">
        <v>67</v>
      </c>
      <c r="L999" t="s">
        <v>68</v>
      </c>
      <c r="M999" t="s">
        <v>69</v>
      </c>
      <c r="O999">
        <v>0</v>
      </c>
      <c r="S999" t="str">
        <f>TEXT(Table1[[#This Row],[Date]],"MMM-YY")</f>
        <v>Sep-24</v>
      </c>
      <c r="T999">
        <f>_xlfn.ISOWEEKNUM(Table1[[#This Row],[Date]])</f>
        <v>37</v>
      </c>
      <c r="U999" t="str">
        <f>TEXT(Table1[[#This Row],[Expected Business Month]],"YYYY")</f>
        <v>2024</v>
      </c>
    </row>
    <row r="1000" spans="1:21" ht="29.1" hidden="1">
      <c r="A1000" s="1">
        <v>45545</v>
      </c>
      <c r="B1000" t="s">
        <v>2680</v>
      </c>
      <c r="C1000" t="s">
        <v>96</v>
      </c>
      <c r="D1000" t="s">
        <v>2681</v>
      </c>
      <c r="E1000" t="s">
        <v>32</v>
      </c>
      <c r="F1000" t="s">
        <v>106</v>
      </c>
      <c r="G1000" s="9" t="s">
        <v>2682</v>
      </c>
      <c r="H1000">
        <v>4000</v>
      </c>
      <c r="I1000">
        <v>4000</v>
      </c>
      <c r="J1000" s="21">
        <v>45536</v>
      </c>
      <c r="K1000" t="s">
        <v>67</v>
      </c>
      <c r="L1000" t="s">
        <v>68</v>
      </c>
      <c r="M1000" t="s">
        <v>69</v>
      </c>
      <c r="O1000">
        <v>0</v>
      </c>
      <c r="S1000" t="str">
        <f>TEXT(Table1[[#This Row],[Date]],"MMM-YY")</f>
        <v>Sep-24</v>
      </c>
      <c r="T1000">
        <f>_xlfn.ISOWEEKNUM(Table1[[#This Row],[Date]])</f>
        <v>37</v>
      </c>
      <c r="U1000" t="str">
        <f>TEXT(Table1[[#This Row],[Expected Business Month]],"YYYY")</f>
        <v>2024</v>
      </c>
    </row>
    <row r="1001" spans="1:21" hidden="1">
      <c r="A1001" s="1">
        <v>37509</v>
      </c>
      <c r="B1001" t="s">
        <v>2683</v>
      </c>
      <c r="C1001" t="s">
        <v>63</v>
      </c>
      <c r="D1001" t="s">
        <v>2027</v>
      </c>
      <c r="E1001" t="s">
        <v>25</v>
      </c>
      <c r="F1001" t="s">
        <v>153</v>
      </c>
      <c r="G1001" s="9" t="s">
        <v>2684</v>
      </c>
      <c r="H1001">
        <v>25000</v>
      </c>
      <c r="I1001">
        <v>0</v>
      </c>
      <c r="J1001" s="21">
        <v>45566</v>
      </c>
      <c r="K1001" t="s">
        <v>67</v>
      </c>
      <c r="L1001" t="s">
        <v>9</v>
      </c>
      <c r="M1001" t="s">
        <v>9</v>
      </c>
      <c r="N1001" t="s">
        <v>2685</v>
      </c>
      <c r="O1001">
        <v>0</v>
      </c>
      <c r="S1001" t="str">
        <f>TEXT(Table1[[#This Row],[Date]],"MMM-YY")</f>
        <v>Sep-02</v>
      </c>
      <c r="T1001">
        <f>_xlfn.ISOWEEKNUM(Table1[[#This Row],[Date]])</f>
        <v>37</v>
      </c>
      <c r="U1001" t="str">
        <f>TEXT(Table1[[#This Row],[Expected Business Month]],"YYYY")</f>
        <v>2024</v>
      </c>
    </row>
    <row r="1002" spans="1:21" hidden="1">
      <c r="A1002" s="1">
        <v>45545</v>
      </c>
      <c r="B1002" t="s">
        <v>2686</v>
      </c>
      <c r="C1002" t="s">
        <v>63</v>
      </c>
      <c r="D1002" t="s">
        <v>2027</v>
      </c>
      <c r="E1002" t="s">
        <v>30</v>
      </c>
      <c r="F1002" t="s">
        <v>2687</v>
      </c>
      <c r="G1002" s="9" t="s">
        <v>2688</v>
      </c>
      <c r="H1002">
        <v>20000</v>
      </c>
      <c r="I1002">
        <v>0</v>
      </c>
      <c r="J1002" s="21">
        <v>45536</v>
      </c>
      <c r="K1002" t="s">
        <v>67</v>
      </c>
      <c r="L1002" t="s">
        <v>9</v>
      </c>
      <c r="M1002" t="s">
        <v>9</v>
      </c>
      <c r="N1002" t="s">
        <v>602</v>
      </c>
      <c r="O1002">
        <v>0</v>
      </c>
      <c r="S1002" t="str">
        <f>TEXT(Table1[[#This Row],[Date]],"MMM-YY")</f>
        <v>Sep-24</v>
      </c>
      <c r="T1002">
        <f>_xlfn.ISOWEEKNUM(Table1[[#This Row],[Date]])</f>
        <v>37</v>
      </c>
      <c r="U1002" t="str">
        <f>TEXT(Table1[[#This Row],[Expected Business Month]],"YYYY")</f>
        <v>2024</v>
      </c>
    </row>
    <row r="1003" spans="1:21" ht="29.1" hidden="1">
      <c r="A1003" s="1">
        <v>45546</v>
      </c>
      <c r="B1003" t="s">
        <v>324</v>
      </c>
      <c r="C1003" t="s">
        <v>96</v>
      </c>
      <c r="D1003" t="s">
        <v>64</v>
      </c>
      <c r="E1003" t="s">
        <v>38</v>
      </c>
      <c r="F1003" t="s">
        <v>325</v>
      </c>
      <c r="G1003" s="9" t="s">
        <v>2689</v>
      </c>
      <c r="H1003">
        <v>41500</v>
      </c>
      <c r="I1003">
        <v>41500</v>
      </c>
      <c r="J1003" s="21">
        <v>45536</v>
      </c>
      <c r="K1003" t="s">
        <v>99</v>
      </c>
      <c r="L1003" t="s">
        <v>68</v>
      </c>
      <c r="M1003" t="s">
        <v>69</v>
      </c>
      <c r="O1003">
        <v>0</v>
      </c>
      <c r="S1003" t="str">
        <f>TEXT(Table1[[#This Row],[Date]],"MMM-YY")</f>
        <v>Sep-24</v>
      </c>
      <c r="T1003">
        <f>_xlfn.ISOWEEKNUM(Table1[[#This Row],[Date]])</f>
        <v>37</v>
      </c>
      <c r="U1003" t="str">
        <f>TEXT(Table1[[#This Row],[Expected Business Month]],"YYYY")</f>
        <v>2024</v>
      </c>
    </row>
    <row r="1004" spans="1:21" hidden="1">
      <c r="A1004" s="1">
        <v>45546</v>
      </c>
      <c r="B1004" t="s">
        <v>2690</v>
      </c>
      <c r="C1004" t="s">
        <v>96</v>
      </c>
      <c r="D1004" t="s">
        <v>64</v>
      </c>
      <c r="E1004" t="s">
        <v>38</v>
      </c>
      <c r="F1004" t="s">
        <v>1127</v>
      </c>
      <c r="G1004" s="9" t="s">
        <v>2691</v>
      </c>
      <c r="H1004">
        <v>55000</v>
      </c>
      <c r="I1004">
        <v>0</v>
      </c>
      <c r="J1004" s="21">
        <v>45536</v>
      </c>
      <c r="K1004" t="s">
        <v>67</v>
      </c>
      <c r="L1004" t="s">
        <v>9</v>
      </c>
      <c r="M1004" t="s">
        <v>9</v>
      </c>
      <c r="N1004" t="s">
        <v>2576</v>
      </c>
      <c r="O1004">
        <v>0</v>
      </c>
      <c r="S1004" t="str">
        <f>TEXT(Table1[[#This Row],[Date]],"MMM-YY")</f>
        <v>Sep-24</v>
      </c>
      <c r="T1004">
        <f>_xlfn.ISOWEEKNUM(Table1[[#This Row],[Date]])</f>
        <v>37</v>
      </c>
      <c r="U1004" t="str">
        <f>TEXT(Table1[[#This Row],[Expected Business Month]],"YYYY")</f>
        <v>2024</v>
      </c>
    </row>
    <row r="1005" spans="1:21" hidden="1">
      <c r="A1005" s="1">
        <v>45546</v>
      </c>
      <c r="B1005" t="s">
        <v>2692</v>
      </c>
      <c r="C1005" t="s">
        <v>63</v>
      </c>
      <c r="D1005" t="s">
        <v>37</v>
      </c>
      <c r="E1005" t="s">
        <v>230</v>
      </c>
      <c r="F1005" t="s">
        <v>2693</v>
      </c>
      <c r="G1005" s="9" t="s">
        <v>2694</v>
      </c>
      <c r="H1005">
        <v>0</v>
      </c>
      <c r="I1005">
        <v>0</v>
      </c>
      <c r="J1005" s="21">
        <v>45566</v>
      </c>
      <c r="K1005" t="s">
        <v>67</v>
      </c>
      <c r="L1005" t="s">
        <v>68</v>
      </c>
      <c r="M1005" t="s">
        <v>69</v>
      </c>
      <c r="O1005">
        <v>0</v>
      </c>
      <c r="S1005" t="str">
        <f>TEXT(Table1[[#This Row],[Date]],"MMM-YY")</f>
        <v>Sep-24</v>
      </c>
      <c r="T1005">
        <f>_xlfn.ISOWEEKNUM(Table1[[#This Row],[Date]])</f>
        <v>37</v>
      </c>
      <c r="U1005" t="str">
        <f>TEXT(Table1[[#This Row],[Expected Business Month]],"YYYY")</f>
        <v>2024</v>
      </c>
    </row>
    <row r="1006" spans="1:21" hidden="1">
      <c r="A1006" s="1">
        <v>45546</v>
      </c>
      <c r="B1006" t="s">
        <v>2622</v>
      </c>
      <c r="C1006" t="s">
        <v>63</v>
      </c>
      <c r="D1006" t="s">
        <v>64</v>
      </c>
      <c r="E1006" t="s">
        <v>38</v>
      </c>
      <c r="F1006" t="s">
        <v>1189</v>
      </c>
      <c r="G1006" s="9" t="s">
        <v>2695</v>
      </c>
      <c r="H1006">
        <v>50000</v>
      </c>
      <c r="I1006">
        <v>0</v>
      </c>
      <c r="J1006" s="21">
        <v>45536</v>
      </c>
      <c r="K1006" t="s">
        <v>67</v>
      </c>
      <c r="L1006" t="s">
        <v>9</v>
      </c>
      <c r="M1006" t="s">
        <v>9</v>
      </c>
      <c r="N1006" t="s">
        <v>2696</v>
      </c>
      <c r="O1006">
        <v>0</v>
      </c>
      <c r="S1006" t="str">
        <f>TEXT(Table1[[#This Row],[Date]],"MMM-YY")</f>
        <v>Sep-24</v>
      </c>
      <c r="T1006">
        <f>_xlfn.ISOWEEKNUM(Table1[[#This Row],[Date]])</f>
        <v>37</v>
      </c>
      <c r="U1006" t="str">
        <f>TEXT(Table1[[#This Row],[Expected Business Month]],"YYYY")</f>
        <v>2024</v>
      </c>
    </row>
    <row r="1007" spans="1:21" hidden="1">
      <c r="A1007" s="1">
        <v>45547</v>
      </c>
      <c r="B1007" t="s">
        <v>2697</v>
      </c>
      <c r="C1007" t="s">
        <v>63</v>
      </c>
      <c r="D1007" t="s">
        <v>64</v>
      </c>
      <c r="E1007" t="s">
        <v>25</v>
      </c>
      <c r="F1007" t="s">
        <v>637</v>
      </c>
      <c r="G1007" s="9" t="s">
        <v>2698</v>
      </c>
      <c r="H1007">
        <v>20000</v>
      </c>
      <c r="I1007">
        <v>0</v>
      </c>
      <c r="J1007" s="21">
        <v>45566</v>
      </c>
      <c r="K1007" t="s">
        <v>67</v>
      </c>
      <c r="L1007" t="s">
        <v>9</v>
      </c>
      <c r="M1007" t="s">
        <v>9</v>
      </c>
      <c r="N1007" t="s">
        <v>602</v>
      </c>
      <c r="O1007">
        <v>0</v>
      </c>
      <c r="S1007" t="str">
        <f>TEXT(Table1[[#This Row],[Date]],"MMM-YY")</f>
        <v>Sep-24</v>
      </c>
      <c r="T1007">
        <f>_xlfn.ISOWEEKNUM(Table1[[#This Row],[Date]])</f>
        <v>37</v>
      </c>
      <c r="U1007" t="str">
        <f>TEXT(Table1[[#This Row],[Expected Business Month]],"YYYY")</f>
        <v>2024</v>
      </c>
    </row>
    <row r="1008" spans="1:21" hidden="1">
      <c r="A1008" s="1">
        <v>45547</v>
      </c>
      <c r="B1008" t="s">
        <v>2070</v>
      </c>
      <c r="C1008" t="s">
        <v>63</v>
      </c>
      <c r="D1008" t="s">
        <v>64</v>
      </c>
      <c r="E1008" t="s">
        <v>30</v>
      </c>
      <c r="F1008" t="s">
        <v>2071</v>
      </c>
      <c r="G1008" s="9" t="s">
        <v>293</v>
      </c>
      <c r="H1008">
        <v>25000</v>
      </c>
      <c r="I1008">
        <v>0</v>
      </c>
      <c r="J1008" s="21">
        <v>45566</v>
      </c>
      <c r="K1008" t="s">
        <v>67</v>
      </c>
      <c r="L1008" t="s">
        <v>9</v>
      </c>
      <c r="M1008" t="s">
        <v>9</v>
      </c>
      <c r="N1008" t="s">
        <v>991</v>
      </c>
      <c r="O1008">
        <v>0</v>
      </c>
      <c r="S1008" t="str">
        <f>TEXT(Table1[[#This Row],[Date]],"MMM-YY")</f>
        <v>Sep-24</v>
      </c>
      <c r="T1008">
        <f>_xlfn.ISOWEEKNUM(Table1[[#This Row],[Date]])</f>
        <v>37</v>
      </c>
      <c r="U1008" t="str">
        <f>TEXT(Table1[[#This Row],[Expected Business Month]],"YYYY")</f>
        <v>2024</v>
      </c>
    </row>
    <row r="1009" spans="1:21" hidden="1">
      <c r="A1009" s="1">
        <v>45547</v>
      </c>
      <c r="B1009" t="s">
        <v>2699</v>
      </c>
      <c r="C1009" t="s">
        <v>96</v>
      </c>
      <c r="D1009" t="s">
        <v>64</v>
      </c>
      <c r="E1009" t="s">
        <v>25</v>
      </c>
      <c r="F1009" t="s">
        <v>2700</v>
      </c>
      <c r="G1009" s="9" t="s">
        <v>2701</v>
      </c>
      <c r="H1009">
        <v>30000</v>
      </c>
      <c r="I1009">
        <v>0</v>
      </c>
      <c r="J1009" s="21">
        <v>45627</v>
      </c>
      <c r="K1009" t="s">
        <v>67</v>
      </c>
      <c r="L1009" t="s">
        <v>9</v>
      </c>
      <c r="M1009" t="s">
        <v>9</v>
      </c>
      <c r="O1009">
        <v>0</v>
      </c>
      <c r="S1009" t="str">
        <f>TEXT(Table1[[#This Row],[Date]],"MMM-YY")</f>
        <v>Sep-24</v>
      </c>
      <c r="T1009">
        <f>_xlfn.ISOWEEKNUM(Table1[[#This Row],[Date]])</f>
        <v>37</v>
      </c>
      <c r="U1009" t="str">
        <f>TEXT(Table1[[#This Row],[Expected Business Month]],"YYYY")</f>
        <v>2024</v>
      </c>
    </row>
    <row r="1010" spans="1:21" hidden="1">
      <c r="A1010" s="1">
        <v>45547</v>
      </c>
      <c r="B1010" t="s">
        <v>1573</v>
      </c>
      <c r="C1010" t="s">
        <v>96</v>
      </c>
      <c r="D1010" t="s">
        <v>64</v>
      </c>
      <c r="E1010" t="s">
        <v>32</v>
      </c>
      <c r="F1010" t="s">
        <v>2073</v>
      </c>
      <c r="G1010" s="9" t="s">
        <v>2702</v>
      </c>
      <c r="H1010">
        <v>25000</v>
      </c>
      <c r="I1010">
        <v>0</v>
      </c>
      <c r="J1010" s="21">
        <v>45627</v>
      </c>
      <c r="K1010" t="s">
        <v>67</v>
      </c>
      <c r="L1010" t="s">
        <v>9</v>
      </c>
      <c r="M1010" t="s">
        <v>9</v>
      </c>
      <c r="O1010">
        <v>0</v>
      </c>
      <c r="S1010" t="str">
        <f>TEXT(Table1[[#This Row],[Date]],"MMM-YY")</f>
        <v>Sep-24</v>
      </c>
      <c r="T1010">
        <f>_xlfn.ISOWEEKNUM(Table1[[#This Row],[Date]])</f>
        <v>37</v>
      </c>
      <c r="U1010" t="str">
        <f>TEXT(Table1[[#This Row],[Expected Business Month]],"YYYY")</f>
        <v>2024</v>
      </c>
    </row>
    <row r="1011" spans="1:21" hidden="1">
      <c r="A1011" s="1">
        <v>45548</v>
      </c>
      <c r="B1011" t="s">
        <v>1777</v>
      </c>
      <c r="C1011" t="s">
        <v>96</v>
      </c>
      <c r="D1011" t="s">
        <v>20</v>
      </c>
      <c r="E1011" t="s">
        <v>23</v>
      </c>
      <c r="F1011" t="s">
        <v>2703</v>
      </c>
      <c r="G1011" s="9" t="s">
        <v>2704</v>
      </c>
      <c r="H1011">
        <v>9000</v>
      </c>
      <c r="I1011">
        <v>0</v>
      </c>
      <c r="J1011" s="21">
        <v>45536</v>
      </c>
      <c r="K1011" t="s">
        <v>67</v>
      </c>
      <c r="L1011" t="s">
        <v>9</v>
      </c>
      <c r="M1011" t="s">
        <v>9</v>
      </c>
      <c r="N1011" t="s">
        <v>707</v>
      </c>
      <c r="O1011">
        <v>0</v>
      </c>
      <c r="S1011" t="str">
        <f>TEXT(Table1[[#This Row],[Date]],"MMM-YY")</f>
        <v>Sep-24</v>
      </c>
      <c r="T1011">
        <f>_xlfn.ISOWEEKNUM(Table1[[#This Row],[Date]])</f>
        <v>37</v>
      </c>
      <c r="U1011" t="str">
        <f>TEXT(Table1[[#This Row],[Expected Business Month]],"YYYY")</f>
        <v>2024</v>
      </c>
    </row>
    <row r="1012" spans="1:21" hidden="1">
      <c r="A1012" s="1">
        <v>45517</v>
      </c>
      <c r="B1012" t="s">
        <v>2705</v>
      </c>
      <c r="C1012" t="s">
        <v>63</v>
      </c>
      <c r="D1012" t="s">
        <v>64</v>
      </c>
      <c r="E1012" t="s">
        <v>26</v>
      </c>
      <c r="F1012" t="s">
        <v>2190</v>
      </c>
      <c r="G1012" s="9" t="s">
        <v>2636</v>
      </c>
      <c r="H1012">
        <v>22000</v>
      </c>
      <c r="I1012">
        <v>0</v>
      </c>
      <c r="J1012" s="21">
        <v>45627</v>
      </c>
      <c r="K1012" t="s">
        <v>67</v>
      </c>
      <c r="L1012" t="s">
        <v>9</v>
      </c>
      <c r="M1012" t="s">
        <v>9</v>
      </c>
      <c r="O1012">
        <v>0</v>
      </c>
      <c r="S1012" t="str">
        <f>TEXT(Table1[[#This Row],[Date]],"MMM-YY")</f>
        <v>Aug-24</v>
      </c>
      <c r="T1012">
        <f>_xlfn.ISOWEEKNUM(Table1[[#This Row],[Date]])</f>
        <v>33</v>
      </c>
      <c r="U1012" t="str">
        <f>TEXT(Table1[[#This Row],[Expected Business Month]],"YYYY")</f>
        <v>2024</v>
      </c>
    </row>
    <row r="1013" spans="1:21" hidden="1">
      <c r="A1013" s="1">
        <v>45548</v>
      </c>
      <c r="B1013" t="s">
        <v>2191</v>
      </c>
      <c r="C1013" t="s">
        <v>63</v>
      </c>
      <c r="D1013" t="s">
        <v>64</v>
      </c>
      <c r="E1013" t="s">
        <v>26</v>
      </c>
      <c r="F1013" t="s">
        <v>2706</v>
      </c>
      <c r="G1013" s="9" t="s">
        <v>2707</v>
      </c>
      <c r="H1013">
        <v>30000</v>
      </c>
      <c r="I1013">
        <v>0</v>
      </c>
      <c r="J1013" s="21">
        <v>45627</v>
      </c>
      <c r="K1013" t="s">
        <v>67</v>
      </c>
      <c r="L1013" t="s">
        <v>9</v>
      </c>
      <c r="M1013" t="s">
        <v>9</v>
      </c>
      <c r="O1013">
        <v>0</v>
      </c>
      <c r="S1013" t="str">
        <f>TEXT(Table1[[#This Row],[Date]],"MMM-YY")</f>
        <v>Sep-24</v>
      </c>
      <c r="T1013">
        <f>_xlfn.ISOWEEKNUM(Table1[[#This Row],[Date]])</f>
        <v>37</v>
      </c>
      <c r="U1013" t="str">
        <f>TEXT(Table1[[#This Row],[Expected Business Month]],"YYYY")</f>
        <v>2024</v>
      </c>
    </row>
    <row r="1014" spans="1:21" hidden="1">
      <c r="A1014" s="1">
        <v>45551</v>
      </c>
      <c r="B1014" t="s">
        <v>2708</v>
      </c>
      <c r="C1014" t="s">
        <v>63</v>
      </c>
      <c r="D1014" t="s">
        <v>64</v>
      </c>
      <c r="E1014" t="s">
        <v>26</v>
      </c>
      <c r="F1014" t="s">
        <v>1707</v>
      </c>
      <c r="G1014" s="9" t="s">
        <v>2709</v>
      </c>
      <c r="H1014">
        <v>0</v>
      </c>
      <c r="I1014">
        <v>0</v>
      </c>
      <c r="J1014" s="21">
        <v>45627</v>
      </c>
      <c r="K1014" t="s">
        <v>67</v>
      </c>
      <c r="L1014" t="s">
        <v>68</v>
      </c>
      <c r="M1014" t="s">
        <v>69</v>
      </c>
      <c r="O1014">
        <v>0</v>
      </c>
      <c r="S1014" t="str">
        <f>TEXT(Table1[[#This Row],[Date]],"MMM-YY")</f>
        <v>Sep-24</v>
      </c>
      <c r="T1014">
        <f>_xlfn.ISOWEEKNUM(Table1[[#This Row],[Date]])</f>
        <v>38</v>
      </c>
      <c r="U1014" t="str">
        <f>TEXT(Table1[[#This Row],[Expected Business Month]],"YYYY")</f>
        <v>2024</v>
      </c>
    </row>
    <row r="1015" spans="1:21" hidden="1">
      <c r="A1015" s="1">
        <v>45551</v>
      </c>
      <c r="B1015" t="s">
        <v>82</v>
      </c>
      <c r="C1015" t="s">
        <v>63</v>
      </c>
      <c r="D1015" t="s">
        <v>64</v>
      </c>
      <c r="E1015" t="s">
        <v>38</v>
      </c>
      <c r="F1015" t="s">
        <v>83</v>
      </c>
      <c r="G1015" s="9" t="s">
        <v>2710</v>
      </c>
      <c r="H1015">
        <v>50000</v>
      </c>
      <c r="I1015">
        <v>0</v>
      </c>
      <c r="J1015" s="21">
        <v>45627</v>
      </c>
      <c r="K1015" t="s">
        <v>67</v>
      </c>
      <c r="L1015" t="s">
        <v>9</v>
      </c>
      <c r="M1015" t="s">
        <v>9</v>
      </c>
      <c r="N1015" t="s">
        <v>602</v>
      </c>
      <c r="O1015">
        <v>0</v>
      </c>
      <c r="S1015" t="str">
        <f>TEXT(Table1[[#This Row],[Date]],"MMM-YY")</f>
        <v>Sep-24</v>
      </c>
      <c r="T1015">
        <f>_xlfn.ISOWEEKNUM(Table1[[#This Row],[Date]])</f>
        <v>38</v>
      </c>
      <c r="U1015" t="str">
        <f>TEXT(Table1[[#This Row],[Expected Business Month]],"YYYY")</f>
        <v>2024</v>
      </c>
    </row>
    <row r="1016" spans="1:21" hidden="1">
      <c r="A1016" s="1">
        <v>45551</v>
      </c>
      <c r="B1016" t="s">
        <v>2711</v>
      </c>
      <c r="C1016" t="s">
        <v>96</v>
      </c>
      <c r="D1016" t="s">
        <v>20</v>
      </c>
      <c r="E1016" t="s">
        <v>23</v>
      </c>
      <c r="F1016" t="s">
        <v>2712</v>
      </c>
      <c r="G1016" s="9" t="s">
        <v>2713</v>
      </c>
      <c r="H1016">
        <v>10000</v>
      </c>
      <c r="I1016">
        <v>10000</v>
      </c>
      <c r="J1016" s="21">
        <v>45536</v>
      </c>
      <c r="K1016" t="s">
        <v>67</v>
      </c>
      <c r="L1016" t="s">
        <v>68</v>
      </c>
      <c r="M1016" t="s">
        <v>69</v>
      </c>
      <c r="O1016">
        <v>0</v>
      </c>
      <c r="S1016" t="str">
        <f>TEXT(Table1[[#This Row],[Date]],"MMM-YY")</f>
        <v>Sep-24</v>
      </c>
      <c r="T1016">
        <f>_xlfn.ISOWEEKNUM(Table1[[#This Row],[Date]])</f>
        <v>38</v>
      </c>
      <c r="U1016" t="str">
        <f>TEXT(Table1[[#This Row],[Expected Business Month]],"YYYY")</f>
        <v>2024</v>
      </c>
    </row>
    <row r="1017" spans="1:21" ht="29.1" hidden="1">
      <c r="A1017" s="1">
        <v>45551</v>
      </c>
      <c r="B1017" t="s">
        <v>2714</v>
      </c>
      <c r="C1017" t="s">
        <v>63</v>
      </c>
      <c r="D1017" t="s">
        <v>64</v>
      </c>
      <c r="E1017" t="s">
        <v>26</v>
      </c>
      <c r="F1017" t="s">
        <v>1105</v>
      </c>
      <c r="G1017" s="9" t="s">
        <v>2090</v>
      </c>
      <c r="H1017">
        <v>20000</v>
      </c>
      <c r="I1017">
        <v>0</v>
      </c>
      <c r="J1017" s="21">
        <v>45566</v>
      </c>
      <c r="K1017" t="s">
        <v>67</v>
      </c>
      <c r="L1017" t="s">
        <v>9</v>
      </c>
      <c r="M1017" t="s">
        <v>9</v>
      </c>
      <c r="N1017" t="s">
        <v>2621</v>
      </c>
      <c r="O1017">
        <v>0</v>
      </c>
      <c r="S1017" t="str">
        <f>TEXT(Table1[[#This Row],[Date]],"MMM-YY")</f>
        <v>Sep-24</v>
      </c>
      <c r="T1017">
        <f>_xlfn.ISOWEEKNUM(Table1[[#This Row],[Date]])</f>
        <v>38</v>
      </c>
      <c r="U1017" t="str">
        <f>TEXT(Table1[[#This Row],[Expected Business Month]],"YYYY")</f>
        <v>2024</v>
      </c>
    </row>
    <row r="1018" spans="1:21" hidden="1">
      <c r="A1018" s="1">
        <v>45551</v>
      </c>
      <c r="B1018" t="s">
        <v>2715</v>
      </c>
      <c r="C1018" t="s">
        <v>63</v>
      </c>
      <c r="D1018" t="s">
        <v>64</v>
      </c>
      <c r="E1018" t="s">
        <v>26</v>
      </c>
      <c r="F1018" t="s">
        <v>2716</v>
      </c>
      <c r="G1018" s="9" t="s">
        <v>1860</v>
      </c>
      <c r="H1018">
        <v>15000</v>
      </c>
      <c r="I1018">
        <v>0</v>
      </c>
      <c r="J1018" s="21">
        <v>45566</v>
      </c>
      <c r="K1018" t="s">
        <v>67</v>
      </c>
      <c r="L1018" t="s">
        <v>9</v>
      </c>
      <c r="M1018" t="s">
        <v>9</v>
      </c>
      <c r="N1018" t="s">
        <v>991</v>
      </c>
      <c r="O1018">
        <v>0</v>
      </c>
      <c r="S1018" t="str">
        <f>TEXT(Table1[[#This Row],[Date]],"MMM-YY")</f>
        <v>Sep-24</v>
      </c>
      <c r="T1018">
        <f>_xlfn.ISOWEEKNUM(Table1[[#This Row],[Date]])</f>
        <v>38</v>
      </c>
      <c r="U1018" t="str">
        <f>TEXT(Table1[[#This Row],[Expected Business Month]],"YYYY")</f>
        <v>2024</v>
      </c>
    </row>
    <row r="1019" spans="1:21" hidden="1">
      <c r="A1019" s="1">
        <v>45186</v>
      </c>
      <c r="B1019" t="s">
        <v>2717</v>
      </c>
      <c r="C1019" t="s">
        <v>96</v>
      </c>
      <c r="D1019" t="s">
        <v>64</v>
      </c>
      <c r="E1019" t="s">
        <v>26</v>
      </c>
      <c r="F1019" t="s">
        <v>1624</v>
      </c>
      <c r="G1019" s="9" t="s">
        <v>2718</v>
      </c>
      <c r="H1019">
        <v>25000</v>
      </c>
      <c r="I1019">
        <v>25000</v>
      </c>
      <c r="J1019" s="21">
        <v>45536</v>
      </c>
      <c r="K1019" t="s">
        <v>67</v>
      </c>
      <c r="L1019" t="s">
        <v>68</v>
      </c>
      <c r="M1019" t="s">
        <v>69</v>
      </c>
      <c r="O1019">
        <v>0</v>
      </c>
      <c r="S1019" t="str">
        <f>TEXT(Table1[[#This Row],[Date]],"MMM-YY")</f>
        <v>Sep-23</v>
      </c>
      <c r="T1019">
        <f>_xlfn.ISOWEEKNUM(Table1[[#This Row],[Date]])</f>
        <v>37</v>
      </c>
      <c r="U1019" t="str">
        <f>TEXT(Table1[[#This Row],[Expected Business Month]],"YYYY")</f>
        <v>2024</v>
      </c>
    </row>
    <row r="1020" spans="1:21" hidden="1">
      <c r="A1020" s="1">
        <v>45186</v>
      </c>
      <c r="B1020" t="s">
        <v>2719</v>
      </c>
      <c r="C1020" t="s">
        <v>96</v>
      </c>
      <c r="D1020" t="s">
        <v>64</v>
      </c>
      <c r="E1020" t="s">
        <v>38</v>
      </c>
      <c r="F1020" t="s">
        <v>2720</v>
      </c>
      <c r="G1020" s="9" t="s">
        <v>2721</v>
      </c>
      <c r="H1020">
        <v>50000</v>
      </c>
      <c r="I1020">
        <v>0</v>
      </c>
      <c r="J1020" s="21">
        <v>45566</v>
      </c>
      <c r="K1020" t="s">
        <v>67</v>
      </c>
      <c r="L1020" t="s">
        <v>9</v>
      </c>
      <c r="M1020" t="s">
        <v>9</v>
      </c>
      <c r="N1020" t="s">
        <v>2722</v>
      </c>
      <c r="O1020">
        <v>0</v>
      </c>
      <c r="S1020" t="str">
        <f>TEXT(Table1[[#This Row],[Date]],"MMM-YY")</f>
        <v>Sep-23</v>
      </c>
      <c r="T1020">
        <f>_xlfn.ISOWEEKNUM(Table1[[#This Row],[Date]])</f>
        <v>37</v>
      </c>
      <c r="U1020" t="str">
        <f>TEXT(Table1[[#This Row],[Expected Business Month]],"YYYY")</f>
        <v>2024</v>
      </c>
    </row>
    <row r="1021" spans="1:21" hidden="1">
      <c r="A1021" s="1">
        <v>45186</v>
      </c>
      <c r="B1021" t="s">
        <v>2723</v>
      </c>
      <c r="C1021" t="s">
        <v>63</v>
      </c>
      <c r="D1021" t="s">
        <v>64</v>
      </c>
      <c r="E1021" t="s">
        <v>41</v>
      </c>
      <c r="F1021" t="s">
        <v>2281</v>
      </c>
      <c r="G1021" s="9" t="s">
        <v>2114</v>
      </c>
      <c r="H1021">
        <v>30000</v>
      </c>
      <c r="I1021">
        <v>0</v>
      </c>
      <c r="J1021" s="21">
        <v>45627</v>
      </c>
      <c r="K1021" t="s">
        <v>67</v>
      </c>
      <c r="L1021" t="s">
        <v>9</v>
      </c>
      <c r="M1021" t="s">
        <v>9</v>
      </c>
      <c r="O1021">
        <v>0</v>
      </c>
      <c r="S1021" t="str">
        <f>TEXT(Table1[[#This Row],[Date]],"MMM-YY")</f>
        <v>Sep-23</v>
      </c>
      <c r="T1021">
        <f>_xlfn.ISOWEEKNUM(Table1[[#This Row],[Date]])</f>
        <v>37</v>
      </c>
      <c r="U1021" t="str">
        <f>TEXT(Table1[[#This Row],[Expected Business Month]],"YYYY")</f>
        <v>2024</v>
      </c>
    </row>
    <row r="1022" spans="1:21" hidden="1">
      <c r="A1022" s="1">
        <v>45186</v>
      </c>
      <c r="B1022" t="s">
        <v>2724</v>
      </c>
      <c r="C1022" t="s">
        <v>63</v>
      </c>
      <c r="D1022" t="s">
        <v>105</v>
      </c>
      <c r="E1022" t="s">
        <v>18</v>
      </c>
      <c r="F1022" t="s">
        <v>2523</v>
      </c>
      <c r="G1022" s="9" t="s">
        <v>2114</v>
      </c>
      <c r="H1022">
        <v>25000</v>
      </c>
      <c r="I1022">
        <v>0</v>
      </c>
      <c r="J1022" s="21">
        <v>45627</v>
      </c>
      <c r="K1022" t="s">
        <v>67</v>
      </c>
      <c r="L1022" t="s">
        <v>9</v>
      </c>
      <c r="M1022" t="s">
        <v>9</v>
      </c>
      <c r="O1022">
        <v>0</v>
      </c>
      <c r="S1022" t="str">
        <f>TEXT(Table1[[#This Row],[Date]],"MMM-YY")</f>
        <v>Sep-23</v>
      </c>
      <c r="T1022">
        <f>_xlfn.ISOWEEKNUM(Table1[[#This Row],[Date]])</f>
        <v>37</v>
      </c>
      <c r="U1022" t="str">
        <f>TEXT(Table1[[#This Row],[Expected Business Month]],"YYYY")</f>
        <v>2024</v>
      </c>
    </row>
    <row r="1023" spans="1:21" hidden="1">
      <c r="A1023" s="1">
        <v>45186</v>
      </c>
      <c r="B1023" t="s">
        <v>2725</v>
      </c>
      <c r="C1023" t="s">
        <v>63</v>
      </c>
      <c r="D1023" t="s">
        <v>64</v>
      </c>
      <c r="E1023" t="s">
        <v>26</v>
      </c>
      <c r="F1023" t="s">
        <v>2726</v>
      </c>
      <c r="G1023" s="9" t="s">
        <v>2655</v>
      </c>
      <c r="H1023">
        <v>30000</v>
      </c>
      <c r="I1023">
        <v>0</v>
      </c>
      <c r="J1023" s="21">
        <v>45627</v>
      </c>
      <c r="K1023" t="s">
        <v>67</v>
      </c>
      <c r="L1023" t="s">
        <v>9</v>
      </c>
      <c r="M1023" t="s">
        <v>9</v>
      </c>
      <c r="O1023">
        <v>0</v>
      </c>
      <c r="S1023" t="str">
        <f>TEXT(Table1[[#This Row],[Date]],"MMM-YY")</f>
        <v>Sep-23</v>
      </c>
      <c r="T1023">
        <f>_xlfn.ISOWEEKNUM(Table1[[#This Row],[Date]])</f>
        <v>37</v>
      </c>
      <c r="U1023" t="str">
        <f>TEXT(Table1[[#This Row],[Expected Business Month]],"YYYY")</f>
        <v>2024</v>
      </c>
    </row>
    <row r="1024" spans="1:21" ht="29.1" hidden="1">
      <c r="A1024" s="1">
        <v>45553</v>
      </c>
      <c r="B1024" t="s">
        <v>324</v>
      </c>
      <c r="C1024" t="s">
        <v>96</v>
      </c>
      <c r="D1024" t="s">
        <v>64</v>
      </c>
      <c r="E1024" t="s">
        <v>38</v>
      </c>
      <c r="F1024" t="s">
        <v>325</v>
      </c>
      <c r="G1024" s="9" t="s">
        <v>2727</v>
      </c>
      <c r="H1024">
        <v>44198</v>
      </c>
      <c r="I1024">
        <v>44198</v>
      </c>
      <c r="J1024" s="21">
        <v>45536</v>
      </c>
      <c r="K1024" t="s">
        <v>99</v>
      </c>
      <c r="L1024" t="s">
        <v>68</v>
      </c>
      <c r="M1024" t="s">
        <v>69</v>
      </c>
      <c r="O1024">
        <v>0</v>
      </c>
      <c r="S1024" t="str">
        <f>TEXT(Table1[[#This Row],[Date]],"MMM-YY")</f>
        <v>Sep-24</v>
      </c>
      <c r="T1024">
        <f>_xlfn.ISOWEEKNUM(Table1[[#This Row],[Date]])</f>
        <v>38</v>
      </c>
      <c r="U1024" t="str">
        <f>TEXT(Table1[[#This Row],[Expected Business Month]],"YYYY")</f>
        <v>2024</v>
      </c>
    </row>
    <row r="1025" spans="1:21" hidden="1">
      <c r="A1025" s="1">
        <v>45553</v>
      </c>
      <c r="B1025" t="s">
        <v>1053</v>
      </c>
      <c r="C1025" t="s">
        <v>63</v>
      </c>
      <c r="D1025" t="s">
        <v>64</v>
      </c>
      <c r="E1025" t="s">
        <v>28</v>
      </c>
      <c r="F1025" t="s">
        <v>2728</v>
      </c>
      <c r="G1025" s="9" t="s">
        <v>2636</v>
      </c>
      <c r="H1025">
        <v>33000</v>
      </c>
      <c r="I1025">
        <v>0</v>
      </c>
      <c r="J1025" s="21">
        <v>45566</v>
      </c>
      <c r="K1025" t="s">
        <v>67</v>
      </c>
      <c r="L1025" t="s">
        <v>9</v>
      </c>
      <c r="M1025" t="s">
        <v>9</v>
      </c>
      <c r="N1025" t="s">
        <v>991</v>
      </c>
      <c r="O1025">
        <v>0</v>
      </c>
      <c r="S1025" t="str">
        <f>TEXT(Table1[[#This Row],[Date]],"MMM-YY")</f>
        <v>Sep-24</v>
      </c>
      <c r="T1025">
        <f>_xlfn.ISOWEEKNUM(Table1[[#This Row],[Date]])</f>
        <v>38</v>
      </c>
      <c r="U1025" t="str">
        <f>TEXT(Table1[[#This Row],[Expected Business Month]],"YYYY")</f>
        <v>2024</v>
      </c>
    </row>
    <row r="1026" spans="1:21" hidden="1">
      <c r="A1026" s="1">
        <v>45553</v>
      </c>
      <c r="B1026" t="s">
        <v>2170</v>
      </c>
      <c r="C1026" t="s">
        <v>63</v>
      </c>
      <c r="D1026" t="s">
        <v>64</v>
      </c>
      <c r="E1026" t="s">
        <v>26</v>
      </c>
      <c r="F1026" t="s">
        <v>1327</v>
      </c>
      <c r="G1026" s="9" t="s">
        <v>2729</v>
      </c>
      <c r="H1026">
        <v>15000</v>
      </c>
      <c r="I1026">
        <v>0</v>
      </c>
      <c r="J1026" s="21">
        <v>45566</v>
      </c>
      <c r="K1026" t="s">
        <v>67</v>
      </c>
      <c r="L1026" t="s">
        <v>9</v>
      </c>
      <c r="M1026" t="s">
        <v>9</v>
      </c>
      <c r="N1026" t="s">
        <v>2730</v>
      </c>
      <c r="O1026">
        <v>0</v>
      </c>
      <c r="S1026" t="str">
        <f>TEXT(Table1[[#This Row],[Date]],"MMM-YY")</f>
        <v>Sep-24</v>
      </c>
      <c r="T1026">
        <f>_xlfn.ISOWEEKNUM(Table1[[#This Row],[Date]])</f>
        <v>38</v>
      </c>
      <c r="U1026" t="str">
        <f>TEXT(Table1[[#This Row],[Expected Business Month]],"YYYY")</f>
        <v>2024</v>
      </c>
    </row>
    <row r="1027" spans="1:21" hidden="1">
      <c r="A1027" s="1">
        <v>45553</v>
      </c>
      <c r="B1027" t="s">
        <v>2514</v>
      </c>
      <c r="C1027" t="s">
        <v>96</v>
      </c>
      <c r="D1027" t="s">
        <v>105</v>
      </c>
      <c r="E1027" t="s">
        <v>18</v>
      </c>
      <c r="F1027" t="s">
        <v>545</v>
      </c>
      <c r="G1027" s="9" t="s">
        <v>2731</v>
      </c>
      <c r="H1027">
        <v>30000</v>
      </c>
      <c r="I1027">
        <v>0</v>
      </c>
      <c r="J1027" s="21">
        <v>45627</v>
      </c>
      <c r="K1027" t="s">
        <v>67</v>
      </c>
      <c r="L1027" t="s">
        <v>9</v>
      </c>
      <c r="M1027" t="s">
        <v>9</v>
      </c>
      <c r="O1027">
        <v>0</v>
      </c>
      <c r="S1027" t="str">
        <f>TEXT(Table1[[#This Row],[Date]],"MMM-YY")</f>
        <v>Sep-24</v>
      </c>
      <c r="T1027">
        <f>_xlfn.ISOWEEKNUM(Table1[[#This Row],[Date]])</f>
        <v>38</v>
      </c>
      <c r="U1027" t="str">
        <f>TEXT(Table1[[#This Row],[Expected Business Month]],"YYYY")</f>
        <v>2024</v>
      </c>
    </row>
    <row r="1028" spans="1:21" hidden="1">
      <c r="A1028" s="1">
        <v>45553</v>
      </c>
      <c r="B1028" t="s">
        <v>2333</v>
      </c>
      <c r="C1028" t="s">
        <v>63</v>
      </c>
      <c r="D1028" t="s">
        <v>105</v>
      </c>
      <c r="E1028" t="s">
        <v>18</v>
      </c>
      <c r="F1028" t="s">
        <v>2334</v>
      </c>
      <c r="G1028" s="9" t="s">
        <v>2732</v>
      </c>
      <c r="H1028">
        <v>25000</v>
      </c>
      <c r="I1028">
        <v>0</v>
      </c>
      <c r="J1028" s="21">
        <v>45627</v>
      </c>
      <c r="K1028" t="s">
        <v>67</v>
      </c>
      <c r="L1028" t="s">
        <v>9</v>
      </c>
      <c r="M1028" t="s">
        <v>9</v>
      </c>
      <c r="N1028" t="s">
        <v>707</v>
      </c>
      <c r="O1028">
        <v>0</v>
      </c>
      <c r="S1028" t="str">
        <f>TEXT(Table1[[#This Row],[Date]],"MMM-YY")</f>
        <v>Sep-24</v>
      </c>
      <c r="T1028">
        <f>_xlfn.ISOWEEKNUM(Table1[[#This Row],[Date]])</f>
        <v>38</v>
      </c>
      <c r="U1028" t="str">
        <f>TEXT(Table1[[#This Row],[Expected Business Month]],"YYYY")</f>
        <v>2024</v>
      </c>
    </row>
    <row r="1029" spans="1:21" hidden="1">
      <c r="A1029" s="1">
        <v>45554</v>
      </c>
      <c r="B1029" t="s">
        <v>2733</v>
      </c>
      <c r="C1029" t="s">
        <v>63</v>
      </c>
      <c r="D1029" t="s">
        <v>64</v>
      </c>
      <c r="E1029" t="s">
        <v>27</v>
      </c>
      <c r="F1029" t="s">
        <v>2414</v>
      </c>
      <c r="G1029" s="9" t="s">
        <v>2734</v>
      </c>
      <c r="H1029">
        <v>30000</v>
      </c>
      <c r="I1029">
        <v>0</v>
      </c>
      <c r="J1029" s="21">
        <v>45627</v>
      </c>
      <c r="K1029" t="s">
        <v>67</v>
      </c>
      <c r="L1029" t="s">
        <v>9</v>
      </c>
      <c r="M1029" t="s">
        <v>9</v>
      </c>
      <c r="O1029">
        <v>0</v>
      </c>
      <c r="S1029" t="str">
        <f>TEXT(Table1[[#This Row],[Date]],"MMM-YY")</f>
        <v>Sep-24</v>
      </c>
      <c r="T1029">
        <f>_xlfn.ISOWEEKNUM(Table1[[#This Row],[Date]])</f>
        <v>38</v>
      </c>
      <c r="U1029" t="str">
        <f>TEXT(Table1[[#This Row],[Expected Business Month]],"YYYY")</f>
        <v>2024</v>
      </c>
    </row>
    <row r="1030" spans="1:21" hidden="1">
      <c r="A1030" s="1">
        <v>45554</v>
      </c>
      <c r="B1030" t="s">
        <v>399</v>
      </c>
      <c r="C1030" t="s">
        <v>96</v>
      </c>
      <c r="D1030" t="s">
        <v>2681</v>
      </c>
      <c r="E1030" t="s">
        <v>32</v>
      </c>
      <c r="F1030" t="s">
        <v>106</v>
      </c>
      <c r="G1030" s="9" t="s">
        <v>2735</v>
      </c>
      <c r="H1030">
        <v>27000</v>
      </c>
      <c r="I1030">
        <v>27000</v>
      </c>
      <c r="J1030" s="21">
        <v>45536</v>
      </c>
      <c r="K1030" t="s">
        <v>67</v>
      </c>
      <c r="L1030" t="s">
        <v>68</v>
      </c>
      <c r="M1030" t="s">
        <v>69</v>
      </c>
      <c r="O1030">
        <v>0</v>
      </c>
      <c r="S1030" t="str">
        <f>TEXT(Table1[[#This Row],[Date]],"MMM-YY")</f>
        <v>Sep-24</v>
      </c>
      <c r="T1030">
        <f>_xlfn.ISOWEEKNUM(Table1[[#This Row],[Date]])</f>
        <v>38</v>
      </c>
      <c r="U1030" t="str">
        <f>TEXT(Table1[[#This Row],[Expected Business Month]],"YYYY")</f>
        <v>2024</v>
      </c>
    </row>
    <row r="1031" spans="1:21" hidden="1">
      <c r="A1031" s="1">
        <v>45554</v>
      </c>
      <c r="B1031" t="s">
        <v>2736</v>
      </c>
      <c r="C1031" t="s">
        <v>63</v>
      </c>
      <c r="D1031" t="s">
        <v>2077</v>
      </c>
      <c r="E1031" t="s">
        <v>25</v>
      </c>
      <c r="F1031" t="s">
        <v>2737</v>
      </c>
      <c r="G1031" s="9" t="s">
        <v>2738</v>
      </c>
      <c r="H1031">
        <v>12000</v>
      </c>
      <c r="I1031">
        <v>12000</v>
      </c>
      <c r="J1031" s="21">
        <v>45536</v>
      </c>
      <c r="K1031" t="s">
        <v>67</v>
      </c>
      <c r="L1031" t="s">
        <v>68</v>
      </c>
      <c r="M1031" t="s">
        <v>69</v>
      </c>
      <c r="O1031">
        <v>0</v>
      </c>
      <c r="S1031" t="str">
        <f>TEXT(Table1[[#This Row],[Date]],"MMM-YY")</f>
        <v>Sep-24</v>
      </c>
      <c r="T1031">
        <f>_xlfn.ISOWEEKNUM(Table1[[#This Row],[Date]])</f>
        <v>38</v>
      </c>
      <c r="U1031" t="str">
        <f>TEXT(Table1[[#This Row],[Expected Business Month]],"YYYY")</f>
        <v>2024</v>
      </c>
    </row>
    <row r="1032" spans="1:21" hidden="1">
      <c r="A1032" s="1">
        <v>45554</v>
      </c>
      <c r="B1032" t="s">
        <v>1228</v>
      </c>
      <c r="C1032" t="s">
        <v>96</v>
      </c>
      <c r="D1032" t="s">
        <v>20</v>
      </c>
      <c r="E1032" t="s">
        <v>23</v>
      </c>
      <c r="F1032" t="s">
        <v>2378</v>
      </c>
      <c r="G1032" s="9" t="s">
        <v>2739</v>
      </c>
      <c r="H1032">
        <v>22000</v>
      </c>
      <c r="I1032">
        <v>0</v>
      </c>
      <c r="J1032" s="21">
        <v>45536</v>
      </c>
      <c r="K1032" t="s">
        <v>67</v>
      </c>
      <c r="L1032" t="s">
        <v>9</v>
      </c>
      <c r="M1032" t="s">
        <v>9</v>
      </c>
      <c r="N1032" t="s">
        <v>2740</v>
      </c>
      <c r="O1032">
        <v>0</v>
      </c>
      <c r="S1032" t="str">
        <f>TEXT(Table1[[#This Row],[Date]],"MMM-YY")</f>
        <v>Sep-24</v>
      </c>
      <c r="T1032">
        <f>_xlfn.ISOWEEKNUM(Table1[[#This Row],[Date]])</f>
        <v>38</v>
      </c>
      <c r="U1032" t="str">
        <f>TEXT(Table1[[#This Row],[Expected Business Month]],"YYYY")</f>
        <v>2024</v>
      </c>
    </row>
    <row r="1033" spans="1:21" hidden="1">
      <c r="A1033" s="1">
        <v>45554</v>
      </c>
      <c r="B1033" t="s">
        <v>2741</v>
      </c>
      <c r="C1033" t="s">
        <v>96</v>
      </c>
      <c r="D1033" t="s">
        <v>2077</v>
      </c>
      <c r="E1033" t="s">
        <v>25</v>
      </c>
      <c r="F1033" t="s">
        <v>2742</v>
      </c>
      <c r="G1033" s="9" t="s">
        <v>1857</v>
      </c>
      <c r="H1033">
        <v>20000</v>
      </c>
      <c r="I1033">
        <v>0</v>
      </c>
      <c r="J1033" s="21">
        <v>45627</v>
      </c>
      <c r="K1033" t="s">
        <v>67</v>
      </c>
      <c r="L1033" t="s">
        <v>9</v>
      </c>
      <c r="M1033" t="s">
        <v>9</v>
      </c>
      <c r="O1033">
        <v>0</v>
      </c>
      <c r="S1033" t="str">
        <f>TEXT(Table1[[#This Row],[Date]],"MMM-YY")</f>
        <v>Sep-24</v>
      </c>
      <c r="T1033">
        <f>_xlfn.ISOWEEKNUM(Table1[[#This Row],[Date]])</f>
        <v>38</v>
      </c>
      <c r="U1033" t="str">
        <f>TEXT(Table1[[#This Row],[Expected Business Month]],"YYYY")</f>
        <v>2024</v>
      </c>
    </row>
    <row r="1034" spans="1:21" hidden="1">
      <c r="A1034" s="1">
        <v>45555</v>
      </c>
      <c r="B1034" t="s">
        <v>304</v>
      </c>
      <c r="C1034" t="s">
        <v>96</v>
      </c>
      <c r="D1034" t="s">
        <v>20</v>
      </c>
      <c r="E1034" t="s">
        <v>23</v>
      </c>
      <c r="F1034" t="s">
        <v>2743</v>
      </c>
      <c r="G1034" s="9" t="s">
        <v>2744</v>
      </c>
      <c r="H1034">
        <v>20000</v>
      </c>
      <c r="I1034">
        <v>0</v>
      </c>
      <c r="J1034" s="21">
        <v>45536</v>
      </c>
      <c r="K1034" t="s">
        <v>67</v>
      </c>
      <c r="L1034" t="s">
        <v>9</v>
      </c>
      <c r="M1034" t="s">
        <v>9</v>
      </c>
      <c r="N1034" t="s">
        <v>2745</v>
      </c>
      <c r="O1034">
        <v>0</v>
      </c>
      <c r="S1034" t="str">
        <f>TEXT(Table1[[#This Row],[Date]],"MMM-YY")</f>
        <v>Sep-24</v>
      </c>
      <c r="T1034">
        <f>_xlfn.ISOWEEKNUM(Table1[[#This Row],[Date]])</f>
        <v>38</v>
      </c>
      <c r="U1034" t="str">
        <f>TEXT(Table1[[#This Row],[Expected Business Month]],"YYYY")</f>
        <v>2024</v>
      </c>
    </row>
    <row r="1035" spans="1:21" hidden="1">
      <c r="A1035" s="1">
        <v>45555</v>
      </c>
      <c r="B1035" t="s">
        <v>2746</v>
      </c>
      <c r="C1035" t="s">
        <v>63</v>
      </c>
      <c r="D1035" t="s">
        <v>105</v>
      </c>
      <c r="E1035" t="s">
        <v>18</v>
      </c>
      <c r="F1035" t="s">
        <v>2747</v>
      </c>
      <c r="G1035" s="9" t="s">
        <v>2748</v>
      </c>
      <c r="H1035">
        <v>28000</v>
      </c>
      <c r="I1035">
        <v>0</v>
      </c>
      <c r="J1035" s="21">
        <v>45566</v>
      </c>
      <c r="K1035" t="s">
        <v>67</v>
      </c>
      <c r="L1035" t="s">
        <v>9</v>
      </c>
      <c r="M1035" t="s">
        <v>9</v>
      </c>
      <c r="N1035" t="s">
        <v>707</v>
      </c>
      <c r="O1035">
        <v>0</v>
      </c>
      <c r="S1035" t="str">
        <f>TEXT(Table1[[#This Row],[Date]],"MMM-YY")</f>
        <v>Sep-24</v>
      </c>
      <c r="T1035">
        <f>_xlfn.ISOWEEKNUM(Table1[[#This Row],[Date]])</f>
        <v>38</v>
      </c>
      <c r="U1035" t="str">
        <f>TEXT(Table1[[#This Row],[Expected Business Month]],"YYYY")</f>
        <v>2024</v>
      </c>
    </row>
    <row r="1036" spans="1:21" hidden="1">
      <c r="A1036" s="1">
        <v>45555</v>
      </c>
      <c r="B1036" t="s">
        <v>2749</v>
      </c>
      <c r="C1036" t="s">
        <v>63</v>
      </c>
      <c r="D1036" t="s">
        <v>64</v>
      </c>
      <c r="E1036" t="s">
        <v>26</v>
      </c>
      <c r="F1036" t="s">
        <v>1390</v>
      </c>
      <c r="G1036" s="9" t="s">
        <v>1857</v>
      </c>
      <c r="H1036">
        <v>18000</v>
      </c>
      <c r="I1036">
        <v>0</v>
      </c>
      <c r="J1036" s="21">
        <v>45627</v>
      </c>
      <c r="K1036" t="s">
        <v>67</v>
      </c>
      <c r="L1036" t="s">
        <v>9</v>
      </c>
      <c r="M1036" t="s">
        <v>9</v>
      </c>
      <c r="O1036">
        <v>0</v>
      </c>
      <c r="S1036" t="str">
        <f>TEXT(Table1[[#This Row],[Date]],"MMM-YY")</f>
        <v>Sep-24</v>
      </c>
      <c r="T1036">
        <f>_xlfn.ISOWEEKNUM(Table1[[#This Row],[Date]])</f>
        <v>38</v>
      </c>
      <c r="U1036" t="str">
        <f>TEXT(Table1[[#This Row],[Expected Business Month]],"YYYY")</f>
        <v>2024</v>
      </c>
    </row>
    <row r="1037" spans="1:21" hidden="1">
      <c r="A1037" s="1">
        <v>45555</v>
      </c>
      <c r="B1037" t="s">
        <v>1255</v>
      </c>
      <c r="C1037" t="s">
        <v>63</v>
      </c>
      <c r="D1037" t="s">
        <v>64</v>
      </c>
      <c r="E1037" t="s">
        <v>14</v>
      </c>
      <c r="F1037" t="s">
        <v>73</v>
      </c>
      <c r="G1037" s="9" t="s">
        <v>1857</v>
      </c>
      <c r="H1037">
        <v>40000</v>
      </c>
      <c r="I1037">
        <v>0</v>
      </c>
      <c r="J1037" s="21">
        <v>45627</v>
      </c>
      <c r="K1037" t="s">
        <v>67</v>
      </c>
      <c r="L1037" t="s">
        <v>9</v>
      </c>
      <c r="M1037" t="s">
        <v>9</v>
      </c>
      <c r="O1037">
        <v>0</v>
      </c>
      <c r="S1037" t="str">
        <f>TEXT(Table1[[#This Row],[Date]],"MMM-YY")</f>
        <v>Sep-24</v>
      </c>
      <c r="T1037">
        <f>_xlfn.ISOWEEKNUM(Table1[[#This Row],[Date]])</f>
        <v>38</v>
      </c>
      <c r="U1037" t="str">
        <f>TEXT(Table1[[#This Row],[Expected Business Month]],"YYYY")</f>
        <v>2024</v>
      </c>
    </row>
    <row r="1038" spans="1:21" hidden="1">
      <c r="A1038" s="1">
        <v>45556</v>
      </c>
      <c r="B1038" t="s">
        <v>2750</v>
      </c>
      <c r="C1038" t="s">
        <v>96</v>
      </c>
      <c r="D1038" t="s">
        <v>2751</v>
      </c>
      <c r="E1038" t="s">
        <v>32</v>
      </c>
      <c r="F1038" t="s">
        <v>2752</v>
      </c>
      <c r="G1038" s="9" t="s">
        <v>2753</v>
      </c>
      <c r="H1038">
        <v>10000</v>
      </c>
      <c r="I1038">
        <v>10000</v>
      </c>
      <c r="J1038" s="21">
        <v>45536</v>
      </c>
      <c r="K1038" t="s">
        <v>67</v>
      </c>
      <c r="L1038" t="s">
        <v>68</v>
      </c>
      <c r="M1038" t="s">
        <v>69</v>
      </c>
      <c r="O1038">
        <v>0</v>
      </c>
      <c r="S1038" t="str">
        <f>TEXT(Table1[[#This Row],[Date]],"MMM-YY")</f>
        <v>Sep-24</v>
      </c>
      <c r="T1038">
        <f>_xlfn.ISOWEEKNUM(Table1[[#This Row],[Date]])</f>
        <v>38</v>
      </c>
      <c r="U1038" t="str">
        <f>TEXT(Table1[[#This Row],[Expected Business Month]],"YYYY")</f>
        <v>2024</v>
      </c>
    </row>
    <row r="1039" spans="1:21" hidden="1">
      <c r="A1039" s="1">
        <v>45557</v>
      </c>
      <c r="B1039" t="s">
        <v>2754</v>
      </c>
      <c r="C1039" t="s">
        <v>2755</v>
      </c>
      <c r="D1039" t="s">
        <v>20</v>
      </c>
      <c r="E1039" t="s">
        <v>23</v>
      </c>
      <c r="F1039" t="s">
        <v>2756</v>
      </c>
      <c r="G1039" s="9" t="s">
        <v>2757</v>
      </c>
      <c r="H1039">
        <v>9000</v>
      </c>
      <c r="I1039">
        <v>9000</v>
      </c>
      <c r="J1039" s="21">
        <v>45536</v>
      </c>
      <c r="K1039" t="s">
        <v>67</v>
      </c>
      <c r="L1039" t="s">
        <v>68</v>
      </c>
      <c r="M1039" t="s">
        <v>69</v>
      </c>
      <c r="O1039">
        <v>0</v>
      </c>
      <c r="S1039" t="str">
        <f>TEXT(Table1[[#This Row],[Date]],"MMM-YY")</f>
        <v>Sep-24</v>
      </c>
      <c r="T1039">
        <f>_xlfn.ISOWEEKNUM(Table1[[#This Row],[Date]])</f>
        <v>38</v>
      </c>
      <c r="U1039" t="str">
        <f>TEXT(Table1[[#This Row],[Expected Business Month]],"YYYY")</f>
        <v>2024</v>
      </c>
    </row>
    <row r="1040" spans="1:21" hidden="1">
      <c r="A1040" s="1">
        <v>45558</v>
      </c>
      <c r="B1040" t="s">
        <v>2758</v>
      </c>
      <c r="C1040" t="s">
        <v>63</v>
      </c>
      <c r="D1040" t="s">
        <v>618</v>
      </c>
      <c r="E1040" t="s">
        <v>18</v>
      </c>
      <c r="F1040" t="s">
        <v>2759</v>
      </c>
      <c r="G1040" s="9" t="s">
        <v>2760</v>
      </c>
      <c r="H1040">
        <v>40000</v>
      </c>
      <c r="I1040">
        <v>0</v>
      </c>
      <c r="J1040" s="21">
        <v>45627</v>
      </c>
      <c r="K1040" t="s">
        <v>67</v>
      </c>
      <c r="L1040" t="s">
        <v>9</v>
      </c>
      <c r="M1040" t="s">
        <v>9</v>
      </c>
      <c r="O1040">
        <v>0</v>
      </c>
      <c r="S1040" t="str">
        <f>TEXT(Table1[[#This Row],[Date]],"MMM-YY")</f>
        <v>Sep-24</v>
      </c>
      <c r="T1040">
        <f>_xlfn.ISOWEEKNUM(Table1[[#This Row],[Date]])</f>
        <v>39</v>
      </c>
      <c r="U1040" t="str">
        <f>TEXT(Table1[[#This Row],[Expected Business Month]],"YYYY")</f>
        <v>2024</v>
      </c>
    </row>
    <row r="1041" spans="1:21" hidden="1">
      <c r="A1041" s="1">
        <v>45558</v>
      </c>
      <c r="B1041" t="s">
        <v>2761</v>
      </c>
      <c r="C1041" t="s">
        <v>63</v>
      </c>
      <c r="D1041" t="s">
        <v>36</v>
      </c>
      <c r="E1041" t="s">
        <v>15</v>
      </c>
      <c r="F1041" t="s">
        <v>2762</v>
      </c>
      <c r="G1041" s="9" t="s">
        <v>2763</v>
      </c>
      <c r="H1041">
        <v>45000</v>
      </c>
      <c r="I1041">
        <v>0</v>
      </c>
      <c r="J1041" s="21">
        <v>45627</v>
      </c>
      <c r="K1041" t="s">
        <v>67</v>
      </c>
      <c r="L1041" t="s">
        <v>9</v>
      </c>
      <c r="M1041" t="s">
        <v>9</v>
      </c>
      <c r="N1041" t="s">
        <v>2764</v>
      </c>
      <c r="O1041">
        <v>0</v>
      </c>
      <c r="S1041" t="str">
        <f>TEXT(Table1[[#This Row],[Date]],"MMM-YY")</f>
        <v>Sep-24</v>
      </c>
      <c r="T1041">
        <f>_xlfn.ISOWEEKNUM(Table1[[#This Row],[Date]])</f>
        <v>39</v>
      </c>
      <c r="U1041" t="str">
        <f>TEXT(Table1[[#This Row],[Expected Business Month]],"YYYY")</f>
        <v>2024</v>
      </c>
    </row>
    <row r="1042" spans="1:21" hidden="1">
      <c r="A1042" s="1">
        <v>45558</v>
      </c>
      <c r="B1042" t="s">
        <v>2511</v>
      </c>
      <c r="C1042" t="s">
        <v>96</v>
      </c>
      <c r="D1042" t="s">
        <v>64</v>
      </c>
      <c r="E1042" t="s">
        <v>30</v>
      </c>
      <c r="F1042" t="s">
        <v>2512</v>
      </c>
      <c r="G1042" s="9" t="s">
        <v>2636</v>
      </c>
      <c r="H1042">
        <v>20000</v>
      </c>
      <c r="I1042">
        <v>0</v>
      </c>
      <c r="J1042" s="21">
        <v>45566</v>
      </c>
      <c r="K1042" t="s">
        <v>67</v>
      </c>
      <c r="L1042" t="s">
        <v>9</v>
      </c>
      <c r="M1042" t="s">
        <v>9</v>
      </c>
      <c r="N1042" t="s">
        <v>586</v>
      </c>
      <c r="O1042">
        <v>0</v>
      </c>
      <c r="S1042" t="str">
        <f>TEXT(Table1[[#This Row],[Date]],"MMM-YY")</f>
        <v>Sep-24</v>
      </c>
      <c r="T1042">
        <f>_xlfn.ISOWEEKNUM(Table1[[#This Row],[Date]])</f>
        <v>39</v>
      </c>
      <c r="U1042" t="str">
        <f>TEXT(Table1[[#This Row],[Expected Business Month]],"YYYY")</f>
        <v>2024</v>
      </c>
    </row>
    <row r="1043" spans="1:21" hidden="1">
      <c r="A1043" s="1">
        <v>45558</v>
      </c>
      <c r="B1043" t="s">
        <v>2765</v>
      </c>
      <c r="C1043" t="s">
        <v>63</v>
      </c>
      <c r="D1043" t="s">
        <v>64</v>
      </c>
      <c r="E1043" t="s">
        <v>30</v>
      </c>
      <c r="F1043" t="s">
        <v>1170</v>
      </c>
      <c r="G1043" s="9" t="s">
        <v>2566</v>
      </c>
      <c r="H1043">
        <v>25000</v>
      </c>
      <c r="I1043">
        <v>0</v>
      </c>
      <c r="J1043" s="21">
        <v>45627</v>
      </c>
      <c r="K1043" t="s">
        <v>67</v>
      </c>
      <c r="L1043" t="s">
        <v>9</v>
      </c>
      <c r="M1043" t="s">
        <v>9</v>
      </c>
      <c r="O1043">
        <v>0</v>
      </c>
      <c r="S1043" t="str">
        <f>TEXT(Table1[[#This Row],[Date]],"MMM-YY")</f>
        <v>Sep-24</v>
      </c>
      <c r="T1043">
        <f>_xlfn.ISOWEEKNUM(Table1[[#This Row],[Date]])</f>
        <v>39</v>
      </c>
      <c r="U1043" t="str">
        <f>TEXT(Table1[[#This Row],[Expected Business Month]],"YYYY")</f>
        <v>2024</v>
      </c>
    </row>
    <row r="1044" spans="1:21" hidden="1">
      <c r="A1044" s="1">
        <v>45559</v>
      </c>
      <c r="B1044" t="s">
        <v>2766</v>
      </c>
      <c r="C1044" t="s">
        <v>96</v>
      </c>
      <c r="D1044" t="s">
        <v>20</v>
      </c>
      <c r="E1044" t="s">
        <v>23</v>
      </c>
      <c r="F1044" t="s">
        <v>2767</v>
      </c>
      <c r="G1044" s="9" t="s">
        <v>2768</v>
      </c>
      <c r="H1044">
        <v>25000</v>
      </c>
      <c r="I1044">
        <v>25000</v>
      </c>
      <c r="J1044" s="21">
        <v>45536</v>
      </c>
      <c r="K1044" t="s">
        <v>67</v>
      </c>
      <c r="L1044" t="s">
        <v>68</v>
      </c>
      <c r="M1044" t="s">
        <v>69</v>
      </c>
      <c r="O1044">
        <v>0</v>
      </c>
      <c r="S1044" t="str">
        <f>TEXT(Table1[[#This Row],[Date]],"MMM-YY")</f>
        <v>Sep-24</v>
      </c>
      <c r="T1044">
        <f>_xlfn.ISOWEEKNUM(Table1[[#This Row],[Date]])</f>
        <v>39</v>
      </c>
      <c r="U1044" t="str">
        <f>TEXT(Table1[[#This Row],[Expected Business Month]],"YYYY")</f>
        <v>2024</v>
      </c>
    </row>
    <row r="1045" spans="1:21" hidden="1">
      <c r="A1045" s="1">
        <v>45559</v>
      </c>
      <c r="B1045" t="s">
        <v>2769</v>
      </c>
      <c r="C1045" t="s">
        <v>96</v>
      </c>
      <c r="D1045" t="s">
        <v>64</v>
      </c>
      <c r="E1045" t="s">
        <v>29</v>
      </c>
      <c r="F1045" t="s">
        <v>164</v>
      </c>
      <c r="G1045" s="9" t="s">
        <v>2770</v>
      </c>
      <c r="H1045">
        <v>0</v>
      </c>
      <c r="I1045">
        <v>0</v>
      </c>
      <c r="J1045" s="21">
        <v>45566</v>
      </c>
      <c r="K1045" t="s">
        <v>67</v>
      </c>
      <c r="L1045" t="s">
        <v>68</v>
      </c>
      <c r="M1045" t="s">
        <v>69</v>
      </c>
      <c r="O1045">
        <v>0</v>
      </c>
      <c r="S1045" t="str">
        <f>TEXT(Table1[[#This Row],[Date]],"MMM-YY")</f>
        <v>Sep-24</v>
      </c>
      <c r="T1045">
        <f>_xlfn.ISOWEEKNUM(Table1[[#This Row],[Date]])</f>
        <v>39</v>
      </c>
      <c r="U1045" t="str">
        <f>TEXT(Table1[[#This Row],[Expected Business Month]],"YYYY")</f>
        <v>2024</v>
      </c>
    </row>
    <row r="1046" spans="1:21" ht="29.1" hidden="1">
      <c r="A1046" s="1">
        <v>45559</v>
      </c>
      <c r="B1046" t="s">
        <v>2771</v>
      </c>
      <c r="C1046" t="s">
        <v>63</v>
      </c>
      <c r="D1046" t="s">
        <v>64</v>
      </c>
      <c r="E1046" t="s">
        <v>27</v>
      </c>
      <c r="F1046" t="s">
        <v>214</v>
      </c>
      <c r="G1046" s="9" t="s">
        <v>2772</v>
      </c>
      <c r="H1046">
        <v>96500</v>
      </c>
      <c r="I1046">
        <v>96500</v>
      </c>
      <c r="J1046" s="21">
        <v>45536</v>
      </c>
      <c r="K1046" t="s">
        <v>67</v>
      </c>
      <c r="L1046" t="s">
        <v>68</v>
      </c>
      <c r="M1046" t="s">
        <v>69</v>
      </c>
      <c r="O1046">
        <v>0</v>
      </c>
      <c r="S1046" t="str">
        <f>TEXT(Table1[[#This Row],[Date]],"MMM-YY")</f>
        <v>Sep-24</v>
      </c>
      <c r="T1046">
        <f>_xlfn.ISOWEEKNUM(Table1[[#This Row],[Date]])</f>
        <v>39</v>
      </c>
      <c r="U1046" t="str">
        <f>TEXT(Table1[[#This Row],[Expected Business Month]],"YYYY")</f>
        <v>2024</v>
      </c>
    </row>
    <row r="1047" spans="1:21" hidden="1">
      <c r="A1047" s="1">
        <v>45559</v>
      </c>
      <c r="B1047" t="s">
        <v>2773</v>
      </c>
      <c r="C1047" t="s">
        <v>63</v>
      </c>
      <c r="D1047" t="s">
        <v>64</v>
      </c>
      <c r="E1047" t="s">
        <v>28</v>
      </c>
      <c r="F1047" t="s">
        <v>196</v>
      </c>
      <c r="G1047" s="9" t="s">
        <v>2774</v>
      </c>
      <c r="H1047">
        <v>0</v>
      </c>
      <c r="I1047">
        <v>0</v>
      </c>
      <c r="J1047" s="21">
        <v>45627</v>
      </c>
      <c r="K1047" t="s">
        <v>67</v>
      </c>
      <c r="L1047" t="s">
        <v>68</v>
      </c>
      <c r="M1047" t="s">
        <v>69</v>
      </c>
      <c r="O1047">
        <v>0</v>
      </c>
      <c r="S1047" t="str">
        <f>TEXT(Table1[[#This Row],[Date]],"MMM-YY")</f>
        <v>Sep-24</v>
      </c>
      <c r="T1047">
        <f>_xlfn.ISOWEEKNUM(Table1[[#This Row],[Date]])</f>
        <v>39</v>
      </c>
      <c r="U1047" t="str">
        <f>TEXT(Table1[[#This Row],[Expected Business Month]],"YYYY")</f>
        <v>2024</v>
      </c>
    </row>
    <row r="1048" spans="1:21" hidden="1">
      <c r="A1048" s="1">
        <v>45559</v>
      </c>
      <c r="B1048" t="s">
        <v>2775</v>
      </c>
      <c r="C1048" t="s">
        <v>96</v>
      </c>
      <c r="D1048" t="s">
        <v>64</v>
      </c>
      <c r="E1048" t="s">
        <v>38</v>
      </c>
      <c r="F1048" t="s">
        <v>461</v>
      </c>
      <c r="G1048" s="9" t="s">
        <v>2776</v>
      </c>
      <c r="H1048">
        <v>30000</v>
      </c>
      <c r="I1048">
        <v>0</v>
      </c>
      <c r="J1048" s="21">
        <v>45627</v>
      </c>
      <c r="K1048" t="s">
        <v>67</v>
      </c>
      <c r="L1048" t="s">
        <v>9</v>
      </c>
      <c r="M1048" t="s">
        <v>9</v>
      </c>
      <c r="O1048">
        <v>0</v>
      </c>
      <c r="S1048" t="str">
        <f>TEXT(Table1[[#This Row],[Date]],"MMM-YY")</f>
        <v>Sep-24</v>
      </c>
      <c r="T1048">
        <f>_xlfn.ISOWEEKNUM(Table1[[#This Row],[Date]])</f>
        <v>39</v>
      </c>
      <c r="U1048" t="str">
        <f>TEXT(Table1[[#This Row],[Expected Business Month]],"YYYY")</f>
        <v>2024</v>
      </c>
    </row>
    <row r="1049" spans="1:21" ht="29.1" hidden="1">
      <c r="A1049" s="1">
        <v>45560</v>
      </c>
      <c r="B1049" t="s">
        <v>324</v>
      </c>
      <c r="C1049" t="s">
        <v>96</v>
      </c>
      <c r="D1049" t="s">
        <v>64</v>
      </c>
      <c r="E1049" t="s">
        <v>38</v>
      </c>
      <c r="F1049" t="s">
        <v>325</v>
      </c>
      <c r="G1049" s="9" t="s">
        <v>2777</v>
      </c>
      <c r="H1049">
        <v>44198</v>
      </c>
      <c r="I1049">
        <v>44198</v>
      </c>
      <c r="J1049" s="21">
        <v>45536</v>
      </c>
      <c r="K1049" t="s">
        <v>99</v>
      </c>
      <c r="L1049" t="s">
        <v>68</v>
      </c>
      <c r="M1049" t="s">
        <v>69</v>
      </c>
      <c r="O1049">
        <v>0</v>
      </c>
      <c r="S1049" t="str">
        <f>TEXT(Table1[[#This Row],[Date]],"MMM-YY")</f>
        <v>Sep-24</v>
      </c>
      <c r="T1049">
        <f>_xlfn.ISOWEEKNUM(Table1[[#This Row],[Date]])</f>
        <v>39</v>
      </c>
      <c r="U1049" t="str">
        <f>TEXT(Table1[[#This Row],[Expected Business Month]],"YYYY")</f>
        <v>2024</v>
      </c>
    </row>
    <row r="1050" spans="1:21" ht="29.1" hidden="1">
      <c r="A1050" s="1">
        <v>45560</v>
      </c>
      <c r="B1050" t="s">
        <v>2778</v>
      </c>
      <c r="C1050" t="s">
        <v>63</v>
      </c>
      <c r="D1050" t="s">
        <v>64</v>
      </c>
      <c r="E1050" t="s">
        <v>29</v>
      </c>
      <c r="F1050" t="s">
        <v>2779</v>
      </c>
      <c r="G1050" s="9" t="s">
        <v>2780</v>
      </c>
      <c r="H1050">
        <v>0</v>
      </c>
      <c r="I1050">
        <v>0</v>
      </c>
      <c r="J1050" s="21">
        <v>45566</v>
      </c>
      <c r="K1050" t="s">
        <v>67</v>
      </c>
      <c r="L1050" t="s">
        <v>68</v>
      </c>
      <c r="M1050" t="s">
        <v>69</v>
      </c>
      <c r="O1050">
        <v>0</v>
      </c>
      <c r="S1050" t="str">
        <f>TEXT(Table1[[#This Row],[Date]],"MMM-YY")</f>
        <v>Sep-24</v>
      </c>
      <c r="T1050">
        <f>_xlfn.ISOWEEKNUM(Table1[[#This Row],[Date]])</f>
        <v>39</v>
      </c>
      <c r="U1050" t="str">
        <f>TEXT(Table1[[#This Row],[Expected Business Month]],"YYYY")</f>
        <v>2024</v>
      </c>
    </row>
    <row r="1051" spans="1:21" hidden="1">
      <c r="A1051" s="1">
        <v>45560</v>
      </c>
      <c r="B1051" t="s">
        <v>2781</v>
      </c>
      <c r="C1051" t="s">
        <v>63</v>
      </c>
      <c r="D1051" t="s">
        <v>20</v>
      </c>
      <c r="E1051" t="s">
        <v>23</v>
      </c>
      <c r="F1051" t="s">
        <v>2782</v>
      </c>
      <c r="G1051" s="9" t="s">
        <v>2783</v>
      </c>
      <c r="H1051">
        <v>40000</v>
      </c>
      <c r="I1051">
        <v>0</v>
      </c>
      <c r="J1051" s="21">
        <v>45566</v>
      </c>
      <c r="K1051" t="s">
        <v>67</v>
      </c>
      <c r="L1051" t="s">
        <v>9</v>
      </c>
      <c r="M1051" t="s">
        <v>9</v>
      </c>
      <c r="N1051" t="s">
        <v>1145</v>
      </c>
      <c r="O1051">
        <v>0</v>
      </c>
      <c r="S1051" t="str">
        <f>TEXT(Table1[[#This Row],[Date]],"MMM-YY")</f>
        <v>Sep-24</v>
      </c>
      <c r="T1051">
        <f>_xlfn.ISOWEEKNUM(Table1[[#This Row],[Date]])</f>
        <v>39</v>
      </c>
      <c r="U1051" t="str">
        <f>TEXT(Table1[[#This Row],[Expected Business Month]],"YYYY")</f>
        <v>2024</v>
      </c>
    </row>
    <row r="1052" spans="1:21" hidden="1">
      <c r="A1052" s="1">
        <v>45560</v>
      </c>
      <c r="B1052" t="s">
        <v>749</v>
      </c>
      <c r="C1052" t="s">
        <v>63</v>
      </c>
      <c r="D1052" t="s">
        <v>64</v>
      </c>
      <c r="E1052" t="s">
        <v>26</v>
      </c>
      <c r="F1052" t="s">
        <v>2224</v>
      </c>
      <c r="G1052" s="9" t="s">
        <v>1857</v>
      </c>
      <c r="H1052">
        <v>30000</v>
      </c>
      <c r="I1052">
        <v>0</v>
      </c>
      <c r="J1052" s="21">
        <v>45627</v>
      </c>
      <c r="K1052" t="s">
        <v>67</v>
      </c>
      <c r="L1052" t="s">
        <v>9</v>
      </c>
      <c r="M1052" t="s">
        <v>9</v>
      </c>
      <c r="O1052">
        <v>0</v>
      </c>
      <c r="S1052" t="str">
        <f>TEXT(Table1[[#This Row],[Date]],"MMM-YY")</f>
        <v>Sep-24</v>
      </c>
      <c r="T1052">
        <f>_xlfn.ISOWEEKNUM(Table1[[#This Row],[Date]])</f>
        <v>39</v>
      </c>
      <c r="U1052" t="str">
        <f>TEXT(Table1[[#This Row],[Expected Business Month]],"YYYY")</f>
        <v>2024</v>
      </c>
    </row>
    <row r="1053" spans="1:21" ht="29.1" hidden="1">
      <c r="A1053" s="1">
        <v>45561</v>
      </c>
      <c r="B1053" t="s">
        <v>1762</v>
      </c>
      <c r="C1053" t="s">
        <v>96</v>
      </c>
      <c r="D1053" t="s">
        <v>2681</v>
      </c>
      <c r="E1053" t="s">
        <v>32</v>
      </c>
      <c r="F1053" t="s">
        <v>2784</v>
      </c>
      <c r="G1053" s="9" t="s">
        <v>2785</v>
      </c>
      <c r="H1053">
        <v>15000</v>
      </c>
      <c r="I1053">
        <v>15000</v>
      </c>
      <c r="J1053" s="21">
        <v>45536</v>
      </c>
      <c r="K1053" t="s">
        <v>67</v>
      </c>
      <c r="L1053" t="s">
        <v>68</v>
      </c>
      <c r="M1053" t="s">
        <v>69</v>
      </c>
      <c r="O1053">
        <v>0</v>
      </c>
      <c r="S1053" t="str">
        <f>TEXT(Table1[[#This Row],[Date]],"MMM-YY")</f>
        <v>Sep-24</v>
      </c>
      <c r="T1053">
        <f>_xlfn.ISOWEEKNUM(Table1[[#This Row],[Date]])</f>
        <v>39</v>
      </c>
      <c r="U1053" t="str">
        <f>TEXT(Table1[[#This Row],[Expected Business Month]],"YYYY")</f>
        <v>2024</v>
      </c>
    </row>
    <row r="1054" spans="1:21" hidden="1">
      <c r="A1054" s="1">
        <v>45561</v>
      </c>
      <c r="B1054" t="s">
        <v>2257</v>
      </c>
      <c r="C1054" t="s">
        <v>63</v>
      </c>
      <c r="D1054" t="s">
        <v>64</v>
      </c>
      <c r="E1054" t="s">
        <v>38</v>
      </c>
      <c r="F1054" t="s">
        <v>2786</v>
      </c>
      <c r="G1054" s="9" t="s">
        <v>2787</v>
      </c>
      <c r="H1054">
        <v>30000</v>
      </c>
      <c r="I1054">
        <v>0</v>
      </c>
      <c r="J1054" s="21">
        <v>45627</v>
      </c>
      <c r="K1054" t="s">
        <v>67</v>
      </c>
      <c r="L1054" t="s">
        <v>9</v>
      </c>
      <c r="M1054" t="s">
        <v>9</v>
      </c>
      <c r="O1054">
        <v>0</v>
      </c>
      <c r="S1054" t="str">
        <f>TEXT(Table1[[#This Row],[Date]],"MMM-YY")</f>
        <v>Sep-24</v>
      </c>
      <c r="T1054">
        <f>_xlfn.ISOWEEKNUM(Table1[[#This Row],[Date]])</f>
        <v>39</v>
      </c>
      <c r="U1054" t="str">
        <f>TEXT(Table1[[#This Row],[Expected Business Month]],"YYYY")</f>
        <v>2024</v>
      </c>
    </row>
    <row r="1055" spans="1:21" hidden="1">
      <c r="A1055" s="1">
        <v>45561</v>
      </c>
      <c r="B1055" t="s">
        <v>2383</v>
      </c>
      <c r="C1055" t="s">
        <v>63</v>
      </c>
      <c r="D1055" t="s">
        <v>64</v>
      </c>
      <c r="E1055" t="s">
        <v>26</v>
      </c>
      <c r="F1055" t="s">
        <v>2788</v>
      </c>
      <c r="G1055" s="9" t="s">
        <v>2655</v>
      </c>
      <c r="H1055">
        <v>20000</v>
      </c>
      <c r="I1055">
        <v>0</v>
      </c>
      <c r="J1055" s="21">
        <v>45627</v>
      </c>
      <c r="K1055" t="s">
        <v>67</v>
      </c>
      <c r="L1055" t="s">
        <v>9</v>
      </c>
      <c r="M1055" t="s">
        <v>9</v>
      </c>
      <c r="O1055">
        <v>0</v>
      </c>
      <c r="S1055" t="str">
        <f>TEXT(Table1[[#This Row],[Date]],"MMM-YY")</f>
        <v>Sep-24</v>
      </c>
      <c r="T1055">
        <f>_xlfn.ISOWEEKNUM(Table1[[#This Row],[Date]])</f>
        <v>39</v>
      </c>
      <c r="U1055" t="str">
        <f>TEXT(Table1[[#This Row],[Expected Business Month]],"YYYY")</f>
        <v>2024</v>
      </c>
    </row>
    <row r="1056" spans="1:21" ht="29.1" hidden="1">
      <c r="A1056" s="1">
        <v>45561</v>
      </c>
      <c r="B1056" t="s">
        <v>2789</v>
      </c>
      <c r="C1056" t="s">
        <v>96</v>
      </c>
      <c r="D1056" t="s">
        <v>618</v>
      </c>
      <c r="E1056" t="s">
        <v>18</v>
      </c>
      <c r="F1056" t="s">
        <v>2790</v>
      </c>
      <c r="G1056" s="9" t="s">
        <v>2090</v>
      </c>
      <c r="H1056">
        <v>40000</v>
      </c>
      <c r="I1056">
        <v>0</v>
      </c>
      <c r="J1056" s="21">
        <v>45627</v>
      </c>
      <c r="K1056" t="s">
        <v>67</v>
      </c>
      <c r="L1056" t="s">
        <v>9</v>
      </c>
      <c r="M1056" t="s">
        <v>9</v>
      </c>
      <c r="O1056">
        <v>0</v>
      </c>
      <c r="S1056" t="str">
        <f>TEXT(Table1[[#This Row],[Date]],"MMM-YY")</f>
        <v>Sep-24</v>
      </c>
      <c r="T1056">
        <f>_xlfn.ISOWEEKNUM(Table1[[#This Row],[Date]])</f>
        <v>39</v>
      </c>
      <c r="U1056" t="str">
        <f>TEXT(Table1[[#This Row],[Expected Business Month]],"YYYY")</f>
        <v>2024</v>
      </c>
    </row>
    <row r="1057" spans="1:21" hidden="1">
      <c r="A1057" s="1">
        <v>45561</v>
      </c>
      <c r="B1057" t="s">
        <v>2063</v>
      </c>
      <c r="C1057" t="s">
        <v>96</v>
      </c>
      <c r="D1057" t="s">
        <v>64</v>
      </c>
      <c r="E1057" t="s">
        <v>26</v>
      </c>
      <c r="F1057" t="s">
        <v>2791</v>
      </c>
      <c r="G1057" s="9" t="s">
        <v>1854</v>
      </c>
      <c r="H1057">
        <v>30000</v>
      </c>
      <c r="I1057">
        <v>0</v>
      </c>
      <c r="J1057" s="21">
        <v>45627</v>
      </c>
      <c r="K1057" t="s">
        <v>67</v>
      </c>
      <c r="L1057" t="s">
        <v>9</v>
      </c>
      <c r="M1057" t="s">
        <v>9</v>
      </c>
      <c r="O1057">
        <v>0</v>
      </c>
      <c r="S1057" t="str">
        <f>TEXT(Table1[[#This Row],[Date]],"MMM-YY")</f>
        <v>Sep-24</v>
      </c>
      <c r="T1057">
        <f>_xlfn.ISOWEEKNUM(Table1[[#This Row],[Date]])</f>
        <v>39</v>
      </c>
      <c r="U1057" t="str">
        <f>TEXT(Table1[[#This Row],[Expected Business Month]],"YYYY")</f>
        <v>2024</v>
      </c>
    </row>
    <row r="1058" spans="1:21" hidden="1">
      <c r="A1058" s="1">
        <v>45562</v>
      </c>
      <c r="B1058" t="s">
        <v>2771</v>
      </c>
      <c r="C1058" t="s">
        <v>96</v>
      </c>
      <c r="D1058" t="s">
        <v>64</v>
      </c>
      <c r="E1058" t="s">
        <v>27</v>
      </c>
      <c r="F1058" t="s">
        <v>214</v>
      </c>
      <c r="G1058" s="9" t="s">
        <v>2792</v>
      </c>
      <c r="H1058">
        <v>2500</v>
      </c>
      <c r="I1058">
        <v>2500</v>
      </c>
      <c r="J1058" s="21">
        <v>45536</v>
      </c>
      <c r="K1058" t="s">
        <v>67</v>
      </c>
      <c r="L1058" t="s">
        <v>68</v>
      </c>
      <c r="M1058" t="s">
        <v>69</v>
      </c>
      <c r="O1058">
        <v>0</v>
      </c>
      <c r="S1058" t="str">
        <f>TEXT(Table1[[#This Row],[Date]],"MMM-YY")</f>
        <v>Sep-24</v>
      </c>
      <c r="T1058">
        <f>_xlfn.ISOWEEKNUM(Table1[[#This Row],[Date]])</f>
        <v>39</v>
      </c>
      <c r="U1058" t="str">
        <f>TEXT(Table1[[#This Row],[Expected Business Month]],"YYYY")</f>
        <v>2024</v>
      </c>
    </row>
    <row r="1059" spans="1:21" hidden="1">
      <c r="A1059" s="1">
        <v>45562</v>
      </c>
      <c r="B1059" t="s">
        <v>245</v>
      </c>
      <c r="C1059" t="s">
        <v>96</v>
      </c>
      <c r="D1059" t="s">
        <v>20</v>
      </c>
      <c r="E1059" t="s">
        <v>23</v>
      </c>
      <c r="F1059" t="s">
        <v>396</v>
      </c>
      <c r="G1059" s="9" t="s">
        <v>2793</v>
      </c>
      <c r="H1059">
        <v>20000</v>
      </c>
      <c r="I1059">
        <v>20000</v>
      </c>
      <c r="J1059" s="21">
        <v>45536</v>
      </c>
      <c r="K1059" t="s">
        <v>67</v>
      </c>
      <c r="L1059" t="s">
        <v>68</v>
      </c>
      <c r="M1059" t="s">
        <v>69</v>
      </c>
      <c r="O1059">
        <v>0</v>
      </c>
      <c r="S1059" t="str">
        <f>TEXT(Table1[[#This Row],[Date]],"MMM-YY")</f>
        <v>Sep-24</v>
      </c>
      <c r="T1059">
        <f>_xlfn.ISOWEEKNUM(Table1[[#This Row],[Date]])</f>
        <v>39</v>
      </c>
      <c r="U1059" t="str">
        <f>TEXT(Table1[[#This Row],[Expected Business Month]],"YYYY")</f>
        <v>2024</v>
      </c>
    </row>
    <row r="1060" spans="1:21" hidden="1">
      <c r="A1060" s="1">
        <v>45562</v>
      </c>
      <c r="B1060" t="s">
        <v>2794</v>
      </c>
      <c r="C1060" t="s">
        <v>63</v>
      </c>
      <c r="D1060" t="s">
        <v>64</v>
      </c>
      <c r="E1060" t="s">
        <v>26</v>
      </c>
      <c r="F1060" t="s">
        <v>2044</v>
      </c>
      <c r="G1060" s="9" t="s">
        <v>293</v>
      </c>
      <c r="H1060">
        <v>18000</v>
      </c>
      <c r="I1060">
        <v>0</v>
      </c>
      <c r="J1060" s="21">
        <v>45627</v>
      </c>
      <c r="K1060" t="s">
        <v>67</v>
      </c>
      <c r="L1060" t="s">
        <v>9</v>
      </c>
      <c r="M1060" t="s">
        <v>9</v>
      </c>
      <c r="O1060">
        <v>0</v>
      </c>
      <c r="S1060" t="str">
        <f>TEXT(Table1[[#This Row],[Date]],"MMM-YY")</f>
        <v>Sep-24</v>
      </c>
      <c r="T1060">
        <f>_xlfn.ISOWEEKNUM(Table1[[#This Row],[Date]])</f>
        <v>39</v>
      </c>
      <c r="U1060" t="str">
        <f>TEXT(Table1[[#This Row],[Expected Business Month]],"YYYY")</f>
        <v>2024</v>
      </c>
    </row>
    <row r="1061" spans="1:21" hidden="1">
      <c r="A1061" s="1">
        <v>45562</v>
      </c>
      <c r="B1061" t="s">
        <v>2795</v>
      </c>
      <c r="C1061" t="s">
        <v>96</v>
      </c>
      <c r="D1061" t="s">
        <v>2681</v>
      </c>
      <c r="E1061" t="s">
        <v>32</v>
      </c>
      <c r="F1061" t="s">
        <v>2796</v>
      </c>
      <c r="G1061" s="9" t="s">
        <v>2797</v>
      </c>
      <c r="H1061">
        <v>15000</v>
      </c>
      <c r="I1061">
        <v>15000</v>
      </c>
      <c r="J1061" s="21">
        <v>45536</v>
      </c>
      <c r="K1061" t="s">
        <v>67</v>
      </c>
      <c r="L1061" t="s">
        <v>68</v>
      </c>
      <c r="M1061" t="s">
        <v>69</v>
      </c>
      <c r="O1061">
        <v>0</v>
      </c>
      <c r="S1061" t="str">
        <f>TEXT(Table1[[#This Row],[Date]],"MMM-YY")</f>
        <v>Sep-24</v>
      </c>
      <c r="T1061">
        <f>_xlfn.ISOWEEKNUM(Table1[[#This Row],[Date]])</f>
        <v>39</v>
      </c>
      <c r="U1061" t="str">
        <f>TEXT(Table1[[#This Row],[Expected Business Month]],"YYYY")</f>
        <v>2024</v>
      </c>
    </row>
    <row r="1062" spans="1:21" hidden="1">
      <c r="A1062" s="1">
        <v>45563</v>
      </c>
      <c r="B1062" t="s">
        <v>2798</v>
      </c>
      <c r="C1062" t="s">
        <v>96</v>
      </c>
      <c r="D1062" t="s">
        <v>2681</v>
      </c>
      <c r="E1062" t="s">
        <v>32</v>
      </c>
      <c r="F1062" t="s">
        <v>2799</v>
      </c>
      <c r="G1062" s="9" t="s">
        <v>2800</v>
      </c>
      <c r="H1062">
        <v>10000</v>
      </c>
      <c r="I1062">
        <v>10000</v>
      </c>
      <c r="J1062" s="21">
        <v>45536</v>
      </c>
      <c r="K1062" t="s">
        <v>67</v>
      </c>
      <c r="L1062" t="s">
        <v>68</v>
      </c>
      <c r="M1062" t="s">
        <v>69</v>
      </c>
      <c r="O1062">
        <v>0</v>
      </c>
      <c r="S1062" t="str">
        <f>TEXT(Table1[[#This Row],[Date]],"MMM-YY")</f>
        <v>Sep-24</v>
      </c>
      <c r="T1062">
        <f>_xlfn.ISOWEEKNUM(Table1[[#This Row],[Date]])</f>
        <v>39</v>
      </c>
      <c r="U1062" t="str">
        <f>TEXT(Table1[[#This Row],[Expected Business Month]],"YYYY")</f>
        <v>2024</v>
      </c>
    </row>
    <row r="1063" spans="1:21" hidden="1">
      <c r="A1063" s="1">
        <v>45564</v>
      </c>
      <c r="B1063" t="s">
        <v>2801</v>
      </c>
      <c r="C1063" t="s">
        <v>96</v>
      </c>
      <c r="D1063" t="s">
        <v>1641</v>
      </c>
      <c r="E1063" t="s">
        <v>41</v>
      </c>
      <c r="F1063" t="s">
        <v>2767</v>
      </c>
      <c r="G1063" s="9" t="s">
        <v>2802</v>
      </c>
      <c r="H1063">
        <v>8000</v>
      </c>
      <c r="I1063">
        <v>8000</v>
      </c>
      <c r="J1063" s="21">
        <v>45536</v>
      </c>
      <c r="K1063" t="s">
        <v>67</v>
      </c>
      <c r="L1063" t="s">
        <v>68</v>
      </c>
      <c r="M1063" t="s">
        <v>69</v>
      </c>
      <c r="O1063">
        <v>0</v>
      </c>
      <c r="S1063" t="str">
        <f>TEXT(Table1[[#This Row],[Date]],"MMM-YY")</f>
        <v>Sep-24</v>
      </c>
      <c r="T1063">
        <f>_xlfn.ISOWEEKNUM(Table1[[#This Row],[Date]])</f>
        <v>39</v>
      </c>
      <c r="U1063" t="str">
        <f>TEXT(Table1[[#This Row],[Expected Business Month]],"YYYY")</f>
        <v>2024</v>
      </c>
    </row>
    <row r="1064" spans="1:21" hidden="1">
      <c r="A1064" s="1">
        <v>45564</v>
      </c>
      <c r="B1064" t="s">
        <v>401</v>
      </c>
      <c r="C1064" t="s">
        <v>96</v>
      </c>
      <c r="D1064" t="s">
        <v>2681</v>
      </c>
      <c r="E1064" t="s">
        <v>32</v>
      </c>
      <c r="F1064" t="s">
        <v>2803</v>
      </c>
      <c r="G1064" s="9" t="s">
        <v>2804</v>
      </c>
      <c r="H1064">
        <v>25000</v>
      </c>
      <c r="I1064">
        <v>25000</v>
      </c>
      <c r="J1064" s="21">
        <v>45536</v>
      </c>
      <c r="K1064" t="s">
        <v>67</v>
      </c>
      <c r="L1064" t="s">
        <v>68</v>
      </c>
      <c r="M1064" t="s">
        <v>69</v>
      </c>
      <c r="O1064">
        <v>0</v>
      </c>
      <c r="S1064" t="str">
        <f>TEXT(Table1[[#This Row],[Date]],"MMM-YY")</f>
        <v>Sep-24</v>
      </c>
      <c r="T1064">
        <f>_xlfn.ISOWEEKNUM(Table1[[#This Row],[Date]])</f>
        <v>39</v>
      </c>
      <c r="U1064" t="str">
        <f>TEXT(Table1[[#This Row],[Expected Business Month]],"YYYY")</f>
        <v>2024</v>
      </c>
    </row>
    <row r="1065" spans="1:21" ht="29.1" hidden="1">
      <c r="A1065" s="1">
        <v>45565</v>
      </c>
      <c r="B1065" t="s">
        <v>2805</v>
      </c>
      <c r="C1065" t="s">
        <v>96</v>
      </c>
      <c r="D1065" t="s">
        <v>2681</v>
      </c>
      <c r="E1065" t="s">
        <v>32</v>
      </c>
      <c r="F1065" t="s">
        <v>2806</v>
      </c>
      <c r="G1065" s="9" t="s">
        <v>2807</v>
      </c>
      <c r="H1065">
        <v>10000</v>
      </c>
      <c r="I1065">
        <v>10000</v>
      </c>
      <c r="J1065" s="21">
        <v>45536</v>
      </c>
      <c r="K1065" t="s">
        <v>67</v>
      </c>
      <c r="L1065" t="s">
        <v>68</v>
      </c>
      <c r="M1065" t="s">
        <v>69</v>
      </c>
      <c r="O1065">
        <v>0</v>
      </c>
      <c r="S1065" t="str">
        <f>TEXT(Table1[[#This Row],[Date]],"MMM-YY")</f>
        <v>Sep-24</v>
      </c>
      <c r="T1065">
        <f>_xlfn.ISOWEEKNUM(Table1[[#This Row],[Date]])</f>
        <v>40</v>
      </c>
      <c r="U1065" t="str">
        <f>TEXT(Table1[[#This Row],[Expected Business Month]],"YYYY")</f>
        <v>2024</v>
      </c>
    </row>
    <row r="1066" spans="1:21" ht="29.1" hidden="1">
      <c r="A1066" s="1">
        <v>45565</v>
      </c>
      <c r="B1066" t="s">
        <v>2808</v>
      </c>
      <c r="C1066" t="s">
        <v>63</v>
      </c>
      <c r="D1066" t="s">
        <v>64</v>
      </c>
      <c r="E1066" t="s">
        <v>14</v>
      </c>
      <c r="F1066" t="s">
        <v>184</v>
      </c>
      <c r="G1066" s="9" t="s">
        <v>2809</v>
      </c>
      <c r="H1066">
        <v>14500</v>
      </c>
      <c r="I1066">
        <v>14500</v>
      </c>
      <c r="J1066" s="21">
        <v>45536</v>
      </c>
      <c r="K1066" t="s">
        <v>67</v>
      </c>
      <c r="L1066" t="s">
        <v>68</v>
      </c>
      <c r="M1066" t="s">
        <v>69</v>
      </c>
      <c r="O1066">
        <v>0</v>
      </c>
      <c r="S1066" t="str">
        <f>TEXT(Table1[[#This Row],[Date]],"MMM-YY")</f>
        <v>Sep-24</v>
      </c>
      <c r="T1066">
        <f>_xlfn.ISOWEEKNUM(Table1[[#This Row],[Date]])</f>
        <v>40</v>
      </c>
      <c r="U1066" t="str">
        <f>TEXT(Table1[[#This Row],[Expected Business Month]],"YYYY")</f>
        <v>2024</v>
      </c>
    </row>
    <row r="1067" spans="1:21" hidden="1">
      <c r="A1067" s="1">
        <v>45565</v>
      </c>
      <c r="B1067" t="s">
        <v>2810</v>
      </c>
      <c r="C1067" t="s">
        <v>63</v>
      </c>
      <c r="D1067" t="s">
        <v>64</v>
      </c>
      <c r="E1067" t="s">
        <v>32</v>
      </c>
      <c r="F1067" t="s">
        <v>2811</v>
      </c>
      <c r="G1067" s="9" t="s">
        <v>2812</v>
      </c>
      <c r="H1067">
        <v>16000</v>
      </c>
      <c r="I1067">
        <v>16000</v>
      </c>
      <c r="J1067" s="21">
        <v>45536</v>
      </c>
      <c r="K1067" t="s">
        <v>67</v>
      </c>
      <c r="L1067" t="s">
        <v>68</v>
      </c>
      <c r="M1067" t="s">
        <v>69</v>
      </c>
      <c r="O1067">
        <v>0</v>
      </c>
      <c r="S1067" t="str">
        <f>TEXT(Table1[[#This Row],[Date]],"MMM-YY")</f>
        <v>Sep-24</v>
      </c>
      <c r="T1067">
        <f>_xlfn.ISOWEEKNUM(Table1[[#This Row],[Date]])</f>
        <v>40</v>
      </c>
      <c r="U1067" t="str">
        <f>TEXT(Table1[[#This Row],[Expected Business Month]],"YYYY")</f>
        <v>2024</v>
      </c>
    </row>
    <row r="1068" spans="1:21" hidden="1">
      <c r="A1068" s="1">
        <v>45565</v>
      </c>
      <c r="B1068" t="s">
        <v>2240</v>
      </c>
      <c r="C1068" t="s">
        <v>96</v>
      </c>
      <c r="D1068" t="s">
        <v>64</v>
      </c>
      <c r="E1068" t="s">
        <v>26</v>
      </c>
      <c r="F1068" t="s">
        <v>1434</v>
      </c>
      <c r="G1068" s="9" t="s">
        <v>2813</v>
      </c>
      <c r="H1068">
        <v>4000</v>
      </c>
      <c r="I1068">
        <v>4000</v>
      </c>
      <c r="J1068" s="21">
        <v>45566</v>
      </c>
      <c r="K1068" t="s">
        <v>67</v>
      </c>
      <c r="L1068" t="s">
        <v>68</v>
      </c>
      <c r="M1068" t="s">
        <v>69</v>
      </c>
      <c r="O1068">
        <v>0</v>
      </c>
      <c r="S1068" t="str">
        <f>TEXT(Table1[[#This Row],[Date]],"MMM-YY")</f>
        <v>Sep-24</v>
      </c>
      <c r="T1068">
        <f>_xlfn.ISOWEEKNUM(Table1[[#This Row],[Date]])</f>
        <v>40</v>
      </c>
      <c r="U1068" t="str">
        <f>TEXT(Table1[[#This Row],[Expected Business Month]],"YYYY")</f>
        <v>2024</v>
      </c>
    </row>
    <row r="1069" spans="1:21" hidden="1">
      <c r="A1069" s="1">
        <v>45565</v>
      </c>
      <c r="B1069" t="s">
        <v>2814</v>
      </c>
      <c r="C1069" t="s">
        <v>63</v>
      </c>
      <c r="D1069" t="s">
        <v>64</v>
      </c>
      <c r="E1069" t="s">
        <v>38</v>
      </c>
      <c r="F1069" t="s">
        <v>2815</v>
      </c>
      <c r="G1069" s="9" t="s">
        <v>2787</v>
      </c>
      <c r="H1069">
        <v>50000</v>
      </c>
      <c r="I1069">
        <v>0</v>
      </c>
      <c r="J1069" s="21">
        <v>45627</v>
      </c>
      <c r="K1069" t="s">
        <v>67</v>
      </c>
      <c r="L1069" t="s">
        <v>9</v>
      </c>
      <c r="M1069" t="s">
        <v>9</v>
      </c>
      <c r="O1069">
        <v>0</v>
      </c>
      <c r="S1069" t="str">
        <f>TEXT(Table1[[#This Row],[Date]],"MMM-YY")</f>
        <v>Sep-24</v>
      </c>
      <c r="T1069">
        <f>_xlfn.ISOWEEKNUM(Table1[[#This Row],[Date]])</f>
        <v>40</v>
      </c>
      <c r="U1069" t="str">
        <f>TEXT(Table1[[#This Row],[Expected Business Month]],"YYYY")</f>
        <v>2024</v>
      </c>
    </row>
    <row r="1070" spans="1:21" hidden="1">
      <c r="A1070" s="1">
        <v>45566</v>
      </c>
      <c r="B1070" t="s">
        <v>2816</v>
      </c>
      <c r="C1070" t="s">
        <v>63</v>
      </c>
      <c r="D1070" t="s">
        <v>64</v>
      </c>
      <c r="E1070" t="s">
        <v>10</v>
      </c>
      <c r="F1070" t="s">
        <v>396</v>
      </c>
      <c r="G1070" s="9" t="s">
        <v>2817</v>
      </c>
      <c r="H1070">
        <v>19500</v>
      </c>
      <c r="I1070">
        <v>19500</v>
      </c>
      <c r="J1070" s="21">
        <v>45566</v>
      </c>
      <c r="K1070" t="s">
        <v>67</v>
      </c>
      <c r="L1070" t="s">
        <v>68</v>
      </c>
      <c r="M1070" t="s">
        <v>69</v>
      </c>
      <c r="O1070">
        <v>0</v>
      </c>
      <c r="S1070" t="str">
        <f>TEXT(Table1[[#This Row],[Date]],"MMM-YY")</f>
        <v>Oct-24</v>
      </c>
      <c r="T1070">
        <f>_xlfn.ISOWEEKNUM(Table1[[#This Row],[Date]])</f>
        <v>40</v>
      </c>
      <c r="U1070" t="str">
        <f>TEXT(Table1[[#This Row],[Expected Business Month]],"YYYY")</f>
        <v>2024</v>
      </c>
    </row>
    <row r="1071" spans="1:21" hidden="1">
      <c r="A1071" s="1">
        <v>45566</v>
      </c>
      <c r="B1071" t="s">
        <v>2692</v>
      </c>
      <c r="C1071" t="s">
        <v>63</v>
      </c>
      <c r="D1071" t="s">
        <v>37</v>
      </c>
      <c r="E1071" t="s">
        <v>38</v>
      </c>
      <c r="F1071" t="s">
        <v>2818</v>
      </c>
      <c r="G1071" s="9" t="s">
        <v>2819</v>
      </c>
      <c r="H1071">
        <v>0</v>
      </c>
      <c r="I1071">
        <v>0</v>
      </c>
      <c r="J1071" s="21">
        <v>45566</v>
      </c>
      <c r="K1071" t="s">
        <v>67</v>
      </c>
      <c r="L1071" t="s">
        <v>68</v>
      </c>
      <c r="M1071" t="s">
        <v>69</v>
      </c>
      <c r="O1071">
        <v>0</v>
      </c>
      <c r="S1071" t="str">
        <f>TEXT(Table1[[#This Row],[Date]],"MMM-YY")</f>
        <v>Oct-24</v>
      </c>
      <c r="T1071">
        <f>_xlfn.ISOWEEKNUM(Table1[[#This Row],[Date]])</f>
        <v>40</v>
      </c>
      <c r="U1071" t="str">
        <f>TEXT(Table1[[#This Row],[Expected Business Month]],"YYYY")</f>
        <v>2024</v>
      </c>
    </row>
    <row r="1072" spans="1:21" hidden="1">
      <c r="A1072" s="1">
        <v>45566</v>
      </c>
      <c r="B1072" t="s">
        <v>2820</v>
      </c>
      <c r="C1072" t="s">
        <v>63</v>
      </c>
      <c r="D1072" t="s">
        <v>64</v>
      </c>
      <c r="E1072" t="s">
        <v>18</v>
      </c>
      <c r="F1072" t="s">
        <v>153</v>
      </c>
      <c r="G1072" s="9" t="s">
        <v>2821</v>
      </c>
      <c r="H1072">
        <v>0</v>
      </c>
      <c r="I1072">
        <v>0</v>
      </c>
      <c r="J1072" s="21">
        <v>45566</v>
      </c>
      <c r="K1072" t="s">
        <v>67</v>
      </c>
      <c r="L1072" t="s">
        <v>68</v>
      </c>
      <c r="M1072" t="s">
        <v>69</v>
      </c>
      <c r="O1072">
        <v>0</v>
      </c>
      <c r="S1072" t="str">
        <f>TEXT(Table1[[#This Row],[Date]],"MMM-YY")</f>
        <v>Oct-24</v>
      </c>
      <c r="T1072">
        <f>_xlfn.ISOWEEKNUM(Table1[[#This Row],[Date]])</f>
        <v>40</v>
      </c>
      <c r="U1072" t="str">
        <f>TEXT(Table1[[#This Row],[Expected Business Month]],"YYYY")</f>
        <v>2024</v>
      </c>
    </row>
    <row r="1073" spans="1:21" hidden="1">
      <c r="A1073" s="1">
        <v>45566</v>
      </c>
      <c r="B1073" t="s">
        <v>2769</v>
      </c>
      <c r="C1073" t="s">
        <v>63</v>
      </c>
      <c r="D1073" t="s">
        <v>64</v>
      </c>
      <c r="E1073" t="s">
        <v>29</v>
      </c>
      <c r="F1073" t="s">
        <v>164</v>
      </c>
      <c r="G1073" s="9" t="s">
        <v>2822</v>
      </c>
      <c r="H1073">
        <v>0</v>
      </c>
      <c r="I1073">
        <v>0</v>
      </c>
      <c r="J1073" s="21">
        <v>45566</v>
      </c>
      <c r="K1073" t="s">
        <v>67</v>
      </c>
      <c r="L1073" t="s">
        <v>68</v>
      </c>
      <c r="M1073" t="s">
        <v>69</v>
      </c>
      <c r="O1073">
        <v>0</v>
      </c>
      <c r="S1073" t="str">
        <f>TEXT(Table1[[#This Row],[Date]],"MMM-YY")</f>
        <v>Oct-24</v>
      </c>
      <c r="T1073">
        <f>_xlfn.ISOWEEKNUM(Table1[[#This Row],[Date]])</f>
        <v>40</v>
      </c>
      <c r="U1073" t="str">
        <f>TEXT(Table1[[#This Row],[Expected Business Month]],"YYYY")</f>
        <v>2024</v>
      </c>
    </row>
    <row r="1074" spans="1:21" hidden="1">
      <c r="A1074" s="1">
        <v>45567</v>
      </c>
      <c r="B1074" t="s">
        <v>1504</v>
      </c>
      <c r="C1074" t="s">
        <v>96</v>
      </c>
      <c r="D1074" t="s">
        <v>20</v>
      </c>
      <c r="E1074" t="s">
        <v>23</v>
      </c>
      <c r="F1074" t="s">
        <v>2823</v>
      </c>
      <c r="G1074" s="9" t="s">
        <v>2824</v>
      </c>
      <c r="H1074">
        <v>24000</v>
      </c>
      <c r="I1074">
        <v>24000</v>
      </c>
      <c r="J1074" s="21">
        <v>45566</v>
      </c>
      <c r="K1074" t="s">
        <v>67</v>
      </c>
      <c r="L1074" t="s">
        <v>68</v>
      </c>
      <c r="M1074" t="s">
        <v>69</v>
      </c>
      <c r="O1074">
        <v>0</v>
      </c>
      <c r="S1074" t="str">
        <f>TEXT(Table1[[#This Row],[Date]],"MMM-YY")</f>
        <v>Oct-24</v>
      </c>
      <c r="T1074">
        <f>_xlfn.ISOWEEKNUM(Table1[[#This Row],[Date]])</f>
        <v>40</v>
      </c>
      <c r="U1074" t="str">
        <f>TEXT(Table1[[#This Row],[Expected Business Month]],"YYYY")</f>
        <v>2024</v>
      </c>
    </row>
    <row r="1075" spans="1:21" hidden="1">
      <c r="A1075" s="1">
        <v>45567</v>
      </c>
      <c r="B1075" t="s">
        <v>2825</v>
      </c>
      <c r="C1075" t="s">
        <v>96</v>
      </c>
      <c r="D1075" t="s">
        <v>2751</v>
      </c>
      <c r="E1075" t="s">
        <v>32</v>
      </c>
      <c r="F1075" t="s">
        <v>2826</v>
      </c>
      <c r="G1075" s="9" t="s">
        <v>2827</v>
      </c>
      <c r="H1075">
        <v>10000</v>
      </c>
      <c r="I1075">
        <v>10000</v>
      </c>
      <c r="J1075" s="21">
        <v>45566</v>
      </c>
      <c r="K1075" t="s">
        <v>67</v>
      </c>
      <c r="L1075" t="s">
        <v>68</v>
      </c>
      <c r="M1075" t="s">
        <v>69</v>
      </c>
      <c r="O1075">
        <v>0</v>
      </c>
      <c r="S1075" t="str">
        <f>TEXT(Table1[[#This Row],[Date]],"MMM-YY")</f>
        <v>Oct-24</v>
      </c>
      <c r="T1075">
        <f>_xlfn.ISOWEEKNUM(Table1[[#This Row],[Date]])</f>
        <v>40</v>
      </c>
      <c r="U1075" t="str">
        <f>TEXT(Table1[[#This Row],[Expected Business Month]],"YYYY")</f>
        <v>2024</v>
      </c>
    </row>
    <row r="1076" spans="1:21" hidden="1">
      <c r="A1076" s="1">
        <v>45568</v>
      </c>
      <c r="B1076" t="s">
        <v>2240</v>
      </c>
      <c r="C1076" t="s">
        <v>63</v>
      </c>
      <c r="D1076" t="s">
        <v>20</v>
      </c>
      <c r="E1076" t="s">
        <v>23</v>
      </c>
      <c r="F1076" t="s">
        <v>2828</v>
      </c>
      <c r="G1076" s="9" t="s">
        <v>2829</v>
      </c>
      <c r="H1076">
        <v>8000</v>
      </c>
      <c r="I1076">
        <v>8000</v>
      </c>
      <c r="J1076" s="21">
        <v>45566</v>
      </c>
      <c r="K1076" t="s">
        <v>67</v>
      </c>
      <c r="L1076" t="s">
        <v>68</v>
      </c>
      <c r="M1076" t="s">
        <v>69</v>
      </c>
      <c r="O1076">
        <v>0</v>
      </c>
      <c r="S1076" t="str">
        <f>TEXT(Table1[[#This Row],[Date]],"MMM-YY")</f>
        <v>Oct-24</v>
      </c>
      <c r="T1076">
        <f>_xlfn.ISOWEEKNUM(Table1[[#This Row],[Date]])</f>
        <v>40</v>
      </c>
      <c r="U1076" t="str">
        <f>TEXT(Table1[[#This Row],[Expected Business Month]],"YYYY")</f>
        <v>2024</v>
      </c>
    </row>
    <row r="1077" spans="1:21" ht="29.1" hidden="1">
      <c r="A1077" s="1">
        <v>45568</v>
      </c>
      <c r="B1077" t="s">
        <v>2625</v>
      </c>
      <c r="C1077" t="s">
        <v>63</v>
      </c>
      <c r="D1077" t="s">
        <v>64</v>
      </c>
      <c r="E1077" t="s">
        <v>38</v>
      </c>
      <c r="F1077" t="s">
        <v>1541</v>
      </c>
      <c r="G1077" s="9" t="s">
        <v>2830</v>
      </c>
      <c r="H1077">
        <v>50000</v>
      </c>
      <c r="I1077">
        <v>0</v>
      </c>
      <c r="J1077" s="21">
        <v>45778</v>
      </c>
      <c r="K1077" t="s">
        <v>67</v>
      </c>
      <c r="L1077" t="s">
        <v>9</v>
      </c>
      <c r="M1077" t="s">
        <v>9</v>
      </c>
      <c r="O1077">
        <v>0</v>
      </c>
      <c r="S1077" t="str">
        <f>TEXT(Table1[[#This Row],[Date]],"MMM-YY")</f>
        <v>Oct-24</v>
      </c>
      <c r="T1077">
        <f>_xlfn.ISOWEEKNUM(Table1[[#This Row],[Date]])</f>
        <v>40</v>
      </c>
      <c r="U1077" t="str">
        <f>TEXT(Table1[[#This Row],[Expected Business Month]],"YYYY")</f>
        <v>2025</v>
      </c>
    </row>
    <row r="1078" spans="1:21" ht="29.1" hidden="1">
      <c r="A1078" s="1">
        <v>45568</v>
      </c>
      <c r="B1078" t="s">
        <v>2335</v>
      </c>
      <c r="C1078" t="s">
        <v>63</v>
      </c>
      <c r="D1078" t="s">
        <v>64</v>
      </c>
      <c r="E1078" t="s">
        <v>28</v>
      </c>
      <c r="F1078" t="s">
        <v>1048</v>
      </c>
      <c r="G1078" s="9" t="s">
        <v>2831</v>
      </c>
      <c r="H1078">
        <v>0</v>
      </c>
      <c r="I1078">
        <v>0</v>
      </c>
      <c r="J1078" s="21">
        <v>45689</v>
      </c>
      <c r="K1078" t="s">
        <v>67</v>
      </c>
      <c r="L1078" t="s">
        <v>68</v>
      </c>
      <c r="M1078" t="s">
        <v>69</v>
      </c>
      <c r="O1078">
        <v>0</v>
      </c>
      <c r="S1078" t="str">
        <f>TEXT(Table1[[#This Row],[Date]],"MMM-YY")</f>
        <v>Oct-24</v>
      </c>
      <c r="T1078">
        <f>_xlfn.ISOWEEKNUM(Table1[[#This Row],[Date]])</f>
        <v>40</v>
      </c>
      <c r="U1078" t="str">
        <f>TEXT(Table1[[#This Row],[Expected Business Month]],"YYYY")</f>
        <v>2025</v>
      </c>
    </row>
    <row r="1079" spans="1:21" hidden="1">
      <c r="A1079" s="1">
        <v>45568</v>
      </c>
      <c r="B1079" t="s">
        <v>2832</v>
      </c>
      <c r="C1079" t="s">
        <v>63</v>
      </c>
      <c r="D1079" t="s">
        <v>618</v>
      </c>
      <c r="E1079" t="s">
        <v>18</v>
      </c>
      <c r="F1079" t="s">
        <v>2833</v>
      </c>
      <c r="G1079" s="9" t="s">
        <v>2701</v>
      </c>
      <c r="H1079">
        <v>30000</v>
      </c>
      <c r="I1079">
        <v>0</v>
      </c>
      <c r="J1079" s="21">
        <v>45689</v>
      </c>
      <c r="K1079" t="s">
        <v>67</v>
      </c>
      <c r="L1079" t="s">
        <v>9</v>
      </c>
      <c r="M1079" t="s">
        <v>9</v>
      </c>
      <c r="N1079" t="s">
        <v>602</v>
      </c>
      <c r="O1079">
        <v>0</v>
      </c>
      <c r="S1079" t="str">
        <f>TEXT(Table1[[#This Row],[Date]],"MMM-YY")</f>
        <v>Oct-24</v>
      </c>
      <c r="T1079">
        <f>_xlfn.ISOWEEKNUM(Table1[[#This Row],[Date]])</f>
        <v>40</v>
      </c>
      <c r="U1079" t="str">
        <f>TEXT(Table1[[#This Row],[Expected Business Month]],"YYYY")</f>
        <v>2025</v>
      </c>
    </row>
    <row r="1080" spans="1:21" hidden="1">
      <c r="A1080" s="1">
        <v>45568</v>
      </c>
      <c r="B1080" t="s">
        <v>2834</v>
      </c>
      <c r="C1080" t="s">
        <v>96</v>
      </c>
      <c r="D1080" t="s">
        <v>64</v>
      </c>
      <c r="E1080" t="s">
        <v>28</v>
      </c>
      <c r="F1080" t="s">
        <v>2835</v>
      </c>
      <c r="G1080" s="9" t="s">
        <v>1851</v>
      </c>
      <c r="H1080">
        <v>50000</v>
      </c>
      <c r="I1080">
        <v>0</v>
      </c>
      <c r="J1080" s="21">
        <v>45689</v>
      </c>
      <c r="K1080" t="s">
        <v>67</v>
      </c>
      <c r="L1080" t="s">
        <v>9</v>
      </c>
      <c r="M1080" t="s">
        <v>9</v>
      </c>
      <c r="N1080" t="s">
        <v>586</v>
      </c>
      <c r="O1080">
        <v>0</v>
      </c>
      <c r="S1080" t="str">
        <f>TEXT(Table1[[#This Row],[Date]],"MMM-YY")</f>
        <v>Oct-24</v>
      </c>
      <c r="T1080">
        <f>_xlfn.ISOWEEKNUM(Table1[[#This Row],[Date]])</f>
        <v>40</v>
      </c>
      <c r="U1080" t="str">
        <f>TEXT(Table1[[#This Row],[Expected Business Month]],"YYYY")</f>
        <v>2025</v>
      </c>
    </row>
    <row r="1081" spans="1:21" hidden="1">
      <c r="A1081" s="1">
        <v>45569</v>
      </c>
      <c r="B1081" t="s">
        <v>2692</v>
      </c>
      <c r="C1081" t="s">
        <v>63</v>
      </c>
      <c r="D1081" t="s">
        <v>37</v>
      </c>
      <c r="E1081" t="s">
        <v>38</v>
      </c>
      <c r="F1081" t="s">
        <v>2818</v>
      </c>
      <c r="G1081" s="9" t="s">
        <v>2819</v>
      </c>
      <c r="H1081">
        <v>0</v>
      </c>
      <c r="I1081">
        <v>0</v>
      </c>
      <c r="J1081" s="21">
        <v>45566</v>
      </c>
      <c r="K1081" t="s">
        <v>67</v>
      </c>
      <c r="L1081" t="s">
        <v>68</v>
      </c>
      <c r="M1081" t="s">
        <v>69</v>
      </c>
      <c r="O1081">
        <v>0</v>
      </c>
      <c r="S1081" t="str">
        <f>TEXT(Table1[[#This Row],[Date]],"MMM-YY")</f>
        <v>Oct-24</v>
      </c>
      <c r="T1081">
        <f>_xlfn.ISOWEEKNUM(Table1[[#This Row],[Date]])</f>
        <v>40</v>
      </c>
      <c r="U1081" t="str">
        <f>TEXT(Table1[[#This Row],[Expected Business Month]],"YYYY")</f>
        <v>2024</v>
      </c>
    </row>
    <row r="1082" spans="1:21" ht="29.1" hidden="1">
      <c r="A1082" s="1">
        <v>45570</v>
      </c>
      <c r="B1082" t="s">
        <v>2836</v>
      </c>
      <c r="C1082" t="s">
        <v>96</v>
      </c>
      <c r="D1082" t="s">
        <v>20</v>
      </c>
      <c r="E1082" t="s">
        <v>23</v>
      </c>
      <c r="F1082" t="s">
        <v>2837</v>
      </c>
      <c r="G1082" s="9" t="s">
        <v>2838</v>
      </c>
      <c r="H1082">
        <v>21000</v>
      </c>
      <c r="I1082">
        <v>21000</v>
      </c>
      <c r="J1082" s="21">
        <v>45566</v>
      </c>
      <c r="K1082" t="s">
        <v>67</v>
      </c>
      <c r="L1082" t="s">
        <v>68</v>
      </c>
      <c r="M1082" t="s">
        <v>69</v>
      </c>
      <c r="O1082">
        <v>0</v>
      </c>
      <c r="S1082" t="str">
        <f>TEXT(Table1[[#This Row],[Date]],"MMM-YY")</f>
        <v>Oct-24</v>
      </c>
      <c r="T1082">
        <f>_xlfn.ISOWEEKNUM(Table1[[#This Row],[Date]])</f>
        <v>40</v>
      </c>
      <c r="U1082" t="str">
        <f>TEXT(Table1[[#This Row],[Expected Business Month]],"YYYY")</f>
        <v>2024</v>
      </c>
    </row>
    <row r="1083" spans="1:21" hidden="1">
      <c r="A1083" s="1">
        <v>45572</v>
      </c>
      <c r="B1083" t="s">
        <v>79</v>
      </c>
      <c r="C1083" t="s">
        <v>63</v>
      </c>
      <c r="D1083" t="s">
        <v>64</v>
      </c>
      <c r="E1083" t="s">
        <v>38</v>
      </c>
      <c r="F1083" t="s">
        <v>80</v>
      </c>
      <c r="G1083" s="9" t="s">
        <v>2839</v>
      </c>
      <c r="H1083">
        <v>0</v>
      </c>
      <c r="I1083">
        <v>0</v>
      </c>
      <c r="J1083" s="21">
        <v>45566</v>
      </c>
      <c r="K1083" t="s">
        <v>67</v>
      </c>
      <c r="L1083" t="s">
        <v>68</v>
      </c>
      <c r="M1083" t="s">
        <v>69</v>
      </c>
      <c r="O1083">
        <v>0</v>
      </c>
      <c r="S1083" t="str">
        <f>TEXT(Table1[[#This Row],[Date]],"MMM-YY")</f>
        <v>Oct-24</v>
      </c>
      <c r="T1083">
        <f>_xlfn.ISOWEEKNUM(Table1[[#This Row],[Date]])</f>
        <v>41</v>
      </c>
      <c r="U1083" t="str">
        <f>TEXT(Table1[[#This Row],[Expected Business Month]],"YYYY")</f>
        <v>2024</v>
      </c>
    </row>
    <row r="1084" spans="1:21" hidden="1">
      <c r="A1084" s="1">
        <v>45572</v>
      </c>
      <c r="B1084" t="s">
        <v>2771</v>
      </c>
      <c r="C1084" t="s">
        <v>63</v>
      </c>
      <c r="D1084" t="s">
        <v>64</v>
      </c>
      <c r="E1084" t="s">
        <v>27</v>
      </c>
      <c r="F1084" t="s">
        <v>214</v>
      </c>
      <c r="G1084" s="9" t="s">
        <v>2840</v>
      </c>
      <c r="H1084">
        <v>0</v>
      </c>
      <c r="I1084">
        <v>0</v>
      </c>
      <c r="J1084" s="21">
        <v>45992</v>
      </c>
      <c r="K1084" t="s">
        <v>67</v>
      </c>
      <c r="L1084" t="s">
        <v>9</v>
      </c>
      <c r="M1084" t="s">
        <v>9</v>
      </c>
      <c r="O1084">
        <v>0</v>
      </c>
      <c r="P1084" t="s">
        <v>70</v>
      </c>
      <c r="S1084" t="str">
        <f>TEXT(Table1[[#This Row],[Date]],"MMM-YY")</f>
        <v>Oct-24</v>
      </c>
      <c r="T1084">
        <f>_xlfn.ISOWEEKNUM(Table1[[#This Row],[Date]])</f>
        <v>41</v>
      </c>
      <c r="U1084" t="str">
        <f>TEXT(Table1[[#This Row],[Expected Business Month]],"YYYY")</f>
        <v>2025</v>
      </c>
    </row>
    <row r="1085" spans="1:21" hidden="1">
      <c r="A1085" s="1">
        <v>45572</v>
      </c>
      <c r="B1085" t="s">
        <v>2841</v>
      </c>
      <c r="C1085" t="s">
        <v>63</v>
      </c>
      <c r="D1085" t="s">
        <v>64</v>
      </c>
      <c r="E1085" t="s">
        <v>38</v>
      </c>
      <c r="F1085" t="s">
        <v>2842</v>
      </c>
      <c r="G1085" s="9" t="s">
        <v>2843</v>
      </c>
      <c r="H1085">
        <v>0</v>
      </c>
      <c r="I1085">
        <v>0</v>
      </c>
      <c r="J1085" s="21">
        <v>45566</v>
      </c>
      <c r="K1085" t="s">
        <v>67</v>
      </c>
      <c r="L1085" t="s">
        <v>68</v>
      </c>
      <c r="M1085" t="s">
        <v>69</v>
      </c>
      <c r="O1085">
        <v>0</v>
      </c>
      <c r="S1085" t="str">
        <f>TEXT(Table1[[#This Row],[Date]],"MMM-YY")</f>
        <v>Oct-24</v>
      </c>
      <c r="T1085">
        <f>_xlfn.ISOWEEKNUM(Table1[[#This Row],[Date]])</f>
        <v>41</v>
      </c>
      <c r="U1085" t="str">
        <f>TEXT(Table1[[#This Row],[Expected Business Month]],"YYYY")</f>
        <v>2024</v>
      </c>
    </row>
    <row r="1086" spans="1:21" hidden="1">
      <c r="A1086" s="1">
        <v>45573</v>
      </c>
      <c r="B1086" t="s">
        <v>382</v>
      </c>
      <c r="C1086" t="s">
        <v>63</v>
      </c>
      <c r="D1086" t="s">
        <v>64</v>
      </c>
      <c r="E1086" t="s">
        <v>28</v>
      </c>
      <c r="F1086" t="s">
        <v>1707</v>
      </c>
      <c r="G1086" s="9" t="s">
        <v>2774</v>
      </c>
      <c r="H1086">
        <v>0</v>
      </c>
      <c r="I1086">
        <v>0</v>
      </c>
      <c r="J1086" s="21">
        <v>45566</v>
      </c>
      <c r="K1086" t="s">
        <v>67</v>
      </c>
      <c r="L1086" t="s">
        <v>68</v>
      </c>
      <c r="M1086" t="s">
        <v>69</v>
      </c>
      <c r="O1086">
        <v>0</v>
      </c>
      <c r="S1086" t="str">
        <f>TEXT(Table1[[#This Row],[Date]],"MMM-YY")</f>
        <v>Oct-24</v>
      </c>
      <c r="T1086">
        <f>_xlfn.ISOWEEKNUM(Table1[[#This Row],[Date]])</f>
        <v>41</v>
      </c>
      <c r="U1086" t="str">
        <f>TEXT(Table1[[#This Row],[Expected Business Month]],"YYYY")</f>
        <v>2024</v>
      </c>
    </row>
    <row r="1087" spans="1:21" hidden="1">
      <c r="A1087" s="1">
        <v>45573</v>
      </c>
      <c r="B1087" t="s">
        <v>2844</v>
      </c>
      <c r="C1087" t="s">
        <v>63</v>
      </c>
      <c r="D1087" t="s">
        <v>20</v>
      </c>
      <c r="E1087" t="s">
        <v>23</v>
      </c>
      <c r="F1087" t="s">
        <v>2845</v>
      </c>
      <c r="G1087" s="9" t="s">
        <v>2846</v>
      </c>
      <c r="H1087" s="13">
        <v>61690</v>
      </c>
      <c r="I1087" s="13">
        <v>61690</v>
      </c>
      <c r="J1087" s="21">
        <v>45566</v>
      </c>
      <c r="K1087" t="s">
        <v>67</v>
      </c>
      <c r="L1087" t="s">
        <v>68</v>
      </c>
      <c r="M1087" t="s">
        <v>69</v>
      </c>
      <c r="O1087">
        <v>0</v>
      </c>
      <c r="S1087" t="str">
        <f>TEXT(Table1[[#This Row],[Date]],"MMM-YY")</f>
        <v>Oct-24</v>
      </c>
      <c r="T1087">
        <f>_xlfn.ISOWEEKNUM(Table1[[#This Row],[Date]])</f>
        <v>41</v>
      </c>
      <c r="U1087" t="str">
        <f>TEXT(Table1[[#This Row],[Expected Business Month]],"YYYY")</f>
        <v>2024</v>
      </c>
    </row>
    <row r="1088" spans="1:21" hidden="1">
      <c r="A1088" s="1">
        <v>45574</v>
      </c>
      <c r="B1088" t="s">
        <v>79</v>
      </c>
      <c r="C1088" t="s">
        <v>63</v>
      </c>
      <c r="D1088" t="s">
        <v>64</v>
      </c>
      <c r="E1088" t="s">
        <v>33</v>
      </c>
      <c r="F1088" t="s">
        <v>80</v>
      </c>
      <c r="G1088" s="9" t="s">
        <v>2847</v>
      </c>
      <c r="H1088">
        <v>219180</v>
      </c>
      <c r="I1088">
        <v>219180</v>
      </c>
      <c r="J1088" s="21">
        <v>45566</v>
      </c>
      <c r="K1088" t="s">
        <v>67</v>
      </c>
      <c r="L1088" t="s">
        <v>68</v>
      </c>
      <c r="M1088" t="s">
        <v>69</v>
      </c>
      <c r="O1088">
        <v>0</v>
      </c>
      <c r="S1088" t="str">
        <f>TEXT(Table1[[#This Row],[Date]],"MMM-YY")</f>
        <v>Oct-24</v>
      </c>
      <c r="T1088">
        <f>_xlfn.ISOWEEKNUM(Table1[[#This Row],[Date]])</f>
        <v>41</v>
      </c>
      <c r="U1088" t="str">
        <f>TEXT(Table1[[#This Row],[Expected Business Month]],"YYYY")</f>
        <v>2024</v>
      </c>
    </row>
    <row r="1089" spans="1:21" hidden="1">
      <c r="A1089" s="1">
        <v>45575</v>
      </c>
      <c r="B1089" t="s">
        <v>2848</v>
      </c>
      <c r="C1089" t="s">
        <v>96</v>
      </c>
      <c r="D1089" t="s">
        <v>2681</v>
      </c>
      <c r="E1089" t="s">
        <v>32</v>
      </c>
      <c r="F1089" t="s">
        <v>2791</v>
      </c>
      <c r="G1089" s="9" t="s">
        <v>2849</v>
      </c>
      <c r="H1089">
        <v>12000</v>
      </c>
      <c r="I1089">
        <v>12000</v>
      </c>
      <c r="J1089" s="21">
        <v>45566</v>
      </c>
      <c r="K1089" t="s">
        <v>67</v>
      </c>
      <c r="L1089" t="s">
        <v>68</v>
      </c>
      <c r="M1089" t="s">
        <v>69</v>
      </c>
      <c r="O1089">
        <v>0</v>
      </c>
      <c r="S1089" t="str">
        <f>TEXT(Table1[[#This Row],[Date]],"MMM-YY")</f>
        <v>Oct-24</v>
      </c>
      <c r="T1089">
        <f>_xlfn.ISOWEEKNUM(Table1[[#This Row],[Date]])</f>
        <v>41</v>
      </c>
      <c r="U1089" t="str">
        <f>TEXT(Table1[[#This Row],[Expected Business Month]],"YYYY")</f>
        <v>2024</v>
      </c>
    </row>
    <row r="1090" spans="1:21" hidden="1">
      <c r="A1090" s="1">
        <v>45575</v>
      </c>
      <c r="B1090" t="s">
        <v>2850</v>
      </c>
      <c r="C1090" t="s">
        <v>96</v>
      </c>
      <c r="D1090" t="s">
        <v>20</v>
      </c>
      <c r="E1090" t="s">
        <v>23</v>
      </c>
      <c r="F1090" t="s">
        <v>2851</v>
      </c>
      <c r="G1090" s="9" t="s">
        <v>2852</v>
      </c>
      <c r="H1090">
        <v>9000</v>
      </c>
      <c r="I1090">
        <v>9000</v>
      </c>
      <c r="J1090" s="21">
        <v>45566</v>
      </c>
      <c r="K1090" t="s">
        <v>67</v>
      </c>
      <c r="L1090" t="s">
        <v>68</v>
      </c>
      <c r="M1090" t="s">
        <v>69</v>
      </c>
      <c r="O1090">
        <v>0</v>
      </c>
      <c r="S1090" t="str">
        <f>TEXT(Table1[[#This Row],[Date]],"MMM-YY")</f>
        <v>Oct-24</v>
      </c>
      <c r="T1090">
        <f>_xlfn.ISOWEEKNUM(Table1[[#This Row],[Date]])</f>
        <v>41</v>
      </c>
      <c r="U1090" t="str">
        <f>TEXT(Table1[[#This Row],[Expected Business Month]],"YYYY")</f>
        <v>2024</v>
      </c>
    </row>
    <row r="1091" spans="1:21" hidden="1">
      <c r="A1091" s="1">
        <v>45575</v>
      </c>
      <c r="B1091" t="s">
        <v>382</v>
      </c>
      <c r="C1091" t="s">
        <v>63</v>
      </c>
      <c r="D1091" t="s">
        <v>64</v>
      </c>
      <c r="E1091" t="s">
        <v>28</v>
      </c>
      <c r="F1091" t="s">
        <v>196</v>
      </c>
      <c r="G1091" s="9" t="s">
        <v>2774</v>
      </c>
      <c r="H1091">
        <v>0</v>
      </c>
      <c r="I1091">
        <v>0</v>
      </c>
      <c r="J1091" s="21">
        <v>45566</v>
      </c>
      <c r="K1091" t="s">
        <v>67</v>
      </c>
      <c r="L1091" t="s">
        <v>68</v>
      </c>
      <c r="M1091" t="s">
        <v>69</v>
      </c>
      <c r="O1091">
        <v>0</v>
      </c>
      <c r="S1091" t="str">
        <f>TEXT(Table1[[#This Row],[Date]],"MMM-YY")</f>
        <v>Oct-24</v>
      </c>
      <c r="T1091">
        <f>_xlfn.ISOWEEKNUM(Table1[[#This Row],[Date]])</f>
        <v>41</v>
      </c>
      <c r="U1091" t="str">
        <f>TEXT(Table1[[#This Row],[Expected Business Month]],"YYYY")</f>
        <v>2024</v>
      </c>
    </row>
    <row r="1092" spans="1:21" hidden="1">
      <c r="A1092" s="1">
        <v>45575</v>
      </c>
      <c r="B1092" t="s">
        <v>2853</v>
      </c>
      <c r="C1092" t="s">
        <v>63</v>
      </c>
      <c r="D1092" t="s">
        <v>64</v>
      </c>
      <c r="E1092" t="s">
        <v>38</v>
      </c>
      <c r="F1092" t="s">
        <v>2842</v>
      </c>
      <c r="G1092" s="9" t="s">
        <v>2854</v>
      </c>
      <c r="H1092">
        <v>37650</v>
      </c>
      <c r="I1092">
        <v>37650</v>
      </c>
      <c r="J1092" s="21">
        <v>45566</v>
      </c>
      <c r="K1092" t="s">
        <v>67</v>
      </c>
      <c r="L1092" t="s">
        <v>68</v>
      </c>
      <c r="M1092" t="s">
        <v>69</v>
      </c>
      <c r="O1092">
        <v>0</v>
      </c>
      <c r="S1092" t="str">
        <f>TEXT(Table1[[#This Row],[Date]],"MMM-YY")</f>
        <v>Oct-24</v>
      </c>
      <c r="T1092">
        <f>_xlfn.ISOWEEKNUM(Table1[[#This Row],[Date]])</f>
        <v>41</v>
      </c>
      <c r="U1092" t="str">
        <f>TEXT(Table1[[#This Row],[Expected Business Month]],"YYYY")</f>
        <v>2024</v>
      </c>
    </row>
    <row r="1093" spans="1:21" hidden="1">
      <c r="A1093" s="1">
        <v>45575</v>
      </c>
      <c r="B1093" t="s">
        <v>2855</v>
      </c>
      <c r="C1093" t="s">
        <v>63</v>
      </c>
      <c r="D1093" t="s">
        <v>64</v>
      </c>
      <c r="E1093" t="s">
        <v>38</v>
      </c>
      <c r="F1093" t="s">
        <v>2818</v>
      </c>
      <c r="G1093" s="9" t="s">
        <v>2856</v>
      </c>
      <c r="H1093">
        <v>58000</v>
      </c>
      <c r="I1093">
        <v>58000</v>
      </c>
      <c r="J1093" s="21">
        <v>45566</v>
      </c>
      <c r="K1093" t="s">
        <v>67</v>
      </c>
      <c r="L1093" t="s">
        <v>68</v>
      </c>
      <c r="M1093" t="s">
        <v>69</v>
      </c>
      <c r="O1093">
        <v>0</v>
      </c>
      <c r="S1093" t="str">
        <f>TEXT(Table1[[#This Row],[Date]],"MMM-YY")</f>
        <v>Oct-24</v>
      </c>
      <c r="T1093">
        <f>_xlfn.ISOWEEKNUM(Table1[[#This Row],[Date]])</f>
        <v>41</v>
      </c>
      <c r="U1093" t="str">
        <f>TEXT(Table1[[#This Row],[Expected Business Month]],"YYYY")</f>
        <v>2024</v>
      </c>
    </row>
    <row r="1094" spans="1:21" hidden="1">
      <c r="A1094" s="1">
        <v>45579</v>
      </c>
      <c r="B1094" t="s">
        <v>1086</v>
      </c>
      <c r="C1094" t="s">
        <v>63</v>
      </c>
      <c r="D1094" t="s">
        <v>64</v>
      </c>
      <c r="E1094" t="s">
        <v>26</v>
      </c>
      <c r="F1094" t="s">
        <v>1300</v>
      </c>
      <c r="G1094" s="9" t="s">
        <v>2857</v>
      </c>
      <c r="H1094">
        <v>550000</v>
      </c>
      <c r="I1094">
        <v>0</v>
      </c>
      <c r="J1094" s="21">
        <v>45627</v>
      </c>
      <c r="K1094" t="s">
        <v>67</v>
      </c>
      <c r="L1094" t="s">
        <v>9</v>
      </c>
      <c r="M1094" t="s">
        <v>9</v>
      </c>
      <c r="O1094">
        <v>0</v>
      </c>
      <c r="S1094" t="str">
        <f>TEXT(Table1[[#This Row],[Date]],"MMM-YY")</f>
        <v>Oct-24</v>
      </c>
      <c r="T1094">
        <f>_xlfn.ISOWEEKNUM(Table1[[#This Row],[Date]])</f>
        <v>42</v>
      </c>
      <c r="U1094" t="str">
        <f>TEXT(Table1[[#This Row],[Expected Business Month]],"YYYY")</f>
        <v>2024</v>
      </c>
    </row>
    <row r="1095" spans="1:21" hidden="1">
      <c r="A1095" s="1">
        <v>45579</v>
      </c>
      <c r="B1095" t="s">
        <v>2132</v>
      </c>
      <c r="C1095" t="s">
        <v>63</v>
      </c>
      <c r="D1095" t="s">
        <v>64</v>
      </c>
      <c r="E1095" t="s">
        <v>26</v>
      </c>
      <c r="F1095" t="s">
        <v>1390</v>
      </c>
      <c r="G1095" s="9" t="s">
        <v>2858</v>
      </c>
      <c r="H1095">
        <v>30000</v>
      </c>
      <c r="I1095">
        <v>0</v>
      </c>
      <c r="J1095" s="21">
        <v>45689</v>
      </c>
      <c r="K1095" t="s">
        <v>67</v>
      </c>
      <c r="L1095" t="s">
        <v>9</v>
      </c>
      <c r="M1095" t="s">
        <v>9</v>
      </c>
      <c r="N1095" t="s">
        <v>2633</v>
      </c>
      <c r="O1095">
        <v>0</v>
      </c>
      <c r="S1095" t="str">
        <f>TEXT(Table1[[#This Row],[Date]],"MMM-YY")</f>
        <v>Oct-24</v>
      </c>
      <c r="T1095">
        <f>_xlfn.ISOWEEKNUM(Table1[[#This Row],[Date]])</f>
        <v>42</v>
      </c>
      <c r="U1095" t="str">
        <f>TEXT(Table1[[#This Row],[Expected Business Month]],"YYYY")</f>
        <v>2025</v>
      </c>
    </row>
    <row r="1096" spans="1:21" hidden="1">
      <c r="A1096" s="1">
        <v>45579</v>
      </c>
      <c r="B1096" t="s">
        <v>1554</v>
      </c>
      <c r="C1096" t="s">
        <v>63</v>
      </c>
      <c r="D1096" t="s">
        <v>64</v>
      </c>
      <c r="E1096" t="s">
        <v>33</v>
      </c>
      <c r="F1096" t="s">
        <v>2859</v>
      </c>
      <c r="G1096" s="9" t="s">
        <v>1860</v>
      </c>
      <c r="H1096">
        <v>25000</v>
      </c>
      <c r="I1096">
        <v>0</v>
      </c>
      <c r="J1096" s="21">
        <v>45689</v>
      </c>
      <c r="K1096" t="s">
        <v>67</v>
      </c>
      <c r="L1096" t="s">
        <v>9</v>
      </c>
      <c r="M1096" t="s">
        <v>9</v>
      </c>
      <c r="N1096" t="s">
        <v>586</v>
      </c>
      <c r="O1096">
        <v>0</v>
      </c>
      <c r="S1096" t="str">
        <f>TEXT(Table1[[#This Row],[Date]],"MMM-YY")</f>
        <v>Oct-24</v>
      </c>
      <c r="T1096">
        <f>_xlfn.ISOWEEKNUM(Table1[[#This Row],[Date]])</f>
        <v>42</v>
      </c>
      <c r="U1096" t="str">
        <f>TEXT(Table1[[#This Row],[Expected Business Month]],"YYYY")</f>
        <v>2025</v>
      </c>
    </row>
    <row r="1097" spans="1:21" ht="29.1" hidden="1">
      <c r="A1097" s="1">
        <v>45580</v>
      </c>
      <c r="B1097" t="s">
        <v>2860</v>
      </c>
      <c r="C1097" t="s">
        <v>63</v>
      </c>
      <c r="D1097" t="s">
        <v>64</v>
      </c>
      <c r="E1097" t="s">
        <v>16</v>
      </c>
      <c r="F1097" t="s">
        <v>2861</v>
      </c>
      <c r="G1097" s="9" t="s">
        <v>2862</v>
      </c>
      <c r="H1097">
        <v>28000</v>
      </c>
      <c r="I1097">
        <v>28000</v>
      </c>
      <c r="J1097" s="21">
        <v>45566</v>
      </c>
      <c r="K1097" t="s">
        <v>67</v>
      </c>
      <c r="L1097" t="s">
        <v>68</v>
      </c>
      <c r="M1097" t="s">
        <v>69</v>
      </c>
      <c r="O1097">
        <v>0</v>
      </c>
      <c r="S1097" t="str">
        <f>TEXT(Table1[[#This Row],[Date]],"MMM-YY")</f>
        <v>Oct-24</v>
      </c>
      <c r="T1097">
        <f>_xlfn.ISOWEEKNUM(Table1[[#This Row],[Date]])</f>
        <v>42</v>
      </c>
      <c r="U1097" t="str">
        <f>TEXT(Table1[[#This Row],[Expected Business Month]],"YYYY")</f>
        <v>2024</v>
      </c>
    </row>
    <row r="1098" spans="1:21" ht="29.1" hidden="1">
      <c r="A1098" s="1">
        <v>45580</v>
      </c>
      <c r="B1098" t="s">
        <v>2395</v>
      </c>
      <c r="C1098" t="s">
        <v>96</v>
      </c>
      <c r="D1098" t="s">
        <v>2027</v>
      </c>
      <c r="E1098" t="s">
        <v>14</v>
      </c>
      <c r="F1098" t="s">
        <v>1186</v>
      </c>
      <c r="G1098" s="9" t="s">
        <v>2863</v>
      </c>
      <c r="H1098">
        <v>0</v>
      </c>
      <c r="I1098">
        <v>0</v>
      </c>
      <c r="J1098" s="21">
        <v>45566</v>
      </c>
      <c r="K1098" t="s">
        <v>67</v>
      </c>
      <c r="L1098" t="s">
        <v>68</v>
      </c>
      <c r="M1098" t="s">
        <v>69</v>
      </c>
      <c r="O1098">
        <v>0</v>
      </c>
      <c r="S1098" t="str">
        <f>TEXT(Table1[[#This Row],[Date]],"MMM-YY")</f>
        <v>Oct-24</v>
      </c>
      <c r="T1098">
        <f>_xlfn.ISOWEEKNUM(Table1[[#This Row],[Date]])</f>
        <v>42</v>
      </c>
      <c r="U1098" t="str">
        <f>TEXT(Table1[[#This Row],[Expected Business Month]],"YYYY")</f>
        <v>2024</v>
      </c>
    </row>
    <row r="1099" spans="1:21" hidden="1">
      <c r="A1099" s="1">
        <v>45580</v>
      </c>
      <c r="B1099" t="s">
        <v>288</v>
      </c>
      <c r="C1099" t="s">
        <v>63</v>
      </c>
      <c r="D1099" t="s">
        <v>2027</v>
      </c>
      <c r="E1099" t="s">
        <v>26</v>
      </c>
      <c r="F1099" t="s">
        <v>2864</v>
      </c>
      <c r="G1099" s="9" t="s">
        <v>1942</v>
      </c>
      <c r="H1099">
        <v>30000</v>
      </c>
      <c r="I1099">
        <v>0</v>
      </c>
      <c r="J1099" s="21">
        <v>45689</v>
      </c>
      <c r="K1099" t="s">
        <v>67</v>
      </c>
      <c r="L1099" t="s">
        <v>9</v>
      </c>
      <c r="M1099" t="s">
        <v>9</v>
      </c>
      <c r="N1099" t="s">
        <v>707</v>
      </c>
      <c r="O1099">
        <v>0</v>
      </c>
      <c r="S1099" t="str">
        <f>TEXT(Table1[[#This Row],[Date]],"MMM-YY")</f>
        <v>Oct-24</v>
      </c>
      <c r="T1099">
        <f>_xlfn.ISOWEEKNUM(Table1[[#This Row],[Date]])</f>
        <v>42</v>
      </c>
      <c r="U1099" t="str">
        <f>TEXT(Table1[[#This Row],[Expected Business Month]],"YYYY")</f>
        <v>2025</v>
      </c>
    </row>
    <row r="1100" spans="1:21" hidden="1">
      <c r="A1100" s="1">
        <v>45580</v>
      </c>
      <c r="B1100" t="s">
        <v>1720</v>
      </c>
      <c r="C1100" t="s">
        <v>96</v>
      </c>
      <c r="D1100" t="s">
        <v>2027</v>
      </c>
      <c r="E1100" t="s">
        <v>28</v>
      </c>
      <c r="F1100" t="s">
        <v>2865</v>
      </c>
      <c r="G1100" s="9" t="s">
        <v>2866</v>
      </c>
      <c r="H1100">
        <v>50000</v>
      </c>
      <c r="I1100">
        <v>0</v>
      </c>
      <c r="J1100" s="21">
        <v>45689</v>
      </c>
      <c r="K1100" t="s">
        <v>67</v>
      </c>
      <c r="L1100" t="s">
        <v>9</v>
      </c>
      <c r="M1100" t="s">
        <v>9</v>
      </c>
      <c r="N1100" t="s">
        <v>2867</v>
      </c>
      <c r="O1100">
        <v>0</v>
      </c>
      <c r="S1100" t="str">
        <f>TEXT(Table1[[#This Row],[Date]],"MMM-YY")</f>
        <v>Oct-24</v>
      </c>
      <c r="T1100">
        <f>_xlfn.ISOWEEKNUM(Table1[[#This Row],[Date]])</f>
        <v>42</v>
      </c>
      <c r="U1100" t="str">
        <f>TEXT(Table1[[#This Row],[Expected Business Month]],"YYYY")</f>
        <v>2025</v>
      </c>
    </row>
    <row r="1101" spans="1:21" hidden="1">
      <c r="A1101" s="1">
        <v>45581</v>
      </c>
      <c r="B1101" t="s">
        <v>2868</v>
      </c>
      <c r="C1101" t="s">
        <v>96</v>
      </c>
      <c r="D1101" t="s">
        <v>2681</v>
      </c>
      <c r="E1101" t="s">
        <v>32</v>
      </c>
      <c r="F1101" t="s">
        <v>2869</v>
      </c>
      <c r="G1101" s="9" t="s">
        <v>2870</v>
      </c>
      <c r="H1101">
        <v>36000</v>
      </c>
      <c r="I1101">
        <v>36000</v>
      </c>
      <c r="J1101" s="21">
        <v>45566</v>
      </c>
      <c r="K1101" t="s">
        <v>67</v>
      </c>
      <c r="L1101" t="s">
        <v>68</v>
      </c>
      <c r="M1101" t="s">
        <v>69</v>
      </c>
      <c r="O1101">
        <v>0</v>
      </c>
      <c r="S1101" t="str">
        <f>TEXT(Table1[[#This Row],[Date]],"MMM-YY")</f>
        <v>Oct-24</v>
      </c>
      <c r="T1101">
        <f>_xlfn.ISOWEEKNUM(Table1[[#This Row],[Date]])</f>
        <v>42</v>
      </c>
      <c r="U1101" t="str">
        <f>TEXT(Table1[[#This Row],[Expected Business Month]],"YYYY")</f>
        <v>2024</v>
      </c>
    </row>
    <row r="1102" spans="1:21" ht="29.1" hidden="1">
      <c r="A1102" s="1">
        <v>45581</v>
      </c>
      <c r="B1102" t="s">
        <v>2871</v>
      </c>
      <c r="C1102" t="s">
        <v>63</v>
      </c>
      <c r="D1102" t="s">
        <v>2027</v>
      </c>
      <c r="E1102" t="s">
        <v>14</v>
      </c>
      <c r="F1102" t="s">
        <v>396</v>
      </c>
      <c r="G1102" s="9" t="s">
        <v>2872</v>
      </c>
      <c r="H1102">
        <v>402550</v>
      </c>
      <c r="I1102">
        <v>402550</v>
      </c>
      <c r="J1102" s="21">
        <v>45566</v>
      </c>
      <c r="K1102" t="s">
        <v>67</v>
      </c>
      <c r="L1102" t="s">
        <v>68</v>
      </c>
      <c r="M1102" t="s">
        <v>69</v>
      </c>
      <c r="O1102">
        <v>0</v>
      </c>
      <c r="S1102" t="str">
        <f>TEXT(Table1[[#This Row],[Date]],"MMM-YY")</f>
        <v>Oct-24</v>
      </c>
      <c r="T1102">
        <f>_xlfn.ISOWEEKNUM(Table1[[#This Row],[Date]])</f>
        <v>42</v>
      </c>
      <c r="U1102" t="str">
        <f>TEXT(Table1[[#This Row],[Expected Business Month]],"YYYY")</f>
        <v>2024</v>
      </c>
    </row>
    <row r="1103" spans="1:21" hidden="1">
      <c r="A1103" s="1">
        <v>45581</v>
      </c>
      <c r="B1103" t="s">
        <v>2873</v>
      </c>
      <c r="C1103" t="s">
        <v>63</v>
      </c>
      <c r="D1103" t="s">
        <v>2027</v>
      </c>
      <c r="E1103" t="s">
        <v>38</v>
      </c>
      <c r="F1103" t="s">
        <v>1630</v>
      </c>
      <c r="G1103" s="9" t="s">
        <v>2874</v>
      </c>
      <c r="H1103">
        <v>557702</v>
      </c>
      <c r="I1103">
        <v>557702</v>
      </c>
      <c r="J1103" s="21">
        <v>45566</v>
      </c>
      <c r="K1103" t="s">
        <v>67</v>
      </c>
      <c r="L1103" t="s">
        <v>68</v>
      </c>
      <c r="M1103" t="s">
        <v>69</v>
      </c>
      <c r="O1103">
        <v>0</v>
      </c>
      <c r="S1103" t="str">
        <f>TEXT(Table1[[#This Row],[Date]],"MMM-YY")</f>
        <v>Oct-24</v>
      </c>
      <c r="T1103">
        <f>_xlfn.ISOWEEKNUM(Table1[[#This Row],[Date]])</f>
        <v>42</v>
      </c>
      <c r="U1103" t="str">
        <f>TEXT(Table1[[#This Row],[Expected Business Month]],"YYYY")</f>
        <v>2024</v>
      </c>
    </row>
    <row r="1104" spans="1:21" hidden="1">
      <c r="A1104" s="1">
        <v>45581</v>
      </c>
      <c r="B1104" t="s">
        <v>2875</v>
      </c>
      <c r="C1104" t="s">
        <v>96</v>
      </c>
      <c r="D1104" t="s">
        <v>64</v>
      </c>
      <c r="E1104" t="s">
        <v>19</v>
      </c>
      <c r="F1104" t="s">
        <v>2484</v>
      </c>
      <c r="G1104" s="9" t="s">
        <v>2876</v>
      </c>
      <c r="H1104">
        <v>100000</v>
      </c>
      <c r="I1104">
        <v>0</v>
      </c>
      <c r="J1104" s="21">
        <v>45627</v>
      </c>
      <c r="K1104" t="s">
        <v>67</v>
      </c>
      <c r="L1104" t="s">
        <v>9</v>
      </c>
      <c r="M1104" t="s">
        <v>9</v>
      </c>
      <c r="O1104">
        <v>0</v>
      </c>
      <c r="S1104" t="str">
        <f>TEXT(Table1[[#This Row],[Date]],"MMM-YY")</f>
        <v>Oct-24</v>
      </c>
      <c r="T1104">
        <f>_xlfn.ISOWEEKNUM(Table1[[#This Row],[Date]])</f>
        <v>42</v>
      </c>
      <c r="U1104" t="str">
        <f>TEXT(Table1[[#This Row],[Expected Business Month]],"YYYY")</f>
        <v>2024</v>
      </c>
    </row>
    <row r="1105" spans="1:21" hidden="1">
      <c r="A1105" s="1">
        <v>45581</v>
      </c>
      <c r="B1105" t="s">
        <v>2877</v>
      </c>
      <c r="C1105" t="s">
        <v>63</v>
      </c>
      <c r="D1105" t="s">
        <v>64</v>
      </c>
      <c r="E1105" t="s">
        <v>28</v>
      </c>
      <c r="F1105" t="s">
        <v>1978</v>
      </c>
      <c r="G1105" s="9" t="s">
        <v>1857</v>
      </c>
      <c r="H1105">
        <v>50000</v>
      </c>
      <c r="J1105" s="21">
        <v>45870</v>
      </c>
      <c r="K1105" t="s">
        <v>67</v>
      </c>
      <c r="L1105" t="s">
        <v>9</v>
      </c>
      <c r="M1105" t="s">
        <v>2878</v>
      </c>
      <c r="O1105">
        <v>0</v>
      </c>
      <c r="S1105" t="str">
        <f>TEXT(Table1[[#This Row],[Date]],"MMM-YY")</f>
        <v>Oct-24</v>
      </c>
      <c r="T1105">
        <f>_xlfn.ISOWEEKNUM(Table1[[#This Row],[Date]])</f>
        <v>42</v>
      </c>
      <c r="U1105" t="str">
        <f>TEXT(Table1[[#This Row],[Expected Business Month]],"YYYY")</f>
        <v>2025</v>
      </c>
    </row>
    <row r="1106" spans="1:21" hidden="1">
      <c r="A1106" s="1">
        <v>45582</v>
      </c>
      <c r="B1106" t="s">
        <v>2395</v>
      </c>
      <c r="C1106" t="s">
        <v>63</v>
      </c>
      <c r="D1106" t="s">
        <v>64</v>
      </c>
      <c r="E1106" t="s">
        <v>14</v>
      </c>
      <c r="F1106" t="s">
        <v>396</v>
      </c>
      <c r="G1106" s="9" t="s">
        <v>2879</v>
      </c>
      <c r="H1106">
        <v>0</v>
      </c>
      <c r="I1106">
        <v>0</v>
      </c>
      <c r="J1106" s="21">
        <v>45566</v>
      </c>
      <c r="K1106" t="s">
        <v>67</v>
      </c>
      <c r="L1106" t="s">
        <v>68</v>
      </c>
      <c r="M1106" t="s">
        <v>69</v>
      </c>
      <c r="O1106">
        <v>0</v>
      </c>
      <c r="S1106" t="str">
        <f>TEXT(Table1[[#This Row],[Date]],"MMM-YY")</f>
        <v>Oct-24</v>
      </c>
      <c r="T1106">
        <f>_xlfn.ISOWEEKNUM(Table1[[#This Row],[Date]])</f>
        <v>42</v>
      </c>
      <c r="U1106" t="str">
        <f>TEXT(Table1[[#This Row],[Expected Business Month]],"YYYY")</f>
        <v>2024</v>
      </c>
    </row>
    <row r="1107" spans="1:21" hidden="1">
      <c r="A1107" s="1">
        <v>45582</v>
      </c>
      <c r="B1107" t="s">
        <v>79</v>
      </c>
      <c r="C1107" t="s">
        <v>63</v>
      </c>
      <c r="D1107" t="s">
        <v>64</v>
      </c>
      <c r="E1107" t="s">
        <v>33</v>
      </c>
      <c r="F1107" t="s">
        <v>80</v>
      </c>
      <c r="G1107" s="9" t="s">
        <v>2880</v>
      </c>
      <c r="H1107">
        <v>0</v>
      </c>
      <c r="I1107">
        <v>0</v>
      </c>
      <c r="J1107" s="21">
        <v>45566</v>
      </c>
      <c r="K1107" t="s">
        <v>67</v>
      </c>
      <c r="L1107" t="s">
        <v>68</v>
      </c>
      <c r="M1107" t="s">
        <v>69</v>
      </c>
      <c r="O1107">
        <v>0</v>
      </c>
      <c r="S1107" t="str">
        <f>TEXT(Table1[[#This Row],[Date]],"MMM-YY")</f>
        <v>Oct-24</v>
      </c>
      <c r="T1107">
        <f>_xlfn.ISOWEEKNUM(Table1[[#This Row],[Date]])</f>
        <v>42</v>
      </c>
      <c r="U1107" t="str">
        <f>TEXT(Table1[[#This Row],[Expected Business Month]],"YYYY")</f>
        <v>2024</v>
      </c>
    </row>
    <row r="1108" spans="1:21" hidden="1">
      <c r="A1108" s="1">
        <v>45583</v>
      </c>
      <c r="B1108" t="s">
        <v>304</v>
      </c>
      <c r="C1108" t="s">
        <v>96</v>
      </c>
      <c r="D1108" t="s">
        <v>20</v>
      </c>
      <c r="E1108" t="s">
        <v>23</v>
      </c>
      <c r="F1108" t="s">
        <v>2881</v>
      </c>
      <c r="G1108" s="9" t="s">
        <v>2882</v>
      </c>
      <c r="H1108">
        <v>12000</v>
      </c>
      <c r="I1108">
        <v>12000</v>
      </c>
      <c r="J1108" s="21">
        <v>45566</v>
      </c>
      <c r="K1108" t="s">
        <v>67</v>
      </c>
      <c r="L1108" t="s">
        <v>68</v>
      </c>
      <c r="M1108" t="s">
        <v>69</v>
      </c>
      <c r="O1108">
        <v>0</v>
      </c>
      <c r="S1108" t="str">
        <f>TEXT(Table1[[#This Row],[Date]],"MMM-YY")</f>
        <v>Oct-24</v>
      </c>
      <c r="T1108">
        <f>_xlfn.ISOWEEKNUM(Table1[[#This Row],[Date]])</f>
        <v>42</v>
      </c>
      <c r="U1108" t="str">
        <f>TEXT(Table1[[#This Row],[Expected Business Month]],"YYYY")</f>
        <v>2024</v>
      </c>
    </row>
    <row r="1109" spans="1:21" ht="29.1" hidden="1">
      <c r="A1109" s="1">
        <v>45583</v>
      </c>
      <c r="B1109" t="s">
        <v>2480</v>
      </c>
      <c r="C1109" t="s">
        <v>96</v>
      </c>
      <c r="D1109" t="s">
        <v>20</v>
      </c>
      <c r="E1109" t="s">
        <v>23</v>
      </c>
      <c r="F1109" t="s">
        <v>2883</v>
      </c>
      <c r="G1109" s="9" t="s">
        <v>2884</v>
      </c>
      <c r="H1109">
        <v>35000</v>
      </c>
      <c r="I1109">
        <v>0</v>
      </c>
      <c r="J1109" s="21">
        <v>45566</v>
      </c>
      <c r="K1109" t="s">
        <v>67</v>
      </c>
      <c r="L1109" t="s">
        <v>9</v>
      </c>
      <c r="M1109" t="s">
        <v>9</v>
      </c>
      <c r="O1109">
        <v>0</v>
      </c>
      <c r="S1109" t="str">
        <f>TEXT(Table1[[#This Row],[Date]],"MMM-YY")</f>
        <v>Oct-24</v>
      </c>
      <c r="T1109">
        <f>_xlfn.ISOWEEKNUM(Table1[[#This Row],[Date]])</f>
        <v>42</v>
      </c>
      <c r="U1109" t="str">
        <f>TEXT(Table1[[#This Row],[Expected Business Month]],"YYYY")</f>
        <v>2024</v>
      </c>
    </row>
    <row r="1110" spans="1:21" hidden="1">
      <c r="A1110" s="1">
        <v>45583</v>
      </c>
      <c r="B1110" t="s">
        <v>2885</v>
      </c>
      <c r="C1110" t="s">
        <v>63</v>
      </c>
      <c r="D1110" t="s">
        <v>105</v>
      </c>
      <c r="E1110" t="s">
        <v>18</v>
      </c>
      <c r="F1110" t="s">
        <v>2886</v>
      </c>
      <c r="G1110" s="9" t="s">
        <v>2887</v>
      </c>
      <c r="H1110">
        <v>60000</v>
      </c>
      <c r="I1110">
        <v>0</v>
      </c>
      <c r="J1110" s="21">
        <v>45566</v>
      </c>
      <c r="K1110" t="s">
        <v>67</v>
      </c>
      <c r="L1110" t="s">
        <v>9</v>
      </c>
      <c r="M1110" t="s">
        <v>9</v>
      </c>
      <c r="N1110" t="s">
        <v>2888</v>
      </c>
      <c r="O1110">
        <v>0</v>
      </c>
      <c r="S1110" t="str">
        <f>TEXT(Table1[[#This Row],[Date]],"MMM-YY")</f>
        <v>Oct-24</v>
      </c>
      <c r="T1110">
        <f>_xlfn.ISOWEEKNUM(Table1[[#This Row],[Date]])</f>
        <v>42</v>
      </c>
      <c r="U1110" t="str">
        <f>TEXT(Table1[[#This Row],[Expected Business Month]],"YYYY")</f>
        <v>2024</v>
      </c>
    </row>
    <row r="1111" spans="1:21" ht="16.5" hidden="1" customHeight="1">
      <c r="A1111" s="1">
        <v>45588</v>
      </c>
      <c r="B1111" t="s">
        <v>2889</v>
      </c>
      <c r="C1111" t="s">
        <v>63</v>
      </c>
      <c r="D1111" t="s">
        <v>64</v>
      </c>
      <c r="E1111" t="s">
        <v>14</v>
      </c>
      <c r="F1111" t="s">
        <v>2890</v>
      </c>
      <c r="G1111" s="9" t="s">
        <v>2891</v>
      </c>
      <c r="H1111">
        <v>46405</v>
      </c>
      <c r="I1111">
        <v>46405</v>
      </c>
      <c r="J1111" s="21">
        <v>45566</v>
      </c>
      <c r="K1111" t="s">
        <v>67</v>
      </c>
      <c r="L1111" t="s">
        <v>68</v>
      </c>
      <c r="M1111" t="s">
        <v>69</v>
      </c>
      <c r="O1111">
        <v>0</v>
      </c>
      <c r="S1111" t="str">
        <f>TEXT(Table1[[#This Row],[Date]],"MMM-YY")</f>
        <v>Oct-24</v>
      </c>
      <c r="T1111">
        <f>_xlfn.ISOWEEKNUM(Table1[[#This Row],[Date]])</f>
        <v>43</v>
      </c>
      <c r="U1111" t="str">
        <f>TEXT(Table1[[#This Row],[Expected Business Month]],"YYYY")</f>
        <v>2024</v>
      </c>
    </row>
    <row r="1112" spans="1:21" hidden="1">
      <c r="A1112" s="1">
        <v>45588</v>
      </c>
      <c r="B1112" t="s">
        <v>2892</v>
      </c>
      <c r="C1112" t="s">
        <v>63</v>
      </c>
      <c r="D1112" t="s">
        <v>20</v>
      </c>
      <c r="E1112" t="s">
        <v>23</v>
      </c>
      <c r="F1112" t="s">
        <v>2893</v>
      </c>
      <c r="G1112" s="9" t="s">
        <v>2894</v>
      </c>
      <c r="H1112">
        <v>90000</v>
      </c>
      <c r="I1112">
        <v>0</v>
      </c>
      <c r="J1112" s="21">
        <v>45566</v>
      </c>
      <c r="K1112" t="s">
        <v>67</v>
      </c>
      <c r="L1112" t="s">
        <v>9</v>
      </c>
      <c r="M1112" t="s">
        <v>9</v>
      </c>
      <c r="N1112" t="s">
        <v>707</v>
      </c>
      <c r="O1112">
        <v>0</v>
      </c>
      <c r="S1112" t="str">
        <f>TEXT(Table1[[#This Row],[Date]],"MMM-YY")</f>
        <v>Oct-24</v>
      </c>
      <c r="T1112">
        <f>_xlfn.ISOWEEKNUM(Table1[[#This Row],[Date]])</f>
        <v>43</v>
      </c>
      <c r="U1112" t="str">
        <f>TEXT(Table1[[#This Row],[Expected Business Month]],"YYYY")</f>
        <v>2024</v>
      </c>
    </row>
    <row r="1113" spans="1:21" hidden="1">
      <c r="A1113" s="1">
        <v>45588</v>
      </c>
      <c r="B1113" t="s">
        <v>2895</v>
      </c>
      <c r="C1113" t="s">
        <v>63</v>
      </c>
      <c r="D1113" t="s">
        <v>64</v>
      </c>
      <c r="E1113" t="s">
        <v>38</v>
      </c>
      <c r="F1113" t="s">
        <v>269</v>
      </c>
      <c r="G1113" s="9" t="s">
        <v>2896</v>
      </c>
      <c r="H1113">
        <v>0</v>
      </c>
      <c r="I1113">
        <v>0</v>
      </c>
      <c r="J1113" s="21">
        <v>45658</v>
      </c>
      <c r="K1113" t="s">
        <v>67</v>
      </c>
      <c r="L1113" t="s">
        <v>68</v>
      </c>
      <c r="M1113" t="s">
        <v>69</v>
      </c>
      <c r="O1113">
        <v>0</v>
      </c>
      <c r="S1113" t="str">
        <f>TEXT(Table1[[#This Row],[Date]],"MMM-YY")</f>
        <v>Oct-24</v>
      </c>
      <c r="T1113">
        <f>_xlfn.ISOWEEKNUM(Table1[[#This Row],[Date]])</f>
        <v>43</v>
      </c>
      <c r="U1113" t="str">
        <f>TEXT(Table1[[#This Row],[Expected Business Month]],"YYYY")</f>
        <v>2025</v>
      </c>
    </row>
    <row r="1114" spans="1:21" hidden="1">
      <c r="A1114" s="1">
        <v>45588</v>
      </c>
      <c r="B1114" t="s">
        <v>2897</v>
      </c>
      <c r="C1114" t="s">
        <v>63</v>
      </c>
      <c r="D1114" t="s">
        <v>105</v>
      </c>
      <c r="E1114" t="s">
        <v>18</v>
      </c>
      <c r="F1114" t="s">
        <v>2898</v>
      </c>
      <c r="G1114" s="9" t="s">
        <v>2899</v>
      </c>
      <c r="H1114">
        <v>0</v>
      </c>
      <c r="I1114">
        <v>0</v>
      </c>
      <c r="J1114" s="21">
        <v>45597</v>
      </c>
      <c r="K1114" t="s">
        <v>67</v>
      </c>
      <c r="L1114" t="s">
        <v>68</v>
      </c>
      <c r="M1114" t="s">
        <v>69</v>
      </c>
      <c r="O1114">
        <v>0</v>
      </c>
      <c r="S1114" t="str">
        <f>TEXT(Table1[[#This Row],[Date]],"MMM-YY")</f>
        <v>Oct-24</v>
      </c>
      <c r="T1114">
        <f>_xlfn.ISOWEEKNUM(Table1[[#This Row],[Date]])</f>
        <v>43</v>
      </c>
      <c r="U1114" t="str">
        <f>TEXT(Table1[[#This Row],[Expected Business Month]],"YYYY")</f>
        <v>2024</v>
      </c>
    </row>
    <row r="1115" spans="1:21" hidden="1">
      <c r="A1115" s="1">
        <v>45589</v>
      </c>
      <c r="B1115" t="s">
        <v>62</v>
      </c>
      <c r="C1115" t="s">
        <v>63</v>
      </c>
      <c r="D1115" t="s">
        <v>64</v>
      </c>
      <c r="E1115" t="s">
        <v>27</v>
      </c>
      <c r="F1115" t="s">
        <v>2900</v>
      </c>
      <c r="G1115" s="9" t="s">
        <v>2901</v>
      </c>
      <c r="H1115">
        <v>1556000</v>
      </c>
      <c r="I1115">
        <v>1556000</v>
      </c>
      <c r="J1115" s="21">
        <v>45566</v>
      </c>
      <c r="K1115" t="s">
        <v>67</v>
      </c>
      <c r="L1115" t="s">
        <v>68</v>
      </c>
      <c r="M1115" t="s">
        <v>69</v>
      </c>
      <c r="O1115">
        <v>0</v>
      </c>
      <c r="S1115" t="str">
        <f>TEXT(Table1[[#This Row],[Date]],"MMM-YY")</f>
        <v>Oct-24</v>
      </c>
      <c r="T1115">
        <f>_xlfn.ISOWEEKNUM(Table1[[#This Row],[Date]])</f>
        <v>43</v>
      </c>
      <c r="U1115" t="str">
        <f>TEXT(Table1[[#This Row],[Expected Business Month]],"YYYY")</f>
        <v>2024</v>
      </c>
    </row>
    <row r="1116" spans="1:21" hidden="1">
      <c r="A1116" s="1">
        <v>45589</v>
      </c>
      <c r="B1116" t="s">
        <v>2902</v>
      </c>
      <c r="C1116" t="s">
        <v>96</v>
      </c>
      <c r="D1116" t="s">
        <v>64</v>
      </c>
      <c r="E1116" t="s">
        <v>25</v>
      </c>
      <c r="F1116" t="s">
        <v>2349</v>
      </c>
      <c r="G1116" s="9" t="s">
        <v>2903</v>
      </c>
      <c r="H1116">
        <v>10000</v>
      </c>
      <c r="I1116">
        <v>10000</v>
      </c>
      <c r="J1116" s="21">
        <v>45566</v>
      </c>
      <c r="K1116" t="s">
        <v>67</v>
      </c>
      <c r="L1116" t="s">
        <v>68</v>
      </c>
      <c r="M1116" t="s">
        <v>69</v>
      </c>
      <c r="O1116">
        <v>0</v>
      </c>
      <c r="S1116" t="str">
        <f>TEXT(Table1[[#This Row],[Date]],"MMM-YY")</f>
        <v>Oct-24</v>
      </c>
      <c r="T1116">
        <f>_xlfn.ISOWEEKNUM(Table1[[#This Row],[Date]])</f>
        <v>43</v>
      </c>
      <c r="U1116" t="str">
        <f>TEXT(Table1[[#This Row],[Expected Business Month]],"YYYY")</f>
        <v>2024</v>
      </c>
    </row>
    <row r="1117" spans="1:21" ht="29.1" hidden="1">
      <c r="A1117" s="1">
        <v>45589</v>
      </c>
      <c r="B1117" t="s">
        <v>2820</v>
      </c>
      <c r="C1117" t="s">
        <v>63</v>
      </c>
      <c r="D1117" t="s">
        <v>64</v>
      </c>
      <c r="E1117" t="s">
        <v>18</v>
      </c>
      <c r="F1117" t="s">
        <v>2904</v>
      </c>
      <c r="G1117" s="9" t="s">
        <v>2905</v>
      </c>
      <c r="H1117">
        <v>30000</v>
      </c>
      <c r="I1117">
        <v>30000</v>
      </c>
      <c r="J1117" s="21">
        <v>45566</v>
      </c>
      <c r="K1117" t="s">
        <v>67</v>
      </c>
      <c r="L1117" t="s">
        <v>68</v>
      </c>
      <c r="M1117" t="s">
        <v>69</v>
      </c>
      <c r="O1117">
        <v>0</v>
      </c>
      <c r="S1117" t="str">
        <f>TEXT(Table1[[#This Row],[Date]],"MMM-YY")</f>
        <v>Oct-24</v>
      </c>
      <c r="T1117">
        <f>_xlfn.ISOWEEKNUM(Table1[[#This Row],[Date]])</f>
        <v>43</v>
      </c>
      <c r="U1117" t="str">
        <f>TEXT(Table1[[#This Row],[Expected Business Month]],"YYYY")</f>
        <v>2024</v>
      </c>
    </row>
    <row r="1118" spans="1:21" hidden="1">
      <c r="A1118" s="1">
        <v>45589</v>
      </c>
      <c r="B1118" t="s">
        <v>2906</v>
      </c>
      <c r="C1118" t="s">
        <v>63</v>
      </c>
      <c r="D1118" t="s">
        <v>64</v>
      </c>
      <c r="E1118" t="s">
        <v>27</v>
      </c>
      <c r="F1118" t="s">
        <v>1299</v>
      </c>
      <c r="G1118" s="9" t="s">
        <v>2907</v>
      </c>
      <c r="H1118">
        <v>35000</v>
      </c>
      <c r="I1118">
        <v>0</v>
      </c>
      <c r="J1118" s="21">
        <v>45658</v>
      </c>
      <c r="K1118" t="s">
        <v>67</v>
      </c>
      <c r="L1118" t="s">
        <v>9</v>
      </c>
      <c r="M1118" t="s">
        <v>2878</v>
      </c>
      <c r="O1118">
        <v>0</v>
      </c>
      <c r="S1118" t="str">
        <f>TEXT(Table1[[#This Row],[Date]],"MMM-YY")</f>
        <v>Oct-24</v>
      </c>
      <c r="T1118">
        <f>_xlfn.ISOWEEKNUM(Table1[[#This Row],[Date]])</f>
        <v>43</v>
      </c>
      <c r="U1118" t="str">
        <f>TEXT(Table1[[#This Row],[Expected Business Month]],"YYYY")</f>
        <v>2025</v>
      </c>
    </row>
    <row r="1119" spans="1:21" hidden="1">
      <c r="A1119" s="1">
        <v>45590</v>
      </c>
      <c r="B1119" t="s">
        <v>2769</v>
      </c>
      <c r="C1119" t="s">
        <v>63</v>
      </c>
      <c r="D1119" t="s">
        <v>64</v>
      </c>
      <c r="E1119" t="s">
        <v>29</v>
      </c>
      <c r="F1119" t="s">
        <v>164</v>
      </c>
      <c r="G1119" s="9" t="s">
        <v>2822</v>
      </c>
      <c r="H1119">
        <v>191100</v>
      </c>
      <c r="I1119">
        <v>191100</v>
      </c>
      <c r="J1119" s="21">
        <v>45566</v>
      </c>
      <c r="K1119" t="s">
        <v>67</v>
      </c>
      <c r="L1119" t="s">
        <v>68</v>
      </c>
      <c r="M1119" t="s">
        <v>69</v>
      </c>
      <c r="O1119">
        <v>0</v>
      </c>
      <c r="S1119" t="str">
        <f>TEXT(Table1[[#This Row],[Date]],"MMM-YY")</f>
        <v>Oct-24</v>
      </c>
      <c r="T1119">
        <f>_xlfn.ISOWEEKNUM(Table1[[#This Row],[Date]])</f>
        <v>43</v>
      </c>
      <c r="U1119" t="str">
        <f>TEXT(Table1[[#This Row],[Expected Business Month]],"YYYY")</f>
        <v>2024</v>
      </c>
    </row>
    <row r="1120" spans="1:21" hidden="1">
      <c r="A1120" s="1">
        <v>45591</v>
      </c>
      <c r="B1120" t="s">
        <v>330</v>
      </c>
      <c r="C1120" t="s">
        <v>96</v>
      </c>
      <c r="D1120" t="s">
        <v>20</v>
      </c>
      <c r="E1120" t="s">
        <v>23</v>
      </c>
      <c r="F1120" t="s">
        <v>2908</v>
      </c>
      <c r="G1120" s="9" t="s">
        <v>2909</v>
      </c>
      <c r="H1120">
        <v>25000</v>
      </c>
      <c r="I1120">
        <v>25000</v>
      </c>
      <c r="J1120" s="21">
        <v>45566</v>
      </c>
      <c r="K1120" t="s">
        <v>67</v>
      </c>
      <c r="L1120" t="s">
        <v>68</v>
      </c>
      <c r="M1120" t="s">
        <v>69</v>
      </c>
      <c r="O1120">
        <v>0</v>
      </c>
      <c r="S1120" t="str">
        <f>TEXT(Table1[[#This Row],[Date]],"MMM-YY")</f>
        <v>Oct-24</v>
      </c>
      <c r="T1120">
        <f>_xlfn.ISOWEEKNUM(Table1[[#This Row],[Date]])</f>
        <v>43</v>
      </c>
      <c r="U1120" t="str">
        <f>TEXT(Table1[[#This Row],[Expected Business Month]],"YYYY")</f>
        <v>2024</v>
      </c>
    </row>
    <row r="1121" spans="1:21" hidden="1">
      <c r="A1121" s="1">
        <v>45592</v>
      </c>
      <c r="B1121" t="s">
        <v>2910</v>
      </c>
      <c r="C1121" t="s">
        <v>96</v>
      </c>
      <c r="D1121" t="s">
        <v>64</v>
      </c>
      <c r="E1121" t="s">
        <v>32</v>
      </c>
      <c r="F1121" t="s">
        <v>2911</v>
      </c>
      <c r="G1121" s="9" t="s">
        <v>2912</v>
      </c>
      <c r="H1121">
        <v>28000</v>
      </c>
      <c r="I1121">
        <v>28000</v>
      </c>
      <c r="J1121" s="21">
        <v>45566</v>
      </c>
      <c r="K1121" t="s">
        <v>67</v>
      </c>
      <c r="L1121" t="s">
        <v>68</v>
      </c>
      <c r="M1121" t="s">
        <v>69</v>
      </c>
      <c r="O1121">
        <v>0</v>
      </c>
      <c r="S1121" t="str">
        <f>TEXT(Table1[[#This Row],[Date]],"MMM-YY")</f>
        <v>Oct-24</v>
      </c>
      <c r="T1121">
        <f>_xlfn.ISOWEEKNUM(Table1[[#This Row],[Date]])</f>
        <v>43</v>
      </c>
      <c r="U1121" t="str">
        <f>TEXT(Table1[[#This Row],[Expected Business Month]],"YYYY")</f>
        <v>2024</v>
      </c>
    </row>
    <row r="1122" spans="1:21" hidden="1">
      <c r="A1122" s="1">
        <v>45594</v>
      </c>
      <c r="B1122" t="s">
        <v>2240</v>
      </c>
      <c r="C1122" t="s">
        <v>96</v>
      </c>
      <c r="D1122" t="s">
        <v>20</v>
      </c>
      <c r="E1122" t="s">
        <v>23</v>
      </c>
      <c r="F1122" t="s">
        <v>2913</v>
      </c>
      <c r="G1122" s="9" t="s">
        <v>2914</v>
      </c>
      <c r="H1122">
        <v>7000</v>
      </c>
      <c r="I1122">
        <v>7000</v>
      </c>
      <c r="J1122" s="21">
        <v>45566</v>
      </c>
      <c r="K1122" t="s">
        <v>67</v>
      </c>
      <c r="L1122" t="s">
        <v>68</v>
      </c>
      <c r="M1122" t="s">
        <v>69</v>
      </c>
      <c r="O1122">
        <v>0</v>
      </c>
      <c r="S1122" t="str">
        <f>TEXT(Table1[[#This Row],[Date]],"MMM-YY")</f>
        <v>Oct-24</v>
      </c>
      <c r="T1122">
        <f>_xlfn.ISOWEEKNUM(Table1[[#This Row],[Date]])</f>
        <v>44</v>
      </c>
      <c r="U1122" t="str">
        <f>TEXT(Table1[[#This Row],[Expected Business Month]],"YYYY")</f>
        <v>2024</v>
      </c>
    </row>
    <row r="1123" spans="1:21" hidden="1">
      <c r="A1123" s="1">
        <v>45594</v>
      </c>
      <c r="B1123" t="s">
        <v>2915</v>
      </c>
      <c r="C1123" t="s">
        <v>96</v>
      </c>
      <c r="D1123" t="s">
        <v>64</v>
      </c>
      <c r="E1123" t="s">
        <v>20</v>
      </c>
      <c r="F1123" t="s">
        <v>2916</v>
      </c>
      <c r="G1123" s="9" t="s">
        <v>2917</v>
      </c>
      <c r="H1123">
        <v>30000</v>
      </c>
      <c r="I1123">
        <v>0</v>
      </c>
      <c r="J1123" s="21">
        <v>45597</v>
      </c>
      <c r="K1123" t="s">
        <v>67</v>
      </c>
      <c r="L1123" t="s">
        <v>9</v>
      </c>
      <c r="M1123" t="s">
        <v>9</v>
      </c>
      <c r="N1123" t="s">
        <v>707</v>
      </c>
      <c r="O1123">
        <v>0</v>
      </c>
      <c r="S1123" t="str">
        <f>TEXT(Table1[[#This Row],[Date]],"MMM-YY")</f>
        <v>Oct-24</v>
      </c>
      <c r="T1123">
        <f>_xlfn.ISOWEEKNUM(Table1[[#This Row],[Date]])</f>
        <v>44</v>
      </c>
      <c r="U1123" t="str">
        <f>TEXT(Table1[[#This Row],[Expected Business Month]],"YYYY")</f>
        <v>2024</v>
      </c>
    </row>
    <row r="1124" spans="1:21" hidden="1">
      <c r="A1124" s="1">
        <v>45594</v>
      </c>
      <c r="B1124" t="s">
        <v>2918</v>
      </c>
      <c r="C1124" t="s">
        <v>96</v>
      </c>
      <c r="D1124" t="s">
        <v>20</v>
      </c>
      <c r="E1124" t="s">
        <v>23</v>
      </c>
      <c r="F1124" t="s">
        <v>73</v>
      </c>
      <c r="G1124" s="9" t="s">
        <v>2919</v>
      </c>
      <c r="H1124">
        <v>25000</v>
      </c>
      <c r="I1124">
        <v>25000</v>
      </c>
      <c r="J1124" s="21">
        <v>45566</v>
      </c>
      <c r="K1124" t="s">
        <v>67</v>
      </c>
      <c r="L1124" t="s">
        <v>68</v>
      </c>
      <c r="M1124" t="s">
        <v>69</v>
      </c>
      <c r="O1124">
        <v>0</v>
      </c>
      <c r="S1124" t="str">
        <f>TEXT(Table1[[#This Row],[Date]],"MMM-YY")</f>
        <v>Oct-24</v>
      </c>
      <c r="T1124">
        <f>_xlfn.ISOWEEKNUM(Table1[[#This Row],[Date]])</f>
        <v>44</v>
      </c>
      <c r="U1124" t="str">
        <f>TEXT(Table1[[#This Row],[Expected Business Month]],"YYYY")</f>
        <v>2024</v>
      </c>
    </row>
    <row r="1125" spans="1:21" hidden="1">
      <c r="A1125" s="1">
        <v>45594</v>
      </c>
      <c r="B1125" t="s">
        <v>95</v>
      </c>
      <c r="C1125" t="s">
        <v>96</v>
      </c>
      <c r="D1125" t="s">
        <v>64</v>
      </c>
      <c r="E1125" t="s">
        <v>38</v>
      </c>
      <c r="F1125" t="s">
        <v>97</v>
      </c>
      <c r="G1125" s="9" t="s">
        <v>2920</v>
      </c>
      <c r="H1125">
        <v>36855</v>
      </c>
      <c r="I1125">
        <v>36855</v>
      </c>
      <c r="J1125" s="21">
        <v>45566</v>
      </c>
      <c r="K1125" t="s">
        <v>99</v>
      </c>
      <c r="L1125" t="s">
        <v>68</v>
      </c>
      <c r="M1125" t="s">
        <v>69</v>
      </c>
      <c r="O1125">
        <v>0</v>
      </c>
      <c r="S1125" t="str">
        <f>TEXT(Table1[[#This Row],[Date]],"MMM-YY")</f>
        <v>Oct-24</v>
      </c>
      <c r="T1125">
        <f>_xlfn.ISOWEEKNUM(Table1[[#This Row],[Date]])</f>
        <v>44</v>
      </c>
      <c r="U1125" t="str">
        <f>TEXT(Table1[[#This Row],[Expected Business Month]],"YYYY")</f>
        <v>2024</v>
      </c>
    </row>
    <row r="1126" spans="1:21" hidden="1">
      <c r="A1126" s="1">
        <v>45595</v>
      </c>
      <c r="B1126" t="s">
        <v>1763</v>
      </c>
      <c r="C1126" t="s">
        <v>96</v>
      </c>
      <c r="D1126" t="s">
        <v>20</v>
      </c>
      <c r="E1126" t="s">
        <v>23</v>
      </c>
      <c r="F1126" t="s">
        <v>2921</v>
      </c>
      <c r="G1126" s="9" t="s">
        <v>2922</v>
      </c>
      <c r="H1126">
        <v>20000</v>
      </c>
      <c r="I1126">
        <v>0</v>
      </c>
      <c r="J1126" s="21">
        <v>45627</v>
      </c>
      <c r="K1126" t="s">
        <v>67</v>
      </c>
      <c r="L1126" t="s">
        <v>9</v>
      </c>
      <c r="M1126" t="s">
        <v>9</v>
      </c>
      <c r="O1126">
        <v>0</v>
      </c>
      <c r="S1126" t="str">
        <f>TEXT(Table1[[#This Row],[Date]],"MMM-YY")</f>
        <v>Oct-24</v>
      </c>
      <c r="T1126">
        <f>_xlfn.ISOWEEKNUM(Table1[[#This Row],[Date]])</f>
        <v>44</v>
      </c>
      <c r="U1126" t="str">
        <f>TEXT(Table1[[#This Row],[Expected Business Month]],"YYYY")</f>
        <v>2024</v>
      </c>
    </row>
    <row r="1127" spans="1:21" hidden="1">
      <c r="A1127" s="1">
        <v>45595</v>
      </c>
      <c r="B1127" t="s">
        <v>79</v>
      </c>
      <c r="C1127" t="s">
        <v>63</v>
      </c>
      <c r="D1127" t="s">
        <v>64</v>
      </c>
      <c r="E1127" t="s">
        <v>33</v>
      </c>
      <c r="F1127" t="s">
        <v>2923</v>
      </c>
      <c r="G1127" s="9" t="s">
        <v>2924</v>
      </c>
      <c r="H1127">
        <v>0</v>
      </c>
      <c r="I1127">
        <v>0</v>
      </c>
      <c r="J1127" s="21">
        <v>45566</v>
      </c>
      <c r="K1127" t="s">
        <v>67</v>
      </c>
      <c r="L1127" t="s">
        <v>68</v>
      </c>
      <c r="M1127" t="s">
        <v>69</v>
      </c>
      <c r="O1127">
        <v>0</v>
      </c>
      <c r="S1127" t="str">
        <f>TEXT(Table1[[#This Row],[Date]],"MMM-YY")</f>
        <v>Oct-24</v>
      </c>
      <c r="T1127">
        <f>_xlfn.ISOWEEKNUM(Table1[[#This Row],[Date]])</f>
        <v>44</v>
      </c>
      <c r="U1127" t="str">
        <f>TEXT(Table1[[#This Row],[Expected Business Month]],"YYYY")</f>
        <v>2024</v>
      </c>
    </row>
    <row r="1128" spans="1:21" hidden="1">
      <c r="A1128" s="1">
        <v>45595</v>
      </c>
      <c r="B1128" t="s">
        <v>2310</v>
      </c>
      <c r="C1128" t="s">
        <v>63</v>
      </c>
      <c r="D1128" t="s">
        <v>64</v>
      </c>
      <c r="E1128" t="s">
        <v>24</v>
      </c>
      <c r="F1128" t="s">
        <v>2925</v>
      </c>
      <c r="G1128" s="9" t="s">
        <v>2924</v>
      </c>
      <c r="H1128">
        <v>0</v>
      </c>
      <c r="I1128">
        <v>0</v>
      </c>
      <c r="J1128" s="21">
        <v>45566</v>
      </c>
      <c r="K1128" t="s">
        <v>67</v>
      </c>
      <c r="L1128" t="s">
        <v>68</v>
      </c>
      <c r="M1128" t="s">
        <v>69</v>
      </c>
      <c r="O1128">
        <v>0</v>
      </c>
      <c r="S1128" t="str">
        <f>TEXT(Table1[[#This Row],[Date]],"MMM-YY")</f>
        <v>Oct-24</v>
      </c>
      <c r="T1128">
        <f>_xlfn.ISOWEEKNUM(Table1[[#This Row],[Date]])</f>
        <v>44</v>
      </c>
      <c r="U1128" t="str">
        <f>TEXT(Table1[[#This Row],[Expected Business Month]],"YYYY")</f>
        <v>2024</v>
      </c>
    </row>
    <row r="1129" spans="1:21" hidden="1">
      <c r="A1129" s="1">
        <v>45595</v>
      </c>
      <c r="B1129" t="s">
        <v>2769</v>
      </c>
      <c r="C1129" t="s">
        <v>63</v>
      </c>
      <c r="D1129" t="s">
        <v>64</v>
      </c>
      <c r="E1129" t="s">
        <v>29</v>
      </c>
      <c r="F1129" t="s">
        <v>2779</v>
      </c>
      <c r="G1129" s="9" t="s">
        <v>2924</v>
      </c>
      <c r="H1129">
        <v>0</v>
      </c>
      <c r="I1129">
        <v>0</v>
      </c>
      <c r="J1129" s="21">
        <v>45566</v>
      </c>
      <c r="K1129" t="s">
        <v>67</v>
      </c>
      <c r="L1129" t="s">
        <v>68</v>
      </c>
      <c r="M1129" t="s">
        <v>69</v>
      </c>
      <c r="O1129">
        <v>0</v>
      </c>
      <c r="S1129" t="str">
        <f>TEXT(Table1[[#This Row],[Date]],"MMM-YY")</f>
        <v>Oct-24</v>
      </c>
      <c r="T1129">
        <f>_xlfn.ISOWEEKNUM(Table1[[#This Row],[Date]])</f>
        <v>44</v>
      </c>
      <c r="U1129" t="str">
        <f>TEXT(Table1[[#This Row],[Expected Business Month]],"YYYY")</f>
        <v>2024</v>
      </c>
    </row>
    <row r="1130" spans="1:21" hidden="1">
      <c r="A1130" s="1">
        <v>45595</v>
      </c>
      <c r="B1130" t="s">
        <v>2926</v>
      </c>
      <c r="C1130" t="s">
        <v>96</v>
      </c>
      <c r="D1130" t="s">
        <v>20</v>
      </c>
      <c r="E1130" t="s">
        <v>23</v>
      </c>
      <c r="F1130" t="s">
        <v>77</v>
      </c>
      <c r="G1130" s="9" t="s">
        <v>2927</v>
      </c>
      <c r="H1130">
        <v>5000</v>
      </c>
      <c r="I1130">
        <v>5000</v>
      </c>
      <c r="J1130" s="21">
        <v>45566</v>
      </c>
      <c r="K1130" t="s">
        <v>67</v>
      </c>
      <c r="L1130" t="s">
        <v>68</v>
      </c>
      <c r="M1130" t="s">
        <v>69</v>
      </c>
      <c r="O1130">
        <v>0</v>
      </c>
      <c r="S1130" t="str">
        <f>TEXT(Table1[[#This Row],[Date]],"MMM-YY")</f>
        <v>Oct-24</v>
      </c>
      <c r="T1130">
        <f>_xlfn.ISOWEEKNUM(Table1[[#This Row],[Date]])</f>
        <v>44</v>
      </c>
      <c r="U1130" t="str">
        <f>TEXT(Table1[[#This Row],[Expected Business Month]],"YYYY")</f>
        <v>2024</v>
      </c>
    </row>
    <row r="1131" spans="1:21" ht="16.5" hidden="1" customHeight="1">
      <c r="A1131" s="1">
        <v>45597</v>
      </c>
      <c r="B1131" t="s">
        <v>2897</v>
      </c>
      <c r="C1131" t="s">
        <v>96</v>
      </c>
      <c r="D1131" t="s">
        <v>105</v>
      </c>
      <c r="E1131" t="s">
        <v>18</v>
      </c>
      <c r="F1131" t="s">
        <v>2898</v>
      </c>
      <c r="G1131" s="9" t="s">
        <v>2928</v>
      </c>
      <c r="H1131">
        <v>50000</v>
      </c>
      <c r="I1131">
        <v>50000</v>
      </c>
      <c r="J1131" s="21">
        <v>45597</v>
      </c>
      <c r="K1131" t="s">
        <v>67</v>
      </c>
      <c r="L1131" t="s">
        <v>68</v>
      </c>
      <c r="M1131" t="s">
        <v>69</v>
      </c>
      <c r="O1131">
        <v>0</v>
      </c>
      <c r="S1131" t="str">
        <f>TEXT(Table1[[#This Row],[Date]],"MMM-YY")</f>
        <v>Nov-24</v>
      </c>
      <c r="T1131">
        <f>_xlfn.ISOWEEKNUM(Table1[[#This Row],[Date]])</f>
        <v>44</v>
      </c>
      <c r="U1131" t="str">
        <f>TEXT(Table1[[#This Row],[Expected Business Month]],"YYYY")</f>
        <v>2024</v>
      </c>
    </row>
    <row r="1132" spans="1:21" hidden="1">
      <c r="A1132" s="1">
        <v>45600</v>
      </c>
      <c r="B1132" t="s">
        <v>2929</v>
      </c>
      <c r="C1132" t="s">
        <v>2755</v>
      </c>
      <c r="D1132" t="s">
        <v>2681</v>
      </c>
      <c r="E1132" t="s">
        <v>32</v>
      </c>
      <c r="F1132" t="s">
        <v>2930</v>
      </c>
      <c r="G1132" s="9" t="s">
        <v>2931</v>
      </c>
      <c r="H1132">
        <v>20000</v>
      </c>
      <c r="I1132">
        <v>20000</v>
      </c>
      <c r="J1132" s="21">
        <v>45597</v>
      </c>
      <c r="K1132" t="s">
        <v>67</v>
      </c>
      <c r="L1132" t="s">
        <v>68</v>
      </c>
      <c r="M1132" t="s">
        <v>69</v>
      </c>
      <c r="O1132">
        <v>0</v>
      </c>
      <c r="S1132" t="str">
        <f>TEXT(Table1[[#This Row],[Date]],"MMM-YY")</f>
        <v>Nov-24</v>
      </c>
      <c r="T1132">
        <f>_xlfn.ISOWEEKNUM(Table1[[#This Row],[Date]])</f>
        <v>45</v>
      </c>
      <c r="U1132" t="str">
        <f>TEXT(Table1[[#This Row],[Expected Business Month]],"YYYY")</f>
        <v>2024</v>
      </c>
    </row>
    <row r="1133" spans="1:21" hidden="1">
      <c r="A1133" s="1">
        <v>45601</v>
      </c>
      <c r="B1133" t="s">
        <v>95</v>
      </c>
      <c r="C1133" t="s">
        <v>96</v>
      </c>
      <c r="D1133" t="s">
        <v>64</v>
      </c>
      <c r="E1133" t="s">
        <v>38</v>
      </c>
      <c r="F1133" t="s">
        <v>97</v>
      </c>
      <c r="G1133" s="9" t="s">
        <v>2932</v>
      </c>
      <c r="H1133">
        <v>36855</v>
      </c>
      <c r="I1133">
        <v>36855</v>
      </c>
      <c r="J1133" s="21">
        <v>45597</v>
      </c>
      <c r="K1133" t="s">
        <v>99</v>
      </c>
      <c r="L1133" t="s">
        <v>68</v>
      </c>
      <c r="M1133" t="s">
        <v>69</v>
      </c>
      <c r="O1133">
        <v>0</v>
      </c>
      <c r="S1133" t="str">
        <f>TEXT(Table1[[#This Row],[Date]],"MMM-YY")</f>
        <v>Nov-24</v>
      </c>
      <c r="T1133">
        <f>_xlfn.ISOWEEKNUM(Table1[[#This Row],[Date]])</f>
        <v>45</v>
      </c>
      <c r="U1133" t="str">
        <f>TEXT(Table1[[#This Row],[Expected Business Month]],"YYYY")</f>
        <v>2024</v>
      </c>
    </row>
    <row r="1134" spans="1:21" hidden="1">
      <c r="A1134" s="1">
        <v>45602</v>
      </c>
      <c r="B1134" t="s">
        <v>2933</v>
      </c>
      <c r="C1134" t="s">
        <v>96</v>
      </c>
      <c r="D1134" t="s">
        <v>20</v>
      </c>
      <c r="E1134" t="s">
        <v>23</v>
      </c>
      <c r="F1134" t="s">
        <v>2934</v>
      </c>
      <c r="G1134" s="9" t="s">
        <v>2935</v>
      </c>
      <c r="H1134">
        <v>160000</v>
      </c>
      <c r="I1134">
        <v>0</v>
      </c>
      <c r="J1134" s="21">
        <v>45597</v>
      </c>
      <c r="K1134" t="s">
        <v>67</v>
      </c>
      <c r="L1134" t="s">
        <v>9</v>
      </c>
      <c r="M1134" t="s">
        <v>9</v>
      </c>
      <c r="O1134">
        <v>0</v>
      </c>
      <c r="S1134" t="str">
        <f>TEXT(Table1[[#This Row],[Date]],"MMM-YY")</f>
        <v>Nov-24</v>
      </c>
      <c r="T1134">
        <f>_xlfn.ISOWEEKNUM(Table1[[#This Row],[Date]])</f>
        <v>45</v>
      </c>
      <c r="U1134" t="str">
        <f>TEXT(Table1[[#This Row],[Expected Business Month]],"YYYY")</f>
        <v>2024</v>
      </c>
    </row>
    <row r="1135" spans="1:21" hidden="1">
      <c r="A1135" s="1">
        <v>45602</v>
      </c>
      <c r="B1135" t="s">
        <v>2215</v>
      </c>
      <c r="C1135" t="s">
        <v>96</v>
      </c>
      <c r="D1135" t="s">
        <v>20</v>
      </c>
      <c r="E1135" t="s">
        <v>23</v>
      </c>
      <c r="F1135" t="s">
        <v>2216</v>
      </c>
      <c r="G1135" s="9" t="s">
        <v>2936</v>
      </c>
      <c r="H1135">
        <v>15000</v>
      </c>
      <c r="I1135">
        <v>15000</v>
      </c>
      <c r="J1135" s="21">
        <v>45597</v>
      </c>
      <c r="K1135" t="s">
        <v>67</v>
      </c>
      <c r="L1135" t="s">
        <v>68</v>
      </c>
      <c r="M1135" t="s">
        <v>69</v>
      </c>
      <c r="O1135">
        <v>0</v>
      </c>
      <c r="S1135" t="str">
        <f>TEXT(Table1[[#This Row],[Date]],"MMM-YY")</f>
        <v>Nov-24</v>
      </c>
      <c r="T1135">
        <f>_xlfn.ISOWEEKNUM(Table1[[#This Row],[Date]])</f>
        <v>45</v>
      </c>
      <c r="U1135" t="str">
        <f>TEXT(Table1[[#This Row],[Expected Business Month]],"YYYY")</f>
        <v>2024</v>
      </c>
    </row>
    <row r="1136" spans="1:21" hidden="1">
      <c r="A1136" s="1">
        <v>45602</v>
      </c>
      <c r="B1136" t="s">
        <v>2937</v>
      </c>
      <c r="C1136" t="s">
        <v>96</v>
      </c>
      <c r="D1136" t="s">
        <v>20</v>
      </c>
      <c r="E1136" t="s">
        <v>23</v>
      </c>
      <c r="F1136" t="s">
        <v>2826</v>
      </c>
      <c r="G1136" s="9" t="s">
        <v>2938</v>
      </c>
      <c r="H1136">
        <v>23800</v>
      </c>
      <c r="I1136">
        <v>23800</v>
      </c>
      <c r="J1136" s="21">
        <v>45597</v>
      </c>
      <c r="K1136" t="s">
        <v>67</v>
      </c>
      <c r="L1136" t="s">
        <v>68</v>
      </c>
      <c r="M1136" t="s">
        <v>69</v>
      </c>
      <c r="O1136">
        <v>0</v>
      </c>
      <c r="S1136" t="str">
        <f>TEXT(Table1[[#This Row],[Date]],"MMM-YY")</f>
        <v>Nov-24</v>
      </c>
      <c r="T1136">
        <f>_xlfn.ISOWEEKNUM(Table1[[#This Row],[Date]])</f>
        <v>45</v>
      </c>
      <c r="U1136" t="str">
        <f>TEXT(Table1[[#This Row],[Expected Business Month]],"YYYY")</f>
        <v>2024</v>
      </c>
    </row>
    <row r="1137" spans="1:21" hidden="1">
      <c r="A1137" s="1">
        <v>45602</v>
      </c>
      <c r="B1137" t="s">
        <v>2939</v>
      </c>
      <c r="C1137" t="s">
        <v>96</v>
      </c>
      <c r="D1137" t="s">
        <v>64</v>
      </c>
      <c r="E1137" t="s">
        <v>38</v>
      </c>
      <c r="F1137" t="s">
        <v>1174</v>
      </c>
      <c r="G1137" s="9" t="s">
        <v>2940</v>
      </c>
      <c r="H1137">
        <v>29000</v>
      </c>
      <c r="I1137">
        <v>29000</v>
      </c>
      <c r="J1137" s="21">
        <v>45597</v>
      </c>
      <c r="K1137" t="s">
        <v>67</v>
      </c>
      <c r="L1137" t="s">
        <v>68</v>
      </c>
      <c r="M1137" t="s">
        <v>69</v>
      </c>
      <c r="O1137">
        <v>0</v>
      </c>
      <c r="S1137" t="str">
        <f>TEXT(Table1[[#This Row],[Date]],"MMM-YY")</f>
        <v>Nov-24</v>
      </c>
      <c r="T1137">
        <f>_xlfn.ISOWEEKNUM(Table1[[#This Row],[Date]])</f>
        <v>45</v>
      </c>
      <c r="U1137" t="str">
        <f>TEXT(Table1[[#This Row],[Expected Business Month]],"YYYY")</f>
        <v>2024</v>
      </c>
    </row>
    <row r="1138" spans="1:21" hidden="1">
      <c r="A1138" s="1">
        <v>45603</v>
      </c>
      <c r="B1138" t="s">
        <v>2941</v>
      </c>
      <c r="C1138" t="s">
        <v>96</v>
      </c>
      <c r="D1138" t="s">
        <v>64</v>
      </c>
      <c r="E1138" t="s">
        <v>26</v>
      </c>
      <c r="F1138" t="s">
        <v>1850</v>
      </c>
      <c r="G1138" s="9" t="s">
        <v>2942</v>
      </c>
      <c r="H1138">
        <v>220000</v>
      </c>
      <c r="I1138">
        <v>0</v>
      </c>
      <c r="J1138" s="21">
        <v>45627</v>
      </c>
      <c r="K1138" t="s">
        <v>67</v>
      </c>
      <c r="L1138" t="s">
        <v>9</v>
      </c>
      <c r="M1138" t="s">
        <v>9</v>
      </c>
      <c r="N1138" t="s">
        <v>2943</v>
      </c>
      <c r="O1138">
        <v>0</v>
      </c>
      <c r="S1138" t="str">
        <f>TEXT(Table1[[#This Row],[Date]],"MMM-YY")</f>
        <v>Nov-24</v>
      </c>
      <c r="T1138">
        <f>_xlfn.ISOWEEKNUM(Table1[[#This Row],[Date]])</f>
        <v>45</v>
      </c>
      <c r="U1138" t="str">
        <f>TEXT(Table1[[#This Row],[Expected Business Month]],"YYYY")</f>
        <v>2024</v>
      </c>
    </row>
    <row r="1139" spans="1:21" ht="29.1" hidden="1">
      <c r="A1139" s="1">
        <v>45603</v>
      </c>
      <c r="B1139" t="s">
        <v>2944</v>
      </c>
      <c r="C1139" t="s">
        <v>96</v>
      </c>
      <c r="D1139" t="s">
        <v>64</v>
      </c>
      <c r="E1139" t="s">
        <v>26</v>
      </c>
      <c r="F1139" t="s">
        <v>2945</v>
      </c>
      <c r="G1139" s="9" t="s">
        <v>2946</v>
      </c>
      <c r="H1139">
        <v>19000</v>
      </c>
      <c r="I1139">
        <v>19000</v>
      </c>
      <c r="J1139" s="21">
        <v>45597</v>
      </c>
      <c r="K1139" t="s">
        <v>67</v>
      </c>
      <c r="L1139" t="s">
        <v>68</v>
      </c>
      <c r="M1139" t="s">
        <v>69</v>
      </c>
      <c r="O1139">
        <v>0</v>
      </c>
      <c r="S1139" t="str">
        <f>TEXT(Table1[[#This Row],[Date]],"MMM-YY")</f>
        <v>Nov-24</v>
      </c>
      <c r="T1139">
        <f>_xlfn.ISOWEEKNUM(Table1[[#This Row],[Date]])</f>
        <v>45</v>
      </c>
      <c r="U1139" t="str">
        <f>TEXT(Table1[[#This Row],[Expected Business Month]],"YYYY")</f>
        <v>2024</v>
      </c>
    </row>
    <row r="1140" spans="1:21" hidden="1">
      <c r="A1140" s="1">
        <v>45606</v>
      </c>
      <c r="B1140" t="s">
        <v>2215</v>
      </c>
      <c r="C1140" t="s">
        <v>96</v>
      </c>
      <c r="D1140" t="s">
        <v>20</v>
      </c>
      <c r="E1140" t="s">
        <v>23</v>
      </c>
      <c r="F1140" t="s">
        <v>2216</v>
      </c>
      <c r="G1140" s="9" t="s">
        <v>2947</v>
      </c>
      <c r="H1140">
        <v>50000</v>
      </c>
      <c r="I1140">
        <v>0</v>
      </c>
      <c r="J1140" s="21">
        <v>45627</v>
      </c>
      <c r="K1140" t="s">
        <v>67</v>
      </c>
      <c r="L1140" t="s">
        <v>9</v>
      </c>
      <c r="M1140" t="s">
        <v>9</v>
      </c>
      <c r="N1140" t="s">
        <v>602</v>
      </c>
      <c r="O1140">
        <v>0</v>
      </c>
      <c r="S1140" t="str">
        <f>TEXT(Table1[[#This Row],[Date]],"MMM-YY")</f>
        <v>Nov-24</v>
      </c>
      <c r="T1140">
        <f>_xlfn.ISOWEEKNUM(Table1[[#This Row],[Date]])</f>
        <v>45</v>
      </c>
      <c r="U1140" t="str">
        <f>TEXT(Table1[[#This Row],[Expected Business Month]],"YYYY")</f>
        <v>2024</v>
      </c>
    </row>
    <row r="1141" spans="1:21" ht="29.1" hidden="1">
      <c r="A1141" s="1">
        <v>41954</v>
      </c>
      <c r="B1141" t="s">
        <v>2948</v>
      </c>
      <c r="C1141" t="s">
        <v>63</v>
      </c>
      <c r="D1141" t="s">
        <v>64</v>
      </c>
      <c r="E1141" t="s">
        <v>28</v>
      </c>
      <c r="F1141" t="s">
        <v>2949</v>
      </c>
      <c r="G1141" s="9" t="s">
        <v>2950</v>
      </c>
      <c r="H1141">
        <v>40500</v>
      </c>
      <c r="I1141">
        <v>40500</v>
      </c>
      <c r="J1141" s="21">
        <v>45597</v>
      </c>
      <c r="K1141" t="s">
        <v>67</v>
      </c>
      <c r="L1141" t="s">
        <v>68</v>
      </c>
      <c r="M1141" t="s">
        <v>69</v>
      </c>
      <c r="O1141">
        <v>0</v>
      </c>
      <c r="S1141" t="str">
        <f>TEXT(Table1[[#This Row],[Date]],"MMM-YY")</f>
        <v>Nov-14</v>
      </c>
      <c r="T1141">
        <f>_xlfn.ISOWEEKNUM(Table1[[#This Row],[Date]])</f>
        <v>46</v>
      </c>
      <c r="U1141" t="str">
        <f>TEXT(Table1[[#This Row],[Expected Business Month]],"YYYY")</f>
        <v>2024</v>
      </c>
    </row>
    <row r="1142" spans="1:21" ht="29.1" hidden="1">
      <c r="A1142" s="1">
        <v>45607</v>
      </c>
      <c r="B1142" t="s">
        <v>2944</v>
      </c>
      <c r="C1142" t="s">
        <v>96</v>
      </c>
      <c r="D1142" t="s">
        <v>64</v>
      </c>
      <c r="E1142" t="s">
        <v>26</v>
      </c>
      <c r="F1142" t="s">
        <v>2945</v>
      </c>
      <c r="G1142" s="9" t="s">
        <v>2951</v>
      </c>
      <c r="H1142">
        <v>7000</v>
      </c>
      <c r="I1142">
        <v>7000</v>
      </c>
      <c r="J1142" s="21">
        <v>45597</v>
      </c>
      <c r="K1142" t="s">
        <v>67</v>
      </c>
      <c r="L1142" t="s">
        <v>68</v>
      </c>
      <c r="M1142" t="s">
        <v>69</v>
      </c>
      <c r="O1142">
        <v>0</v>
      </c>
      <c r="S1142" t="str">
        <f>TEXT(Table1[[#This Row],[Date]],"MMM-YY")</f>
        <v>Nov-24</v>
      </c>
      <c r="T1142">
        <f>_xlfn.ISOWEEKNUM(Table1[[#This Row],[Date]])</f>
        <v>46</v>
      </c>
      <c r="U1142" t="str">
        <f>TEXT(Table1[[#This Row],[Expected Business Month]],"YYYY")</f>
        <v>2024</v>
      </c>
    </row>
    <row r="1143" spans="1:21" hidden="1">
      <c r="A1143" s="1">
        <v>45607</v>
      </c>
      <c r="B1143" t="s">
        <v>2952</v>
      </c>
      <c r="C1143" t="s">
        <v>63</v>
      </c>
      <c r="D1143" t="s">
        <v>64</v>
      </c>
      <c r="E1143" t="s">
        <v>26</v>
      </c>
      <c r="F1143" t="s">
        <v>2953</v>
      </c>
      <c r="G1143" s="9" t="s">
        <v>2701</v>
      </c>
      <c r="H1143">
        <v>0</v>
      </c>
      <c r="I1143">
        <v>0</v>
      </c>
      <c r="J1143" s="21">
        <v>45658</v>
      </c>
      <c r="K1143" t="s">
        <v>67</v>
      </c>
      <c r="L1143" t="s">
        <v>9</v>
      </c>
      <c r="M1143" t="s">
        <v>2878</v>
      </c>
      <c r="O1143">
        <v>0</v>
      </c>
      <c r="S1143" t="str">
        <f>TEXT(Table1[[#This Row],[Date]],"MMM-YY")</f>
        <v>Nov-24</v>
      </c>
      <c r="T1143">
        <f>_xlfn.ISOWEEKNUM(Table1[[#This Row],[Date]])</f>
        <v>46</v>
      </c>
      <c r="U1143" t="str">
        <f>TEXT(Table1[[#This Row],[Expected Business Month]],"YYYY")</f>
        <v>2025</v>
      </c>
    </row>
    <row r="1144" spans="1:21" hidden="1">
      <c r="A1144" s="1">
        <v>45608</v>
      </c>
      <c r="B1144" t="s">
        <v>95</v>
      </c>
      <c r="C1144" t="s">
        <v>96</v>
      </c>
      <c r="D1144" t="s">
        <v>64</v>
      </c>
      <c r="E1144" t="s">
        <v>38</v>
      </c>
      <c r="F1144" t="s">
        <v>97</v>
      </c>
      <c r="G1144" s="9" t="s">
        <v>2954</v>
      </c>
      <c r="H1144">
        <v>36855</v>
      </c>
      <c r="I1144">
        <v>36855</v>
      </c>
      <c r="J1144" s="21">
        <v>45597</v>
      </c>
      <c r="K1144" t="s">
        <v>99</v>
      </c>
      <c r="L1144" t="s">
        <v>68</v>
      </c>
      <c r="M1144" t="s">
        <v>69</v>
      </c>
      <c r="O1144">
        <v>0</v>
      </c>
      <c r="S1144" t="str">
        <f>TEXT(Table1[[#This Row],[Date]],"MMM-YY")</f>
        <v>Nov-24</v>
      </c>
      <c r="T1144">
        <f>_xlfn.ISOWEEKNUM(Table1[[#This Row],[Date]])</f>
        <v>46</v>
      </c>
      <c r="U1144" t="str">
        <f>TEXT(Table1[[#This Row],[Expected Business Month]],"YYYY")</f>
        <v>2024</v>
      </c>
    </row>
    <row r="1145" spans="1:21" ht="17.25" hidden="1" customHeight="1">
      <c r="A1145" s="1">
        <v>45608</v>
      </c>
      <c r="B1145" t="s">
        <v>324</v>
      </c>
      <c r="C1145" t="s">
        <v>96</v>
      </c>
      <c r="D1145" t="s">
        <v>64</v>
      </c>
      <c r="E1145" t="s">
        <v>38</v>
      </c>
      <c r="F1145" t="s">
        <v>325</v>
      </c>
      <c r="G1145" s="9" t="s">
        <v>2955</v>
      </c>
      <c r="H1145">
        <v>65000</v>
      </c>
      <c r="I1145">
        <v>65000</v>
      </c>
      <c r="J1145" s="21">
        <v>45597</v>
      </c>
      <c r="K1145" t="s">
        <v>99</v>
      </c>
      <c r="L1145" t="s">
        <v>68</v>
      </c>
      <c r="M1145" t="s">
        <v>69</v>
      </c>
      <c r="O1145">
        <v>0</v>
      </c>
      <c r="S1145" t="str">
        <f>TEXT(Table1[[#This Row],[Date]],"MMM-YY")</f>
        <v>Nov-24</v>
      </c>
      <c r="T1145">
        <f>_xlfn.ISOWEEKNUM(Table1[[#This Row],[Date]])</f>
        <v>46</v>
      </c>
      <c r="U1145" t="str">
        <f>TEXT(Table1[[#This Row],[Expected Business Month]],"YYYY")</f>
        <v>2024</v>
      </c>
    </row>
    <row r="1146" spans="1:21" hidden="1">
      <c r="A1146" s="1">
        <v>45608</v>
      </c>
      <c r="B1146" t="s">
        <v>2956</v>
      </c>
      <c r="C1146" t="s">
        <v>96</v>
      </c>
      <c r="D1146" t="s">
        <v>64</v>
      </c>
      <c r="E1146" t="s">
        <v>35</v>
      </c>
      <c r="F1146" t="s">
        <v>2172</v>
      </c>
      <c r="G1146" s="9" t="s">
        <v>2957</v>
      </c>
      <c r="H1146">
        <v>220000</v>
      </c>
      <c r="I1146">
        <v>0</v>
      </c>
      <c r="J1146" s="21">
        <v>45597</v>
      </c>
      <c r="K1146" t="s">
        <v>67</v>
      </c>
      <c r="L1146" t="s">
        <v>9</v>
      </c>
      <c r="M1146" t="s">
        <v>9</v>
      </c>
      <c r="O1146">
        <v>0</v>
      </c>
      <c r="S1146" t="str">
        <f>TEXT(Table1[[#This Row],[Date]],"MMM-YY")</f>
        <v>Nov-24</v>
      </c>
      <c r="T1146">
        <f>_xlfn.ISOWEEKNUM(Table1[[#This Row],[Date]])</f>
        <v>46</v>
      </c>
      <c r="U1146" t="str">
        <f>TEXT(Table1[[#This Row],[Expected Business Month]],"YYYY")</f>
        <v>2024</v>
      </c>
    </row>
    <row r="1147" spans="1:21" hidden="1">
      <c r="A1147" s="1">
        <v>41955</v>
      </c>
      <c r="B1147" t="s">
        <v>2669</v>
      </c>
      <c r="C1147" t="s">
        <v>63</v>
      </c>
      <c r="D1147" t="s">
        <v>64</v>
      </c>
      <c r="E1147" t="s">
        <v>26</v>
      </c>
      <c r="F1147" t="s">
        <v>2613</v>
      </c>
      <c r="G1147" s="9" t="s">
        <v>2958</v>
      </c>
      <c r="H1147">
        <v>35000</v>
      </c>
      <c r="I1147">
        <v>0</v>
      </c>
      <c r="J1147" s="21">
        <v>45658</v>
      </c>
      <c r="K1147" t="s">
        <v>67</v>
      </c>
      <c r="L1147" t="s">
        <v>9</v>
      </c>
      <c r="M1147" t="s">
        <v>2878</v>
      </c>
      <c r="O1147">
        <v>0</v>
      </c>
      <c r="S1147" t="str">
        <f>TEXT(Table1[[#This Row],[Date]],"MMM-YY")</f>
        <v>Nov-14</v>
      </c>
      <c r="T1147">
        <f>_xlfn.ISOWEEKNUM(Table1[[#This Row],[Date]])</f>
        <v>46</v>
      </c>
      <c r="U1147" t="str">
        <f>TEXT(Table1[[#This Row],[Expected Business Month]],"YYYY")</f>
        <v>2025</v>
      </c>
    </row>
    <row r="1148" spans="1:21" hidden="1">
      <c r="A1148" s="1">
        <v>45609</v>
      </c>
      <c r="B1148" t="s">
        <v>2956</v>
      </c>
      <c r="C1148" t="s">
        <v>63</v>
      </c>
      <c r="D1148" t="s">
        <v>2959</v>
      </c>
      <c r="E1148" t="s">
        <v>35</v>
      </c>
      <c r="F1148" t="s">
        <v>2172</v>
      </c>
      <c r="G1148" s="9" t="s">
        <v>2960</v>
      </c>
      <c r="H1148">
        <v>220000</v>
      </c>
      <c r="I1148">
        <v>0</v>
      </c>
      <c r="J1148" s="21">
        <v>45597</v>
      </c>
      <c r="K1148" t="s">
        <v>67</v>
      </c>
      <c r="L1148" t="s">
        <v>9</v>
      </c>
      <c r="M1148" t="s">
        <v>9</v>
      </c>
      <c r="N1148" t="s">
        <v>2961</v>
      </c>
      <c r="O1148">
        <v>0</v>
      </c>
      <c r="S1148" t="str">
        <f>TEXT(Table1[[#This Row],[Date]],"MMM-YY")</f>
        <v>Nov-24</v>
      </c>
      <c r="T1148">
        <f>_xlfn.ISOWEEKNUM(Table1[[#This Row],[Date]])</f>
        <v>46</v>
      </c>
      <c r="U1148" t="str">
        <f>TEXT(Table1[[#This Row],[Expected Business Month]],"YYYY")</f>
        <v>2024</v>
      </c>
    </row>
    <row r="1149" spans="1:21" hidden="1">
      <c r="A1149" s="1">
        <v>45609</v>
      </c>
      <c r="B1149" t="s">
        <v>2962</v>
      </c>
      <c r="C1149" t="s">
        <v>63</v>
      </c>
      <c r="D1149" t="s">
        <v>64</v>
      </c>
      <c r="E1149" t="s">
        <v>29</v>
      </c>
      <c r="F1149" t="s">
        <v>2779</v>
      </c>
      <c r="G1149" s="9" t="s">
        <v>2963</v>
      </c>
      <c r="H1149">
        <v>2400</v>
      </c>
      <c r="I1149">
        <v>2400</v>
      </c>
      <c r="J1149" s="21">
        <v>45597</v>
      </c>
      <c r="K1149" t="s">
        <v>67</v>
      </c>
      <c r="L1149" t="s">
        <v>68</v>
      </c>
      <c r="M1149" t="s">
        <v>69</v>
      </c>
      <c r="O1149">
        <v>0</v>
      </c>
      <c r="S1149" t="str">
        <f>TEXT(Table1[[#This Row],[Date]],"MMM-YY")</f>
        <v>Nov-24</v>
      </c>
      <c r="T1149">
        <f>_xlfn.ISOWEEKNUM(Table1[[#This Row],[Date]])</f>
        <v>46</v>
      </c>
      <c r="U1149" t="str">
        <f>TEXT(Table1[[#This Row],[Expected Business Month]],"YYYY")</f>
        <v>2024</v>
      </c>
    </row>
    <row r="1150" spans="1:21" hidden="1">
      <c r="A1150" s="1">
        <v>45610</v>
      </c>
      <c r="B1150" t="s">
        <v>2964</v>
      </c>
      <c r="C1150" t="s">
        <v>63</v>
      </c>
      <c r="D1150" t="s">
        <v>64</v>
      </c>
      <c r="E1150" t="s">
        <v>32</v>
      </c>
      <c r="F1150" t="s">
        <v>2965</v>
      </c>
      <c r="G1150" s="9" t="s">
        <v>2966</v>
      </c>
      <c r="H1150">
        <v>8900</v>
      </c>
      <c r="I1150">
        <v>8900</v>
      </c>
      <c r="J1150" s="21">
        <v>45597</v>
      </c>
      <c r="K1150" t="s">
        <v>67</v>
      </c>
      <c r="L1150" t="s">
        <v>68</v>
      </c>
      <c r="M1150" t="s">
        <v>69</v>
      </c>
      <c r="O1150">
        <v>0</v>
      </c>
      <c r="S1150" t="str">
        <f>TEXT(Table1[[#This Row],[Date]],"MMM-YY")</f>
        <v>Nov-24</v>
      </c>
      <c r="T1150">
        <f>_xlfn.ISOWEEKNUM(Table1[[#This Row],[Date]])</f>
        <v>46</v>
      </c>
      <c r="U1150" t="str">
        <f>TEXT(Table1[[#This Row],[Expected Business Month]],"YYYY")</f>
        <v>2024</v>
      </c>
    </row>
    <row r="1151" spans="1:21" hidden="1">
      <c r="A1151" s="1">
        <v>45610</v>
      </c>
      <c r="B1151" t="s">
        <v>2967</v>
      </c>
      <c r="C1151" t="s">
        <v>63</v>
      </c>
      <c r="D1151" t="s">
        <v>64</v>
      </c>
      <c r="E1151" t="s">
        <v>25</v>
      </c>
      <c r="F1151" t="s">
        <v>2949</v>
      </c>
      <c r="G1151" s="9" t="s">
        <v>2968</v>
      </c>
      <c r="H1151">
        <v>25000</v>
      </c>
      <c r="I1151">
        <v>0</v>
      </c>
      <c r="J1151" s="21">
        <v>45658</v>
      </c>
      <c r="K1151" t="s">
        <v>67</v>
      </c>
      <c r="L1151" t="s">
        <v>9</v>
      </c>
      <c r="M1151" t="s">
        <v>296</v>
      </c>
      <c r="O1151">
        <v>0</v>
      </c>
      <c r="S1151" t="str">
        <f>TEXT(Table1[[#This Row],[Date]],"MMM-YY")</f>
        <v>Nov-24</v>
      </c>
      <c r="T1151">
        <f>_xlfn.ISOWEEKNUM(Table1[[#This Row],[Date]])</f>
        <v>46</v>
      </c>
      <c r="U1151" t="str">
        <f>TEXT(Table1[[#This Row],[Expected Business Month]],"YYYY")</f>
        <v>2025</v>
      </c>
    </row>
    <row r="1152" spans="1:21" hidden="1">
      <c r="A1152" s="1">
        <v>45610</v>
      </c>
      <c r="B1152" t="s">
        <v>2969</v>
      </c>
      <c r="C1152" t="s">
        <v>63</v>
      </c>
      <c r="D1152" t="s">
        <v>64</v>
      </c>
      <c r="E1152" t="s">
        <v>32</v>
      </c>
      <c r="F1152" t="s">
        <v>2970</v>
      </c>
      <c r="G1152" s="9" t="s">
        <v>2971</v>
      </c>
      <c r="H1152">
        <v>40000</v>
      </c>
      <c r="I1152">
        <v>0</v>
      </c>
      <c r="J1152" s="21">
        <v>45658</v>
      </c>
      <c r="K1152" t="s">
        <v>67</v>
      </c>
      <c r="L1152" t="s">
        <v>9</v>
      </c>
      <c r="M1152" t="s">
        <v>296</v>
      </c>
      <c r="O1152">
        <v>0</v>
      </c>
      <c r="S1152" t="str">
        <f>TEXT(Table1[[#This Row],[Date]],"MMM-YY")</f>
        <v>Nov-24</v>
      </c>
      <c r="T1152">
        <f>_xlfn.ISOWEEKNUM(Table1[[#This Row],[Date]])</f>
        <v>46</v>
      </c>
      <c r="U1152" t="str">
        <f>TEXT(Table1[[#This Row],[Expected Business Month]],"YYYY")</f>
        <v>2025</v>
      </c>
    </row>
    <row r="1153" spans="1:21" hidden="1">
      <c r="A1153" s="1">
        <v>45613</v>
      </c>
      <c r="B1153" t="s">
        <v>2972</v>
      </c>
      <c r="C1153" t="s">
        <v>63</v>
      </c>
      <c r="D1153" t="s">
        <v>64</v>
      </c>
      <c r="E1153" t="s">
        <v>2973</v>
      </c>
      <c r="F1153" t="s">
        <v>2484</v>
      </c>
      <c r="G1153" s="9" t="s">
        <v>2974</v>
      </c>
      <c r="H1153">
        <v>84600</v>
      </c>
      <c r="I1153">
        <v>84600</v>
      </c>
      <c r="J1153" s="21">
        <v>45597</v>
      </c>
      <c r="K1153" t="s">
        <v>67</v>
      </c>
      <c r="L1153" t="s">
        <v>68</v>
      </c>
      <c r="M1153" t="s">
        <v>69</v>
      </c>
      <c r="O1153">
        <v>0</v>
      </c>
      <c r="S1153" t="str">
        <f>TEXT(Table1[[#This Row],[Date]],"MMM-YY")</f>
        <v>Nov-24</v>
      </c>
      <c r="T1153">
        <f>_xlfn.ISOWEEKNUM(Table1[[#This Row],[Date]])</f>
        <v>46</v>
      </c>
      <c r="U1153" t="str">
        <f>TEXT(Table1[[#This Row],[Expected Business Month]],"YYYY")</f>
        <v>2024</v>
      </c>
    </row>
    <row r="1154" spans="1:21" hidden="1">
      <c r="A1154" s="1">
        <v>45614</v>
      </c>
      <c r="B1154" t="s">
        <v>2975</v>
      </c>
      <c r="C1154" t="s">
        <v>63</v>
      </c>
      <c r="D1154" t="s">
        <v>105</v>
      </c>
      <c r="E1154" t="s">
        <v>18</v>
      </c>
      <c r="F1154" t="s">
        <v>727</v>
      </c>
      <c r="G1154" s="9" t="s">
        <v>1860</v>
      </c>
      <c r="H1154">
        <v>0</v>
      </c>
      <c r="I1154">
        <v>0</v>
      </c>
      <c r="J1154" s="21">
        <v>45658</v>
      </c>
      <c r="K1154" t="s">
        <v>67</v>
      </c>
      <c r="L1154" t="s">
        <v>9</v>
      </c>
      <c r="M1154" t="s">
        <v>2878</v>
      </c>
      <c r="O1154">
        <v>0</v>
      </c>
      <c r="S1154" t="str">
        <f>TEXT(Table1[[#This Row],[Date]],"MMM-YY")</f>
        <v>Nov-24</v>
      </c>
      <c r="T1154">
        <f>_xlfn.ISOWEEKNUM(Table1[[#This Row],[Date]])</f>
        <v>47</v>
      </c>
      <c r="U1154" t="str">
        <f>TEXT(Table1[[#This Row],[Expected Business Month]],"YYYY")</f>
        <v>2025</v>
      </c>
    </row>
    <row r="1155" spans="1:21" ht="29.1" hidden="1">
      <c r="A1155" s="1">
        <v>45614</v>
      </c>
      <c r="B1155" t="s">
        <v>2976</v>
      </c>
      <c r="C1155" t="s">
        <v>63</v>
      </c>
      <c r="D1155" t="s">
        <v>64</v>
      </c>
      <c r="E1155" t="s">
        <v>36</v>
      </c>
      <c r="F1155" t="s">
        <v>2977</v>
      </c>
      <c r="G1155" s="9" t="s">
        <v>2978</v>
      </c>
      <c r="H1155">
        <v>40000</v>
      </c>
      <c r="I1155">
        <v>40000</v>
      </c>
      <c r="J1155" s="21">
        <v>45597</v>
      </c>
      <c r="K1155" t="s">
        <v>67</v>
      </c>
      <c r="L1155" t="s">
        <v>68</v>
      </c>
      <c r="M1155" t="s">
        <v>69</v>
      </c>
      <c r="O1155">
        <v>0</v>
      </c>
      <c r="S1155" t="str">
        <f>TEXT(Table1[[#This Row],[Date]],"MMM-YY")</f>
        <v>Nov-24</v>
      </c>
      <c r="T1155">
        <f>_xlfn.ISOWEEKNUM(Table1[[#This Row],[Date]])</f>
        <v>47</v>
      </c>
      <c r="U1155" t="str">
        <f>TEXT(Table1[[#This Row],[Expected Business Month]],"YYYY")</f>
        <v>2024</v>
      </c>
    </row>
    <row r="1156" spans="1:21" hidden="1">
      <c r="A1156" s="1">
        <v>45614</v>
      </c>
      <c r="B1156" t="s">
        <v>2979</v>
      </c>
      <c r="C1156" t="s">
        <v>96</v>
      </c>
      <c r="D1156" t="s">
        <v>105</v>
      </c>
      <c r="E1156" t="s">
        <v>18</v>
      </c>
      <c r="F1156" t="s">
        <v>2980</v>
      </c>
      <c r="G1156" s="9" t="s">
        <v>2981</v>
      </c>
      <c r="H1156">
        <v>50000</v>
      </c>
      <c r="I1156">
        <v>0</v>
      </c>
      <c r="J1156" s="21">
        <v>45627</v>
      </c>
      <c r="K1156" t="s">
        <v>67</v>
      </c>
      <c r="L1156" t="s">
        <v>9</v>
      </c>
      <c r="M1156" t="s">
        <v>9</v>
      </c>
      <c r="N1156" t="s">
        <v>1436</v>
      </c>
      <c r="O1156">
        <v>0</v>
      </c>
      <c r="S1156" t="str">
        <f>TEXT(Table1[[#This Row],[Date]],"MMM-YY")</f>
        <v>Nov-24</v>
      </c>
      <c r="T1156">
        <f>_xlfn.ISOWEEKNUM(Table1[[#This Row],[Date]])</f>
        <v>47</v>
      </c>
      <c r="U1156" t="str">
        <f>TEXT(Table1[[#This Row],[Expected Business Month]],"YYYY")</f>
        <v>2024</v>
      </c>
    </row>
    <row r="1157" spans="1:21" hidden="1">
      <c r="A1157" s="1">
        <v>45614</v>
      </c>
      <c r="B1157" t="s">
        <v>2982</v>
      </c>
      <c r="C1157" t="s">
        <v>63</v>
      </c>
      <c r="D1157" t="s">
        <v>105</v>
      </c>
      <c r="E1157" t="s">
        <v>18</v>
      </c>
      <c r="F1157" t="s">
        <v>2983</v>
      </c>
      <c r="G1157" s="9" t="s">
        <v>2984</v>
      </c>
      <c r="H1157">
        <v>40000</v>
      </c>
      <c r="I1157">
        <v>0</v>
      </c>
      <c r="J1157" s="21">
        <v>45627</v>
      </c>
      <c r="K1157" t="s">
        <v>67</v>
      </c>
      <c r="L1157" t="s">
        <v>9</v>
      </c>
      <c r="M1157" t="s">
        <v>9</v>
      </c>
      <c r="N1157" t="s">
        <v>1436</v>
      </c>
      <c r="O1157">
        <v>0</v>
      </c>
      <c r="S1157" t="str">
        <f>TEXT(Table1[[#This Row],[Date]],"MMM-YY")</f>
        <v>Nov-24</v>
      </c>
      <c r="T1157">
        <f>_xlfn.ISOWEEKNUM(Table1[[#This Row],[Date]])</f>
        <v>47</v>
      </c>
      <c r="U1157" t="str">
        <f>TEXT(Table1[[#This Row],[Expected Business Month]],"YYYY")</f>
        <v>2024</v>
      </c>
    </row>
    <row r="1158" spans="1:21" ht="29.1" hidden="1">
      <c r="A1158" s="1">
        <v>45614</v>
      </c>
      <c r="B1158" t="s">
        <v>2985</v>
      </c>
      <c r="C1158" t="s">
        <v>96</v>
      </c>
      <c r="D1158" t="s">
        <v>105</v>
      </c>
      <c r="E1158" t="s">
        <v>18</v>
      </c>
      <c r="F1158" t="s">
        <v>2986</v>
      </c>
      <c r="G1158" s="9" t="s">
        <v>2987</v>
      </c>
      <c r="H1158">
        <v>50000</v>
      </c>
      <c r="I1158">
        <v>0</v>
      </c>
      <c r="J1158" s="21">
        <v>45627</v>
      </c>
      <c r="K1158" t="s">
        <v>67</v>
      </c>
      <c r="L1158" t="s">
        <v>9</v>
      </c>
      <c r="M1158" t="s">
        <v>9</v>
      </c>
      <c r="N1158" t="s">
        <v>1436</v>
      </c>
      <c r="O1158">
        <v>0</v>
      </c>
      <c r="S1158" t="str">
        <f>TEXT(Table1[[#This Row],[Date]],"MMM-YY")</f>
        <v>Nov-24</v>
      </c>
      <c r="T1158">
        <f>_xlfn.ISOWEEKNUM(Table1[[#This Row],[Date]])</f>
        <v>47</v>
      </c>
      <c r="U1158" t="str">
        <f>TEXT(Table1[[#This Row],[Expected Business Month]],"YYYY")</f>
        <v>2024</v>
      </c>
    </row>
    <row r="1159" spans="1:21" ht="16.5" hidden="1" customHeight="1">
      <c r="A1159" s="1">
        <v>45615</v>
      </c>
      <c r="B1159" t="s">
        <v>2988</v>
      </c>
      <c r="C1159" t="s">
        <v>96</v>
      </c>
      <c r="D1159" t="s">
        <v>64</v>
      </c>
      <c r="E1159" t="s">
        <v>37</v>
      </c>
      <c r="F1159" t="s">
        <v>1186</v>
      </c>
      <c r="G1159" s="9" t="s">
        <v>2989</v>
      </c>
      <c r="H1159">
        <v>0</v>
      </c>
      <c r="I1159">
        <v>0</v>
      </c>
      <c r="J1159" s="21">
        <v>45597</v>
      </c>
      <c r="K1159" t="s">
        <v>67</v>
      </c>
      <c r="L1159" t="s">
        <v>68</v>
      </c>
      <c r="M1159" t="s">
        <v>69</v>
      </c>
      <c r="O1159">
        <v>0</v>
      </c>
      <c r="S1159" t="str">
        <f>TEXT(Table1[[#This Row],[Date]],"MMM-YY")</f>
        <v>Nov-24</v>
      </c>
      <c r="T1159">
        <f>_xlfn.ISOWEEKNUM(Table1[[#This Row],[Date]])</f>
        <v>47</v>
      </c>
      <c r="U1159" t="str">
        <f>TEXT(Table1[[#This Row],[Expected Business Month]],"YYYY")</f>
        <v>2024</v>
      </c>
    </row>
    <row r="1160" spans="1:21" hidden="1">
      <c r="A1160" s="1">
        <v>45615</v>
      </c>
      <c r="B1160" t="s">
        <v>95</v>
      </c>
      <c r="C1160" t="s">
        <v>96</v>
      </c>
      <c r="D1160" t="s">
        <v>64</v>
      </c>
      <c r="E1160" t="s">
        <v>38</v>
      </c>
      <c r="F1160" t="s">
        <v>97</v>
      </c>
      <c r="G1160" s="9" t="s">
        <v>2990</v>
      </c>
      <c r="H1160">
        <v>36855</v>
      </c>
      <c r="I1160">
        <v>36855</v>
      </c>
      <c r="J1160" s="21">
        <v>45597</v>
      </c>
      <c r="K1160" t="s">
        <v>99</v>
      </c>
      <c r="L1160" t="s">
        <v>68</v>
      </c>
      <c r="M1160" t="s">
        <v>69</v>
      </c>
      <c r="O1160">
        <v>0</v>
      </c>
      <c r="S1160" t="str">
        <f>TEXT(Table1[[#This Row],[Date]],"MMM-YY")</f>
        <v>Nov-24</v>
      </c>
      <c r="T1160">
        <f>_xlfn.ISOWEEKNUM(Table1[[#This Row],[Date]])</f>
        <v>47</v>
      </c>
      <c r="U1160" t="str">
        <f>TEXT(Table1[[#This Row],[Expected Business Month]],"YYYY")</f>
        <v>2024</v>
      </c>
    </row>
    <row r="1161" spans="1:21" hidden="1">
      <c r="A1161" s="1">
        <v>45615</v>
      </c>
      <c r="B1161" t="s">
        <v>979</v>
      </c>
      <c r="C1161" t="s">
        <v>63</v>
      </c>
      <c r="D1161" t="s">
        <v>64</v>
      </c>
      <c r="E1161" t="s">
        <v>28</v>
      </c>
      <c r="F1161" t="s">
        <v>980</v>
      </c>
      <c r="G1161" s="9" t="s">
        <v>2033</v>
      </c>
      <c r="H1161">
        <v>0</v>
      </c>
      <c r="I1161">
        <v>0</v>
      </c>
      <c r="J1161" s="21">
        <v>45658</v>
      </c>
      <c r="K1161" t="s">
        <v>67</v>
      </c>
      <c r="L1161" t="s">
        <v>9</v>
      </c>
      <c r="M1161" t="s">
        <v>2878</v>
      </c>
      <c r="O1161">
        <v>0</v>
      </c>
      <c r="S1161" t="str">
        <f>TEXT(Table1[[#This Row],[Date]],"MMM-YY")</f>
        <v>Nov-24</v>
      </c>
      <c r="T1161">
        <f>_xlfn.ISOWEEKNUM(Table1[[#This Row],[Date]])</f>
        <v>47</v>
      </c>
      <c r="U1161" t="str">
        <f>TEXT(Table1[[#This Row],[Expected Business Month]],"YYYY")</f>
        <v>2025</v>
      </c>
    </row>
    <row r="1162" spans="1:21" hidden="1">
      <c r="A1162" s="1">
        <v>45615</v>
      </c>
      <c r="B1162" t="s">
        <v>2991</v>
      </c>
      <c r="C1162" t="s">
        <v>96</v>
      </c>
      <c r="D1162" t="s">
        <v>64</v>
      </c>
      <c r="E1162" t="s">
        <v>38</v>
      </c>
      <c r="F1162" t="s">
        <v>2418</v>
      </c>
      <c r="G1162" s="9" t="s">
        <v>2992</v>
      </c>
      <c r="H1162">
        <v>0</v>
      </c>
      <c r="I1162">
        <v>0</v>
      </c>
      <c r="J1162" s="21">
        <v>45658</v>
      </c>
      <c r="K1162" t="s">
        <v>67</v>
      </c>
      <c r="L1162" t="s">
        <v>9</v>
      </c>
      <c r="M1162" t="s">
        <v>2878</v>
      </c>
      <c r="O1162">
        <v>0</v>
      </c>
      <c r="S1162" t="str">
        <f>TEXT(Table1[[#This Row],[Date]],"MMM-YY")</f>
        <v>Nov-24</v>
      </c>
      <c r="T1162">
        <f>_xlfn.ISOWEEKNUM(Table1[[#This Row],[Date]])</f>
        <v>47</v>
      </c>
      <c r="U1162" t="str">
        <f>TEXT(Table1[[#This Row],[Expected Business Month]],"YYYY")</f>
        <v>2025</v>
      </c>
    </row>
    <row r="1163" spans="1:21" hidden="1">
      <c r="A1163" s="1">
        <v>45616</v>
      </c>
      <c r="B1163" t="s">
        <v>2993</v>
      </c>
      <c r="C1163" t="s">
        <v>96</v>
      </c>
      <c r="D1163" t="s">
        <v>64</v>
      </c>
      <c r="E1163" t="s">
        <v>19</v>
      </c>
      <c r="F1163" t="s">
        <v>2484</v>
      </c>
      <c r="G1163" s="9" t="s">
        <v>2994</v>
      </c>
      <c r="H1163">
        <v>0</v>
      </c>
      <c r="I1163">
        <v>0</v>
      </c>
      <c r="J1163" s="21">
        <v>45597</v>
      </c>
      <c r="K1163" t="s">
        <v>67</v>
      </c>
      <c r="L1163" t="s">
        <v>68</v>
      </c>
      <c r="M1163" t="s">
        <v>69</v>
      </c>
      <c r="O1163">
        <v>0</v>
      </c>
      <c r="S1163" t="str">
        <f>TEXT(Table1[[#This Row],[Date]],"MMM-YY")</f>
        <v>Nov-24</v>
      </c>
      <c r="T1163">
        <f>_xlfn.ISOWEEKNUM(Table1[[#This Row],[Date]])</f>
        <v>47</v>
      </c>
      <c r="U1163" t="str">
        <f>TEXT(Table1[[#This Row],[Expected Business Month]],"YYYY")</f>
        <v>2024</v>
      </c>
    </row>
    <row r="1164" spans="1:21" hidden="1">
      <c r="A1164" s="1">
        <v>45617</v>
      </c>
      <c r="B1164" t="s">
        <v>621</v>
      </c>
      <c r="C1164" t="s">
        <v>63</v>
      </c>
      <c r="D1164" t="s">
        <v>64</v>
      </c>
      <c r="E1164" t="s">
        <v>33</v>
      </c>
      <c r="F1164" t="s">
        <v>2995</v>
      </c>
      <c r="G1164" s="9" t="s">
        <v>2996</v>
      </c>
      <c r="H1164">
        <v>30000</v>
      </c>
      <c r="I1164">
        <v>0</v>
      </c>
      <c r="J1164" s="21">
        <v>45658</v>
      </c>
      <c r="K1164" t="s">
        <v>67</v>
      </c>
      <c r="L1164" t="s">
        <v>9</v>
      </c>
      <c r="M1164" t="s">
        <v>2878</v>
      </c>
      <c r="O1164">
        <v>0</v>
      </c>
      <c r="S1164" t="str">
        <f>TEXT(Table1[[#This Row],[Date]],"MMM-YY")</f>
        <v>Nov-24</v>
      </c>
      <c r="T1164">
        <f>_xlfn.ISOWEEKNUM(Table1[[#This Row],[Date]])</f>
        <v>47</v>
      </c>
      <c r="U1164" t="str">
        <f>TEXT(Table1[[#This Row],[Expected Business Month]],"YYYY")</f>
        <v>2025</v>
      </c>
    </row>
    <row r="1165" spans="1:21" hidden="1">
      <c r="A1165" s="1">
        <v>45617</v>
      </c>
      <c r="B1165" t="s">
        <v>2173</v>
      </c>
      <c r="C1165" t="s">
        <v>96</v>
      </c>
      <c r="D1165" t="s">
        <v>105</v>
      </c>
      <c r="E1165" t="s">
        <v>18</v>
      </c>
      <c r="F1165" t="s">
        <v>2997</v>
      </c>
      <c r="G1165" s="9" t="s">
        <v>2998</v>
      </c>
      <c r="H1165">
        <v>25000</v>
      </c>
      <c r="I1165">
        <v>0</v>
      </c>
      <c r="J1165" s="21">
        <v>45658</v>
      </c>
      <c r="K1165" t="s">
        <v>67</v>
      </c>
      <c r="L1165" t="s">
        <v>9</v>
      </c>
      <c r="M1165" t="s">
        <v>9</v>
      </c>
      <c r="N1165" t="s">
        <v>602</v>
      </c>
      <c r="O1165">
        <v>0</v>
      </c>
      <c r="S1165" t="str">
        <f>TEXT(Table1[[#This Row],[Date]],"MMM-YY")</f>
        <v>Nov-24</v>
      </c>
      <c r="T1165">
        <f>_xlfn.ISOWEEKNUM(Table1[[#This Row],[Date]])</f>
        <v>47</v>
      </c>
      <c r="U1165" t="str">
        <f>TEXT(Table1[[#This Row],[Expected Business Month]],"YYYY")</f>
        <v>2025</v>
      </c>
    </row>
    <row r="1166" spans="1:21" hidden="1">
      <c r="A1166" s="1">
        <v>45617</v>
      </c>
      <c r="B1166" t="s">
        <v>2979</v>
      </c>
      <c r="C1166" t="s">
        <v>96</v>
      </c>
      <c r="D1166" t="s">
        <v>105</v>
      </c>
      <c r="E1166" t="s">
        <v>18</v>
      </c>
      <c r="F1166" t="s">
        <v>2980</v>
      </c>
      <c r="G1166" s="9" t="s">
        <v>2999</v>
      </c>
      <c r="H1166">
        <v>50000</v>
      </c>
      <c r="I1166">
        <v>0</v>
      </c>
      <c r="J1166" s="21">
        <v>45627</v>
      </c>
      <c r="K1166" t="s">
        <v>67</v>
      </c>
      <c r="L1166" t="s">
        <v>9</v>
      </c>
      <c r="M1166" t="s">
        <v>9</v>
      </c>
      <c r="N1166" t="s">
        <v>3000</v>
      </c>
      <c r="O1166">
        <v>0</v>
      </c>
      <c r="S1166" t="str">
        <f>TEXT(Table1[[#This Row],[Date]],"MMM-YY")</f>
        <v>Nov-24</v>
      </c>
      <c r="T1166">
        <f>_xlfn.ISOWEEKNUM(Table1[[#This Row],[Date]])</f>
        <v>47</v>
      </c>
      <c r="U1166" t="str">
        <f>TEXT(Table1[[#This Row],[Expected Business Month]],"YYYY")</f>
        <v>2024</v>
      </c>
    </row>
    <row r="1167" spans="1:21" hidden="1">
      <c r="A1167" s="1">
        <v>45618</v>
      </c>
      <c r="B1167" t="s">
        <v>2993</v>
      </c>
      <c r="C1167" t="s">
        <v>63</v>
      </c>
      <c r="D1167" t="s">
        <v>64</v>
      </c>
      <c r="E1167" t="s">
        <v>19</v>
      </c>
      <c r="F1167" t="s">
        <v>2484</v>
      </c>
      <c r="G1167" s="9" t="s">
        <v>3001</v>
      </c>
      <c r="H1167">
        <v>65000</v>
      </c>
      <c r="I1167">
        <v>65000</v>
      </c>
      <c r="J1167" s="21">
        <v>45597</v>
      </c>
      <c r="K1167" t="s">
        <v>67</v>
      </c>
      <c r="L1167" t="s">
        <v>68</v>
      </c>
      <c r="M1167" t="s">
        <v>69</v>
      </c>
      <c r="O1167">
        <v>0</v>
      </c>
      <c r="S1167" t="str">
        <f>TEXT(Table1[[#This Row],[Date]],"MMM-YY")</f>
        <v>Nov-24</v>
      </c>
      <c r="T1167">
        <f>_xlfn.ISOWEEKNUM(Table1[[#This Row],[Date]])</f>
        <v>47</v>
      </c>
      <c r="U1167" t="str">
        <f>TEXT(Table1[[#This Row],[Expected Business Month]],"YYYY")</f>
        <v>2024</v>
      </c>
    </row>
    <row r="1168" spans="1:21" hidden="1">
      <c r="A1168" s="1">
        <v>45618</v>
      </c>
      <c r="B1168" t="s">
        <v>3002</v>
      </c>
      <c r="C1168" t="s">
        <v>63</v>
      </c>
      <c r="D1168" t="s">
        <v>20</v>
      </c>
      <c r="E1168" t="s">
        <v>23</v>
      </c>
      <c r="F1168" t="s">
        <v>3003</v>
      </c>
      <c r="G1168" s="9" t="s">
        <v>3004</v>
      </c>
      <c r="H1168">
        <v>0</v>
      </c>
      <c r="I1168">
        <v>0</v>
      </c>
      <c r="J1168" s="21">
        <v>45627</v>
      </c>
      <c r="K1168" t="s">
        <v>67</v>
      </c>
      <c r="L1168" t="s">
        <v>9</v>
      </c>
      <c r="M1168" t="s">
        <v>9</v>
      </c>
      <c r="O1168">
        <v>0</v>
      </c>
      <c r="S1168" t="str">
        <f>TEXT(Table1[[#This Row],[Date]],"MMM-YY")</f>
        <v>Nov-24</v>
      </c>
      <c r="T1168">
        <f>_xlfn.ISOWEEKNUM(Table1[[#This Row],[Date]])</f>
        <v>47</v>
      </c>
      <c r="U1168" t="str">
        <f>TEXT(Table1[[#This Row],[Expected Business Month]],"YYYY")</f>
        <v>2024</v>
      </c>
    </row>
    <row r="1169" spans="1:21" hidden="1">
      <c r="A1169" s="1">
        <v>45618</v>
      </c>
      <c r="B1169" t="s">
        <v>3005</v>
      </c>
      <c r="C1169" t="s">
        <v>63</v>
      </c>
      <c r="D1169" t="s">
        <v>64</v>
      </c>
      <c r="E1169" t="s">
        <v>27</v>
      </c>
      <c r="F1169" t="s">
        <v>3006</v>
      </c>
      <c r="G1169" s="9" t="s">
        <v>3007</v>
      </c>
      <c r="H1169">
        <v>0</v>
      </c>
      <c r="I1169">
        <v>0</v>
      </c>
      <c r="J1169" s="21">
        <v>45717</v>
      </c>
      <c r="K1169" t="s">
        <v>67</v>
      </c>
      <c r="L1169" t="s">
        <v>9</v>
      </c>
      <c r="M1169" t="s">
        <v>9</v>
      </c>
      <c r="N1169" t="s">
        <v>3008</v>
      </c>
      <c r="O1169">
        <v>0</v>
      </c>
      <c r="S1169" t="str">
        <f>TEXT(Table1[[#This Row],[Date]],"MMM-YY")</f>
        <v>Nov-24</v>
      </c>
      <c r="T1169">
        <f>_xlfn.ISOWEEKNUM(Table1[[#This Row],[Date]])</f>
        <v>47</v>
      </c>
      <c r="U1169" t="str">
        <f>TEXT(Table1[[#This Row],[Expected Business Month]],"YYYY")</f>
        <v>2025</v>
      </c>
    </row>
    <row r="1170" spans="1:21" ht="16.5" hidden="1" customHeight="1">
      <c r="A1170" s="1">
        <v>45618</v>
      </c>
      <c r="B1170" t="s">
        <v>1522</v>
      </c>
      <c r="C1170" t="s">
        <v>63</v>
      </c>
      <c r="D1170" t="s">
        <v>64</v>
      </c>
      <c r="E1170" t="s">
        <v>28</v>
      </c>
      <c r="F1170" t="s">
        <v>1523</v>
      </c>
      <c r="G1170" s="9" t="s">
        <v>3009</v>
      </c>
      <c r="H1170">
        <v>3111894</v>
      </c>
      <c r="I1170">
        <v>3111894</v>
      </c>
      <c r="J1170" s="21">
        <v>45597</v>
      </c>
      <c r="K1170" t="s">
        <v>67</v>
      </c>
      <c r="L1170" t="s">
        <v>68</v>
      </c>
      <c r="M1170" t="s">
        <v>69</v>
      </c>
      <c r="O1170">
        <v>0</v>
      </c>
      <c r="S1170" t="str">
        <f>TEXT(Table1[[#This Row],[Date]],"MMM-YY")</f>
        <v>Nov-24</v>
      </c>
      <c r="T1170">
        <f>_xlfn.ISOWEEKNUM(Table1[[#This Row],[Date]])</f>
        <v>47</v>
      </c>
      <c r="U1170" t="str">
        <f>TEXT(Table1[[#This Row],[Expected Business Month]],"YYYY")</f>
        <v>2024</v>
      </c>
    </row>
    <row r="1171" spans="1:21" ht="29.1" hidden="1">
      <c r="A1171" s="1">
        <v>45621</v>
      </c>
      <c r="B1171" t="s">
        <v>2469</v>
      </c>
      <c r="C1171" t="s">
        <v>63</v>
      </c>
      <c r="D1171" t="s">
        <v>64</v>
      </c>
      <c r="E1171" t="s">
        <v>28</v>
      </c>
      <c r="F1171" t="s">
        <v>2806</v>
      </c>
      <c r="G1171" s="9" t="s">
        <v>3010</v>
      </c>
      <c r="H1171">
        <v>14685</v>
      </c>
      <c r="I1171">
        <v>14685</v>
      </c>
      <c r="J1171" s="21">
        <v>45597</v>
      </c>
      <c r="K1171" t="s">
        <v>67</v>
      </c>
      <c r="L1171" t="s">
        <v>68</v>
      </c>
      <c r="M1171" t="s">
        <v>69</v>
      </c>
      <c r="O1171">
        <v>0</v>
      </c>
      <c r="S1171" t="str">
        <f>TEXT(Table1[[#This Row],[Date]],"MMM-YY")</f>
        <v>Nov-24</v>
      </c>
      <c r="T1171">
        <f>_xlfn.ISOWEEKNUM(Table1[[#This Row],[Date]])</f>
        <v>48</v>
      </c>
      <c r="U1171" t="str">
        <f>TEXT(Table1[[#This Row],[Expected Business Month]],"YYYY")</f>
        <v>2024</v>
      </c>
    </row>
    <row r="1172" spans="1:21" hidden="1">
      <c r="A1172" s="1">
        <v>45621</v>
      </c>
      <c r="B1172" t="s">
        <v>3011</v>
      </c>
      <c r="C1172" t="s">
        <v>96</v>
      </c>
      <c r="D1172" t="s">
        <v>20</v>
      </c>
      <c r="E1172" t="s">
        <v>23</v>
      </c>
      <c r="F1172" t="s">
        <v>2265</v>
      </c>
      <c r="G1172" s="9" t="s">
        <v>3012</v>
      </c>
      <c r="H1172">
        <v>5500</v>
      </c>
      <c r="I1172">
        <v>5500</v>
      </c>
      <c r="J1172" s="21">
        <v>45597</v>
      </c>
      <c r="K1172" t="s">
        <v>67</v>
      </c>
      <c r="L1172" t="s">
        <v>68</v>
      </c>
      <c r="M1172" t="s">
        <v>69</v>
      </c>
      <c r="O1172">
        <v>0</v>
      </c>
      <c r="S1172" t="str">
        <f>TEXT(Table1[[#This Row],[Date]],"MMM-YY")</f>
        <v>Nov-24</v>
      </c>
      <c r="T1172">
        <f>_xlfn.ISOWEEKNUM(Table1[[#This Row],[Date]])</f>
        <v>48</v>
      </c>
      <c r="U1172" t="str">
        <f>TEXT(Table1[[#This Row],[Expected Business Month]],"YYYY")</f>
        <v>2024</v>
      </c>
    </row>
    <row r="1173" spans="1:21" hidden="1">
      <c r="A1173" s="1">
        <v>45621</v>
      </c>
      <c r="B1173" t="s">
        <v>3002</v>
      </c>
      <c r="C1173" t="s">
        <v>63</v>
      </c>
      <c r="D1173" t="s">
        <v>20</v>
      </c>
      <c r="E1173" t="s">
        <v>23</v>
      </c>
      <c r="F1173" t="s">
        <v>3003</v>
      </c>
      <c r="G1173" s="9" t="s">
        <v>3004</v>
      </c>
      <c r="H1173">
        <v>250000</v>
      </c>
      <c r="I1173">
        <v>0</v>
      </c>
      <c r="J1173" s="21">
        <v>45627</v>
      </c>
      <c r="K1173" t="s">
        <v>67</v>
      </c>
      <c r="L1173" t="s">
        <v>9</v>
      </c>
      <c r="M1173" t="s">
        <v>9</v>
      </c>
      <c r="N1173" t="s">
        <v>707</v>
      </c>
      <c r="O1173">
        <v>0</v>
      </c>
      <c r="S1173" t="str">
        <f>TEXT(Table1[[#This Row],[Date]],"MMM-YY")</f>
        <v>Nov-24</v>
      </c>
      <c r="T1173">
        <f>_xlfn.ISOWEEKNUM(Table1[[#This Row],[Date]])</f>
        <v>48</v>
      </c>
      <c r="U1173" t="str">
        <f>TEXT(Table1[[#This Row],[Expected Business Month]],"YYYY")</f>
        <v>2024</v>
      </c>
    </row>
    <row r="1174" spans="1:21" hidden="1">
      <c r="A1174" s="1">
        <v>45621</v>
      </c>
      <c r="B1174" t="s">
        <v>3013</v>
      </c>
      <c r="C1174" t="s">
        <v>63</v>
      </c>
      <c r="D1174" t="s">
        <v>618</v>
      </c>
      <c r="E1174" t="s">
        <v>18</v>
      </c>
      <c r="F1174" t="s">
        <v>73</v>
      </c>
      <c r="G1174" s="9" t="s">
        <v>3014</v>
      </c>
      <c r="H1174">
        <v>0</v>
      </c>
      <c r="I1174">
        <v>0</v>
      </c>
      <c r="J1174" s="21">
        <v>45658</v>
      </c>
      <c r="K1174" t="s">
        <v>67</v>
      </c>
      <c r="L1174" t="s">
        <v>9</v>
      </c>
      <c r="M1174" t="s">
        <v>9</v>
      </c>
      <c r="N1174" t="s">
        <v>2633</v>
      </c>
      <c r="O1174">
        <v>0</v>
      </c>
      <c r="S1174" t="str">
        <f>TEXT(Table1[[#This Row],[Date]],"MMM-YY")</f>
        <v>Nov-24</v>
      </c>
      <c r="T1174">
        <f>_xlfn.ISOWEEKNUM(Table1[[#This Row],[Date]])</f>
        <v>48</v>
      </c>
      <c r="U1174" t="str">
        <f>TEXT(Table1[[#This Row],[Expected Business Month]],"YYYY")</f>
        <v>2025</v>
      </c>
    </row>
    <row r="1175" spans="1:21" hidden="1">
      <c r="A1175" s="1">
        <v>45622</v>
      </c>
      <c r="B1175" t="s">
        <v>844</v>
      </c>
      <c r="C1175" t="s">
        <v>63</v>
      </c>
      <c r="D1175" t="s">
        <v>64</v>
      </c>
      <c r="E1175" t="s">
        <v>20</v>
      </c>
      <c r="F1175" t="s">
        <v>845</v>
      </c>
      <c r="G1175" s="9" t="s">
        <v>3015</v>
      </c>
      <c r="H1175">
        <v>30000</v>
      </c>
      <c r="I1175">
        <v>0</v>
      </c>
      <c r="J1175" s="21">
        <v>45658</v>
      </c>
      <c r="K1175" s="6" t="s">
        <v>67</v>
      </c>
      <c r="L1175" t="s">
        <v>9</v>
      </c>
      <c r="M1175" t="s">
        <v>9</v>
      </c>
      <c r="N1175" t="s">
        <v>2633</v>
      </c>
      <c r="O1175">
        <v>0</v>
      </c>
      <c r="S1175" t="str">
        <f>TEXT(Table1[[#This Row],[Date]],"MMM-YY")</f>
        <v>Nov-24</v>
      </c>
      <c r="T1175">
        <f>_xlfn.ISOWEEKNUM(Table1[[#This Row],[Date]])</f>
        <v>48</v>
      </c>
      <c r="U1175" t="str">
        <f>TEXT(Table1[[#This Row],[Expected Business Month]],"YYYY")</f>
        <v>2025</v>
      </c>
    </row>
    <row r="1176" spans="1:21" hidden="1">
      <c r="A1176" s="1">
        <v>45622</v>
      </c>
      <c r="B1176" t="s">
        <v>2877</v>
      </c>
      <c r="C1176" t="s">
        <v>63</v>
      </c>
      <c r="D1176" t="s">
        <v>64</v>
      </c>
      <c r="E1176" t="s">
        <v>28</v>
      </c>
      <c r="F1176" t="s">
        <v>1624</v>
      </c>
      <c r="G1176" s="9" t="s">
        <v>3016</v>
      </c>
      <c r="H1176">
        <v>50000</v>
      </c>
      <c r="I1176">
        <v>0</v>
      </c>
      <c r="J1176" s="21">
        <v>45689</v>
      </c>
      <c r="K1176" t="s">
        <v>67</v>
      </c>
      <c r="L1176" t="s">
        <v>9</v>
      </c>
      <c r="M1176" t="s">
        <v>9</v>
      </c>
      <c r="N1176" t="s">
        <v>586</v>
      </c>
      <c r="O1176">
        <v>0</v>
      </c>
      <c r="S1176" t="str">
        <f>TEXT(Table1[[#This Row],[Date]],"MMM-YY")</f>
        <v>Nov-24</v>
      </c>
      <c r="T1176">
        <f>_xlfn.ISOWEEKNUM(Table1[[#This Row],[Date]])</f>
        <v>48</v>
      </c>
      <c r="U1176" t="str">
        <f>TEXT(Table1[[#This Row],[Expected Business Month]],"YYYY")</f>
        <v>2025</v>
      </c>
    </row>
    <row r="1177" spans="1:21" hidden="1">
      <c r="A1177" s="1">
        <v>45622</v>
      </c>
      <c r="B1177" t="s">
        <v>95</v>
      </c>
      <c r="C1177" t="s">
        <v>96</v>
      </c>
      <c r="D1177" t="s">
        <v>64</v>
      </c>
      <c r="E1177" t="s">
        <v>38</v>
      </c>
      <c r="F1177" t="s">
        <v>97</v>
      </c>
      <c r="G1177" s="9" t="s">
        <v>3017</v>
      </c>
      <c r="H1177">
        <v>0</v>
      </c>
      <c r="I1177">
        <v>0</v>
      </c>
      <c r="J1177" s="21">
        <v>45597</v>
      </c>
      <c r="K1177" t="s">
        <v>99</v>
      </c>
      <c r="L1177" t="s">
        <v>68</v>
      </c>
      <c r="M1177" t="s">
        <v>69</v>
      </c>
      <c r="O1177">
        <v>0</v>
      </c>
      <c r="S1177" t="str">
        <f>TEXT(Table1[[#This Row],[Date]],"MMM-YY")</f>
        <v>Nov-24</v>
      </c>
      <c r="T1177">
        <f>_xlfn.ISOWEEKNUM(Table1[[#This Row],[Date]])</f>
        <v>48</v>
      </c>
      <c r="U1177" t="str">
        <f>TEXT(Table1[[#This Row],[Expected Business Month]],"YYYY")</f>
        <v>2024</v>
      </c>
    </row>
    <row r="1178" spans="1:21" ht="15.75" hidden="1" customHeight="1">
      <c r="A1178" s="1">
        <v>45622</v>
      </c>
      <c r="B1178" t="s">
        <v>324</v>
      </c>
      <c r="C1178" t="s">
        <v>96</v>
      </c>
      <c r="D1178" t="s">
        <v>64</v>
      </c>
      <c r="E1178" t="s">
        <v>38</v>
      </c>
      <c r="F1178" t="s">
        <v>325</v>
      </c>
      <c r="G1178" s="9" t="s">
        <v>2955</v>
      </c>
      <c r="H1178">
        <v>0</v>
      </c>
      <c r="I1178">
        <v>0</v>
      </c>
      <c r="J1178" s="21">
        <v>45597</v>
      </c>
      <c r="K1178" t="s">
        <v>99</v>
      </c>
      <c r="L1178" t="s">
        <v>68</v>
      </c>
      <c r="M1178" t="s">
        <v>69</v>
      </c>
      <c r="O1178">
        <v>0</v>
      </c>
      <c r="S1178" t="str">
        <f>TEXT(Table1[[#This Row],[Date]],"MMM-YY")</f>
        <v>Nov-24</v>
      </c>
      <c r="T1178">
        <f>_xlfn.ISOWEEKNUM(Table1[[#This Row],[Date]])</f>
        <v>48</v>
      </c>
      <c r="U1178" t="str">
        <f>TEXT(Table1[[#This Row],[Expected Business Month]],"YYYY")</f>
        <v>2024</v>
      </c>
    </row>
    <row r="1179" spans="1:21" ht="29.1" hidden="1">
      <c r="A1179" s="1">
        <v>45623</v>
      </c>
      <c r="B1179" t="s">
        <v>672</v>
      </c>
      <c r="C1179" t="s">
        <v>63</v>
      </c>
      <c r="D1179" t="s">
        <v>64</v>
      </c>
      <c r="E1179" t="s">
        <v>26</v>
      </c>
      <c r="F1179" t="s">
        <v>219</v>
      </c>
      <c r="G1179" s="9" t="s">
        <v>673</v>
      </c>
      <c r="H1179" s="20">
        <v>20000</v>
      </c>
      <c r="I1179" s="20">
        <v>0</v>
      </c>
      <c r="J1179" s="21">
        <v>45627</v>
      </c>
      <c r="K1179" s="6" t="s">
        <v>67</v>
      </c>
      <c r="L1179" t="s">
        <v>9</v>
      </c>
      <c r="M1179" t="s">
        <v>9</v>
      </c>
      <c r="O1179">
        <v>0</v>
      </c>
      <c r="S1179" t="str">
        <f>TEXT(Table1[[#This Row],[Date]],"MMM-YY")</f>
        <v>Nov-24</v>
      </c>
      <c r="T1179">
        <f>_xlfn.ISOWEEKNUM(Table1[[#This Row],[Date]])</f>
        <v>48</v>
      </c>
      <c r="U1179" t="str">
        <f>TEXT(Table1[[#This Row],[Expected Business Month]],"YYYY")</f>
        <v>2024</v>
      </c>
    </row>
    <row r="1180" spans="1:21" ht="29.1" hidden="1">
      <c r="A1180" s="1">
        <v>45623</v>
      </c>
      <c r="B1180" t="s">
        <v>746</v>
      </c>
      <c r="C1180" t="s">
        <v>63</v>
      </c>
      <c r="D1180" t="s">
        <v>618</v>
      </c>
      <c r="E1180" t="s">
        <v>18</v>
      </c>
      <c r="F1180" t="s">
        <v>747</v>
      </c>
      <c r="G1180" s="9" t="s">
        <v>748</v>
      </c>
      <c r="H1180">
        <v>10000</v>
      </c>
      <c r="I1180">
        <v>0</v>
      </c>
      <c r="J1180" s="21">
        <v>45627</v>
      </c>
      <c r="K1180" s="6" t="s">
        <v>67</v>
      </c>
      <c r="L1180" t="s">
        <v>9</v>
      </c>
      <c r="M1180" t="s">
        <v>9</v>
      </c>
      <c r="O1180">
        <v>0</v>
      </c>
      <c r="S1180" t="str">
        <f>TEXT(Table1[[#This Row],[Date]],"MMM-YY")</f>
        <v>Nov-24</v>
      </c>
      <c r="T1180">
        <f>_xlfn.ISOWEEKNUM(Table1[[#This Row],[Date]])</f>
        <v>48</v>
      </c>
      <c r="U1180" t="str">
        <f>TEXT(Table1[[#This Row],[Expected Business Month]],"YYYY")</f>
        <v>2024</v>
      </c>
    </row>
    <row r="1181" spans="1:21" hidden="1">
      <c r="A1181" s="1">
        <v>45623</v>
      </c>
      <c r="B1181" t="s">
        <v>2215</v>
      </c>
      <c r="C1181" t="s">
        <v>63</v>
      </c>
      <c r="D1181" t="s">
        <v>64</v>
      </c>
      <c r="E1181" t="s">
        <v>20</v>
      </c>
      <c r="F1181" t="s">
        <v>2438</v>
      </c>
      <c r="G1181" s="9" t="s">
        <v>2439</v>
      </c>
      <c r="H1181">
        <v>40000</v>
      </c>
      <c r="I1181">
        <v>0</v>
      </c>
      <c r="J1181" s="21">
        <v>45627</v>
      </c>
      <c r="K1181" t="s">
        <v>67</v>
      </c>
      <c r="L1181" t="s">
        <v>9</v>
      </c>
      <c r="M1181" t="s">
        <v>9</v>
      </c>
      <c r="O1181">
        <v>0</v>
      </c>
      <c r="S1181" t="str">
        <f>TEXT(Table1[[#This Row],[Date]],"MMM-YY")</f>
        <v>Nov-24</v>
      </c>
      <c r="T1181">
        <f>_xlfn.ISOWEEKNUM(Table1[[#This Row],[Date]])</f>
        <v>48</v>
      </c>
      <c r="U1181" t="str">
        <f>TEXT(Table1[[#This Row],[Expected Business Month]],"YYYY")</f>
        <v>2024</v>
      </c>
    </row>
    <row r="1182" spans="1:21" hidden="1">
      <c r="A1182" s="1">
        <v>45623</v>
      </c>
      <c r="B1182" t="s">
        <v>82</v>
      </c>
      <c r="C1182" t="s">
        <v>63</v>
      </c>
      <c r="D1182" t="s">
        <v>64</v>
      </c>
      <c r="E1182" t="s">
        <v>38</v>
      </c>
      <c r="F1182" t="s">
        <v>93</v>
      </c>
      <c r="G1182" t="s">
        <v>3018</v>
      </c>
      <c r="H1182">
        <v>30000</v>
      </c>
      <c r="I1182">
        <v>0</v>
      </c>
      <c r="J1182" s="21">
        <v>45627</v>
      </c>
      <c r="K1182" t="s">
        <v>67</v>
      </c>
      <c r="L1182" t="s">
        <v>9</v>
      </c>
      <c r="M1182" t="s">
        <v>9</v>
      </c>
      <c r="O1182">
        <v>0</v>
      </c>
      <c r="S1182" t="str">
        <f>TEXT(Table1[[#This Row],[Date]],"MMM-YY")</f>
        <v>Nov-24</v>
      </c>
      <c r="T1182">
        <f>_xlfn.ISOWEEKNUM(Table1[[#This Row],[Date]])</f>
        <v>48</v>
      </c>
      <c r="U1182" t="str">
        <f>TEXT(Table1[[#This Row],[Expected Business Month]],"YYYY")</f>
        <v>2024</v>
      </c>
    </row>
    <row r="1183" spans="1:21" hidden="1">
      <c r="A1183" s="1">
        <v>45623</v>
      </c>
      <c r="B1183" t="s">
        <v>2483</v>
      </c>
      <c r="C1183" t="s">
        <v>63</v>
      </c>
      <c r="D1183" t="s">
        <v>64</v>
      </c>
      <c r="E1183" t="s">
        <v>32</v>
      </c>
      <c r="F1183" t="s">
        <v>2484</v>
      </c>
      <c r="G1183" s="9" t="s">
        <v>3019</v>
      </c>
      <c r="H1183">
        <v>130000</v>
      </c>
      <c r="I1183">
        <v>130000</v>
      </c>
      <c r="J1183" s="21">
        <v>45627</v>
      </c>
      <c r="K1183" t="s">
        <v>67</v>
      </c>
      <c r="L1183" t="s">
        <v>68</v>
      </c>
      <c r="M1183" t="s">
        <v>69</v>
      </c>
      <c r="O1183">
        <v>0</v>
      </c>
      <c r="S1183" t="str">
        <f>TEXT(Table1[[#This Row],[Date]],"MMM-YY")</f>
        <v>Nov-24</v>
      </c>
      <c r="T1183">
        <f>_xlfn.ISOWEEKNUM(Table1[[#This Row],[Date]])</f>
        <v>48</v>
      </c>
      <c r="U1183" t="str">
        <f>TEXT(Table1[[#This Row],[Expected Business Month]],"YYYY")</f>
        <v>2024</v>
      </c>
    </row>
    <row r="1184" spans="1:21" hidden="1">
      <c r="A1184" s="1">
        <v>45623</v>
      </c>
      <c r="B1184" t="s">
        <v>2625</v>
      </c>
      <c r="C1184" t="s">
        <v>63</v>
      </c>
      <c r="D1184" t="s">
        <v>64</v>
      </c>
      <c r="E1184" t="s">
        <v>38</v>
      </c>
      <c r="F1184" t="s">
        <v>1541</v>
      </c>
      <c r="G1184" t="s">
        <v>2830</v>
      </c>
      <c r="H1184">
        <v>50000</v>
      </c>
      <c r="I1184">
        <v>0</v>
      </c>
      <c r="J1184" s="21">
        <v>45627</v>
      </c>
      <c r="K1184" t="s">
        <v>67</v>
      </c>
      <c r="L1184" t="s">
        <v>9</v>
      </c>
      <c r="M1184" t="s">
        <v>9</v>
      </c>
      <c r="O1184">
        <v>0</v>
      </c>
      <c r="S1184" t="str">
        <f>TEXT(Table1[[#This Row],[Date]],"MMM-YY")</f>
        <v>Nov-24</v>
      </c>
      <c r="T1184">
        <f>_xlfn.ISOWEEKNUM(Table1[[#This Row],[Date]])</f>
        <v>48</v>
      </c>
      <c r="U1184" t="str">
        <f>TEXT(Table1[[#This Row],[Expected Business Month]],"YYYY")</f>
        <v>2024</v>
      </c>
    </row>
    <row r="1185" spans="1:21" hidden="1">
      <c r="A1185" s="1">
        <v>45624</v>
      </c>
      <c r="B1185" t="s">
        <v>3020</v>
      </c>
      <c r="C1185" t="s">
        <v>96</v>
      </c>
      <c r="D1185" t="s">
        <v>64</v>
      </c>
      <c r="E1185" t="s">
        <v>38</v>
      </c>
      <c r="F1185" t="s">
        <v>2826</v>
      </c>
      <c r="G1185" s="9" t="s">
        <v>3021</v>
      </c>
      <c r="H1185">
        <v>54000</v>
      </c>
      <c r="I1185">
        <v>0</v>
      </c>
      <c r="J1185" s="21">
        <v>45627</v>
      </c>
      <c r="K1185" t="s">
        <v>67</v>
      </c>
      <c r="L1185" t="s">
        <v>9</v>
      </c>
      <c r="M1185" t="s">
        <v>9</v>
      </c>
      <c r="O1185">
        <v>0</v>
      </c>
      <c r="S1185" t="str">
        <f>TEXT(Table1[[#This Row],[Date]],"MMM-YY")</f>
        <v>Nov-24</v>
      </c>
      <c r="T1185">
        <f>_xlfn.ISOWEEKNUM(Table1[[#This Row],[Date]])</f>
        <v>48</v>
      </c>
      <c r="U1185" t="str">
        <f>TEXT(Table1[[#This Row],[Expected Business Month]],"YYYY")</f>
        <v>2024</v>
      </c>
    </row>
    <row r="1186" spans="1:21" hidden="1">
      <c r="A1186" s="1">
        <v>45624</v>
      </c>
      <c r="B1186" t="s">
        <v>3022</v>
      </c>
      <c r="C1186" t="s">
        <v>96</v>
      </c>
      <c r="D1186" t="s">
        <v>64</v>
      </c>
      <c r="E1186" t="s">
        <v>24</v>
      </c>
      <c r="F1186" t="s">
        <v>770</v>
      </c>
      <c r="G1186" s="9" t="s">
        <v>3023</v>
      </c>
      <c r="H1186">
        <v>0</v>
      </c>
      <c r="I1186">
        <v>0</v>
      </c>
      <c r="J1186" s="21">
        <v>46016</v>
      </c>
      <c r="K1186" t="s">
        <v>67</v>
      </c>
      <c r="L1186" t="s">
        <v>9</v>
      </c>
      <c r="M1186" t="s">
        <v>9</v>
      </c>
      <c r="O1186">
        <v>0</v>
      </c>
      <c r="P1186" t="s">
        <v>108</v>
      </c>
      <c r="S1186" t="str">
        <f>TEXT(Table1[[#This Row],[Date]],"MMM-YY")</f>
        <v>Nov-24</v>
      </c>
      <c r="T1186">
        <f>_xlfn.ISOWEEKNUM(Table1[[#This Row],[Date]])</f>
        <v>48</v>
      </c>
      <c r="U1186" t="str">
        <f>TEXT(Table1[[#This Row],[Expected Business Month]],"YYYY")</f>
        <v>2025</v>
      </c>
    </row>
    <row r="1187" spans="1:21" hidden="1">
      <c r="A1187" s="1">
        <v>45624</v>
      </c>
      <c r="B1187" t="s">
        <v>3024</v>
      </c>
      <c r="C1187" t="s">
        <v>96</v>
      </c>
      <c r="D1187" t="s">
        <v>64</v>
      </c>
      <c r="E1187" t="s">
        <v>30</v>
      </c>
      <c r="F1187" t="s">
        <v>2728</v>
      </c>
      <c r="G1187" s="9" t="s">
        <v>3025</v>
      </c>
      <c r="H1187">
        <v>50000</v>
      </c>
      <c r="I1187">
        <v>0</v>
      </c>
      <c r="J1187" s="21">
        <v>45627</v>
      </c>
      <c r="K1187" t="s">
        <v>67</v>
      </c>
      <c r="L1187" t="s">
        <v>9</v>
      </c>
      <c r="M1187" t="s">
        <v>9</v>
      </c>
      <c r="O1187">
        <v>0</v>
      </c>
      <c r="S1187" t="str">
        <f>TEXT(Table1[[#This Row],[Date]],"MMM-YY")</f>
        <v>Nov-24</v>
      </c>
      <c r="T1187">
        <f>_xlfn.ISOWEEKNUM(Table1[[#This Row],[Date]])</f>
        <v>48</v>
      </c>
      <c r="U1187" t="str">
        <f>TEXT(Table1[[#This Row],[Expected Business Month]],"YYYY")</f>
        <v>2024</v>
      </c>
    </row>
    <row r="1188" spans="1:21" hidden="1">
      <c r="A1188" s="1">
        <v>45626</v>
      </c>
      <c r="B1188" t="s">
        <v>382</v>
      </c>
      <c r="C1188" t="s">
        <v>96</v>
      </c>
      <c r="D1188" t="s">
        <v>64</v>
      </c>
      <c r="E1188" t="s">
        <v>28</v>
      </c>
      <c r="F1188" t="s">
        <v>1707</v>
      </c>
      <c r="G1188" s="9" t="s">
        <v>3026</v>
      </c>
      <c r="H1188">
        <v>3116706</v>
      </c>
      <c r="I1188">
        <v>3116706</v>
      </c>
      <c r="J1188" s="21">
        <v>45597</v>
      </c>
      <c r="K1188" t="s">
        <v>67</v>
      </c>
      <c r="L1188" t="s">
        <v>68</v>
      </c>
      <c r="M1188" t="s">
        <v>69</v>
      </c>
      <c r="O1188">
        <v>0</v>
      </c>
      <c r="S1188" t="str">
        <f>TEXT(Table1[[#This Row],[Date]],"MMM-YY")</f>
        <v>Nov-24</v>
      </c>
      <c r="T1188">
        <f>_xlfn.ISOWEEKNUM(Table1[[#This Row],[Date]])</f>
        <v>48</v>
      </c>
      <c r="U1188" t="str">
        <f>TEXT(Table1[[#This Row],[Expected Business Month]],"YYYY")</f>
        <v>2024</v>
      </c>
    </row>
    <row r="1189" spans="1:21" hidden="1">
      <c r="A1189" s="1">
        <v>45627</v>
      </c>
      <c r="B1189" t="s">
        <v>3027</v>
      </c>
      <c r="C1189" t="s">
        <v>96</v>
      </c>
      <c r="D1189" t="s">
        <v>20</v>
      </c>
      <c r="E1189" t="s">
        <v>23</v>
      </c>
      <c r="F1189" t="s">
        <v>2361</v>
      </c>
      <c r="G1189" s="9" t="s">
        <v>3028</v>
      </c>
      <c r="H1189">
        <v>10000</v>
      </c>
      <c r="I1189">
        <v>10000</v>
      </c>
      <c r="J1189" s="21">
        <v>45627</v>
      </c>
      <c r="K1189" t="s">
        <v>67</v>
      </c>
      <c r="L1189" t="s">
        <v>68</v>
      </c>
      <c r="M1189" t="s">
        <v>69</v>
      </c>
      <c r="O1189">
        <v>0</v>
      </c>
      <c r="S1189" t="str">
        <f>TEXT(Table1[[#This Row],[Date]],"MMM-YY")</f>
        <v>Dec-24</v>
      </c>
      <c r="T1189">
        <f>_xlfn.ISOWEEKNUM(Table1[[#This Row],[Date]])</f>
        <v>48</v>
      </c>
      <c r="U1189" t="str">
        <f>TEXT(Table1[[#This Row],[Expected Business Month]],"YYYY")</f>
        <v>2024</v>
      </c>
    </row>
    <row r="1190" spans="1:21" ht="15.75" hidden="1" customHeight="1">
      <c r="A1190" s="1">
        <v>45628</v>
      </c>
      <c r="B1190" t="s">
        <v>3029</v>
      </c>
      <c r="C1190" t="s">
        <v>63</v>
      </c>
      <c r="D1190" t="s">
        <v>64</v>
      </c>
      <c r="E1190" t="s">
        <v>10</v>
      </c>
      <c r="F1190" t="s">
        <v>2925</v>
      </c>
      <c r="G1190" s="9" t="s">
        <v>3030</v>
      </c>
      <c r="H1190">
        <v>50000</v>
      </c>
      <c r="I1190">
        <v>0</v>
      </c>
      <c r="J1190" s="21">
        <v>45627</v>
      </c>
      <c r="K1190" t="s">
        <v>67</v>
      </c>
      <c r="L1190" t="s">
        <v>9</v>
      </c>
      <c r="M1190" t="s">
        <v>9</v>
      </c>
      <c r="O1190">
        <v>0</v>
      </c>
      <c r="S1190" t="str">
        <f>TEXT(Table1[[#This Row],[Date]],"MMM-YY")</f>
        <v>Dec-24</v>
      </c>
      <c r="T1190">
        <f>_xlfn.ISOWEEKNUM(Table1[[#This Row],[Date]])</f>
        <v>49</v>
      </c>
      <c r="U1190" t="str">
        <f>TEXT(Table1[[#This Row],[Expected Business Month]],"YYYY")</f>
        <v>2024</v>
      </c>
    </row>
    <row r="1191" spans="1:21" hidden="1">
      <c r="A1191" s="1">
        <v>45628</v>
      </c>
      <c r="B1191" t="s">
        <v>3031</v>
      </c>
      <c r="C1191" t="s">
        <v>63</v>
      </c>
      <c r="D1191" t="s">
        <v>755</v>
      </c>
      <c r="E1191" t="s">
        <v>18</v>
      </c>
      <c r="F1191" t="s">
        <v>73</v>
      </c>
      <c r="G1191" s="9" t="s">
        <v>3032</v>
      </c>
      <c r="H1191">
        <v>80000</v>
      </c>
      <c r="I1191">
        <v>0</v>
      </c>
      <c r="J1191" s="21">
        <v>45627</v>
      </c>
      <c r="K1191" t="s">
        <v>67</v>
      </c>
      <c r="L1191" t="s">
        <v>9</v>
      </c>
      <c r="M1191" t="s">
        <v>9</v>
      </c>
      <c r="O1191">
        <v>0</v>
      </c>
      <c r="S1191" t="str">
        <f>TEXT(Table1[[#This Row],[Date]],"MMM-YY")</f>
        <v>Dec-24</v>
      </c>
      <c r="T1191">
        <f>_xlfn.ISOWEEKNUM(Table1[[#This Row],[Date]])</f>
        <v>49</v>
      </c>
      <c r="U1191" t="str">
        <f>TEXT(Table1[[#This Row],[Expected Business Month]],"YYYY")</f>
        <v>2024</v>
      </c>
    </row>
    <row r="1192" spans="1:21" hidden="1">
      <c r="A1192" s="1">
        <v>45628</v>
      </c>
      <c r="B1192" t="s">
        <v>2396</v>
      </c>
      <c r="C1192" t="s">
        <v>63</v>
      </c>
      <c r="D1192" t="s">
        <v>64</v>
      </c>
      <c r="E1192" t="s">
        <v>25</v>
      </c>
      <c r="F1192" t="s">
        <v>3033</v>
      </c>
      <c r="G1192" s="9" t="s">
        <v>3034</v>
      </c>
      <c r="H1192">
        <v>30000</v>
      </c>
      <c r="I1192">
        <v>0</v>
      </c>
      <c r="J1192" s="21">
        <v>45689</v>
      </c>
      <c r="K1192" t="s">
        <v>67</v>
      </c>
      <c r="L1192" t="s">
        <v>9</v>
      </c>
      <c r="M1192" t="s">
        <v>9</v>
      </c>
      <c r="N1192" t="s">
        <v>3035</v>
      </c>
      <c r="O1192">
        <v>0</v>
      </c>
      <c r="S1192" t="str">
        <f>TEXT(Table1[[#This Row],[Date]],"MMM-YY")</f>
        <v>Dec-24</v>
      </c>
      <c r="T1192">
        <f>_xlfn.ISOWEEKNUM(Table1[[#This Row],[Date]])</f>
        <v>49</v>
      </c>
      <c r="U1192" t="str">
        <f>TEXT(Table1[[#This Row],[Expected Business Month]],"YYYY")</f>
        <v>2025</v>
      </c>
    </row>
    <row r="1193" spans="1:21" hidden="1">
      <c r="A1193" s="1">
        <v>45629</v>
      </c>
      <c r="B1193" t="s">
        <v>382</v>
      </c>
      <c r="C1193" t="s">
        <v>63</v>
      </c>
      <c r="D1193" t="s">
        <v>64</v>
      </c>
      <c r="E1193" t="s">
        <v>28</v>
      </c>
      <c r="F1193" t="s">
        <v>196</v>
      </c>
      <c r="G1193" s="9" t="s">
        <v>3036</v>
      </c>
      <c r="H1193">
        <v>0</v>
      </c>
      <c r="I1193">
        <v>0</v>
      </c>
      <c r="J1193" s="21">
        <v>45627</v>
      </c>
      <c r="K1193" t="s">
        <v>67</v>
      </c>
      <c r="L1193" t="s">
        <v>68</v>
      </c>
      <c r="M1193" t="s">
        <v>69</v>
      </c>
      <c r="O1193">
        <v>0</v>
      </c>
      <c r="S1193" t="str">
        <f>TEXT(Table1[[#This Row],[Date]],"MMM-YY")</f>
        <v>Dec-24</v>
      </c>
      <c r="T1193">
        <f>_xlfn.ISOWEEKNUM(Table1[[#This Row],[Date]])</f>
        <v>49</v>
      </c>
      <c r="U1193" t="str">
        <f>TEXT(Table1[[#This Row],[Expected Business Month]],"YYYY")</f>
        <v>2024</v>
      </c>
    </row>
    <row r="1194" spans="1:21" ht="29.1" hidden="1">
      <c r="A1194" s="1">
        <v>45629</v>
      </c>
      <c r="B1194" t="s">
        <v>3037</v>
      </c>
      <c r="C1194" t="s">
        <v>63</v>
      </c>
      <c r="D1194" t="s">
        <v>64</v>
      </c>
      <c r="E1194" t="s">
        <v>25</v>
      </c>
      <c r="F1194" t="s">
        <v>1600</v>
      </c>
      <c r="G1194" s="9" t="s">
        <v>3038</v>
      </c>
      <c r="H1194">
        <v>40000</v>
      </c>
      <c r="I1194">
        <v>4000</v>
      </c>
      <c r="J1194" s="21">
        <v>45627</v>
      </c>
      <c r="K1194" t="s">
        <v>67</v>
      </c>
      <c r="L1194" t="s">
        <v>68</v>
      </c>
      <c r="M1194" t="s">
        <v>69</v>
      </c>
      <c r="O1194">
        <v>0</v>
      </c>
      <c r="S1194" t="str">
        <f>TEXT(Table1[[#This Row],[Date]],"MMM-YY")</f>
        <v>Dec-24</v>
      </c>
      <c r="T1194">
        <f>_xlfn.ISOWEEKNUM(Table1[[#This Row],[Date]])</f>
        <v>49</v>
      </c>
      <c r="U1194" t="str">
        <f>TEXT(Table1[[#This Row],[Expected Business Month]],"YYYY")</f>
        <v>2024</v>
      </c>
    </row>
    <row r="1195" spans="1:21" ht="17.25" hidden="1" customHeight="1">
      <c r="A1195" s="1">
        <v>45629</v>
      </c>
      <c r="B1195" t="s">
        <v>3031</v>
      </c>
      <c r="C1195" t="s">
        <v>63</v>
      </c>
      <c r="D1195" t="s">
        <v>618</v>
      </c>
      <c r="E1195" t="s">
        <v>18</v>
      </c>
      <c r="F1195" t="s">
        <v>73</v>
      </c>
      <c r="G1195" s="9" t="s">
        <v>3039</v>
      </c>
      <c r="H1195">
        <v>0</v>
      </c>
      <c r="I1195">
        <v>0</v>
      </c>
      <c r="J1195" s="21">
        <v>45627</v>
      </c>
      <c r="K1195" t="s">
        <v>67</v>
      </c>
      <c r="L1195" t="s">
        <v>68</v>
      </c>
      <c r="M1195" t="s">
        <v>69</v>
      </c>
      <c r="O1195">
        <v>0</v>
      </c>
      <c r="S1195" t="str">
        <f>TEXT(Table1[[#This Row],[Date]],"MMM-YY")</f>
        <v>Dec-24</v>
      </c>
      <c r="T1195">
        <f>_xlfn.ISOWEEKNUM(Table1[[#This Row],[Date]])</f>
        <v>49</v>
      </c>
      <c r="U1195" t="str">
        <f>TEXT(Table1[[#This Row],[Expected Business Month]],"YYYY")</f>
        <v>2024</v>
      </c>
    </row>
    <row r="1196" spans="1:21" hidden="1">
      <c r="A1196" s="1">
        <v>45630</v>
      </c>
      <c r="B1196" t="s">
        <v>95</v>
      </c>
      <c r="C1196" t="s">
        <v>96</v>
      </c>
      <c r="D1196" t="s">
        <v>64</v>
      </c>
      <c r="E1196" t="s">
        <v>38</v>
      </c>
      <c r="F1196" t="s">
        <v>97</v>
      </c>
      <c r="G1196" s="9" t="s">
        <v>3040</v>
      </c>
      <c r="H1196">
        <v>33351</v>
      </c>
      <c r="I1196">
        <v>33351</v>
      </c>
      <c r="J1196" s="21">
        <v>45627</v>
      </c>
      <c r="K1196" t="s">
        <v>99</v>
      </c>
      <c r="L1196" t="s">
        <v>68</v>
      </c>
      <c r="M1196" t="s">
        <v>69</v>
      </c>
      <c r="O1196">
        <v>0</v>
      </c>
      <c r="S1196" t="str">
        <f>TEXT(Table1[[#This Row],[Date]],"MMM-YY")</f>
        <v>Dec-24</v>
      </c>
      <c r="T1196">
        <f>_xlfn.ISOWEEKNUM(Table1[[#This Row],[Date]])</f>
        <v>49</v>
      </c>
      <c r="U1196" t="str">
        <f>TEXT(Table1[[#This Row],[Expected Business Month]],"YYYY")</f>
        <v>2024</v>
      </c>
    </row>
    <row r="1197" spans="1:21" hidden="1">
      <c r="A1197" s="1">
        <v>45630</v>
      </c>
      <c r="B1197" t="s">
        <v>3031</v>
      </c>
      <c r="C1197" t="s">
        <v>63</v>
      </c>
      <c r="D1197" t="s">
        <v>755</v>
      </c>
      <c r="E1197" t="s">
        <v>18</v>
      </c>
      <c r="F1197" t="s">
        <v>73</v>
      </c>
      <c r="G1197" s="9" t="s">
        <v>3041</v>
      </c>
      <c r="H1197">
        <v>120000</v>
      </c>
      <c r="I1197">
        <v>120000</v>
      </c>
      <c r="J1197" s="21">
        <v>45627</v>
      </c>
      <c r="K1197" t="s">
        <v>67</v>
      </c>
      <c r="L1197" t="s">
        <v>68</v>
      </c>
      <c r="M1197" t="s">
        <v>69</v>
      </c>
      <c r="O1197">
        <v>0</v>
      </c>
      <c r="S1197" t="str">
        <f>TEXT(Table1[[#This Row],[Date]],"MMM-YY")</f>
        <v>Dec-24</v>
      </c>
      <c r="T1197">
        <f>_xlfn.ISOWEEKNUM(Table1[[#This Row],[Date]])</f>
        <v>49</v>
      </c>
      <c r="U1197" t="str">
        <f>TEXT(Table1[[#This Row],[Expected Business Month]],"YYYY")</f>
        <v>2024</v>
      </c>
    </row>
    <row r="1198" spans="1:21" hidden="1">
      <c r="A1198" s="1">
        <v>45630</v>
      </c>
      <c r="B1198" t="s">
        <v>3042</v>
      </c>
      <c r="C1198" t="s">
        <v>63</v>
      </c>
      <c r="D1198" t="s">
        <v>20</v>
      </c>
      <c r="E1198" t="s">
        <v>38</v>
      </c>
      <c r="F1198" t="s">
        <v>2649</v>
      </c>
      <c r="G1198" s="9" t="s">
        <v>3043</v>
      </c>
      <c r="H1198">
        <v>0</v>
      </c>
      <c r="I1198">
        <v>0</v>
      </c>
      <c r="J1198" s="21">
        <v>45627</v>
      </c>
      <c r="K1198" t="s">
        <v>67</v>
      </c>
      <c r="L1198" t="s">
        <v>68</v>
      </c>
      <c r="M1198" t="s">
        <v>69</v>
      </c>
      <c r="O1198">
        <v>0</v>
      </c>
      <c r="S1198" t="str">
        <f>TEXT(Table1[[#This Row],[Date]],"MMM-YY")</f>
        <v>Dec-24</v>
      </c>
      <c r="T1198">
        <f>_xlfn.ISOWEEKNUM(Table1[[#This Row],[Date]])</f>
        <v>49</v>
      </c>
      <c r="U1198" t="str">
        <f>TEXT(Table1[[#This Row],[Expected Business Month]],"YYYY")</f>
        <v>2024</v>
      </c>
    </row>
    <row r="1199" spans="1:21" hidden="1">
      <c r="A1199" s="1">
        <v>45630</v>
      </c>
      <c r="B1199" t="s">
        <v>3044</v>
      </c>
      <c r="C1199" t="s">
        <v>63</v>
      </c>
      <c r="D1199" t="s">
        <v>2027</v>
      </c>
      <c r="E1199" t="s">
        <v>26</v>
      </c>
      <c r="F1199" t="s">
        <v>371</v>
      </c>
      <c r="G1199" s="9" t="s">
        <v>3045</v>
      </c>
      <c r="H1199">
        <v>43000</v>
      </c>
      <c r="I1199">
        <v>43000</v>
      </c>
      <c r="J1199" s="21">
        <v>45627</v>
      </c>
      <c r="K1199" t="s">
        <v>67</v>
      </c>
      <c r="L1199" t="s">
        <v>68</v>
      </c>
      <c r="M1199" t="s">
        <v>69</v>
      </c>
      <c r="O1199">
        <v>0</v>
      </c>
      <c r="S1199" t="str">
        <f>TEXT(Table1[[#This Row],[Date]],"MMM-YY")</f>
        <v>Dec-24</v>
      </c>
      <c r="T1199">
        <f>_xlfn.ISOWEEKNUM(Table1[[#This Row],[Date]])</f>
        <v>49</v>
      </c>
      <c r="U1199" t="str">
        <f>TEXT(Table1[[#This Row],[Expected Business Month]],"YYYY")</f>
        <v>2024</v>
      </c>
    </row>
    <row r="1200" spans="1:21" hidden="1">
      <c r="A1200" s="1">
        <v>45631</v>
      </c>
      <c r="B1200" t="s">
        <v>3046</v>
      </c>
      <c r="C1200" t="s">
        <v>63</v>
      </c>
      <c r="D1200" t="s">
        <v>2027</v>
      </c>
      <c r="E1200" t="s">
        <v>37</v>
      </c>
      <c r="F1200" t="s">
        <v>3047</v>
      </c>
      <c r="G1200" s="9" t="s">
        <v>3048</v>
      </c>
      <c r="H1200">
        <v>2000000</v>
      </c>
      <c r="I1200">
        <v>0</v>
      </c>
      <c r="J1200" s="21">
        <v>45658</v>
      </c>
      <c r="K1200" t="s">
        <v>67</v>
      </c>
      <c r="L1200" t="s">
        <v>9</v>
      </c>
      <c r="M1200" t="s">
        <v>9</v>
      </c>
      <c r="N1200" t="s">
        <v>3049</v>
      </c>
      <c r="O1200">
        <v>0</v>
      </c>
      <c r="S1200" t="str">
        <f>TEXT(Table1[[#This Row],[Date]],"MMM-YY")</f>
        <v>Dec-24</v>
      </c>
      <c r="T1200">
        <f>_xlfn.ISOWEEKNUM(Table1[[#This Row],[Date]])</f>
        <v>49</v>
      </c>
      <c r="U1200" t="str">
        <f>TEXT(Table1[[#This Row],[Expected Business Month]],"YYYY")</f>
        <v>2025</v>
      </c>
    </row>
    <row r="1201" spans="1:21" hidden="1">
      <c r="A1201" s="1">
        <v>45631</v>
      </c>
      <c r="B1201" t="s">
        <v>330</v>
      </c>
      <c r="C1201" t="s">
        <v>63</v>
      </c>
      <c r="D1201" t="s">
        <v>20</v>
      </c>
      <c r="E1201" t="s">
        <v>23</v>
      </c>
      <c r="F1201" t="s">
        <v>1357</v>
      </c>
      <c r="G1201" s="9" t="s">
        <v>3050</v>
      </c>
      <c r="H1201">
        <v>9000</v>
      </c>
      <c r="I1201">
        <v>9000</v>
      </c>
      <c r="J1201" s="21">
        <v>45627</v>
      </c>
      <c r="K1201" t="s">
        <v>67</v>
      </c>
      <c r="L1201" t="s">
        <v>68</v>
      </c>
      <c r="M1201" t="s">
        <v>69</v>
      </c>
      <c r="O1201">
        <v>0</v>
      </c>
      <c r="S1201" t="str">
        <f>TEXT(Table1[[#This Row],[Date]],"MMM-YY")</f>
        <v>Dec-24</v>
      </c>
      <c r="T1201">
        <f>_xlfn.ISOWEEKNUM(Table1[[#This Row],[Date]])</f>
        <v>49</v>
      </c>
      <c r="U1201" t="str">
        <f>TEXT(Table1[[#This Row],[Expected Business Month]],"YYYY")</f>
        <v>2024</v>
      </c>
    </row>
    <row r="1202" spans="1:21" hidden="1">
      <c r="A1202" s="1">
        <v>45631</v>
      </c>
      <c r="B1202" t="s">
        <v>3051</v>
      </c>
      <c r="C1202" t="s">
        <v>63</v>
      </c>
      <c r="D1202" t="s">
        <v>20</v>
      </c>
      <c r="E1202" t="s">
        <v>38</v>
      </c>
      <c r="F1202" t="s">
        <v>2649</v>
      </c>
      <c r="G1202" s="9" t="s">
        <v>3052</v>
      </c>
      <c r="H1202">
        <v>6000</v>
      </c>
      <c r="I1202">
        <v>6000</v>
      </c>
      <c r="J1202" s="21">
        <v>45627</v>
      </c>
      <c r="K1202" t="s">
        <v>67</v>
      </c>
      <c r="L1202" t="s">
        <v>68</v>
      </c>
      <c r="M1202" t="s">
        <v>69</v>
      </c>
      <c r="O1202">
        <v>0</v>
      </c>
      <c r="S1202" t="str">
        <f>TEXT(Table1[[#This Row],[Date]],"MMM-YY")</f>
        <v>Dec-24</v>
      </c>
      <c r="T1202">
        <f>_xlfn.ISOWEEKNUM(Table1[[#This Row],[Date]])</f>
        <v>49</v>
      </c>
      <c r="U1202" t="str">
        <f>TEXT(Table1[[#This Row],[Expected Business Month]],"YYYY")</f>
        <v>2024</v>
      </c>
    </row>
    <row r="1203" spans="1:21" hidden="1">
      <c r="A1203" s="1">
        <v>45632</v>
      </c>
      <c r="B1203" t="s">
        <v>3053</v>
      </c>
      <c r="C1203" t="s">
        <v>63</v>
      </c>
      <c r="D1203" t="s">
        <v>20</v>
      </c>
      <c r="E1203" t="s">
        <v>38</v>
      </c>
      <c r="F1203" t="s">
        <v>2649</v>
      </c>
      <c r="G1203" s="9" t="s">
        <v>3054</v>
      </c>
      <c r="H1203">
        <v>13000</v>
      </c>
      <c r="I1203">
        <v>13000</v>
      </c>
      <c r="J1203" s="21">
        <v>45627</v>
      </c>
      <c r="K1203" t="s">
        <v>67</v>
      </c>
      <c r="L1203" t="s">
        <v>68</v>
      </c>
      <c r="M1203" t="s">
        <v>69</v>
      </c>
      <c r="O1203">
        <v>0</v>
      </c>
      <c r="S1203" t="str">
        <f>TEXT(Table1[[#This Row],[Date]],"MMM-YY")</f>
        <v>Dec-24</v>
      </c>
      <c r="T1203">
        <f>_xlfn.ISOWEEKNUM(Table1[[#This Row],[Date]])</f>
        <v>49</v>
      </c>
      <c r="U1203" t="str">
        <f>TEXT(Table1[[#This Row],[Expected Business Month]],"YYYY")</f>
        <v>2024</v>
      </c>
    </row>
    <row r="1204" spans="1:21" hidden="1">
      <c r="A1204" s="1">
        <v>45632</v>
      </c>
      <c r="B1204" t="s">
        <v>3055</v>
      </c>
      <c r="C1204" t="s">
        <v>96</v>
      </c>
      <c r="D1204" t="s">
        <v>64</v>
      </c>
      <c r="E1204" t="s">
        <v>38</v>
      </c>
      <c r="F1204" t="s">
        <v>2618</v>
      </c>
      <c r="G1204" s="9" t="s">
        <v>3056</v>
      </c>
      <c r="H1204">
        <v>21000</v>
      </c>
      <c r="I1204">
        <v>21000</v>
      </c>
      <c r="J1204" s="21">
        <v>45627</v>
      </c>
      <c r="K1204" t="s">
        <v>67</v>
      </c>
      <c r="L1204" t="s">
        <v>68</v>
      </c>
      <c r="M1204" t="s">
        <v>69</v>
      </c>
      <c r="O1204">
        <v>0</v>
      </c>
      <c r="S1204" t="str">
        <f>TEXT(Table1[[#This Row],[Date]],"MMM-YY")</f>
        <v>Dec-24</v>
      </c>
      <c r="T1204">
        <f>_xlfn.ISOWEEKNUM(Table1[[#This Row],[Date]])</f>
        <v>49</v>
      </c>
      <c r="U1204" t="str">
        <f>TEXT(Table1[[#This Row],[Expected Business Month]],"YYYY")</f>
        <v>2024</v>
      </c>
    </row>
    <row r="1205" spans="1:21" hidden="1">
      <c r="A1205" s="1">
        <v>45632</v>
      </c>
      <c r="B1205" t="s">
        <v>3057</v>
      </c>
      <c r="C1205" t="s">
        <v>96</v>
      </c>
      <c r="D1205" t="s">
        <v>64</v>
      </c>
      <c r="E1205" t="s">
        <v>26</v>
      </c>
      <c r="F1205" t="s">
        <v>214</v>
      </c>
      <c r="G1205" s="9" t="s">
        <v>3058</v>
      </c>
      <c r="H1205">
        <v>13500</v>
      </c>
      <c r="I1205">
        <v>13500</v>
      </c>
      <c r="J1205" s="21">
        <v>45627</v>
      </c>
      <c r="K1205" t="s">
        <v>67</v>
      </c>
      <c r="L1205" t="s">
        <v>68</v>
      </c>
      <c r="M1205" t="s">
        <v>69</v>
      </c>
      <c r="O1205">
        <v>0</v>
      </c>
      <c r="S1205" t="str">
        <f>TEXT(Table1[[#This Row],[Date]],"MMM-YY")</f>
        <v>Dec-24</v>
      </c>
      <c r="T1205">
        <f>_xlfn.ISOWEEKNUM(Table1[[#This Row],[Date]])</f>
        <v>49</v>
      </c>
      <c r="U1205" t="str">
        <f>TEXT(Table1[[#This Row],[Expected Business Month]],"YYYY")</f>
        <v>2024</v>
      </c>
    </row>
    <row r="1206" spans="1:21" hidden="1">
      <c r="A1206" s="1">
        <v>45634</v>
      </c>
      <c r="B1206" t="s">
        <v>2972</v>
      </c>
      <c r="C1206" t="s">
        <v>96</v>
      </c>
      <c r="D1206" t="s">
        <v>64</v>
      </c>
      <c r="E1206" t="s">
        <v>19</v>
      </c>
      <c r="F1206" t="s">
        <v>2484</v>
      </c>
      <c r="G1206" s="9" t="s">
        <v>3059</v>
      </c>
      <c r="H1206">
        <v>38000</v>
      </c>
      <c r="I1206">
        <v>38000</v>
      </c>
      <c r="J1206" s="21">
        <v>45627</v>
      </c>
      <c r="K1206" t="s">
        <v>67</v>
      </c>
      <c r="L1206" t="s">
        <v>68</v>
      </c>
      <c r="M1206" t="s">
        <v>69</v>
      </c>
      <c r="O1206">
        <v>0</v>
      </c>
      <c r="S1206" t="str">
        <f>TEXT(Table1[[#This Row],[Date]],"MMM-YY")</f>
        <v>Dec-24</v>
      </c>
      <c r="T1206">
        <f>_xlfn.ISOWEEKNUM(Table1[[#This Row],[Date]])</f>
        <v>49</v>
      </c>
      <c r="U1206" t="str">
        <f>TEXT(Table1[[#This Row],[Expected Business Month]],"YYYY")</f>
        <v>2024</v>
      </c>
    </row>
    <row r="1207" spans="1:21" hidden="1">
      <c r="A1207" s="1">
        <v>45635</v>
      </c>
      <c r="B1207" t="s">
        <v>3053</v>
      </c>
      <c r="C1207" t="s">
        <v>63</v>
      </c>
      <c r="D1207" t="s">
        <v>20</v>
      </c>
      <c r="E1207" t="s">
        <v>38</v>
      </c>
      <c r="F1207" t="s">
        <v>2649</v>
      </c>
      <c r="G1207" s="9" t="s">
        <v>3060</v>
      </c>
      <c r="H1207">
        <v>5347</v>
      </c>
      <c r="I1207">
        <v>5347</v>
      </c>
      <c r="J1207" s="21">
        <v>45627</v>
      </c>
      <c r="K1207" t="s">
        <v>67</v>
      </c>
      <c r="L1207" t="s">
        <v>68</v>
      </c>
      <c r="M1207" t="s">
        <v>69</v>
      </c>
      <c r="O1207">
        <v>0</v>
      </c>
      <c r="S1207" t="str">
        <f>TEXT(Table1[[#This Row],[Date]],"MMM-YY")</f>
        <v>Dec-24</v>
      </c>
      <c r="T1207">
        <f>_xlfn.ISOWEEKNUM(Table1[[#This Row],[Date]])</f>
        <v>50</v>
      </c>
      <c r="U1207" t="str">
        <f>TEXT(Table1[[#This Row],[Expected Business Month]],"YYYY")</f>
        <v>2024</v>
      </c>
    </row>
    <row r="1208" spans="1:21" hidden="1">
      <c r="A1208" s="1">
        <v>45635</v>
      </c>
      <c r="B1208" t="s">
        <v>3061</v>
      </c>
      <c r="C1208" t="s">
        <v>63</v>
      </c>
      <c r="D1208" t="s">
        <v>64</v>
      </c>
      <c r="E1208" t="s">
        <v>14</v>
      </c>
      <c r="F1208" t="s">
        <v>3062</v>
      </c>
      <c r="G1208" s="9" t="s">
        <v>3063</v>
      </c>
      <c r="H1208">
        <v>18000</v>
      </c>
      <c r="I1208">
        <v>18000</v>
      </c>
      <c r="J1208" s="21">
        <v>45627</v>
      </c>
      <c r="K1208" t="s">
        <v>67</v>
      </c>
      <c r="L1208" t="s">
        <v>68</v>
      </c>
      <c r="M1208" t="s">
        <v>69</v>
      </c>
      <c r="O1208">
        <v>0</v>
      </c>
      <c r="S1208" t="str">
        <f>TEXT(Table1[[#This Row],[Date]],"MMM-YY")</f>
        <v>Dec-24</v>
      </c>
      <c r="T1208">
        <f>_xlfn.ISOWEEKNUM(Table1[[#This Row],[Date]])</f>
        <v>50</v>
      </c>
      <c r="U1208" t="str">
        <f>TEXT(Table1[[#This Row],[Expected Business Month]],"YYYY")</f>
        <v>2024</v>
      </c>
    </row>
    <row r="1209" spans="1:21" hidden="1">
      <c r="A1209" s="1">
        <v>45635</v>
      </c>
      <c r="B1209" t="s">
        <v>3064</v>
      </c>
      <c r="C1209" t="s">
        <v>63</v>
      </c>
      <c r="D1209" t="s">
        <v>64</v>
      </c>
      <c r="E1209" t="s">
        <v>27</v>
      </c>
      <c r="F1209" t="s">
        <v>3065</v>
      </c>
      <c r="G1209" s="9" t="s">
        <v>3066</v>
      </c>
      <c r="H1209">
        <v>9800</v>
      </c>
      <c r="I1209">
        <v>9800</v>
      </c>
      <c r="J1209" s="21">
        <v>45627</v>
      </c>
      <c r="K1209" t="s">
        <v>67</v>
      </c>
      <c r="L1209" t="s">
        <v>68</v>
      </c>
      <c r="M1209" t="s">
        <v>69</v>
      </c>
      <c r="O1209">
        <v>0</v>
      </c>
      <c r="S1209" t="str">
        <f>TEXT(Table1[[#This Row],[Date]],"MMM-YY")</f>
        <v>Dec-24</v>
      </c>
      <c r="T1209">
        <f>_xlfn.ISOWEEKNUM(Table1[[#This Row],[Date]])</f>
        <v>50</v>
      </c>
      <c r="U1209" t="str">
        <f>TEXT(Table1[[#This Row],[Expected Business Month]],"YYYY")</f>
        <v>2024</v>
      </c>
    </row>
    <row r="1210" spans="1:21" hidden="1">
      <c r="A1210" s="1">
        <v>45636</v>
      </c>
      <c r="B1210" t="s">
        <v>3067</v>
      </c>
      <c r="C1210" t="s">
        <v>63</v>
      </c>
      <c r="D1210" t="s">
        <v>64</v>
      </c>
      <c r="E1210" t="s">
        <v>15</v>
      </c>
      <c r="F1210" t="s">
        <v>3068</v>
      </c>
      <c r="G1210" s="9" t="s">
        <v>3069</v>
      </c>
      <c r="H1210">
        <v>300000</v>
      </c>
      <c r="I1210">
        <v>0</v>
      </c>
      <c r="J1210" s="21">
        <v>45627</v>
      </c>
      <c r="K1210" t="s">
        <v>67</v>
      </c>
      <c r="L1210" t="s">
        <v>9</v>
      </c>
      <c r="M1210" t="s">
        <v>9</v>
      </c>
      <c r="O1210">
        <v>0</v>
      </c>
      <c r="S1210" t="str">
        <f>TEXT(Table1[[#This Row],[Date]],"MMM-YY")</f>
        <v>Dec-24</v>
      </c>
      <c r="T1210">
        <f>_xlfn.ISOWEEKNUM(Table1[[#This Row],[Date]])</f>
        <v>50</v>
      </c>
      <c r="U1210" t="str">
        <f>TEXT(Table1[[#This Row],[Expected Business Month]],"YYYY")</f>
        <v>2024</v>
      </c>
    </row>
    <row r="1211" spans="1:21" hidden="1">
      <c r="A1211" s="1">
        <v>45636</v>
      </c>
      <c r="B1211" t="s">
        <v>3070</v>
      </c>
      <c r="C1211" t="s">
        <v>63</v>
      </c>
      <c r="D1211" t="s">
        <v>64</v>
      </c>
      <c r="E1211" t="s">
        <v>26</v>
      </c>
      <c r="F1211" t="s">
        <v>3071</v>
      </c>
      <c r="G1211" s="9" t="s">
        <v>293</v>
      </c>
      <c r="H1211">
        <v>0</v>
      </c>
      <c r="I1211">
        <v>0</v>
      </c>
      <c r="J1211" s="21">
        <v>45689</v>
      </c>
      <c r="K1211" t="s">
        <v>67</v>
      </c>
      <c r="L1211" t="s">
        <v>9</v>
      </c>
      <c r="M1211" t="s">
        <v>9</v>
      </c>
      <c r="O1211">
        <v>0</v>
      </c>
      <c r="S1211" t="str">
        <f>TEXT(Table1[[#This Row],[Date]],"MMM-YY")</f>
        <v>Dec-24</v>
      </c>
      <c r="T1211">
        <f>_xlfn.ISOWEEKNUM(Table1[[#This Row],[Date]])</f>
        <v>50</v>
      </c>
      <c r="U1211" t="str">
        <f>TEXT(Table1[[#This Row],[Expected Business Month]],"YYYY")</f>
        <v>2025</v>
      </c>
    </row>
    <row r="1212" spans="1:21" hidden="1">
      <c r="A1212" s="1">
        <v>45636</v>
      </c>
      <c r="B1212" t="s">
        <v>1083</v>
      </c>
      <c r="C1212" t="s">
        <v>63</v>
      </c>
      <c r="D1212" t="s">
        <v>64</v>
      </c>
      <c r="E1212" t="s">
        <v>26</v>
      </c>
      <c r="F1212" t="s">
        <v>3072</v>
      </c>
      <c r="G1212" s="9" t="s">
        <v>3073</v>
      </c>
      <c r="H1212">
        <v>0</v>
      </c>
      <c r="I1212">
        <v>0</v>
      </c>
      <c r="J1212" s="21">
        <v>45689</v>
      </c>
      <c r="K1212" t="s">
        <v>67</v>
      </c>
      <c r="L1212" t="s">
        <v>9</v>
      </c>
      <c r="M1212" t="s">
        <v>9</v>
      </c>
      <c r="O1212">
        <v>0</v>
      </c>
      <c r="S1212" t="str">
        <f>TEXT(Table1[[#This Row],[Date]],"MMM-YY")</f>
        <v>Dec-24</v>
      </c>
      <c r="T1212">
        <f>_xlfn.ISOWEEKNUM(Table1[[#This Row],[Date]])</f>
        <v>50</v>
      </c>
      <c r="U1212" t="str">
        <f>TEXT(Table1[[#This Row],[Expected Business Month]],"YYYY")</f>
        <v>2025</v>
      </c>
    </row>
    <row r="1213" spans="1:21" hidden="1">
      <c r="A1213" s="1">
        <v>45637</v>
      </c>
      <c r="B1213" t="s">
        <v>95</v>
      </c>
      <c r="C1213" t="s">
        <v>96</v>
      </c>
      <c r="D1213" t="s">
        <v>64</v>
      </c>
      <c r="E1213" t="s">
        <v>38</v>
      </c>
      <c r="F1213" t="s">
        <v>97</v>
      </c>
      <c r="G1213" s="9" t="s">
        <v>3074</v>
      </c>
      <c r="H1213">
        <v>38256</v>
      </c>
      <c r="I1213">
        <v>38256</v>
      </c>
      <c r="J1213" s="21">
        <v>45627</v>
      </c>
      <c r="K1213" t="s">
        <v>99</v>
      </c>
      <c r="L1213" t="s">
        <v>68</v>
      </c>
      <c r="M1213" t="s">
        <v>69</v>
      </c>
      <c r="O1213">
        <v>0</v>
      </c>
      <c r="S1213" t="str">
        <f>TEXT(Table1[[#This Row],[Date]],"MMM-YY")</f>
        <v>Dec-24</v>
      </c>
      <c r="T1213">
        <f>_xlfn.ISOWEEKNUM(Table1[[#This Row],[Date]])</f>
        <v>50</v>
      </c>
      <c r="U1213" t="str">
        <f>TEXT(Table1[[#This Row],[Expected Business Month]],"YYYY")</f>
        <v>2024</v>
      </c>
    </row>
    <row r="1214" spans="1:21" ht="16.5" hidden="1" customHeight="1">
      <c r="A1214" s="1">
        <v>45637</v>
      </c>
      <c r="B1214" t="s">
        <v>324</v>
      </c>
      <c r="C1214" t="s">
        <v>96</v>
      </c>
      <c r="D1214" t="s">
        <v>64</v>
      </c>
      <c r="E1214" t="s">
        <v>38</v>
      </c>
      <c r="F1214" t="s">
        <v>325</v>
      </c>
      <c r="G1214" s="9" t="s">
        <v>2955</v>
      </c>
      <c r="H1214">
        <v>68000</v>
      </c>
      <c r="I1214">
        <v>68000</v>
      </c>
      <c r="J1214" s="21">
        <v>45627</v>
      </c>
      <c r="K1214" t="s">
        <v>99</v>
      </c>
      <c r="L1214" t="s">
        <v>68</v>
      </c>
      <c r="M1214" t="s">
        <v>69</v>
      </c>
      <c r="O1214">
        <v>0</v>
      </c>
      <c r="S1214" t="str">
        <f>TEXT(Table1[[#This Row],[Date]],"MMM-YY")</f>
        <v>Dec-24</v>
      </c>
      <c r="T1214">
        <f>_xlfn.ISOWEEKNUM(Table1[[#This Row],[Date]])</f>
        <v>50</v>
      </c>
      <c r="U1214" t="str">
        <f>TEXT(Table1[[#This Row],[Expected Business Month]],"YYYY")</f>
        <v>2024</v>
      </c>
    </row>
    <row r="1215" spans="1:21" hidden="1">
      <c r="A1215" s="1">
        <v>45637</v>
      </c>
      <c r="B1215" t="s">
        <v>3067</v>
      </c>
      <c r="C1215" t="s">
        <v>63</v>
      </c>
      <c r="D1215" t="s">
        <v>64</v>
      </c>
      <c r="E1215" t="s">
        <v>15</v>
      </c>
      <c r="F1215" t="s">
        <v>3075</v>
      </c>
      <c r="G1215" s="9" t="s">
        <v>3076</v>
      </c>
      <c r="H1215">
        <v>0</v>
      </c>
      <c r="I1215">
        <v>0</v>
      </c>
      <c r="J1215" s="21">
        <v>45627</v>
      </c>
      <c r="K1215" t="s">
        <v>67</v>
      </c>
      <c r="L1215" t="s">
        <v>9</v>
      </c>
      <c r="M1215" t="s">
        <v>9</v>
      </c>
      <c r="O1215">
        <v>0</v>
      </c>
      <c r="S1215" t="str">
        <f>TEXT(Table1[[#This Row],[Date]],"MMM-YY")</f>
        <v>Dec-24</v>
      </c>
      <c r="T1215">
        <f>_xlfn.ISOWEEKNUM(Table1[[#This Row],[Date]])</f>
        <v>50</v>
      </c>
      <c r="U1215" t="str">
        <f>TEXT(Table1[[#This Row],[Expected Business Month]],"YYYY")</f>
        <v>2024</v>
      </c>
    </row>
    <row r="1216" spans="1:21" hidden="1">
      <c r="A1216" s="1">
        <v>45638</v>
      </c>
      <c r="B1216" t="s">
        <v>456</v>
      </c>
      <c r="C1216" t="s">
        <v>63</v>
      </c>
      <c r="D1216" t="s">
        <v>64</v>
      </c>
      <c r="E1216" t="s">
        <v>15</v>
      </c>
      <c r="F1216" t="s">
        <v>1624</v>
      </c>
      <c r="G1216" s="9" t="s">
        <v>3077</v>
      </c>
      <c r="H1216">
        <v>700000</v>
      </c>
      <c r="I1216">
        <v>0</v>
      </c>
      <c r="J1216" s="21">
        <v>45627</v>
      </c>
      <c r="K1216" t="s">
        <v>67</v>
      </c>
      <c r="L1216" t="s">
        <v>9</v>
      </c>
      <c r="M1216" t="s">
        <v>9</v>
      </c>
      <c r="N1216" t="s">
        <v>831</v>
      </c>
      <c r="O1216">
        <v>0</v>
      </c>
      <c r="S1216" t="str">
        <f>TEXT(Table1[[#This Row],[Date]],"MMM-YY")</f>
        <v>Dec-24</v>
      </c>
      <c r="T1216">
        <f>_xlfn.ISOWEEKNUM(Table1[[#This Row],[Date]])</f>
        <v>50</v>
      </c>
      <c r="U1216" t="str">
        <f>TEXT(Table1[[#This Row],[Expected Business Month]],"YYYY")</f>
        <v>2024</v>
      </c>
    </row>
    <row r="1217" spans="1:21" hidden="1">
      <c r="A1217" s="1">
        <v>45638</v>
      </c>
      <c r="B1217" t="s">
        <v>3078</v>
      </c>
      <c r="C1217" t="s">
        <v>63</v>
      </c>
      <c r="D1217" t="s">
        <v>64</v>
      </c>
      <c r="E1217" t="s">
        <v>15</v>
      </c>
      <c r="F1217" t="s">
        <v>2384</v>
      </c>
      <c r="G1217" s="9" t="s">
        <v>3079</v>
      </c>
      <c r="H1217">
        <v>0</v>
      </c>
      <c r="I1217">
        <v>0</v>
      </c>
      <c r="J1217" s="21">
        <v>45627</v>
      </c>
      <c r="K1217" t="s">
        <v>67</v>
      </c>
      <c r="L1217" t="s">
        <v>68</v>
      </c>
      <c r="M1217" t="s">
        <v>69</v>
      </c>
      <c r="O1217">
        <v>0</v>
      </c>
      <c r="S1217" t="str">
        <f>TEXT(Table1[[#This Row],[Date]],"MMM-YY")</f>
        <v>Dec-24</v>
      </c>
      <c r="T1217">
        <f>_xlfn.ISOWEEKNUM(Table1[[#This Row],[Date]])</f>
        <v>50</v>
      </c>
      <c r="U1217" t="str">
        <f>TEXT(Table1[[#This Row],[Expected Business Month]],"YYYY")</f>
        <v>2024</v>
      </c>
    </row>
    <row r="1218" spans="1:21" hidden="1">
      <c r="A1218" s="1">
        <v>45639</v>
      </c>
      <c r="B1218" t="s">
        <v>3080</v>
      </c>
      <c r="C1218" t="s">
        <v>63</v>
      </c>
      <c r="D1218" t="s">
        <v>64</v>
      </c>
      <c r="E1218" t="s">
        <v>15</v>
      </c>
      <c r="F1218" t="s">
        <v>820</v>
      </c>
      <c r="G1218" s="9" t="s">
        <v>3081</v>
      </c>
      <c r="H1218">
        <v>200000</v>
      </c>
      <c r="I1218">
        <v>0</v>
      </c>
      <c r="J1218" s="21">
        <v>45627</v>
      </c>
      <c r="K1218" t="s">
        <v>67</v>
      </c>
      <c r="L1218" t="s">
        <v>9</v>
      </c>
      <c r="M1218" t="s">
        <v>9</v>
      </c>
      <c r="N1218" t="s">
        <v>3082</v>
      </c>
      <c r="O1218">
        <v>0</v>
      </c>
      <c r="S1218" t="str">
        <f>TEXT(Table1[[#This Row],[Date]],"MMM-YY")</f>
        <v>Dec-24</v>
      </c>
      <c r="T1218">
        <f>_xlfn.ISOWEEKNUM(Table1[[#This Row],[Date]])</f>
        <v>50</v>
      </c>
      <c r="U1218" t="str">
        <f>TEXT(Table1[[#This Row],[Expected Business Month]],"YYYY")</f>
        <v>2024</v>
      </c>
    </row>
    <row r="1219" spans="1:21" hidden="1">
      <c r="A1219" s="1">
        <v>45640</v>
      </c>
      <c r="B1219" t="s">
        <v>3083</v>
      </c>
      <c r="C1219" t="s">
        <v>63</v>
      </c>
      <c r="D1219" t="s">
        <v>64</v>
      </c>
      <c r="E1219" t="s">
        <v>37</v>
      </c>
      <c r="F1219" t="s">
        <v>3084</v>
      </c>
      <c r="G1219" s="9" t="s">
        <v>3085</v>
      </c>
      <c r="H1219">
        <v>20000</v>
      </c>
      <c r="I1219">
        <v>20000</v>
      </c>
      <c r="J1219" s="21">
        <v>45627</v>
      </c>
      <c r="K1219" t="s">
        <v>67</v>
      </c>
      <c r="L1219" t="s">
        <v>68</v>
      </c>
      <c r="M1219" t="s">
        <v>69</v>
      </c>
      <c r="O1219">
        <v>0</v>
      </c>
      <c r="S1219" t="str">
        <f>TEXT(Table1[[#This Row],[Date]],"MMM-YY")</f>
        <v>Dec-24</v>
      </c>
      <c r="T1219">
        <f>_xlfn.ISOWEEKNUM(Table1[[#This Row],[Date]])</f>
        <v>50</v>
      </c>
      <c r="U1219" t="str">
        <f>TEXT(Table1[[#This Row],[Expected Business Month]],"YYYY")</f>
        <v>2024</v>
      </c>
    </row>
    <row r="1220" spans="1:21" hidden="1">
      <c r="A1220" s="1">
        <v>45640</v>
      </c>
      <c r="B1220" t="s">
        <v>1389</v>
      </c>
      <c r="C1220" t="s">
        <v>96</v>
      </c>
      <c r="D1220" t="s">
        <v>20</v>
      </c>
      <c r="E1220" t="s">
        <v>23</v>
      </c>
      <c r="F1220" t="s">
        <v>3086</v>
      </c>
      <c r="G1220" s="9" t="s">
        <v>3087</v>
      </c>
      <c r="H1220">
        <v>8000</v>
      </c>
      <c r="I1220">
        <v>8000</v>
      </c>
      <c r="J1220" s="21">
        <v>45627</v>
      </c>
      <c r="K1220" t="s">
        <v>67</v>
      </c>
      <c r="L1220" t="s">
        <v>68</v>
      </c>
      <c r="M1220" t="s">
        <v>69</v>
      </c>
      <c r="O1220">
        <v>0</v>
      </c>
      <c r="S1220" t="str">
        <f>TEXT(Table1[[#This Row],[Date]],"MMM-YY")</f>
        <v>Dec-24</v>
      </c>
      <c r="T1220">
        <f>_xlfn.ISOWEEKNUM(Table1[[#This Row],[Date]])</f>
        <v>50</v>
      </c>
      <c r="U1220" t="str">
        <f>TEXT(Table1[[#This Row],[Expected Business Month]],"YYYY")</f>
        <v>2024</v>
      </c>
    </row>
    <row r="1221" spans="1:21" hidden="1">
      <c r="A1221" s="1">
        <v>45641</v>
      </c>
      <c r="B1221" t="s">
        <v>2972</v>
      </c>
      <c r="C1221" t="s">
        <v>96</v>
      </c>
      <c r="D1221" t="s">
        <v>64</v>
      </c>
      <c r="E1221" t="s">
        <v>19</v>
      </c>
      <c r="F1221" t="s">
        <v>2484</v>
      </c>
      <c r="G1221" s="9" t="s">
        <v>3088</v>
      </c>
      <c r="H1221">
        <v>89600</v>
      </c>
      <c r="I1221">
        <v>89600</v>
      </c>
      <c r="J1221" s="21">
        <v>45627</v>
      </c>
      <c r="K1221" t="s">
        <v>67</v>
      </c>
      <c r="L1221" t="s">
        <v>68</v>
      </c>
      <c r="M1221" t="s">
        <v>69</v>
      </c>
      <c r="O1221">
        <v>0</v>
      </c>
      <c r="S1221" t="str">
        <f>TEXT(Table1[[#This Row],[Date]],"MMM-YY")</f>
        <v>Dec-24</v>
      </c>
      <c r="T1221">
        <f>_xlfn.ISOWEEKNUM(Table1[[#This Row],[Date]])</f>
        <v>50</v>
      </c>
      <c r="U1221" t="str">
        <f>TEXT(Table1[[#This Row],[Expected Business Month]],"YYYY")</f>
        <v>2024</v>
      </c>
    </row>
    <row r="1222" spans="1:21" hidden="1">
      <c r="A1222" s="1">
        <v>45642</v>
      </c>
      <c r="B1222" t="s">
        <v>3089</v>
      </c>
      <c r="C1222" t="s">
        <v>63</v>
      </c>
      <c r="D1222" t="s">
        <v>64</v>
      </c>
      <c r="E1222" t="s">
        <v>26</v>
      </c>
      <c r="F1222" t="s">
        <v>1273</v>
      </c>
      <c r="G1222" s="9" t="s">
        <v>3090</v>
      </c>
      <c r="H1222">
        <v>15000</v>
      </c>
      <c r="I1222">
        <v>0</v>
      </c>
      <c r="J1222" s="21">
        <v>45627</v>
      </c>
      <c r="K1222" t="s">
        <v>67</v>
      </c>
      <c r="L1222" t="s">
        <v>9</v>
      </c>
      <c r="M1222" t="s">
        <v>9</v>
      </c>
      <c r="O1222">
        <v>0</v>
      </c>
      <c r="S1222" t="str">
        <f>TEXT(Table1[[#This Row],[Date]],"MMM-YY")</f>
        <v>Dec-24</v>
      </c>
      <c r="T1222">
        <f>_xlfn.ISOWEEKNUM(Table1[[#This Row],[Date]])</f>
        <v>51</v>
      </c>
      <c r="U1222" t="str">
        <f>TEXT(Table1[[#This Row],[Expected Business Month]],"YYYY")</f>
        <v>2024</v>
      </c>
    </row>
    <row r="1223" spans="1:21" hidden="1">
      <c r="A1223" s="1">
        <v>45642</v>
      </c>
      <c r="B1223" t="s">
        <v>3091</v>
      </c>
      <c r="C1223" t="s">
        <v>63</v>
      </c>
      <c r="D1223" t="s">
        <v>618</v>
      </c>
      <c r="E1223" t="s">
        <v>18</v>
      </c>
      <c r="F1223" t="s">
        <v>73</v>
      </c>
      <c r="G1223" s="9" t="s">
        <v>3092</v>
      </c>
      <c r="H1223">
        <v>50000</v>
      </c>
      <c r="I1223">
        <v>0</v>
      </c>
      <c r="J1223" s="21">
        <v>45627</v>
      </c>
      <c r="K1223" t="s">
        <v>67</v>
      </c>
      <c r="L1223" t="s">
        <v>9</v>
      </c>
      <c r="M1223" t="s">
        <v>9</v>
      </c>
      <c r="N1223" t="s">
        <v>3093</v>
      </c>
      <c r="O1223">
        <v>0</v>
      </c>
      <c r="S1223" t="str">
        <f>TEXT(Table1[[#This Row],[Date]],"MMM-YY")</f>
        <v>Dec-24</v>
      </c>
      <c r="T1223">
        <f>_xlfn.ISOWEEKNUM(Table1[[#This Row],[Date]])</f>
        <v>51</v>
      </c>
      <c r="U1223" t="str">
        <f>TEXT(Table1[[#This Row],[Expected Business Month]],"YYYY")</f>
        <v>2024</v>
      </c>
    </row>
    <row r="1224" spans="1:21" hidden="1">
      <c r="A1224" s="1">
        <v>45642</v>
      </c>
      <c r="B1224" t="s">
        <v>3094</v>
      </c>
      <c r="C1224" t="s">
        <v>96</v>
      </c>
      <c r="D1224" t="s">
        <v>20</v>
      </c>
      <c r="E1224" t="s">
        <v>38</v>
      </c>
      <c r="F1224" t="s">
        <v>3095</v>
      </c>
      <c r="G1224" s="9" t="s">
        <v>3096</v>
      </c>
      <c r="H1224">
        <v>15000</v>
      </c>
      <c r="I1224">
        <v>0</v>
      </c>
      <c r="J1224" s="21">
        <v>45627</v>
      </c>
      <c r="K1224" t="s">
        <v>67</v>
      </c>
      <c r="L1224" t="s">
        <v>9</v>
      </c>
      <c r="M1224" t="s">
        <v>9</v>
      </c>
      <c r="O1224">
        <v>0</v>
      </c>
      <c r="S1224" t="str">
        <f>TEXT(Table1[[#This Row],[Date]],"MMM-YY")</f>
        <v>Dec-24</v>
      </c>
      <c r="T1224">
        <f>_xlfn.ISOWEEKNUM(Table1[[#This Row],[Date]])</f>
        <v>51</v>
      </c>
      <c r="U1224" t="str">
        <f>TEXT(Table1[[#This Row],[Expected Business Month]],"YYYY")</f>
        <v>2024</v>
      </c>
    </row>
    <row r="1225" spans="1:21" hidden="1">
      <c r="A1225" s="1">
        <v>45643</v>
      </c>
      <c r="B1225" t="s">
        <v>3078</v>
      </c>
      <c r="C1225" t="s">
        <v>63</v>
      </c>
      <c r="D1225" t="s">
        <v>64</v>
      </c>
      <c r="E1225" t="s">
        <v>15</v>
      </c>
      <c r="F1225" t="s">
        <v>2384</v>
      </c>
      <c r="G1225" s="9" t="s">
        <v>3097</v>
      </c>
      <c r="H1225">
        <v>151500</v>
      </c>
      <c r="I1225">
        <v>151500</v>
      </c>
      <c r="J1225" s="21">
        <v>45627</v>
      </c>
      <c r="K1225" t="s">
        <v>67</v>
      </c>
      <c r="L1225" t="s">
        <v>68</v>
      </c>
      <c r="M1225" t="s">
        <v>69</v>
      </c>
      <c r="O1225">
        <v>0</v>
      </c>
      <c r="S1225" t="str">
        <f>TEXT(Table1[[#This Row],[Date]],"MMM-YY")</f>
        <v>Dec-24</v>
      </c>
      <c r="T1225">
        <f>_xlfn.ISOWEEKNUM(Table1[[#This Row],[Date]])</f>
        <v>51</v>
      </c>
      <c r="U1225" t="str">
        <f>TEXT(Table1[[#This Row],[Expected Business Month]],"YYYY")</f>
        <v>2024</v>
      </c>
    </row>
    <row r="1226" spans="1:21" hidden="1">
      <c r="A1226" s="1">
        <v>45643</v>
      </c>
      <c r="B1226" t="s">
        <v>2769</v>
      </c>
      <c r="C1226" t="s">
        <v>96</v>
      </c>
      <c r="D1226" t="s">
        <v>64</v>
      </c>
      <c r="E1226" t="s">
        <v>29</v>
      </c>
      <c r="F1226" t="s">
        <v>2779</v>
      </c>
      <c r="G1226" s="9" t="s">
        <v>3098</v>
      </c>
      <c r="H1226">
        <v>12000</v>
      </c>
      <c r="I1226">
        <v>0</v>
      </c>
      <c r="J1226" s="21">
        <v>45627</v>
      </c>
      <c r="K1226" t="s">
        <v>67</v>
      </c>
      <c r="L1226" t="s">
        <v>9</v>
      </c>
      <c r="M1226" t="s">
        <v>9</v>
      </c>
      <c r="N1226" t="s">
        <v>707</v>
      </c>
      <c r="O1226">
        <v>0</v>
      </c>
      <c r="S1226" t="str">
        <f>TEXT(Table1[[#This Row],[Date]],"MMM-YY")</f>
        <v>Dec-24</v>
      </c>
      <c r="T1226">
        <f>_xlfn.ISOWEEKNUM(Table1[[#This Row],[Date]])</f>
        <v>51</v>
      </c>
      <c r="U1226" t="str">
        <f>TEXT(Table1[[#This Row],[Expected Business Month]],"YYYY")</f>
        <v>2024</v>
      </c>
    </row>
    <row r="1227" spans="1:21" hidden="1">
      <c r="A1227" s="1">
        <v>45643</v>
      </c>
      <c r="B1227" t="s">
        <v>2342</v>
      </c>
      <c r="C1227" t="s">
        <v>63</v>
      </c>
      <c r="D1227" t="s">
        <v>64</v>
      </c>
      <c r="E1227" t="s">
        <v>29</v>
      </c>
      <c r="F1227" t="s">
        <v>3099</v>
      </c>
      <c r="G1227" s="9" t="s">
        <v>3100</v>
      </c>
      <c r="H1227">
        <v>0</v>
      </c>
      <c r="J1227" s="21">
        <v>45870</v>
      </c>
      <c r="K1227" t="s">
        <v>67</v>
      </c>
      <c r="L1227" t="s">
        <v>9</v>
      </c>
      <c r="M1227" t="s">
        <v>2878</v>
      </c>
      <c r="O1227">
        <v>0</v>
      </c>
      <c r="S1227" t="str">
        <f>TEXT(Table1[[#This Row],[Date]],"MMM-YY")</f>
        <v>Dec-24</v>
      </c>
      <c r="T1227">
        <f>_xlfn.ISOWEEKNUM(Table1[[#This Row],[Date]])</f>
        <v>51</v>
      </c>
      <c r="U1227" t="str">
        <f>TEXT(Table1[[#This Row],[Expected Business Month]],"YYYY")</f>
        <v>2025</v>
      </c>
    </row>
    <row r="1228" spans="1:21" hidden="1">
      <c r="A1228" s="1">
        <v>45644</v>
      </c>
      <c r="B1228" t="s">
        <v>3101</v>
      </c>
      <c r="C1228" t="s">
        <v>63</v>
      </c>
      <c r="D1228" t="s">
        <v>64</v>
      </c>
      <c r="E1228" t="s">
        <v>28</v>
      </c>
      <c r="F1228" t="s">
        <v>3102</v>
      </c>
      <c r="G1228" s="9" t="s">
        <v>1168</v>
      </c>
      <c r="H1228">
        <v>0</v>
      </c>
      <c r="I1228">
        <v>0</v>
      </c>
      <c r="J1228" s="21">
        <v>45689</v>
      </c>
      <c r="K1228" t="s">
        <v>67</v>
      </c>
      <c r="L1228" t="s">
        <v>9</v>
      </c>
      <c r="M1228" t="s">
        <v>9</v>
      </c>
      <c r="O1228">
        <v>0</v>
      </c>
      <c r="S1228" t="str">
        <f>TEXT(Table1[[#This Row],[Date]],"MMM-YY")</f>
        <v>Dec-24</v>
      </c>
      <c r="T1228">
        <f>_xlfn.ISOWEEKNUM(Table1[[#This Row],[Date]])</f>
        <v>51</v>
      </c>
      <c r="U1228" t="str">
        <f>TEXT(Table1[[#This Row],[Expected Business Month]],"YYYY")</f>
        <v>2025</v>
      </c>
    </row>
    <row r="1229" spans="1:21" hidden="1">
      <c r="A1229" s="1">
        <v>45644</v>
      </c>
      <c r="B1229" t="s">
        <v>3103</v>
      </c>
      <c r="C1229" t="s">
        <v>63</v>
      </c>
      <c r="D1229" t="s">
        <v>64</v>
      </c>
      <c r="E1229" t="s">
        <v>28</v>
      </c>
      <c r="F1229" t="s">
        <v>993</v>
      </c>
      <c r="G1229" s="9" t="s">
        <v>293</v>
      </c>
      <c r="H1229">
        <v>30000</v>
      </c>
      <c r="J1229" s="21">
        <v>45870</v>
      </c>
      <c r="K1229" t="s">
        <v>67</v>
      </c>
      <c r="L1229" t="s">
        <v>9</v>
      </c>
      <c r="M1229" t="s">
        <v>2878</v>
      </c>
      <c r="O1229">
        <v>0</v>
      </c>
      <c r="S1229" t="str">
        <f>TEXT(Table1[[#This Row],[Date]],"MMM-YY")</f>
        <v>Dec-24</v>
      </c>
      <c r="T1229">
        <f>_xlfn.ISOWEEKNUM(Table1[[#This Row],[Date]])</f>
        <v>51</v>
      </c>
      <c r="U1229" t="str">
        <f>TEXT(Table1[[#This Row],[Expected Business Month]],"YYYY")</f>
        <v>2025</v>
      </c>
    </row>
    <row r="1230" spans="1:21" hidden="1">
      <c r="A1230" s="1">
        <v>45644</v>
      </c>
      <c r="B1230" t="s">
        <v>3104</v>
      </c>
      <c r="C1230" t="s">
        <v>63</v>
      </c>
      <c r="D1230" t="s">
        <v>64</v>
      </c>
      <c r="E1230" t="s">
        <v>28</v>
      </c>
      <c r="F1230" t="s">
        <v>1186</v>
      </c>
      <c r="G1230" s="9" t="s">
        <v>2114</v>
      </c>
      <c r="H1230">
        <v>0</v>
      </c>
      <c r="I1230">
        <v>0</v>
      </c>
      <c r="J1230" s="21">
        <v>45689</v>
      </c>
      <c r="K1230" t="s">
        <v>67</v>
      </c>
      <c r="L1230" t="s">
        <v>9</v>
      </c>
      <c r="M1230" t="s">
        <v>9</v>
      </c>
      <c r="O1230">
        <v>0</v>
      </c>
      <c r="S1230" t="str">
        <f>TEXT(Table1[[#This Row],[Date]],"MMM-YY")</f>
        <v>Dec-24</v>
      </c>
      <c r="T1230">
        <f>_xlfn.ISOWEEKNUM(Table1[[#This Row],[Date]])</f>
        <v>51</v>
      </c>
      <c r="U1230" t="str">
        <f>TEXT(Table1[[#This Row],[Expected Business Month]],"YYYY")</f>
        <v>2025</v>
      </c>
    </row>
    <row r="1231" spans="1:21" hidden="1">
      <c r="A1231" s="1">
        <v>45645</v>
      </c>
      <c r="B1231" t="s">
        <v>3105</v>
      </c>
      <c r="C1231" t="s">
        <v>63</v>
      </c>
      <c r="D1231" t="s">
        <v>64</v>
      </c>
      <c r="E1231" t="s">
        <v>38</v>
      </c>
      <c r="F1231" t="s">
        <v>3095</v>
      </c>
      <c r="G1231" s="9" t="s">
        <v>3106</v>
      </c>
      <c r="H1231">
        <v>0</v>
      </c>
      <c r="I1231">
        <v>0</v>
      </c>
      <c r="J1231" s="21">
        <v>45627</v>
      </c>
      <c r="K1231" t="s">
        <v>67</v>
      </c>
      <c r="L1231" t="s">
        <v>68</v>
      </c>
      <c r="M1231" t="s">
        <v>69</v>
      </c>
      <c r="O1231">
        <v>0</v>
      </c>
      <c r="S1231" t="str">
        <f>TEXT(Table1[[#This Row],[Date]],"MMM-YY")</f>
        <v>Dec-24</v>
      </c>
      <c r="T1231">
        <f>_xlfn.ISOWEEKNUM(Table1[[#This Row],[Date]])</f>
        <v>51</v>
      </c>
      <c r="U1231" t="str">
        <f>TEXT(Table1[[#This Row],[Expected Business Month]],"YYYY")</f>
        <v>2024</v>
      </c>
    </row>
    <row r="1232" spans="1:21" hidden="1">
      <c r="A1232" s="1">
        <v>45645</v>
      </c>
      <c r="B1232" t="s">
        <v>3107</v>
      </c>
      <c r="C1232" t="s">
        <v>96</v>
      </c>
      <c r="D1232" t="s">
        <v>20</v>
      </c>
      <c r="E1232" t="s">
        <v>23</v>
      </c>
      <c r="F1232" t="s">
        <v>980</v>
      </c>
      <c r="G1232" s="9" t="s">
        <v>3108</v>
      </c>
      <c r="H1232">
        <v>12000</v>
      </c>
      <c r="I1232">
        <v>12000</v>
      </c>
      <c r="J1232" s="21">
        <v>45627</v>
      </c>
      <c r="K1232" t="s">
        <v>67</v>
      </c>
      <c r="L1232" t="s">
        <v>68</v>
      </c>
      <c r="M1232" t="s">
        <v>69</v>
      </c>
      <c r="O1232">
        <v>0</v>
      </c>
      <c r="S1232" t="str">
        <f>TEXT(Table1[[#This Row],[Date]],"MMM-YY")</f>
        <v>Dec-24</v>
      </c>
      <c r="T1232">
        <f>_xlfn.ISOWEEKNUM(Table1[[#This Row],[Date]])</f>
        <v>51</v>
      </c>
      <c r="U1232" t="str">
        <f>TEXT(Table1[[#This Row],[Expected Business Month]],"YYYY")</f>
        <v>2024</v>
      </c>
    </row>
    <row r="1233" spans="1:21" hidden="1">
      <c r="A1233" s="1">
        <v>45645</v>
      </c>
      <c r="B1233" t="s">
        <v>3109</v>
      </c>
      <c r="C1233" t="s">
        <v>96</v>
      </c>
      <c r="D1233" t="s">
        <v>64</v>
      </c>
      <c r="E1233" t="s">
        <v>38</v>
      </c>
      <c r="F1233" t="s">
        <v>3110</v>
      </c>
      <c r="G1233" s="9" t="s">
        <v>3111</v>
      </c>
      <c r="H1233">
        <v>50000</v>
      </c>
      <c r="I1233">
        <v>0</v>
      </c>
      <c r="J1233" s="21">
        <v>45689</v>
      </c>
      <c r="K1233" t="s">
        <v>67</v>
      </c>
      <c r="L1233" t="s">
        <v>9</v>
      </c>
      <c r="M1233" t="s">
        <v>9</v>
      </c>
      <c r="N1233" t="s">
        <v>707</v>
      </c>
      <c r="O1233">
        <v>0</v>
      </c>
      <c r="S1233" t="str">
        <f>TEXT(Table1[[#This Row],[Date]],"MMM-YY")</f>
        <v>Dec-24</v>
      </c>
      <c r="T1233">
        <f>_xlfn.ISOWEEKNUM(Table1[[#This Row],[Date]])</f>
        <v>51</v>
      </c>
      <c r="U1233" t="str">
        <f>TEXT(Table1[[#This Row],[Expected Business Month]],"YYYY")</f>
        <v>2025</v>
      </c>
    </row>
    <row r="1234" spans="1:21" hidden="1">
      <c r="A1234" s="1">
        <v>45646</v>
      </c>
      <c r="B1234" t="s">
        <v>3112</v>
      </c>
      <c r="C1234" t="s">
        <v>96</v>
      </c>
      <c r="D1234" t="s">
        <v>2751</v>
      </c>
      <c r="E1234" t="s">
        <v>32</v>
      </c>
      <c r="F1234" t="s">
        <v>1189</v>
      </c>
      <c r="G1234" s="9" t="s">
        <v>3113</v>
      </c>
      <c r="H1234">
        <v>30000</v>
      </c>
      <c r="I1234">
        <v>0</v>
      </c>
      <c r="J1234" s="21">
        <v>45627</v>
      </c>
      <c r="K1234" t="s">
        <v>67</v>
      </c>
      <c r="L1234" t="s">
        <v>9</v>
      </c>
      <c r="M1234" t="s">
        <v>9</v>
      </c>
      <c r="N1234" t="s">
        <v>3114</v>
      </c>
      <c r="O1234">
        <v>0</v>
      </c>
      <c r="S1234" t="str">
        <f>TEXT(Table1[[#This Row],[Date]],"MMM-YY")</f>
        <v>Dec-24</v>
      </c>
      <c r="T1234">
        <f>_xlfn.ISOWEEKNUM(Table1[[#This Row],[Date]])</f>
        <v>51</v>
      </c>
      <c r="U1234" t="str">
        <f>TEXT(Table1[[#This Row],[Expected Business Month]],"YYYY")</f>
        <v>2024</v>
      </c>
    </row>
    <row r="1235" spans="1:21" hidden="1">
      <c r="A1235" s="1">
        <v>45646</v>
      </c>
      <c r="B1235" t="s">
        <v>3105</v>
      </c>
      <c r="C1235" t="s">
        <v>63</v>
      </c>
      <c r="D1235" t="s">
        <v>64</v>
      </c>
      <c r="E1235" t="s">
        <v>38</v>
      </c>
      <c r="F1235" t="s">
        <v>3095</v>
      </c>
      <c r="G1235" s="9" t="s">
        <v>3115</v>
      </c>
      <c r="H1235">
        <v>800</v>
      </c>
      <c r="I1235">
        <v>800</v>
      </c>
      <c r="J1235" s="21">
        <v>45627</v>
      </c>
      <c r="K1235" t="s">
        <v>67</v>
      </c>
      <c r="L1235" t="s">
        <v>68</v>
      </c>
      <c r="M1235" t="s">
        <v>69</v>
      </c>
      <c r="O1235">
        <v>0</v>
      </c>
      <c r="S1235" t="str">
        <f>TEXT(Table1[[#This Row],[Date]],"MMM-YY")</f>
        <v>Dec-24</v>
      </c>
      <c r="T1235">
        <f>_xlfn.ISOWEEKNUM(Table1[[#This Row],[Date]])</f>
        <v>51</v>
      </c>
      <c r="U1235" t="str">
        <f>TEXT(Table1[[#This Row],[Expected Business Month]],"YYYY")</f>
        <v>2024</v>
      </c>
    </row>
    <row r="1236" spans="1:21" ht="29.1" hidden="1">
      <c r="A1236" s="1">
        <v>45646</v>
      </c>
      <c r="B1236" t="s">
        <v>2750</v>
      </c>
      <c r="C1236" t="s">
        <v>96</v>
      </c>
      <c r="D1236" t="s">
        <v>64</v>
      </c>
      <c r="E1236" t="s">
        <v>32</v>
      </c>
      <c r="F1236" t="s">
        <v>704</v>
      </c>
      <c r="G1236" s="9" t="s">
        <v>3116</v>
      </c>
      <c r="H1236">
        <v>16000</v>
      </c>
      <c r="I1236">
        <v>16000</v>
      </c>
      <c r="J1236" s="21">
        <v>45627</v>
      </c>
      <c r="K1236" t="s">
        <v>67</v>
      </c>
      <c r="L1236" t="s">
        <v>68</v>
      </c>
      <c r="M1236" t="s">
        <v>69</v>
      </c>
      <c r="O1236">
        <v>0</v>
      </c>
      <c r="S1236" t="str">
        <f>TEXT(Table1[[#This Row],[Date]],"MMM-YY")</f>
        <v>Dec-24</v>
      </c>
      <c r="T1236">
        <f>_xlfn.ISOWEEKNUM(Table1[[#This Row],[Date]])</f>
        <v>51</v>
      </c>
      <c r="U1236" t="str">
        <f>TEXT(Table1[[#This Row],[Expected Business Month]],"YYYY")</f>
        <v>2024</v>
      </c>
    </row>
    <row r="1237" spans="1:21" ht="15.75" hidden="1" customHeight="1">
      <c r="A1237" s="1">
        <v>45647</v>
      </c>
      <c r="B1237" t="s">
        <v>3117</v>
      </c>
      <c r="C1237" t="s">
        <v>63</v>
      </c>
      <c r="D1237" t="s">
        <v>105</v>
      </c>
      <c r="E1237" t="s">
        <v>18</v>
      </c>
      <c r="F1237" t="s">
        <v>3118</v>
      </c>
      <c r="G1237" s="9" t="s">
        <v>3119</v>
      </c>
      <c r="H1237">
        <v>0</v>
      </c>
      <c r="I1237">
        <v>0</v>
      </c>
      <c r="J1237" s="21">
        <v>45658</v>
      </c>
      <c r="K1237" t="s">
        <v>67</v>
      </c>
      <c r="L1237" t="s">
        <v>68</v>
      </c>
      <c r="M1237" t="s">
        <v>69</v>
      </c>
      <c r="O1237">
        <v>0</v>
      </c>
      <c r="S1237" t="str">
        <f>TEXT(Table1[[#This Row],[Date]],"MMM-YY")</f>
        <v>Dec-24</v>
      </c>
      <c r="T1237">
        <f>_xlfn.ISOWEEKNUM(Table1[[#This Row],[Date]])</f>
        <v>51</v>
      </c>
      <c r="U1237" t="str">
        <f>TEXT(Table1[[#This Row],[Expected Business Month]],"YYYY")</f>
        <v>2025</v>
      </c>
    </row>
    <row r="1238" spans="1:21" hidden="1">
      <c r="A1238" s="1">
        <v>45647</v>
      </c>
      <c r="B1238" t="s">
        <v>3120</v>
      </c>
      <c r="C1238" t="s">
        <v>96</v>
      </c>
      <c r="D1238" t="s">
        <v>64</v>
      </c>
      <c r="E1238" t="s">
        <v>37</v>
      </c>
      <c r="F1238" t="s">
        <v>3121</v>
      </c>
      <c r="G1238" s="9" t="s">
        <v>3122</v>
      </c>
      <c r="H1238">
        <v>12000</v>
      </c>
      <c r="I1238">
        <v>12000</v>
      </c>
      <c r="J1238" s="21">
        <v>45627</v>
      </c>
      <c r="K1238" t="s">
        <v>67</v>
      </c>
      <c r="L1238" t="s">
        <v>68</v>
      </c>
      <c r="M1238" t="s">
        <v>69</v>
      </c>
      <c r="O1238">
        <v>0</v>
      </c>
      <c r="S1238" t="str">
        <f>TEXT(Table1[[#This Row],[Date]],"MMM-YY")</f>
        <v>Dec-24</v>
      </c>
      <c r="T1238">
        <f>_xlfn.ISOWEEKNUM(Table1[[#This Row],[Date]])</f>
        <v>51</v>
      </c>
      <c r="U1238" t="str">
        <f>TEXT(Table1[[#This Row],[Expected Business Month]],"YYYY")</f>
        <v>2024</v>
      </c>
    </row>
    <row r="1239" spans="1:21" hidden="1">
      <c r="A1239" s="1">
        <v>45648</v>
      </c>
      <c r="B1239" t="s">
        <v>3123</v>
      </c>
      <c r="C1239" t="s">
        <v>96</v>
      </c>
      <c r="D1239" t="s">
        <v>64</v>
      </c>
      <c r="E1239" t="s">
        <v>38</v>
      </c>
      <c r="F1239" t="s">
        <v>133</v>
      </c>
      <c r="G1239" s="9" t="s">
        <v>3124</v>
      </c>
      <c r="H1239">
        <v>60000</v>
      </c>
      <c r="I1239">
        <v>60000</v>
      </c>
      <c r="J1239" s="21">
        <v>45627</v>
      </c>
      <c r="K1239" t="s">
        <v>67</v>
      </c>
      <c r="L1239" t="s">
        <v>68</v>
      </c>
      <c r="M1239" t="s">
        <v>69</v>
      </c>
      <c r="O1239">
        <v>0</v>
      </c>
      <c r="S1239" t="str">
        <f>TEXT(Table1[[#This Row],[Date]],"MMM-YY")</f>
        <v>Dec-24</v>
      </c>
      <c r="T1239">
        <f>_xlfn.ISOWEEKNUM(Table1[[#This Row],[Date]])</f>
        <v>51</v>
      </c>
      <c r="U1239" t="str">
        <f>TEXT(Table1[[#This Row],[Expected Business Month]],"YYYY")</f>
        <v>2024</v>
      </c>
    </row>
    <row r="1240" spans="1:21" hidden="1">
      <c r="A1240" s="1">
        <v>45648</v>
      </c>
      <c r="B1240" t="s">
        <v>3125</v>
      </c>
      <c r="C1240" t="s">
        <v>63</v>
      </c>
      <c r="D1240" t="s">
        <v>64</v>
      </c>
      <c r="E1240" t="s">
        <v>38</v>
      </c>
      <c r="F1240" t="s">
        <v>3126</v>
      </c>
      <c r="G1240" s="9" t="s">
        <v>3127</v>
      </c>
      <c r="H1240">
        <v>37000</v>
      </c>
      <c r="I1240">
        <v>37000</v>
      </c>
      <c r="J1240" s="21">
        <v>45627</v>
      </c>
      <c r="K1240" t="s">
        <v>67</v>
      </c>
      <c r="L1240" t="s">
        <v>68</v>
      </c>
      <c r="M1240" t="s">
        <v>69</v>
      </c>
      <c r="O1240">
        <v>0</v>
      </c>
      <c r="S1240" t="str">
        <f>TEXT(Table1[[#This Row],[Date]],"MMM-YY")</f>
        <v>Dec-24</v>
      </c>
      <c r="T1240">
        <f>_xlfn.ISOWEEKNUM(Table1[[#This Row],[Date]])</f>
        <v>51</v>
      </c>
      <c r="U1240" t="str">
        <f>TEXT(Table1[[#This Row],[Expected Business Month]],"YYYY")</f>
        <v>2024</v>
      </c>
    </row>
    <row r="1241" spans="1:21" hidden="1">
      <c r="A1241" s="1">
        <v>45649</v>
      </c>
      <c r="B1241" t="s">
        <v>3128</v>
      </c>
      <c r="C1241" t="s">
        <v>63</v>
      </c>
      <c r="D1241" t="s">
        <v>36</v>
      </c>
      <c r="E1241" t="s">
        <v>15</v>
      </c>
      <c r="F1241" t="s">
        <v>3129</v>
      </c>
      <c r="G1241" s="9" t="s">
        <v>3130</v>
      </c>
      <c r="H1241">
        <v>0</v>
      </c>
      <c r="I1241">
        <v>0</v>
      </c>
      <c r="J1241" s="21">
        <v>45627</v>
      </c>
      <c r="K1241" t="s">
        <v>67</v>
      </c>
      <c r="L1241" t="s">
        <v>68</v>
      </c>
      <c r="M1241" t="s">
        <v>69</v>
      </c>
      <c r="O1241">
        <v>0</v>
      </c>
      <c r="S1241" t="str">
        <f>TEXT(Table1[[#This Row],[Date]],"MMM-YY")</f>
        <v>Dec-24</v>
      </c>
      <c r="T1241">
        <f>_xlfn.ISOWEEKNUM(Table1[[#This Row],[Date]])</f>
        <v>52</v>
      </c>
      <c r="U1241" t="str">
        <f>TEXT(Table1[[#This Row],[Expected Business Month]],"YYYY")</f>
        <v>2024</v>
      </c>
    </row>
    <row r="1242" spans="1:21" hidden="1">
      <c r="A1242" s="1">
        <v>45649</v>
      </c>
      <c r="B1242" t="s">
        <v>1763</v>
      </c>
      <c r="C1242" t="s">
        <v>96</v>
      </c>
      <c r="D1242" t="s">
        <v>20</v>
      </c>
      <c r="E1242" t="s">
        <v>23</v>
      </c>
      <c r="F1242" t="s">
        <v>3131</v>
      </c>
      <c r="G1242" s="9" t="s">
        <v>3132</v>
      </c>
      <c r="H1242">
        <v>12000</v>
      </c>
      <c r="I1242">
        <v>12000</v>
      </c>
      <c r="J1242" s="21">
        <v>45627</v>
      </c>
      <c r="K1242" t="s">
        <v>67</v>
      </c>
      <c r="L1242" t="s">
        <v>68</v>
      </c>
      <c r="M1242" t="s">
        <v>69</v>
      </c>
      <c r="O1242">
        <v>0</v>
      </c>
      <c r="S1242" t="str">
        <f>TEXT(Table1[[#This Row],[Date]],"MMM-YY")</f>
        <v>Dec-24</v>
      </c>
      <c r="T1242">
        <f>_xlfn.ISOWEEKNUM(Table1[[#This Row],[Date]])</f>
        <v>52</v>
      </c>
      <c r="U1242" t="str">
        <f>TEXT(Table1[[#This Row],[Expected Business Month]],"YYYY")</f>
        <v>2024</v>
      </c>
    </row>
    <row r="1243" spans="1:21" hidden="1">
      <c r="A1243" s="1">
        <v>45649</v>
      </c>
      <c r="B1243" t="s">
        <v>3133</v>
      </c>
      <c r="C1243" t="s">
        <v>63</v>
      </c>
      <c r="D1243" t="s">
        <v>36</v>
      </c>
      <c r="E1243" t="s">
        <v>15</v>
      </c>
      <c r="F1243" t="s">
        <v>3134</v>
      </c>
      <c r="G1243" s="9" t="s">
        <v>3135</v>
      </c>
      <c r="H1243">
        <v>2000</v>
      </c>
      <c r="I1243">
        <v>2000</v>
      </c>
      <c r="J1243" s="21">
        <v>45627</v>
      </c>
      <c r="K1243" t="s">
        <v>67</v>
      </c>
      <c r="L1243" t="s">
        <v>68</v>
      </c>
      <c r="M1243" t="s">
        <v>69</v>
      </c>
      <c r="O1243">
        <v>0</v>
      </c>
      <c r="S1243" t="str">
        <f>TEXT(Table1[[#This Row],[Date]],"MMM-YY")</f>
        <v>Dec-24</v>
      </c>
      <c r="T1243">
        <f>_xlfn.ISOWEEKNUM(Table1[[#This Row],[Date]])</f>
        <v>52</v>
      </c>
      <c r="U1243" t="str">
        <f>TEXT(Table1[[#This Row],[Expected Business Month]],"YYYY")</f>
        <v>2024</v>
      </c>
    </row>
    <row r="1244" spans="1:21" hidden="1">
      <c r="A1244" s="1">
        <v>45651</v>
      </c>
      <c r="B1244" t="s">
        <v>3136</v>
      </c>
      <c r="C1244" t="s">
        <v>63</v>
      </c>
      <c r="D1244" t="s">
        <v>36</v>
      </c>
      <c r="E1244" t="s">
        <v>15</v>
      </c>
      <c r="F1244" t="s">
        <v>153</v>
      </c>
      <c r="G1244" s="9" t="s">
        <v>3137</v>
      </c>
      <c r="H1244">
        <v>12139</v>
      </c>
      <c r="I1244">
        <v>12139</v>
      </c>
      <c r="J1244" s="21">
        <v>45627</v>
      </c>
      <c r="K1244" t="s">
        <v>67</v>
      </c>
      <c r="L1244" t="s">
        <v>68</v>
      </c>
      <c r="M1244" t="s">
        <v>69</v>
      </c>
      <c r="O1244">
        <v>0</v>
      </c>
      <c r="S1244" t="str">
        <f>TEXT(Table1[[#This Row],[Date]],"MMM-YY")</f>
        <v>Dec-24</v>
      </c>
      <c r="T1244">
        <f>_xlfn.ISOWEEKNUM(Table1[[#This Row],[Date]])</f>
        <v>52</v>
      </c>
      <c r="U1244" t="str">
        <f>TEXT(Table1[[#This Row],[Expected Business Month]],"YYYY")</f>
        <v>2024</v>
      </c>
    </row>
    <row r="1245" spans="1:21" hidden="1">
      <c r="A1245" s="1">
        <v>45651</v>
      </c>
      <c r="B1245" t="s">
        <v>3128</v>
      </c>
      <c r="C1245" t="s">
        <v>63</v>
      </c>
      <c r="D1245" t="s">
        <v>36</v>
      </c>
      <c r="E1245" t="s">
        <v>15</v>
      </c>
      <c r="F1245" t="s">
        <v>3129</v>
      </c>
      <c r="G1245" s="9" t="s">
        <v>3138</v>
      </c>
      <c r="H1245">
        <v>3081646</v>
      </c>
      <c r="I1245">
        <v>3081646</v>
      </c>
      <c r="J1245" s="21">
        <v>45627</v>
      </c>
      <c r="K1245" t="s">
        <v>67</v>
      </c>
      <c r="L1245" t="s">
        <v>68</v>
      </c>
      <c r="M1245" t="s">
        <v>69</v>
      </c>
      <c r="O1245">
        <v>0</v>
      </c>
      <c r="S1245" t="str">
        <f>TEXT(Table1[[#This Row],[Date]],"MMM-YY")</f>
        <v>Dec-24</v>
      </c>
      <c r="T1245">
        <f>_xlfn.ISOWEEKNUM(Table1[[#This Row],[Date]])</f>
        <v>52</v>
      </c>
      <c r="U1245" t="str">
        <f>TEXT(Table1[[#This Row],[Expected Business Month]],"YYYY")</f>
        <v>2024</v>
      </c>
    </row>
    <row r="1246" spans="1:21" hidden="1">
      <c r="A1246" s="1">
        <v>45651</v>
      </c>
      <c r="B1246" t="s">
        <v>382</v>
      </c>
      <c r="C1246" t="s">
        <v>96</v>
      </c>
      <c r="D1246" t="s">
        <v>64</v>
      </c>
      <c r="E1246" t="s">
        <v>28</v>
      </c>
      <c r="F1246" t="s">
        <v>1707</v>
      </c>
      <c r="G1246" s="9" t="s">
        <v>3139</v>
      </c>
      <c r="H1246">
        <v>2800000</v>
      </c>
      <c r="I1246">
        <v>2800000</v>
      </c>
      <c r="J1246" s="21">
        <v>45658</v>
      </c>
      <c r="K1246" t="s">
        <v>67</v>
      </c>
      <c r="L1246" t="s">
        <v>68</v>
      </c>
      <c r="M1246" t="s">
        <v>69</v>
      </c>
      <c r="O1246">
        <v>0</v>
      </c>
      <c r="S1246" t="str">
        <f>TEXT(Table1[[#This Row],[Date]],"MMM-YY")</f>
        <v>Dec-24</v>
      </c>
      <c r="T1246">
        <f>_xlfn.ISOWEEKNUM(Table1[[#This Row],[Date]])</f>
        <v>52</v>
      </c>
      <c r="U1246" t="str">
        <f>TEXT(Table1[[#This Row],[Expected Business Month]],"YYYY")</f>
        <v>2025</v>
      </c>
    </row>
    <row r="1247" spans="1:21" hidden="1">
      <c r="A1247" s="1">
        <v>45652</v>
      </c>
      <c r="B1247" t="s">
        <v>3140</v>
      </c>
      <c r="C1247" t="s">
        <v>63</v>
      </c>
      <c r="D1247" t="s">
        <v>2027</v>
      </c>
      <c r="E1247" t="s">
        <v>26</v>
      </c>
      <c r="F1247" t="s">
        <v>1273</v>
      </c>
      <c r="G1247" s="9" t="s">
        <v>3141</v>
      </c>
      <c r="H1247">
        <v>15840</v>
      </c>
      <c r="I1247">
        <v>15840</v>
      </c>
      <c r="J1247" s="21">
        <v>45627</v>
      </c>
      <c r="K1247" t="s">
        <v>67</v>
      </c>
      <c r="L1247" t="s">
        <v>68</v>
      </c>
      <c r="M1247" t="s">
        <v>69</v>
      </c>
      <c r="O1247">
        <v>0</v>
      </c>
      <c r="S1247" t="str">
        <f>TEXT(Table1[[#This Row],[Date]],"MMM-YY")</f>
        <v>Dec-24</v>
      </c>
      <c r="T1247">
        <f>_xlfn.ISOWEEKNUM(Table1[[#This Row],[Date]])</f>
        <v>52</v>
      </c>
      <c r="U1247" t="str">
        <f>TEXT(Table1[[#This Row],[Expected Business Month]],"YYYY")</f>
        <v>2024</v>
      </c>
    </row>
    <row r="1248" spans="1:21" hidden="1">
      <c r="A1248" s="1">
        <v>45652</v>
      </c>
      <c r="B1248" t="s">
        <v>3142</v>
      </c>
      <c r="C1248" t="s">
        <v>63</v>
      </c>
      <c r="D1248" t="s">
        <v>2027</v>
      </c>
      <c r="E1248" t="s">
        <v>29</v>
      </c>
      <c r="F1248" t="s">
        <v>1853</v>
      </c>
      <c r="G1248" s="9" t="s">
        <v>3143</v>
      </c>
      <c r="H1248">
        <v>33000</v>
      </c>
      <c r="I1248">
        <v>33000</v>
      </c>
      <c r="J1248" s="21">
        <v>45627</v>
      </c>
      <c r="K1248" t="s">
        <v>67</v>
      </c>
      <c r="L1248" t="s">
        <v>68</v>
      </c>
      <c r="M1248" t="s">
        <v>69</v>
      </c>
      <c r="O1248">
        <v>0</v>
      </c>
      <c r="S1248" t="str">
        <f>TEXT(Table1[[#This Row],[Date]],"MMM-YY")</f>
        <v>Dec-24</v>
      </c>
      <c r="T1248">
        <f>_xlfn.ISOWEEKNUM(Table1[[#This Row],[Date]])</f>
        <v>52</v>
      </c>
      <c r="U1248" t="str">
        <f>TEXT(Table1[[#This Row],[Expected Business Month]],"YYYY")</f>
        <v>2024</v>
      </c>
    </row>
    <row r="1249" spans="1:21" hidden="1">
      <c r="A1249" s="1">
        <v>45652</v>
      </c>
      <c r="B1249" t="s">
        <v>3144</v>
      </c>
      <c r="C1249" t="s">
        <v>63</v>
      </c>
      <c r="D1249" t="s">
        <v>2027</v>
      </c>
      <c r="E1249" t="s">
        <v>29</v>
      </c>
      <c r="F1249" t="s">
        <v>73</v>
      </c>
      <c r="G1249" s="9" t="s">
        <v>3143</v>
      </c>
      <c r="H1249">
        <v>35000</v>
      </c>
      <c r="I1249">
        <v>0</v>
      </c>
      <c r="J1249" s="21">
        <v>45627</v>
      </c>
      <c r="K1249" t="s">
        <v>67</v>
      </c>
      <c r="L1249" t="s">
        <v>9</v>
      </c>
      <c r="M1249" t="s">
        <v>9</v>
      </c>
      <c r="N1249" t="s">
        <v>3145</v>
      </c>
      <c r="O1249">
        <v>0</v>
      </c>
      <c r="S1249" t="str">
        <f>TEXT(Table1[[#This Row],[Date]],"MMM-YY")</f>
        <v>Dec-24</v>
      </c>
      <c r="T1249">
        <f>_xlfn.ISOWEEKNUM(Table1[[#This Row],[Date]])</f>
        <v>52</v>
      </c>
      <c r="U1249" t="str">
        <f>TEXT(Table1[[#This Row],[Expected Business Month]],"YYYY")</f>
        <v>2024</v>
      </c>
    </row>
    <row r="1250" spans="1:21" hidden="1">
      <c r="A1250" s="1">
        <v>45652</v>
      </c>
      <c r="B1250" t="s">
        <v>3146</v>
      </c>
      <c r="C1250" t="s">
        <v>63</v>
      </c>
      <c r="D1250" t="s">
        <v>618</v>
      </c>
      <c r="E1250" t="s">
        <v>18</v>
      </c>
      <c r="F1250" t="s">
        <v>3147</v>
      </c>
      <c r="G1250" s="9" t="s">
        <v>3148</v>
      </c>
      <c r="H1250">
        <v>8000</v>
      </c>
      <c r="I1250">
        <v>8000</v>
      </c>
      <c r="J1250" s="21">
        <v>45627</v>
      </c>
      <c r="K1250" t="s">
        <v>67</v>
      </c>
      <c r="L1250" t="s">
        <v>68</v>
      </c>
      <c r="M1250" t="s">
        <v>69</v>
      </c>
      <c r="O1250">
        <v>0</v>
      </c>
      <c r="S1250" t="str">
        <f>TEXT(Table1[[#This Row],[Date]],"MMM-YY")</f>
        <v>Dec-24</v>
      </c>
      <c r="T1250">
        <f>_xlfn.ISOWEEKNUM(Table1[[#This Row],[Date]])</f>
        <v>52</v>
      </c>
      <c r="U1250" t="str">
        <f>TEXT(Table1[[#This Row],[Expected Business Month]],"YYYY")</f>
        <v>2024</v>
      </c>
    </row>
    <row r="1251" spans="1:21" hidden="1">
      <c r="A1251" s="1">
        <v>45652</v>
      </c>
      <c r="B1251" t="s">
        <v>3149</v>
      </c>
      <c r="C1251" t="s">
        <v>96</v>
      </c>
      <c r="D1251" t="s">
        <v>20</v>
      </c>
      <c r="E1251" t="s">
        <v>23</v>
      </c>
      <c r="F1251" t="s">
        <v>3150</v>
      </c>
      <c r="G1251" s="9" t="s">
        <v>3151</v>
      </c>
      <c r="H1251">
        <v>7900</v>
      </c>
      <c r="I1251">
        <v>7900</v>
      </c>
      <c r="J1251" s="21">
        <v>45627</v>
      </c>
      <c r="K1251" t="s">
        <v>67</v>
      </c>
      <c r="L1251" t="s">
        <v>68</v>
      </c>
      <c r="M1251" t="s">
        <v>69</v>
      </c>
      <c r="O1251">
        <v>0</v>
      </c>
      <c r="S1251" t="str">
        <f>TEXT(Table1[[#This Row],[Date]],"MMM-YY")</f>
        <v>Dec-24</v>
      </c>
      <c r="T1251">
        <f>_xlfn.ISOWEEKNUM(Table1[[#This Row],[Date]])</f>
        <v>52</v>
      </c>
      <c r="U1251" t="str">
        <f>TEXT(Table1[[#This Row],[Expected Business Month]],"YYYY")</f>
        <v>2024</v>
      </c>
    </row>
    <row r="1252" spans="1:21" hidden="1">
      <c r="A1252" s="1">
        <v>45652</v>
      </c>
      <c r="B1252" t="s">
        <v>3152</v>
      </c>
      <c r="C1252" t="s">
        <v>96</v>
      </c>
      <c r="D1252" t="s">
        <v>20</v>
      </c>
      <c r="E1252" t="s">
        <v>23</v>
      </c>
      <c r="F1252" t="s">
        <v>153</v>
      </c>
      <c r="G1252" s="9" t="s">
        <v>3153</v>
      </c>
      <c r="H1252">
        <v>16798</v>
      </c>
      <c r="I1252">
        <v>16798</v>
      </c>
      <c r="J1252" s="21">
        <v>45627</v>
      </c>
      <c r="K1252" t="s">
        <v>67</v>
      </c>
      <c r="L1252" t="s">
        <v>68</v>
      </c>
      <c r="M1252" t="s">
        <v>69</v>
      </c>
      <c r="O1252">
        <v>0</v>
      </c>
      <c r="S1252" t="str">
        <f>TEXT(Table1[[#This Row],[Date]],"MMM-YY")</f>
        <v>Dec-24</v>
      </c>
      <c r="T1252">
        <f>_xlfn.ISOWEEKNUM(Table1[[#This Row],[Date]])</f>
        <v>52</v>
      </c>
      <c r="U1252" t="str">
        <f>TEXT(Table1[[#This Row],[Expected Business Month]],"YYYY")</f>
        <v>2024</v>
      </c>
    </row>
    <row r="1253" spans="1:21" hidden="1">
      <c r="A1253" s="1">
        <v>45652</v>
      </c>
      <c r="B1253" t="s">
        <v>1389</v>
      </c>
      <c r="C1253" t="s">
        <v>96</v>
      </c>
      <c r="D1253" t="s">
        <v>20</v>
      </c>
      <c r="E1253" t="s">
        <v>23</v>
      </c>
      <c r="F1253" t="s">
        <v>1360</v>
      </c>
      <c r="G1253" s="9" t="s">
        <v>3151</v>
      </c>
      <c r="H1253">
        <v>8214</v>
      </c>
      <c r="I1253">
        <v>8214</v>
      </c>
      <c r="J1253" s="21">
        <v>45627</v>
      </c>
      <c r="K1253" t="s">
        <v>67</v>
      </c>
      <c r="L1253" t="s">
        <v>68</v>
      </c>
      <c r="M1253" t="s">
        <v>69</v>
      </c>
      <c r="O1253">
        <v>0</v>
      </c>
      <c r="S1253" t="str">
        <f>TEXT(Table1[[#This Row],[Date]],"MMM-YY")</f>
        <v>Dec-24</v>
      </c>
      <c r="T1253">
        <f>_xlfn.ISOWEEKNUM(Table1[[#This Row],[Date]])</f>
        <v>52</v>
      </c>
      <c r="U1253" t="str">
        <f>TEXT(Table1[[#This Row],[Expected Business Month]],"YYYY")</f>
        <v>2024</v>
      </c>
    </row>
    <row r="1254" spans="1:21" hidden="1">
      <c r="A1254" s="1">
        <v>45652</v>
      </c>
      <c r="B1254" t="s">
        <v>3154</v>
      </c>
      <c r="C1254" t="s">
        <v>96</v>
      </c>
      <c r="D1254" t="s">
        <v>20</v>
      </c>
      <c r="E1254" t="s">
        <v>23</v>
      </c>
      <c r="F1254" t="s">
        <v>1015</v>
      </c>
      <c r="G1254" s="9" t="s">
        <v>3155</v>
      </c>
      <c r="H1254">
        <v>7454</v>
      </c>
      <c r="I1254">
        <v>7454</v>
      </c>
      <c r="J1254" s="21">
        <v>45627</v>
      </c>
      <c r="K1254" t="s">
        <v>67</v>
      </c>
      <c r="L1254" t="s">
        <v>68</v>
      </c>
      <c r="M1254" t="s">
        <v>69</v>
      </c>
      <c r="O1254">
        <v>0</v>
      </c>
      <c r="S1254" t="str">
        <f>TEXT(Table1[[#This Row],[Date]],"MMM-YY")</f>
        <v>Dec-24</v>
      </c>
      <c r="T1254">
        <f>_xlfn.ISOWEEKNUM(Table1[[#This Row],[Date]])</f>
        <v>52</v>
      </c>
      <c r="U1254" t="str">
        <f>TEXT(Table1[[#This Row],[Expected Business Month]],"YYYY")</f>
        <v>2024</v>
      </c>
    </row>
    <row r="1255" spans="1:21" hidden="1">
      <c r="A1255" s="1">
        <v>45652</v>
      </c>
      <c r="B1255" t="s">
        <v>3156</v>
      </c>
      <c r="C1255" t="s">
        <v>96</v>
      </c>
      <c r="D1255" t="s">
        <v>20</v>
      </c>
      <c r="E1255" t="s">
        <v>23</v>
      </c>
      <c r="F1255" t="s">
        <v>3157</v>
      </c>
      <c r="G1255" s="9" t="s">
        <v>3158</v>
      </c>
      <c r="H1255">
        <v>4225</v>
      </c>
      <c r="I1255">
        <v>4225</v>
      </c>
      <c r="J1255" s="21">
        <v>45627</v>
      </c>
      <c r="K1255" t="s">
        <v>67</v>
      </c>
      <c r="L1255" t="s">
        <v>68</v>
      </c>
      <c r="M1255" t="s">
        <v>69</v>
      </c>
      <c r="O1255">
        <v>0</v>
      </c>
      <c r="S1255" t="str">
        <f>TEXT(Table1[[#This Row],[Date]],"MMM-YY")</f>
        <v>Dec-24</v>
      </c>
      <c r="T1255">
        <f>_xlfn.ISOWEEKNUM(Table1[[#This Row],[Date]])</f>
        <v>52</v>
      </c>
      <c r="U1255" t="str">
        <f>TEXT(Table1[[#This Row],[Expected Business Month]],"YYYY")</f>
        <v>2024</v>
      </c>
    </row>
    <row r="1256" spans="1:21" hidden="1">
      <c r="A1256" s="1">
        <v>45652</v>
      </c>
      <c r="B1256" t="s">
        <v>3159</v>
      </c>
      <c r="C1256" t="s">
        <v>96</v>
      </c>
      <c r="D1256" t="s">
        <v>20</v>
      </c>
      <c r="E1256" t="s">
        <v>23</v>
      </c>
      <c r="F1256" t="s">
        <v>3160</v>
      </c>
      <c r="G1256" s="9" t="s">
        <v>3161</v>
      </c>
      <c r="H1256">
        <v>17958</v>
      </c>
      <c r="I1256">
        <v>17958</v>
      </c>
      <c r="J1256" s="21">
        <v>45627</v>
      </c>
      <c r="K1256" t="s">
        <v>67</v>
      </c>
      <c r="L1256" t="s">
        <v>68</v>
      </c>
      <c r="M1256" t="s">
        <v>69</v>
      </c>
      <c r="O1256">
        <v>0</v>
      </c>
      <c r="S1256" t="str">
        <f>TEXT(Table1[[#This Row],[Date]],"MMM-YY")</f>
        <v>Dec-24</v>
      </c>
      <c r="T1256">
        <f>_xlfn.ISOWEEKNUM(Table1[[#This Row],[Date]])</f>
        <v>52</v>
      </c>
      <c r="U1256" t="str">
        <f>TEXT(Table1[[#This Row],[Expected Business Month]],"YYYY")</f>
        <v>2024</v>
      </c>
    </row>
    <row r="1257" spans="1:21" hidden="1">
      <c r="A1257" s="1">
        <v>45654</v>
      </c>
      <c r="B1257" t="s">
        <v>2769</v>
      </c>
      <c r="C1257" t="s">
        <v>96</v>
      </c>
      <c r="D1257" t="s">
        <v>64</v>
      </c>
      <c r="E1257" t="s">
        <v>29</v>
      </c>
      <c r="F1257" t="s">
        <v>2779</v>
      </c>
      <c r="G1257" s="9" t="s">
        <v>3162</v>
      </c>
      <c r="H1257">
        <v>5100</v>
      </c>
      <c r="I1257">
        <v>5100</v>
      </c>
      <c r="J1257" s="21">
        <v>45627</v>
      </c>
      <c r="K1257" t="s">
        <v>67</v>
      </c>
      <c r="L1257" t="s">
        <v>68</v>
      </c>
      <c r="M1257" t="s">
        <v>69</v>
      </c>
      <c r="O1257">
        <v>0</v>
      </c>
      <c r="S1257" t="str">
        <f>TEXT(Table1[[#This Row],[Date]],"MMM-YY")</f>
        <v>Dec-24</v>
      </c>
      <c r="T1257">
        <f>_xlfn.ISOWEEKNUM(Table1[[#This Row],[Date]])</f>
        <v>52</v>
      </c>
      <c r="U1257" t="str">
        <f>TEXT(Table1[[#This Row],[Expected Business Month]],"YYYY")</f>
        <v>2024</v>
      </c>
    </row>
    <row r="1258" spans="1:21" hidden="1">
      <c r="A1258" s="1">
        <v>45656</v>
      </c>
      <c r="B1258" t="s">
        <v>2795</v>
      </c>
      <c r="C1258" t="s">
        <v>96</v>
      </c>
      <c r="D1258" t="s">
        <v>20</v>
      </c>
      <c r="E1258" t="s">
        <v>23</v>
      </c>
      <c r="F1258" t="s">
        <v>3163</v>
      </c>
      <c r="G1258" s="9" t="s">
        <v>3164</v>
      </c>
      <c r="H1258">
        <v>38000</v>
      </c>
      <c r="I1258">
        <v>38000</v>
      </c>
      <c r="J1258" s="21">
        <v>45627</v>
      </c>
      <c r="K1258" t="s">
        <v>67</v>
      </c>
      <c r="L1258" t="s">
        <v>68</v>
      </c>
      <c r="M1258" t="s">
        <v>69</v>
      </c>
      <c r="O1258">
        <v>0</v>
      </c>
      <c r="S1258" t="str">
        <f>TEXT(Table1[[#This Row],[Date]],"MMM-YY")</f>
        <v>Dec-24</v>
      </c>
      <c r="T1258">
        <f>_xlfn.ISOWEEKNUM(Table1[[#This Row],[Date]])</f>
        <v>1</v>
      </c>
      <c r="U1258" t="str">
        <f>TEXT(Table1[[#This Row],[Expected Business Month]],"YYYY")</f>
        <v>2024</v>
      </c>
    </row>
    <row r="1259" spans="1:21" hidden="1">
      <c r="A1259" s="1">
        <v>45657</v>
      </c>
      <c r="B1259" t="s">
        <v>3165</v>
      </c>
      <c r="C1259" t="s">
        <v>96</v>
      </c>
      <c r="D1259" t="s">
        <v>20</v>
      </c>
      <c r="E1259" t="s">
        <v>23</v>
      </c>
      <c r="F1259" t="s">
        <v>214</v>
      </c>
      <c r="G1259" s="9" t="s">
        <v>3166</v>
      </c>
      <c r="H1259">
        <v>7162</v>
      </c>
      <c r="I1259">
        <v>7162</v>
      </c>
      <c r="J1259" s="21">
        <v>45627</v>
      </c>
      <c r="K1259" t="s">
        <v>67</v>
      </c>
      <c r="L1259" t="s">
        <v>68</v>
      </c>
      <c r="M1259" t="s">
        <v>69</v>
      </c>
      <c r="O1259">
        <v>0</v>
      </c>
      <c r="S1259" t="str">
        <f>TEXT(Table1[[#This Row],[Date]],"MMM-YY")</f>
        <v>Dec-24</v>
      </c>
      <c r="T1259">
        <f>_xlfn.ISOWEEKNUM(Table1[[#This Row],[Date]])</f>
        <v>1</v>
      </c>
      <c r="U1259" t="str">
        <f>TEXT(Table1[[#This Row],[Expected Business Month]],"YYYY")</f>
        <v>2024</v>
      </c>
    </row>
    <row r="1260" spans="1:21" hidden="1">
      <c r="A1260" s="1">
        <v>45657</v>
      </c>
      <c r="B1260" t="s">
        <v>3167</v>
      </c>
      <c r="C1260" t="s">
        <v>63</v>
      </c>
      <c r="D1260" t="s">
        <v>36</v>
      </c>
      <c r="E1260" t="s">
        <v>15</v>
      </c>
      <c r="F1260" t="s">
        <v>820</v>
      </c>
      <c r="G1260" s="9" t="s">
        <v>3168</v>
      </c>
      <c r="H1260">
        <v>563989</v>
      </c>
      <c r="I1260">
        <v>563989</v>
      </c>
      <c r="J1260" s="21">
        <v>45627</v>
      </c>
      <c r="K1260" t="s">
        <v>67</v>
      </c>
      <c r="L1260" t="s">
        <v>68</v>
      </c>
      <c r="M1260" t="s">
        <v>69</v>
      </c>
      <c r="O1260">
        <v>0</v>
      </c>
      <c r="S1260" t="str">
        <f>TEXT(Table1[[#This Row],[Date]],"MMM-YY")</f>
        <v>Dec-24</v>
      </c>
      <c r="T1260">
        <f>_xlfn.ISOWEEKNUM(Table1[[#This Row],[Date]])</f>
        <v>1</v>
      </c>
      <c r="U1260" t="str">
        <f>TEXT(Table1[[#This Row],[Expected Business Month]],"YYYY")</f>
        <v>2024</v>
      </c>
    </row>
    <row r="1261" spans="1:21" hidden="1">
      <c r="A1261" s="1">
        <v>37621</v>
      </c>
      <c r="B1261" t="s">
        <v>3169</v>
      </c>
      <c r="C1261" t="s">
        <v>63</v>
      </c>
      <c r="D1261" t="s">
        <v>20</v>
      </c>
      <c r="E1261" t="s">
        <v>37</v>
      </c>
      <c r="F1261" t="s">
        <v>3170</v>
      </c>
      <c r="G1261" s="9" t="s">
        <v>3143</v>
      </c>
      <c r="H1261">
        <v>21000</v>
      </c>
      <c r="I1261">
        <v>21000</v>
      </c>
      <c r="J1261" s="21">
        <v>45627</v>
      </c>
      <c r="K1261" t="s">
        <v>67</v>
      </c>
      <c r="L1261" t="s">
        <v>68</v>
      </c>
      <c r="M1261" t="s">
        <v>69</v>
      </c>
      <c r="O1261">
        <v>0</v>
      </c>
      <c r="S1261" t="str">
        <f>TEXT(Table1[[#This Row],[Date]],"MMM-YY")</f>
        <v>Dec-02</v>
      </c>
      <c r="T1261">
        <f>_xlfn.ISOWEEKNUM(Table1[[#This Row],[Date]])</f>
        <v>1</v>
      </c>
      <c r="U1261" t="str">
        <f>TEXT(Table1[[#This Row],[Expected Business Month]],"YYYY")</f>
        <v>2024</v>
      </c>
    </row>
    <row r="1262" spans="1:21" ht="29.1" hidden="1">
      <c r="A1262" s="1">
        <v>45292</v>
      </c>
      <c r="B1262" t="s">
        <v>2515</v>
      </c>
      <c r="C1262" t="s">
        <v>63</v>
      </c>
      <c r="D1262" t="s">
        <v>64</v>
      </c>
      <c r="E1262" t="s">
        <v>28</v>
      </c>
      <c r="F1262" t="s">
        <v>1048</v>
      </c>
      <c r="G1262" s="9" t="s">
        <v>3171</v>
      </c>
      <c r="H1262">
        <v>238000</v>
      </c>
      <c r="I1262">
        <v>238000</v>
      </c>
      <c r="J1262" s="21">
        <v>45658</v>
      </c>
      <c r="K1262" t="s">
        <v>67</v>
      </c>
      <c r="L1262" t="s">
        <v>68</v>
      </c>
      <c r="M1262" t="s">
        <v>69</v>
      </c>
      <c r="O1262">
        <v>0</v>
      </c>
      <c r="S1262" t="str">
        <f>TEXT(Table1[[#This Row],[Date]],"MMM-YY")</f>
        <v>Jan-24</v>
      </c>
      <c r="T1262">
        <f>_xlfn.ISOWEEKNUM(Table1[[#This Row],[Date]])</f>
        <v>1</v>
      </c>
      <c r="U1262" t="str">
        <f>TEXT(Table1[[#This Row],[Expected Business Month]],"YYYY")</f>
        <v>2025</v>
      </c>
    </row>
    <row r="1263" spans="1:21" hidden="1">
      <c r="A1263" s="1">
        <v>45658</v>
      </c>
      <c r="B1263" t="s">
        <v>3172</v>
      </c>
      <c r="C1263" t="s">
        <v>96</v>
      </c>
      <c r="D1263" t="s">
        <v>37</v>
      </c>
      <c r="E1263" t="s">
        <v>38</v>
      </c>
      <c r="F1263" t="s">
        <v>1630</v>
      </c>
      <c r="G1263" s="9" t="s">
        <v>3173</v>
      </c>
      <c r="H1263">
        <v>0</v>
      </c>
      <c r="I1263">
        <v>0</v>
      </c>
      <c r="J1263" s="21">
        <v>45689</v>
      </c>
      <c r="K1263" t="s">
        <v>67</v>
      </c>
      <c r="L1263" t="s">
        <v>68</v>
      </c>
      <c r="M1263" t="s">
        <v>69</v>
      </c>
      <c r="O1263">
        <v>0</v>
      </c>
      <c r="S1263" t="str">
        <f>TEXT(Table1[[#This Row],[Date]],"MMM-YY")</f>
        <v>Jan-25</v>
      </c>
      <c r="T1263">
        <f>_xlfn.ISOWEEKNUM(Table1[[#This Row],[Date]])</f>
        <v>1</v>
      </c>
      <c r="U1263" t="str">
        <f>TEXT(Table1[[#This Row],[Expected Business Month]],"YYYY")</f>
        <v>2025</v>
      </c>
    </row>
    <row r="1264" spans="1:21" hidden="1">
      <c r="A1264" s="1">
        <v>45658</v>
      </c>
      <c r="B1264" t="s">
        <v>3174</v>
      </c>
      <c r="C1264" t="s">
        <v>96</v>
      </c>
      <c r="D1264" t="s">
        <v>36</v>
      </c>
      <c r="E1264" t="s">
        <v>15</v>
      </c>
      <c r="F1264" t="s">
        <v>946</v>
      </c>
      <c r="G1264" s="9" t="s">
        <v>3175</v>
      </c>
      <c r="H1264">
        <v>7050</v>
      </c>
      <c r="I1264">
        <v>7050</v>
      </c>
      <c r="J1264" s="21">
        <v>45658</v>
      </c>
      <c r="K1264" t="s">
        <v>67</v>
      </c>
      <c r="L1264" t="s">
        <v>68</v>
      </c>
      <c r="M1264" t="s">
        <v>69</v>
      </c>
      <c r="O1264">
        <v>0</v>
      </c>
      <c r="S1264" t="str">
        <f>TEXT(Table1[[#This Row],[Date]],"MMM-YY")</f>
        <v>Jan-25</v>
      </c>
      <c r="T1264">
        <f>_xlfn.ISOWEEKNUM(Table1[[#This Row],[Date]])</f>
        <v>1</v>
      </c>
      <c r="U1264" t="str">
        <f>TEXT(Table1[[#This Row],[Expected Business Month]],"YYYY")</f>
        <v>2025</v>
      </c>
    </row>
    <row r="1265" spans="1:21" hidden="1">
      <c r="A1265" s="1">
        <v>45659</v>
      </c>
      <c r="B1265" t="s">
        <v>3176</v>
      </c>
      <c r="C1265" t="s">
        <v>63</v>
      </c>
      <c r="D1265" t="s">
        <v>37</v>
      </c>
      <c r="E1265" t="s">
        <v>38</v>
      </c>
      <c r="F1265" t="s">
        <v>3177</v>
      </c>
      <c r="G1265" s="9" t="s">
        <v>3178</v>
      </c>
      <c r="H1265">
        <v>0</v>
      </c>
      <c r="I1265">
        <v>0</v>
      </c>
      <c r="J1265" s="21">
        <v>45658</v>
      </c>
      <c r="K1265" t="s">
        <v>67</v>
      </c>
      <c r="L1265" t="s">
        <v>68</v>
      </c>
      <c r="M1265" t="s">
        <v>69</v>
      </c>
      <c r="O1265">
        <v>0</v>
      </c>
      <c r="S1265" t="str">
        <f>TEXT(Table1[[#This Row],[Date]],"MMM-YY")</f>
        <v>Jan-25</v>
      </c>
      <c r="T1265">
        <f>_xlfn.ISOWEEKNUM(Table1[[#This Row],[Date]])</f>
        <v>1</v>
      </c>
      <c r="U1265" t="str">
        <f>TEXT(Table1[[#This Row],[Expected Business Month]],"YYYY")</f>
        <v>2025</v>
      </c>
    </row>
    <row r="1266" spans="1:21" hidden="1">
      <c r="A1266" s="1">
        <v>45659</v>
      </c>
      <c r="B1266" t="s">
        <v>3179</v>
      </c>
      <c r="C1266" t="s">
        <v>63</v>
      </c>
      <c r="D1266" t="s">
        <v>64</v>
      </c>
      <c r="E1266" t="s">
        <v>28</v>
      </c>
      <c r="F1266" t="s">
        <v>3180</v>
      </c>
      <c r="G1266" s="9" t="s">
        <v>3181</v>
      </c>
      <c r="H1266">
        <v>0</v>
      </c>
      <c r="I1266">
        <v>0</v>
      </c>
      <c r="J1266" s="21">
        <v>45689</v>
      </c>
      <c r="K1266" t="s">
        <v>67</v>
      </c>
      <c r="L1266" t="s">
        <v>9</v>
      </c>
      <c r="M1266" t="s">
        <v>9</v>
      </c>
      <c r="N1266" t="s">
        <v>586</v>
      </c>
      <c r="O1266">
        <v>0</v>
      </c>
      <c r="S1266" t="str">
        <f>TEXT(Table1[[#This Row],[Date]],"MMM-YY")</f>
        <v>Jan-25</v>
      </c>
      <c r="T1266">
        <f>_xlfn.ISOWEEKNUM(Table1[[#This Row],[Date]])</f>
        <v>1</v>
      </c>
      <c r="U1266" t="str">
        <f>TEXT(Table1[[#This Row],[Expected Business Month]],"YYYY")</f>
        <v>2025</v>
      </c>
    </row>
    <row r="1267" spans="1:21" hidden="1">
      <c r="A1267" s="1">
        <v>45660</v>
      </c>
      <c r="B1267" t="s">
        <v>3176</v>
      </c>
      <c r="C1267" t="s">
        <v>63</v>
      </c>
      <c r="D1267" t="s">
        <v>64</v>
      </c>
      <c r="E1267" t="s">
        <v>37</v>
      </c>
      <c r="F1267" t="s">
        <v>1360</v>
      </c>
      <c r="G1267" s="9" t="s">
        <v>3182</v>
      </c>
      <c r="H1267">
        <v>12635</v>
      </c>
      <c r="I1267">
        <v>12635</v>
      </c>
      <c r="J1267" s="21">
        <v>45658</v>
      </c>
      <c r="K1267" t="s">
        <v>67</v>
      </c>
      <c r="L1267" t="s">
        <v>68</v>
      </c>
      <c r="M1267" t="s">
        <v>69</v>
      </c>
      <c r="O1267">
        <v>0</v>
      </c>
      <c r="S1267" t="str">
        <f>TEXT(Table1[[#This Row],[Date]],"MMM-YY")</f>
        <v>Jan-25</v>
      </c>
      <c r="T1267">
        <f>_xlfn.ISOWEEKNUM(Table1[[#This Row],[Date]])</f>
        <v>1</v>
      </c>
      <c r="U1267" t="str">
        <f>TEXT(Table1[[#This Row],[Expected Business Month]],"YYYY")</f>
        <v>2025</v>
      </c>
    </row>
    <row r="1268" spans="1:21" hidden="1">
      <c r="A1268" s="1">
        <v>45660</v>
      </c>
      <c r="B1268" t="s">
        <v>3183</v>
      </c>
      <c r="C1268" t="s">
        <v>96</v>
      </c>
      <c r="D1268" t="s">
        <v>20</v>
      </c>
      <c r="E1268" t="s">
        <v>23</v>
      </c>
      <c r="F1268" t="s">
        <v>3184</v>
      </c>
      <c r="G1268" s="9" t="s">
        <v>3185</v>
      </c>
      <c r="H1268">
        <v>31474</v>
      </c>
      <c r="I1268">
        <v>31474</v>
      </c>
      <c r="J1268" s="21">
        <v>45658</v>
      </c>
      <c r="K1268" t="s">
        <v>67</v>
      </c>
      <c r="L1268" t="s">
        <v>68</v>
      </c>
      <c r="M1268" t="s">
        <v>69</v>
      </c>
      <c r="O1268">
        <v>0</v>
      </c>
      <c r="S1268" t="str">
        <f>TEXT(Table1[[#This Row],[Date]],"MMM-YY")</f>
        <v>Jan-25</v>
      </c>
      <c r="T1268">
        <f>_xlfn.ISOWEEKNUM(Table1[[#This Row],[Date]])</f>
        <v>1</v>
      </c>
      <c r="U1268" t="str">
        <f>TEXT(Table1[[#This Row],[Expected Business Month]],"YYYY")</f>
        <v>2025</v>
      </c>
    </row>
    <row r="1269" spans="1:21" hidden="1">
      <c r="A1269" s="1">
        <v>45660</v>
      </c>
      <c r="B1269" t="s">
        <v>1763</v>
      </c>
      <c r="C1269" t="s">
        <v>96</v>
      </c>
      <c r="D1269" t="s">
        <v>20</v>
      </c>
      <c r="E1269" t="s">
        <v>23</v>
      </c>
      <c r="F1269" t="s">
        <v>214</v>
      </c>
      <c r="G1269" s="9" t="s">
        <v>3186</v>
      </c>
      <c r="H1269">
        <v>11900</v>
      </c>
      <c r="I1269">
        <v>11900</v>
      </c>
      <c r="J1269" s="21">
        <v>45658</v>
      </c>
      <c r="K1269" t="s">
        <v>67</v>
      </c>
      <c r="L1269" t="s">
        <v>68</v>
      </c>
      <c r="M1269" t="s">
        <v>69</v>
      </c>
      <c r="O1269">
        <v>0</v>
      </c>
      <c r="S1269" t="str">
        <f>TEXT(Table1[[#This Row],[Date]],"MMM-YY")</f>
        <v>Jan-25</v>
      </c>
      <c r="T1269">
        <f>_xlfn.ISOWEEKNUM(Table1[[#This Row],[Date]])</f>
        <v>1</v>
      </c>
      <c r="U1269" t="str">
        <f>TEXT(Table1[[#This Row],[Expected Business Month]],"YYYY")</f>
        <v>2025</v>
      </c>
    </row>
    <row r="1270" spans="1:21" hidden="1">
      <c r="A1270" s="1">
        <v>45660</v>
      </c>
      <c r="B1270" t="s">
        <v>3187</v>
      </c>
      <c r="C1270" t="s">
        <v>96</v>
      </c>
      <c r="D1270" t="s">
        <v>20</v>
      </c>
      <c r="E1270" t="s">
        <v>23</v>
      </c>
      <c r="F1270" t="s">
        <v>3188</v>
      </c>
      <c r="G1270" s="9" t="s">
        <v>3189</v>
      </c>
      <c r="H1270">
        <v>6150</v>
      </c>
      <c r="I1270">
        <v>6150</v>
      </c>
      <c r="J1270" s="21">
        <v>45658</v>
      </c>
      <c r="K1270" t="s">
        <v>67</v>
      </c>
      <c r="L1270" t="s">
        <v>68</v>
      </c>
      <c r="M1270" t="s">
        <v>69</v>
      </c>
      <c r="O1270">
        <v>0</v>
      </c>
      <c r="S1270" t="str">
        <f>TEXT(Table1[[#This Row],[Date]],"MMM-YY")</f>
        <v>Jan-25</v>
      </c>
      <c r="T1270">
        <f>_xlfn.ISOWEEKNUM(Table1[[#This Row],[Date]])</f>
        <v>1</v>
      </c>
      <c r="U1270" t="str">
        <f>TEXT(Table1[[#This Row],[Expected Business Month]],"YYYY")</f>
        <v>2025</v>
      </c>
    </row>
    <row r="1271" spans="1:21" hidden="1">
      <c r="A1271" s="1">
        <v>45661</v>
      </c>
      <c r="B1271" t="s">
        <v>3176</v>
      </c>
      <c r="C1271" t="s">
        <v>63</v>
      </c>
      <c r="D1271" t="s">
        <v>64</v>
      </c>
      <c r="E1271" t="s">
        <v>37</v>
      </c>
      <c r="F1271" t="s">
        <v>1360</v>
      </c>
      <c r="G1271" s="9" t="s">
        <v>3182</v>
      </c>
      <c r="H1271">
        <v>31515</v>
      </c>
      <c r="I1271">
        <v>31515</v>
      </c>
      <c r="J1271" s="21">
        <v>45658</v>
      </c>
      <c r="K1271" t="s">
        <v>67</v>
      </c>
      <c r="L1271" t="s">
        <v>68</v>
      </c>
      <c r="M1271" t="s">
        <v>69</v>
      </c>
      <c r="O1271">
        <v>0</v>
      </c>
      <c r="S1271" t="str">
        <f>TEXT(Table1[[#This Row],[Date]],"MMM-YY")</f>
        <v>Jan-25</v>
      </c>
      <c r="T1271">
        <f>_xlfn.ISOWEEKNUM(Table1[[#This Row],[Date]])</f>
        <v>1</v>
      </c>
      <c r="U1271" t="str">
        <f>TEXT(Table1[[#This Row],[Expected Business Month]],"YYYY")</f>
        <v>2025</v>
      </c>
    </row>
    <row r="1272" spans="1:21" hidden="1">
      <c r="A1272" s="1">
        <v>45661</v>
      </c>
      <c r="B1272" t="s">
        <v>213</v>
      </c>
      <c r="C1272" t="s">
        <v>96</v>
      </c>
      <c r="D1272" t="s">
        <v>20</v>
      </c>
      <c r="E1272" t="s">
        <v>23</v>
      </c>
      <c r="F1272" t="s">
        <v>238</v>
      </c>
      <c r="G1272" s="9" t="s">
        <v>3190</v>
      </c>
      <c r="H1272">
        <v>20313</v>
      </c>
      <c r="I1272">
        <v>20313</v>
      </c>
      <c r="J1272" s="21">
        <v>45658</v>
      </c>
      <c r="K1272" t="s">
        <v>67</v>
      </c>
      <c r="L1272" t="s">
        <v>68</v>
      </c>
      <c r="M1272" t="s">
        <v>69</v>
      </c>
      <c r="O1272">
        <v>0</v>
      </c>
      <c r="S1272" t="str">
        <f>TEXT(Table1[[#This Row],[Date]],"MMM-YY")</f>
        <v>Jan-25</v>
      </c>
      <c r="T1272">
        <f>_xlfn.ISOWEEKNUM(Table1[[#This Row],[Date]])</f>
        <v>1</v>
      </c>
      <c r="U1272" t="str">
        <f>TEXT(Table1[[#This Row],[Expected Business Month]],"YYYY")</f>
        <v>2025</v>
      </c>
    </row>
    <row r="1273" spans="1:21" hidden="1">
      <c r="A1273" s="1">
        <v>45662</v>
      </c>
      <c r="B1273" t="s">
        <v>3191</v>
      </c>
      <c r="C1273" t="s">
        <v>96</v>
      </c>
      <c r="D1273" t="s">
        <v>20</v>
      </c>
      <c r="E1273" t="s">
        <v>23</v>
      </c>
      <c r="F1273" t="s">
        <v>704</v>
      </c>
      <c r="G1273" s="9" t="s">
        <v>3192</v>
      </c>
      <c r="H1273">
        <v>10540</v>
      </c>
      <c r="I1273">
        <v>10540</v>
      </c>
      <c r="J1273" s="21">
        <v>45658</v>
      </c>
      <c r="K1273" t="s">
        <v>67</v>
      </c>
      <c r="L1273" t="s">
        <v>68</v>
      </c>
      <c r="M1273" t="s">
        <v>69</v>
      </c>
      <c r="O1273">
        <v>0</v>
      </c>
      <c r="S1273" t="str">
        <f>TEXT(Table1[[#This Row],[Date]],"MMM-YY")</f>
        <v>Jan-25</v>
      </c>
      <c r="T1273">
        <f>_xlfn.ISOWEEKNUM(Table1[[#This Row],[Date]])</f>
        <v>1</v>
      </c>
      <c r="U1273" t="str">
        <f>TEXT(Table1[[#This Row],[Expected Business Month]],"YYYY")</f>
        <v>2025</v>
      </c>
    </row>
    <row r="1274" spans="1:21" hidden="1">
      <c r="A1274" s="1">
        <v>45662</v>
      </c>
      <c r="B1274" t="s">
        <v>3176</v>
      </c>
      <c r="C1274" t="s">
        <v>63</v>
      </c>
      <c r="D1274" t="s">
        <v>64</v>
      </c>
      <c r="E1274" t="s">
        <v>37</v>
      </c>
      <c r="F1274" t="s">
        <v>1360</v>
      </c>
      <c r="G1274" s="9" t="s">
        <v>3193</v>
      </c>
      <c r="H1274">
        <v>48836</v>
      </c>
      <c r="I1274">
        <v>48836</v>
      </c>
      <c r="J1274" s="21">
        <v>45658</v>
      </c>
      <c r="K1274" t="s">
        <v>67</v>
      </c>
      <c r="L1274" t="s">
        <v>68</v>
      </c>
      <c r="M1274" t="s">
        <v>69</v>
      </c>
      <c r="O1274">
        <v>0</v>
      </c>
      <c r="S1274" t="str">
        <f>TEXT(Table1[[#This Row],[Date]],"MMM-YY")</f>
        <v>Jan-25</v>
      </c>
      <c r="T1274">
        <f>_xlfn.ISOWEEKNUM(Table1[[#This Row],[Date]])</f>
        <v>1</v>
      </c>
      <c r="U1274" t="str">
        <f>TEXT(Table1[[#This Row],[Expected Business Month]],"YYYY")</f>
        <v>2025</v>
      </c>
    </row>
    <row r="1275" spans="1:21" hidden="1">
      <c r="A1275" s="1">
        <v>45663</v>
      </c>
      <c r="B1275" t="s">
        <v>3176</v>
      </c>
      <c r="C1275" t="s">
        <v>63</v>
      </c>
      <c r="D1275" t="s">
        <v>64</v>
      </c>
      <c r="E1275" t="s">
        <v>37</v>
      </c>
      <c r="F1275" t="s">
        <v>1360</v>
      </c>
      <c r="G1275" s="9" t="s">
        <v>3194</v>
      </c>
      <c r="H1275">
        <v>15506</v>
      </c>
      <c r="I1275">
        <v>15506</v>
      </c>
      <c r="J1275" s="21">
        <v>45658</v>
      </c>
      <c r="K1275" t="s">
        <v>67</v>
      </c>
      <c r="L1275" t="s">
        <v>68</v>
      </c>
      <c r="M1275" t="s">
        <v>69</v>
      </c>
      <c r="O1275">
        <v>0</v>
      </c>
      <c r="S1275" t="str">
        <f>TEXT(Table1[[#This Row],[Date]],"MMM-YY")</f>
        <v>Jan-25</v>
      </c>
      <c r="T1275">
        <f>_xlfn.ISOWEEKNUM(Table1[[#This Row],[Date]])</f>
        <v>2</v>
      </c>
      <c r="U1275" t="str">
        <f>TEXT(Table1[[#This Row],[Expected Business Month]],"YYYY")</f>
        <v>2025</v>
      </c>
    </row>
    <row r="1276" spans="1:21" ht="29.1" hidden="1">
      <c r="A1276" s="1">
        <v>45663</v>
      </c>
      <c r="B1276" t="s">
        <v>3195</v>
      </c>
      <c r="C1276" t="s">
        <v>63</v>
      </c>
      <c r="D1276" t="s">
        <v>64</v>
      </c>
      <c r="E1276" t="s">
        <v>32</v>
      </c>
      <c r="F1276" t="s">
        <v>2752</v>
      </c>
      <c r="G1276" s="9" t="s">
        <v>3196</v>
      </c>
      <c r="H1276">
        <v>13819</v>
      </c>
      <c r="I1276">
        <v>13819</v>
      </c>
      <c r="J1276" s="21">
        <v>45658</v>
      </c>
      <c r="K1276" t="s">
        <v>67</v>
      </c>
      <c r="L1276" t="s">
        <v>68</v>
      </c>
      <c r="M1276" t="s">
        <v>69</v>
      </c>
      <c r="O1276">
        <v>0</v>
      </c>
      <c r="S1276" t="str">
        <f>TEXT(Table1[[#This Row],[Date]],"MMM-YY")</f>
        <v>Jan-25</v>
      </c>
      <c r="T1276">
        <f>_xlfn.ISOWEEKNUM(Table1[[#This Row],[Date]])</f>
        <v>2</v>
      </c>
      <c r="U1276" t="str">
        <f>TEXT(Table1[[#This Row],[Expected Business Month]],"YYYY")</f>
        <v>2025</v>
      </c>
    </row>
    <row r="1277" spans="1:21" hidden="1">
      <c r="A1277" s="1">
        <v>45663</v>
      </c>
      <c r="B1277" t="s">
        <v>3197</v>
      </c>
      <c r="C1277" t="s">
        <v>96</v>
      </c>
      <c r="D1277" t="s">
        <v>64</v>
      </c>
      <c r="E1277" t="s">
        <v>32</v>
      </c>
      <c r="F1277" t="s">
        <v>3198</v>
      </c>
      <c r="G1277" s="9" t="s">
        <v>3199</v>
      </c>
      <c r="H1277">
        <v>11065</v>
      </c>
      <c r="I1277">
        <v>11065</v>
      </c>
      <c r="J1277" s="21">
        <v>45658</v>
      </c>
      <c r="K1277" t="s">
        <v>67</v>
      </c>
      <c r="L1277" t="s">
        <v>68</v>
      </c>
      <c r="M1277" t="s">
        <v>69</v>
      </c>
      <c r="O1277">
        <v>0</v>
      </c>
      <c r="S1277" t="str">
        <f>TEXT(Table1[[#This Row],[Date]],"MMM-YY")</f>
        <v>Jan-25</v>
      </c>
      <c r="T1277">
        <f>_xlfn.ISOWEEKNUM(Table1[[#This Row],[Date]])</f>
        <v>2</v>
      </c>
      <c r="U1277" t="str">
        <f>TEXT(Table1[[#This Row],[Expected Business Month]],"YYYY")</f>
        <v>2025</v>
      </c>
    </row>
    <row r="1278" spans="1:21" hidden="1">
      <c r="A1278" s="1">
        <v>45664</v>
      </c>
      <c r="B1278" t="s">
        <v>3200</v>
      </c>
      <c r="C1278" t="s">
        <v>96</v>
      </c>
      <c r="D1278" t="s">
        <v>64</v>
      </c>
      <c r="E1278" t="s">
        <v>3201</v>
      </c>
      <c r="F1278" t="s">
        <v>299</v>
      </c>
      <c r="G1278" s="9" t="s">
        <v>3202</v>
      </c>
      <c r="H1278">
        <v>7000</v>
      </c>
      <c r="I1278">
        <v>7000</v>
      </c>
      <c r="J1278" s="21">
        <v>45658</v>
      </c>
      <c r="K1278" t="s">
        <v>67</v>
      </c>
      <c r="L1278" t="s">
        <v>68</v>
      </c>
      <c r="M1278" t="s">
        <v>69</v>
      </c>
      <c r="O1278">
        <v>0</v>
      </c>
      <c r="S1278" t="str">
        <f>TEXT(Table1[[#This Row],[Date]],"MMM-YY")</f>
        <v>Jan-25</v>
      </c>
      <c r="T1278">
        <f>_xlfn.ISOWEEKNUM(Table1[[#This Row],[Date]])</f>
        <v>2</v>
      </c>
      <c r="U1278" t="str">
        <f>TEXT(Table1[[#This Row],[Expected Business Month]],"YYYY")</f>
        <v>2025</v>
      </c>
    </row>
    <row r="1279" spans="1:21" hidden="1">
      <c r="A1279" s="1">
        <v>45664</v>
      </c>
      <c r="B1279" t="s">
        <v>3176</v>
      </c>
      <c r="C1279" t="s">
        <v>63</v>
      </c>
      <c r="D1279" t="s">
        <v>64</v>
      </c>
      <c r="E1279" t="s">
        <v>37</v>
      </c>
      <c r="F1279" t="s">
        <v>1360</v>
      </c>
      <c r="G1279" s="9" t="s">
        <v>3203</v>
      </c>
      <c r="H1279">
        <v>20106</v>
      </c>
      <c r="I1279">
        <v>20106</v>
      </c>
      <c r="J1279" s="21">
        <v>45658</v>
      </c>
      <c r="K1279" t="s">
        <v>67</v>
      </c>
      <c r="L1279" t="s">
        <v>68</v>
      </c>
      <c r="M1279" t="s">
        <v>69</v>
      </c>
      <c r="O1279">
        <v>0</v>
      </c>
      <c r="S1279" t="str">
        <f>TEXT(Table1[[#This Row],[Date]],"MMM-YY")</f>
        <v>Jan-25</v>
      </c>
      <c r="T1279">
        <f>_xlfn.ISOWEEKNUM(Table1[[#This Row],[Date]])</f>
        <v>2</v>
      </c>
      <c r="U1279" t="str">
        <f>TEXT(Table1[[#This Row],[Expected Business Month]],"YYYY")</f>
        <v>2025</v>
      </c>
    </row>
    <row r="1280" spans="1:21" hidden="1">
      <c r="A1280" s="1">
        <v>45665</v>
      </c>
      <c r="B1280" t="s">
        <v>3176</v>
      </c>
      <c r="C1280" t="s">
        <v>63</v>
      </c>
      <c r="D1280" t="s">
        <v>64</v>
      </c>
      <c r="E1280" t="s">
        <v>37</v>
      </c>
      <c r="F1280" t="s">
        <v>1360</v>
      </c>
      <c r="G1280" s="9" t="s">
        <v>3204</v>
      </c>
      <c r="H1280">
        <v>10845</v>
      </c>
      <c r="I1280">
        <v>10845</v>
      </c>
      <c r="J1280" s="21">
        <v>45658</v>
      </c>
      <c r="K1280" t="s">
        <v>67</v>
      </c>
      <c r="L1280" t="s">
        <v>68</v>
      </c>
      <c r="M1280" t="s">
        <v>69</v>
      </c>
      <c r="O1280">
        <v>0</v>
      </c>
      <c r="S1280" t="str">
        <f>TEXT(Table1[[#This Row],[Date]],"MMM-YY")</f>
        <v>Jan-25</v>
      </c>
      <c r="T1280">
        <f>_xlfn.ISOWEEKNUM(Table1[[#This Row],[Date]])</f>
        <v>2</v>
      </c>
      <c r="U1280" t="str">
        <f>TEXT(Table1[[#This Row],[Expected Business Month]],"YYYY")</f>
        <v>2025</v>
      </c>
    </row>
    <row r="1281" spans="1:21" hidden="1">
      <c r="A1281" s="1">
        <v>45665</v>
      </c>
      <c r="B1281" t="s">
        <v>95</v>
      </c>
      <c r="C1281" t="s">
        <v>96</v>
      </c>
      <c r="D1281" t="s">
        <v>64</v>
      </c>
      <c r="E1281" t="s">
        <v>38</v>
      </c>
      <c r="F1281" t="s">
        <v>97</v>
      </c>
      <c r="G1281" s="9" t="s">
        <v>3205</v>
      </c>
      <c r="H1281">
        <v>39236</v>
      </c>
      <c r="I1281">
        <v>39236</v>
      </c>
      <c r="J1281" s="21">
        <v>45658</v>
      </c>
      <c r="K1281" t="s">
        <v>99</v>
      </c>
      <c r="L1281" t="s">
        <v>68</v>
      </c>
      <c r="M1281" t="s">
        <v>69</v>
      </c>
      <c r="O1281">
        <v>0</v>
      </c>
      <c r="S1281" t="str">
        <f>TEXT(Table1[[#This Row],[Date]],"MMM-YY")</f>
        <v>Jan-25</v>
      </c>
      <c r="T1281">
        <f>_xlfn.ISOWEEKNUM(Table1[[#This Row],[Date]])</f>
        <v>2</v>
      </c>
      <c r="U1281" t="str">
        <f>TEXT(Table1[[#This Row],[Expected Business Month]],"YYYY")</f>
        <v>2025</v>
      </c>
    </row>
    <row r="1282" spans="1:21" hidden="1">
      <c r="A1282" s="1">
        <v>45665</v>
      </c>
      <c r="B1282" t="s">
        <v>324</v>
      </c>
      <c r="C1282" t="s">
        <v>96</v>
      </c>
      <c r="D1282" t="s">
        <v>64</v>
      </c>
      <c r="E1282" t="s">
        <v>38</v>
      </c>
      <c r="F1282" t="s">
        <v>325</v>
      </c>
      <c r="G1282" s="9" t="s">
        <v>3206</v>
      </c>
      <c r="H1282">
        <v>45091</v>
      </c>
      <c r="I1282">
        <v>45091</v>
      </c>
      <c r="J1282" s="21">
        <v>45658</v>
      </c>
      <c r="K1282" t="s">
        <v>99</v>
      </c>
      <c r="L1282" t="s">
        <v>68</v>
      </c>
      <c r="M1282" t="s">
        <v>69</v>
      </c>
      <c r="O1282">
        <v>0</v>
      </c>
      <c r="S1282" t="str">
        <f>TEXT(Table1[[#This Row],[Date]],"MMM-YY")</f>
        <v>Jan-25</v>
      </c>
      <c r="T1282">
        <f>_xlfn.ISOWEEKNUM(Table1[[#This Row],[Date]])</f>
        <v>2</v>
      </c>
      <c r="U1282" t="str">
        <f>TEXT(Table1[[#This Row],[Expected Business Month]],"YYYY")</f>
        <v>2025</v>
      </c>
    </row>
    <row r="1283" spans="1:21" hidden="1">
      <c r="A1283" s="1">
        <v>45666</v>
      </c>
      <c r="B1283" t="s">
        <v>3176</v>
      </c>
      <c r="C1283" t="s">
        <v>63</v>
      </c>
      <c r="D1283" t="s">
        <v>64</v>
      </c>
      <c r="E1283" t="s">
        <v>37</v>
      </c>
      <c r="F1283" t="s">
        <v>1360</v>
      </c>
      <c r="G1283" s="9" t="s">
        <v>3207</v>
      </c>
      <c r="H1283">
        <v>13245</v>
      </c>
      <c r="I1283">
        <v>13245</v>
      </c>
      <c r="J1283" s="21">
        <v>45658</v>
      </c>
      <c r="K1283" t="s">
        <v>67</v>
      </c>
      <c r="L1283" t="s">
        <v>68</v>
      </c>
      <c r="M1283" t="s">
        <v>69</v>
      </c>
      <c r="O1283">
        <v>0</v>
      </c>
      <c r="S1283" t="str">
        <f>TEXT(Table1[[#This Row],[Date]],"MMM-YY")</f>
        <v>Jan-25</v>
      </c>
      <c r="T1283">
        <f>_xlfn.ISOWEEKNUM(Table1[[#This Row],[Date]])</f>
        <v>2</v>
      </c>
      <c r="U1283" t="str">
        <f>TEXT(Table1[[#This Row],[Expected Business Month]],"YYYY")</f>
        <v>2025</v>
      </c>
    </row>
    <row r="1284" spans="1:21" ht="29.1" hidden="1">
      <c r="A1284" s="1">
        <v>45666</v>
      </c>
      <c r="B1284" t="s">
        <v>3208</v>
      </c>
      <c r="C1284" t="s">
        <v>63</v>
      </c>
      <c r="D1284" t="s">
        <v>64</v>
      </c>
      <c r="E1284" t="s">
        <v>32</v>
      </c>
      <c r="F1284" t="s">
        <v>3209</v>
      </c>
      <c r="G1284" s="9" t="s">
        <v>3210</v>
      </c>
      <c r="H1284">
        <v>0</v>
      </c>
      <c r="I1284">
        <v>0</v>
      </c>
      <c r="J1284" s="21">
        <v>45658</v>
      </c>
      <c r="K1284" t="s">
        <v>67</v>
      </c>
      <c r="L1284" t="s">
        <v>68</v>
      </c>
      <c r="M1284" t="s">
        <v>69</v>
      </c>
      <c r="O1284">
        <v>0</v>
      </c>
      <c r="S1284" t="str">
        <f>TEXT(Table1[[#This Row],[Date]],"MMM-YY")</f>
        <v>Jan-25</v>
      </c>
      <c r="T1284">
        <f>_xlfn.ISOWEEKNUM(Table1[[#This Row],[Date]])</f>
        <v>2</v>
      </c>
      <c r="U1284" t="str">
        <f>TEXT(Table1[[#This Row],[Expected Business Month]],"YYYY")</f>
        <v>2025</v>
      </c>
    </row>
    <row r="1285" spans="1:21" hidden="1">
      <c r="A1285" s="1">
        <v>45666</v>
      </c>
      <c r="B1285" t="s">
        <v>3211</v>
      </c>
      <c r="C1285" t="s">
        <v>63</v>
      </c>
      <c r="D1285" t="s">
        <v>64</v>
      </c>
      <c r="E1285" t="s">
        <v>38</v>
      </c>
      <c r="F1285" t="s">
        <v>269</v>
      </c>
      <c r="G1285" s="9" t="s">
        <v>3212</v>
      </c>
      <c r="H1285">
        <v>50000</v>
      </c>
      <c r="I1285">
        <v>50000</v>
      </c>
      <c r="J1285" s="21">
        <v>45658</v>
      </c>
      <c r="K1285" t="s">
        <v>67</v>
      </c>
      <c r="L1285" t="s">
        <v>68</v>
      </c>
      <c r="M1285" t="s">
        <v>69</v>
      </c>
      <c r="O1285">
        <v>0</v>
      </c>
      <c r="S1285" t="str">
        <f>TEXT(Table1[[#This Row],[Date]],"MMM-YY")</f>
        <v>Jan-25</v>
      </c>
      <c r="T1285">
        <f>_xlfn.ISOWEEKNUM(Table1[[#This Row],[Date]])</f>
        <v>2</v>
      </c>
      <c r="U1285" t="str">
        <f>TEXT(Table1[[#This Row],[Expected Business Month]],"YYYY")</f>
        <v>2025</v>
      </c>
    </row>
    <row r="1286" spans="1:21" hidden="1">
      <c r="A1286" s="1">
        <v>45667</v>
      </c>
      <c r="B1286" t="s">
        <v>3213</v>
      </c>
      <c r="C1286" t="s">
        <v>96</v>
      </c>
      <c r="D1286" t="s">
        <v>64</v>
      </c>
      <c r="E1286" t="s">
        <v>38</v>
      </c>
      <c r="F1286" t="s">
        <v>1186</v>
      </c>
      <c r="G1286" s="9" t="s">
        <v>3214</v>
      </c>
      <c r="H1286">
        <v>0</v>
      </c>
      <c r="I1286">
        <v>0</v>
      </c>
      <c r="J1286" s="21">
        <v>45689</v>
      </c>
      <c r="K1286" t="s">
        <v>67</v>
      </c>
      <c r="L1286" t="s">
        <v>68</v>
      </c>
      <c r="M1286" t="s">
        <v>69</v>
      </c>
      <c r="O1286">
        <v>0</v>
      </c>
      <c r="S1286" t="str">
        <f>TEXT(Table1[[#This Row],[Date]],"MMM-YY")</f>
        <v>Jan-25</v>
      </c>
      <c r="T1286">
        <f>_xlfn.ISOWEEKNUM(Table1[[#This Row],[Date]])</f>
        <v>2</v>
      </c>
      <c r="U1286" t="str">
        <f>TEXT(Table1[[#This Row],[Expected Business Month]],"YYYY")</f>
        <v>2025</v>
      </c>
    </row>
    <row r="1287" spans="1:21" hidden="1">
      <c r="A1287" s="1">
        <v>45667</v>
      </c>
      <c r="B1287" t="s">
        <v>3176</v>
      </c>
      <c r="C1287" t="s">
        <v>63</v>
      </c>
      <c r="D1287" t="s">
        <v>64</v>
      </c>
      <c r="E1287" t="s">
        <v>37</v>
      </c>
      <c r="F1287" t="s">
        <v>1360</v>
      </c>
      <c r="G1287" s="9" t="s">
        <v>3215</v>
      </c>
      <c r="H1287">
        <v>22301</v>
      </c>
      <c r="I1287">
        <v>22301</v>
      </c>
      <c r="J1287" s="21">
        <v>45658</v>
      </c>
      <c r="K1287" t="s">
        <v>67</v>
      </c>
      <c r="L1287" t="s">
        <v>68</v>
      </c>
      <c r="M1287" t="s">
        <v>69</v>
      </c>
      <c r="O1287">
        <v>0</v>
      </c>
      <c r="S1287" t="str">
        <f>TEXT(Table1[[#This Row],[Date]],"MMM-YY")</f>
        <v>Jan-25</v>
      </c>
      <c r="T1287">
        <f>_xlfn.ISOWEEKNUM(Table1[[#This Row],[Date]])</f>
        <v>2</v>
      </c>
      <c r="U1287" t="str">
        <f>TEXT(Table1[[#This Row],[Expected Business Month]],"YYYY")</f>
        <v>2025</v>
      </c>
    </row>
    <row r="1288" spans="1:21" hidden="1">
      <c r="A1288" s="1">
        <v>45667</v>
      </c>
      <c r="B1288" t="s">
        <v>3216</v>
      </c>
      <c r="C1288" t="s">
        <v>96</v>
      </c>
      <c r="D1288" t="s">
        <v>64</v>
      </c>
      <c r="E1288" t="s">
        <v>30</v>
      </c>
      <c r="F1288" t="s">
        <v>299</v>
      </c>
      <c r="G1288" s="9" t="s">
        <v>3217</v>
      </c>
      <c r="H1288">
        <v>8000</v>
      </c>
      <c r="I1288">
        <v>8000</v>
      </c>
      <c r="J1288" s="21">
        <v>45658</v>
      </c>
      <c r="K1288" t="s">
        <v>67</v>
      </c>
      <c r="L1288" t="s">
        <v>68</v>
      </c>
      <c r="M1288" t="s">
        <v>69</v>
      </c>
      <c r="O1288">
        <v>0</v>
      </c>
      <c r="S1288" t="str">
        <f>TEXT(Table1[[#This Row],[Date]],"MMM-YY")</f>
        <v>Jan-25</v>
      </c>
      <c r="T1288">
        <f>_xlfn.ISOWEEKNUM(Table1[[#This Row],[Date]])</f>
        <v>2</v>
      </c>
      <c r="U1288" t="str">
        <f>TEXT(Table1[[#This Row],[Expected Business Month]],"YYYY")</f>
        <v>2025</v>
      </c>
    </row>
    <row r="1289" spans="1:21" hidden="1">
      <c r="A1289" s="1">
        <v>45667</v>
      </c>
      <c r="B1289" t="s">
        <v>3218</v>
      </c>
      <c r="C1289" t="s">
        <v>96</v>
      </c>
      <c r="D1289" t="s">
        <v>20</v>
      </c>
      <c r="E1289" t="s">
        <v>23</v>
      </c>
      <c r="F1289" t="s">
        <v>1031</v>
      </c>
      <c r="G1289" s="9" t="s">
        <v>3219</v>
      </c>
      <c r="H1289">
        <v>20010</v>
      </c>
      <c r="I1289">
        <v>20010</v>
      </c>
      <c r="J1289" s="21">
        <v>45658</v>
      </c>
      <c r="K1289" t="s">
        <v>67</v>
      </c>
      <c r="L1289" t="s">
        <v>68</v>
      </c>
      <c r="M1289" t="s">
        <v>69</v>
      </c>
      <c r="O1289">
        <v>0</v>
      </c>
      <c r="S1289" t="str">
        <f>TEXT(Table1[[#This Row],[Date]],"MMM-YY")</f>
        <v>Jan-25</v>
      </c>
      <c r="T1289">
        <f>_xlfn.ISOWEEKNUM(Table1[[#This Row],[Date]])</f>
        <v>2</v>
      </c>
      <c r="U1289" t="str">
        <f>TEXT(Table1[[#This Row],[Expected Business Month]],"YYYY")</f>
        <v>2025</v>
      </c>
    </row>
    <row r="1290" spans="1:21" hidden="1">
      <c r="A1290" s="1">
        <v>45667</v>
      </c>
      <c r="B1290" t="s">
        <v>3220</v>
      </c>
      <c r="C1290" t="s">
        <v>96</v>
      </c>
      <c r="D1290" t="s">
        <v>20</v>
      </c>
      <c r="E1290" t="s">
        <v>23</v>
      </c>
      <c r="F1290" t="s">
        <v>1360</v>
      </c>
      <c r="G1290" s="9" t="s">
        <v>3221</v>
      </c>
      <c r="H1290">
        <v>21707</v>
      </c>
      <c r="I1290">
        <v>21707</v>
      </c>
      <c r="J1290" s="21">
        <v>45658</v>
      </c>
      <c r="K1290" t="s">
        <v>67</v>
      </c>
      <c r="L1290" t="s">
        <v>68</v>
      </c>
      <c r="M1290" t="s">
        <v>69</v>
      </c>
      <c r="O1290">
        <v>0</v>
      </c>
      <c r="S1290" t="str">
        <f>TEXT(Table1[[#This Row],[Date]],"MMM-YY")</f>
        <v>Jan-25</v>
      </c>
      <c r="T1290">
        <f>_xlfn.ISOWEEKNUM(Table1[[#This Row],[Date]])</f>
        <v>2</v>
      </c>
      <c r="U1290" t="str">
        <f>TEXT(Table1[[#This Row],[Expected Business Month]],"YYYY")</f>
        <v>2025</v>
      </c>
    </row>
    <row r="1291" spans="1:21" hidden="1">
      <c r="A1291" s="1">
        <v>45668</v>
      </c>
      <c r="B1291" t="s">
        <v>3176</v>
      </c>
      <c r="C1291" t="s">
        <v>63</v>
      </c>
      <c r="D1291" t="s">
        <v>64</v>
      </c>
      <c r="E1291" t="s">
        <v>37</v>
      </c>
      <c r="F1291" t="s">
        <v>1360</v>
      </c>
      <c r="G1291" s="9" t="s">
        <v>3222</v>
      </c>
      <c r="H1291">
        <v>51133</v>
      </c>
      <c r="I1291">
        <v>51133</v>
      </c>
      <c r="J1291" s="21">
        <v>45658</v>
      </c>
      <c r="K1291" t="s">
        <v>67</v>
      </c>
      <c r="L1291" t="s">
        <v>68</v>
      </c>
      <c r="M1291" t="s">
        <v>69</v>
      </c>
      <c r="O1291">
        <v>0</v>
      </c>
      <c r="S1291" t="str">
        <f>TEXT(Table1[[#This Row],[Date]],"MMM-YY")</f>
        <v>Jan-25</v>
      </c>
      <c r="T1291">
        <f>_xlfn.ISOWEEKNUM(Table1[[#This Row],[Date]])</f>
        <v>2</v>
      </c>
      <c r="U1291" t="str">
        <f>TEXT(Table1[[#This Row],[Expected Business Month]],"YYYY")</f>
        <v>2025</v>
      </c>
    </row>
    <row r="1292" spans="1:21" hidden="1">
      <c r="A1292" s="1">
        <v>45668</v>
      </c>
      <c r="B1292" t="s">
        <v>3223</v>
      </c>
      <c r="C1292" t="s">
        <v>96</v>
      </c>
      <c r="D1292" t="s">
        <v>64</v>
      </c>
      <c r="E1292" t="s">
        <v>38</v>
      </c>
      <c r="F1292" t="s">
        <v>3224</v>
      </c>
      <c r="G1292" s="9" t="s">
        <v>3225</v>
      </c>
      <c r="H1292">
        <v>12946</v>
      </c>
      <c r="I1292">
        <v>12946</v>
      </c>
      <c r="J1292" s="21">
        <v>45658</v>
      </c>
      <c r="K1292" t="s">
        <v>67</v>
      </c>
      <c r="L1292" t="s">
        <v>68</v>
      </c>
      <c r="M1292" t="s">
        <v>69</v>
      </c>
      <c r="O1292">
        <v>0</v>
      </c>
      <c r="S1292" t="str">
        <f>TEXT(Table1[[#This Row],[Date]],"MMM-YY")</f>
        <v>Jan-25</v>
      </c>
      <c r="T1292">
        <f>_xlfn.ISOWEEKNUM(Table1[[#This Row],[Date]])</f>
        <v>2</v>
      </c>
      <c r="U1292" t="str">
        <f>TEXT(Table1[[#This Row],[Expected Business Month]],"YYYY")</f>
        <v>2025</v>
      </c>
    </row>
    <row r="1293" spans="1:21" hidden="1">
      <c r="A1293" s="1">
        <v>45669</v>
      </c>
      <c r="B1293" t="s">
        <v>3226</v>
      </c>
      <c r="C1293" t="s">
        <v>96</v>
      </c>
      <c r="D1293" t="s">
        <v>64</v>
      </c>
      <c r="E1293" t="s">
        <v>32</v>
      </c>
      <c r="F1293" t="s">
        <v>3227</v>
      </c>
      <c r="G1293" s="9" t="s">
        <v>3228</v>
      </c>
      <c r="H1293">
        <v>7000</v>
      </c>
      <c r="I1293">
        <v>7000</v>
      </c>
      <c r="J1293" s="21">
        <v>45658</v>
      </c>
      <c r="K1293" t="s">
        <v>67</v>
      </c>
      <c r="L1293" t="s">
        <v>68</v>
      </c>
      <c r="M1293" t="s">
        <v>69</v>
      </c>
      <c r="O1293">
        <v>0</v>
      </c>
      <c r="S1293" t="str">
        <f>TEXT(Table1[[#This Row],[Date]],"MMM-YY")</f>
        <v>Jan-25</v>
      </c>
      <c r="T1293">
        <f>_xlfn.ISOWEEKNUM(Table1[[#This Row],[Date]])</f>
        <v>2</v>
      </c>
      <c r="U1293" t="str">
        <f>TEXT(Table1[[#This Row],[Expected Business Month]],"YYYY")</f>
        <v>2025</v>
      </c>
    </row>
    <row r="1294" spans="1:21" hidden="1">
      <c r="A1294" s="1">
        <v>45669</v>
      </c>
      <c r="B1294" t="s">
        <v>3176</v>
      </c>
      <c r="C1294" t="s">
        <v>63</v>
      </c>
      <c r="D1294" t="s">
        <v>64</v>
      </c>
      <c r="E1294" t="s">
        <v>37</v>
      </c>
      <c r="F1294" t="s">
        <v>1360</v>
      </c>
      <c r="G1294" s="9" t="s">
        <v>3229</v>
      </c>
      <c r="H1294">
        <v>69321</v>
      </c>
      <c r="I1294">
        <v>69321</v>
      </c>
      <c r="J1294" s="21">
        <v>45658</v>
      </c>
      <c r="K1294" t="s">
        <v>67</v>
      </c>
      <c r="L1294" t="s">
        <v>68</v>
      </c>
      <c r="M1294" t="s">
        <v>69</v>
      </c>
      <c r="O1294">
        <v>0</v>
      </c>
      <c r="S1294" t="str">
        <f>TEXT(Table1[[#This Row],[Date]],"MMM-YY")</f>
        <v>Jan-25</v>
      </c>
      <c r="T1294">
        <f>_xlfn.ISOWEEKNUM(Table1[[#This Row],[Date]])</f>
        <v>2</v>
      </c>
      <c r="U1294" t="str">
        <f>TEXT(Table1[[#This Row],[Expected Business Month]],"YYYY")</f>
        <v>2025</v>
      </c>
    </row>
    <row r="1295" spans="1:21" hidden="1">
      <c r="A1295" s="1">
        <v>45670</v>
      </c>
      <c r="B1295" t="s">
        <v>3176</v>
      </c>
      <c r="C1295" t="s">
        <v>63</v>
      </c>
      <c r="D1295" t="s">
        <v>64</v>
      </c>
      <c r="E1295" t="s">
        <v>37</v>
      </c>
      <c r="F1295" t="s">
        <v>1360</v>
      </c>
      <c r="G1295" s="9" t="s">
        <v>3230</v>
      </c>
      <c r="H1295">
        <v>24151</v>
      </c>
      <c r="I1295">
        <v>24151</v>
      </c>
      <c r="J1295" s="21">
        <v>45658</v>
      </c>
      <c r="K1295" t="s">
        <v>67</v>
      </c>
      <c r="L1295" t="s">
        <v>68</v>
      </c>
      <c r="M1295" t="s">
        <v>69</v>
      </c>
      <c r="O1295">
        <v>0</v>
      </c>
      <c r="S1295" t="str">
        <f>TEXT(Table1[[#This Row],[Date]],"MMM-YY")</f>
        <v>Jan-25</v>
      </c>
      <c r="T1295">
        <f>_xlfn.ISOWEEKNUM(Table1[[#This Row],[Date]])</f>
        <v>3</v>
      </c>
      <c r="U1295" t="str">
        <f>TEXT(Table1[[#This Row],[Expected Business Month]],"YYYY")</f>
        <v>2025</v>
      </c>
    </row>
    <row r="1296" spans="1:21" hidden="1">
      <c r="A1296" s="1">
        <v>45670</v>
      </c>
      <c r="B1296" t="s">
        <v>3231</v>
      </c>
      <c r="C1296" t="s">
        <v>63</v>
      </c>
      <c r="D1296" t="s">
        <v>64</v>
      </c>
      <c r="E1296" t="s">
        <v>37</v>
      </c>
      <c r="F1296" t="s">
        <v>3232</v>
      </c>
      <c r="G1296" s="9" t="s">
        <v>3233</v>
      </c>
      <c r="H1296">
        <v>39760</v>
      </c>
      <c r="I1296">
        <v>39760</v>
      </c>
      <c r="J1296" s="21">
        <v>45658</v>
      </c>
      <c r="K1296" t="s">
        <v>67</v>
      </c>
      <c r="L1296" t="s">
        <v>68</v>
      </c>
      <c r="M1296" t="s">
        <v>69</v>
      </c>
      <c r="O1296">
        <v>0</v>
      </c>
      <c r="S1296" t="str">
        <f>TEXT(Table1[[#This Row],[Date]],"MMM-YY")</f>
        <v>Jan-25</v>
      </c>
      <c r="T1296">
        <f>_xlfn.ISOWEEKNUM(Table1[[#This Row],[Date]])</f>
        <v>3</v>
      </c>
      <c r="U1296" t="str">
        <f>TEXT(Table1[[#This Row],[Expected Business Month]],"YYYY")</f>
        <v>2025</v>
      </c>
    </row>
    <row r="1297" spans="1:21" hidden="1">
      <c r="A1297" s="1">
        <v>45671</v>
      </c>
      <c r="B1297" t="s">
        <v>3231</v>
      </c>
      <c r="C1297" t="s">
        <v>63</v>
      </c>
      <c r="D1297" t="s">
        <v>64</v>
      </c>
      <c r="E1297" t="s">
        <v>37</v>
      </c>
      <c r="F1297" t="s">
        <v>3232</v>
      </c>
      <c r="G1297" s="9" t="s">
        <v>3234</v>
      </c>
      <c r="H1297">
        <v>55035</v>
      </c>
      <c r="I1297">
        <v>55035</v>
      </c>
      <c r="J1297" s="21">
        <v>45658</v>
      </c>
      <c r="K1297" t="s">
        <v>67</v>
      </c>
      <c r="L1297" t="s">
        <v>68</v>
      </c>
      <c r="M1297" t="s">
        <v>69</v>
      </c>
      <c r="O1297">
        <v>0</v>
      </c>
      <c r="S1297" t="str">
        <f>TEXT(Table1[[#This Row],[Date]],"MMM-YY")</f>
        <v>Jan-25</v>
      </c>
      <c r="T1297">
        <f>_xlfn.ISOWEEKNUM(Table1[[#This Row],[Date]])</f>
        <v>3</v>
      </c>
      <c r="U1297" t="str">
        <f>TEXT(Table1[[#This Row],[Expected Business Month]],"YYYY")</f>
        <v>2025</v>
      </c>
    </row>
    <row r="1298" spans="1:21" hidden="1">
      <c r="A1298" s="1">
        <v>45672</v>
      </c>
      <c r="B1298" t="s">
        <v>95</v>
      </c>
      <c r="C1298" t="s">
        <v>96</v>
      </c>
      <c r="D1298" t="s">
        <v>64</v>
      </c>
      <c r="E1298" t="s">
        <v>38</v>
      </c>
      <c r="F1298" t="s">
        <v>97</v>
      </c>
      <c r="G1298" s="9" t="s">
        <v>3235</v>
      </c>
      <c r="H1298">
        <v>34832</v>
      </c>
      <c r="I1298">
        <v>34832</v>
      </c>
      <c r="J1298" s="21">
        <v>45658</v>
      </c>
      <c r="K1298" t="s">
        <v>99</v>
      </c>
      <c r="L1298" t="s">
        <v>68</v>
      </c>
      <c r="M1298" t="s">
        <v>69</v>
      </c>
      <c r="O1298">
        <v>0</v>
      </c>
      <c r="S1298" t="str">
        <f>TEXT(Table1[[#This Row],[Date]],"MMM-YY")</f>
        <v>Jan-25</v>
      </c>
      <c r="T1298">
        <f>_xlfn.ISOWEEKNUM(Table1[[#This Row],[Date]])</f>
        <v>3</v>
      </c>
      <c r="U1298" t="str">
        <f>TEXT(Table1[[#This Row],[Expected Business Month]],"YYYY")</f>
        <v>2025</v>
      </c>
    </row>
    <row r="1299" spans="1:21" hidden="1">
      <c r="A1299" s="1">
        <v>45672</v>
      </c>
      <c r="B1299" t="s">
        <v>324</v>
      </c>
      <c r="C1299" t="s">
        <v>96</v>
      </c>
      <c r="D1299" t="s">
        <v>64</v>
      </c>
      <c r="E1299" t="s">
        <v>38</v>
      </c>
      <c r="F1299" t="s">
        <v>325</v>
      </c>
      <c r="G1299" s="9" t="s">
        <v>3236</v>
      </c>
      <c r="H1299">
        <v>39435</v>
      </c>
      <c r="I1299">
        <v>39435</v>
      </c>
      <c r="J1299" s="21">
        <v>45658</v>
      </c>
      <c r="K1299" t="s">
        <v>99</v>
      </c>
      <c r="L1299" t="s">
        <v>68</v>
      </c>
      <c r="M1299" t="s">
        <v>69</v>
      </c>
      <c r="O1299">
        <v>0</v>
      </c>
      <c r="S1299" t="str">
        <f>TEXT(Table1[[#This Row],[Date]],"MMM-YY")</f>
        <v>Jan-25</v>
      </c>
      <c r="T1299">
        <f>_xlfn.ISOWEEKNUM(Table1[[#This Row],[Date]])</f>
        <v>3</v>
      </c>
      <c r="U1299" t="str">
        <f>TEXT(Table1[[#This Row],[Expected Business Month]],"YYYY")</f>
        <v>2025</v>
      </c>
    </row>
    <row r="1300" spans="1:21" hidden="1">
      <c r="A1300" s="1">
        <v>45672</v>
      </c>
      <c r="B1300" t="s">
        <v>3231</v>
      </c>
      <c r="C1300" t="s">
        <v>63</v>
      </c>
      <c r="D1300" t="s">
        <v>64</v>
      </c>
      <c r="E1300" t="s">
        <v>37</v>
      </c>
      <c r="F1300" t="s">
        <v>3232</v>
      </c>
      <c r="G1300" s="9" t="s">
        <v>3237</v>
      </c>
      <c r="H1300">
        <v>22250</v>
      </c>
      <c r="I1300">
        <v>22250</v>
      </c>
      <c r="J1300" s="21">
        <v>45658</v>
      </c>
      <c r="K1300" t="s">
        <v>67</v>
      </c>
      <c r="L1300" t="s">
        <v>68</v>
      </c>
      <c r="M1300" t="s">
        <v>69</v>
      </c>
      <c r="O1300">
        <v>0</v>
      </c>
      <c r="S1300" t="str">
        <f>TEXT(Table1[[#This Row],[Date]],"MMM-YY")</f>
        <v>Jan-25</v>
      </c>
      <c r="T1300">
        <f>_xlfn.ISOWEEKNUM(Table1[[#This Row],[Date]])</f>
        <v>3</v>
      </c>
      <c r="U1300" t="str">
        <f>TEXT(Table1[[#This Row],[Expected Business Month]],"YYYY")</f>
        <v>2025</v>
      </c>
    </row>
    <row r="1301" spans="1:21" hidden="1">
      <c r="A1301" s="1">
        <v>45673</v>
      </c>
      <c r="B1301" t="s">
        <v>3238</v>
      </c>
      <c r="C1301" t="s">
        <v>96</v>
      </c>
      <c r="D1301" t="s">
        <v>20</v>
      </c>
      <c r="E1301" t="s">
        <v>23</v>
      </c>
      <c r="F1301" t="s">
        <v>133</v>
      </c>
      <c r="G1301" s="9" t="s">
        <v>3239</v>
      </c>
      <c r="H1301">
        <v>10493</v>
      </c>
      <c r="I1301">
        <v>10493</v>
      </c>
      <c r="J1301" s="21">
        <v>45658</v>
      </c>
      <c r="K1301" t="s">
        <v>67</v>
      </c>
      <c r="L1301" t="s">
        <v>68</v>
      </c>
      <c r="M1301" t="s">
        <v>69</v>
      </c>
      <c r="O1301">
        <v>0</v>
      </c>
      <c r="S1301" t="str">
        <f>TEXT(Table1[[#This Row],[Date]],"MMM-YY")</f>
        <v>Jan-25</v>
      </c>
      <c r="T1301">
        <f>_xlfn.ISOWEEKNUM(Table1[[#This Row],[Date]])</f>
        <v>3</v>
      </c>
      <c r="U1301" t="str">
        <f>TEXT(Table1[[#This Row],[Expected Business Month]],"YYYY")</f>
        <v>2025</v>
      </c>
    </row>
    <row r="1302" spans="1:21" hidden="1">
      <c r="A1302" s="1">
        <v>45674</v>
      </c>
      <c r="B1302" t="s">
        <v>3240</v>
      </c>
      <c r="C1302" t="s">
        <v>96</v>
      </c>
      <c r="D1302" t="s">
        <v>20</v>
      </c>
      <c r="E1302" t="s">
        <v>23</v>
      </c>
      <c r="F1302" t="s">
        <v>3209</v>
      </c>
      <c r="G1302" s="9" t="s">
        <v>3241</v>
      </c>
      <c r="H1302">
        <v>9700</v>
      </c>
      <c r="I1302">
        <v>9700</v>
      </c>
      <c r="J1302" s="21">
        <v>45658</v>
      </c>
      <c r="K1302" t="s">
        <v>67</v>
      </c>
      <c r="L1302" t="s">
        <v>68</v>
      </c>
      <c r="M1302" t="s">
        <v>69</v>
      </c>
      <c r="O1302">
        <v>0</v>
      </c>
      <c r="S1302" t="str">
        <f>TEXT(Table1[[#This Row],[Date]],"MMM-YY")</f>
        <v>Jan-25</v>
      </c>
      <c r="T1302">
        <f>_xlfn.ISOWEEKNUM(Table1[[#This Row],[Date]])</f>
        <v>3</v>
      </c>
      <c r="U1302" t="str">
        <f>TEXT(Table1[[#This Row],[Expected Business Month]],"YYYY")</f>
        <v>2025</v>
      </c>
    </row>
    <row r="1303" spans="1:21" hidden="1">
      <c r="A1303" s="1">
        <v>45676</v>
      </c>
      <c r="B1303" t="s">
        <v>3242</v>
      </c>
      <c r="C1303" t="s">
        <v>96</v>
      </c>
      <c r="D1303" t="s">
        <v>64</v>
      </c>
      <c r="E1303" t="s">
        <v>26</v>
      </c>
      <c r="F1303" t="s">
        <v>1186</v>
      </c>
      <c r="G1303" s="9" t="s">
        <v>3243</v>
      </c>
      <c r="H1303">
        <v>33900</v>
      </c>
      <c r="I1303">
        <v>33900</v>
      </c>
      <c r="J1303" s="21">
        <v>45658</v>
      </c>
      <c r="K1303" t="s">
        <v>67</v>
      </c>
      <c r="L1303" t="s">
        <v>68</v>
      </c>
      <c r="M1303" t="s">
        <v>69</v>
      </c>
      <c r="O1303">
        <v>0</v>
      </c>
      <c r="S1303" t="str">
        <f>TEXT(Table1[[#This Row],[Date]],"MMM-YY")</f>
        <v>Jan-25</v>
      </c>
      <c r="T1303">
        <f>_xlfn.ISOWEEKNUM(Table1[[#This Row],[Date]])</f>
        <v>3</v>
      </c>
      <c r="U1303" t="str">
        <f>TEXT(Table1[[#This Row],[Expected Business Month]],"YYYY")</f>
        <v>2025</v>
      </c>
    </row>
    <row r="1304" spans="1:21" hidden="1">
      <c r="A1304" s="1">
        <v>45676</v>
      </c>
      <c r="B1304" t="s">
        <v>3244</v>
      </c>
      <c r="C1304" t="s">
        <v>96</v>
      </c>
      <c r="D1304" t="s">
        <v>2681</v>
      </c>
      <c r="E1304" t="s">
        <v>15</v>
      </c>
      <c r="F1304" t="s">
        <v>2965</v>
      </c>
      <c r="G1304" s="9" t="s">
        <v>3245</v>
      </c>
      <c r="H1304">
        <v>6250</v>
      </c>
      <c r="I1304">
        <v>6250</v>
      </c>
      <c r="J1304" s="21">
        <v>45658</v>
      </c>
      <c r="K1304" t="s">
        <v>67</v>
      </c>
      <c r="L1304" t="s">
        <v>68</v>
      </c>
      <c r="M1304" t="s">
        <v>69</v>
      </c>
      <c r="O1304">
        <v>0</v>
      </c>
      <c r="S1304" t="str">
        <f>TEXT(Table1[[#This Row],[Date]],"MMM-YY")</f>
        <v>Jan-25</v>
      </c>
      <c r="T1304">
        <f>_xlfn.ISOWEEKNUM(Table1[[#This Row],[Date]])</f>
        <v>3</v>
      </c>
      <c r="U1304" t="str">
        <f>TEXT(Table1[[#This Row],[Expected Business Month]],"YYYY")</f>
        <v>2025</v>
      </c>
    </row>
    <row r="1305" spans="1:21" hidden="1">
      <c r="A1305" s="1">
        <v>45676</v>
      </c>
      <c r="B1305" t="s">
        <v>330</v>
      </c>
      <c r="C1305" t="s">
        <v>96</v>
      </c>
      <c r="D1305" t="s">
        <v>20</v>
      </c>
      <c r="E1305" t="s">
        <v>23</v>
      </c>
      <c r="F1305" t="s">
        <v>3246</v>
      </c>
      <c r="G1305" s="9" t="s">
        <v>3247</v>
      </c>
      <c r="H1305">
        <v>10000</v>
      </c>
      <c r="I1305">
        <v>0</v>
      </c>
      <c r="J1305" s="21">
        <v>45658</v>
      </c>
      <c r="K1305" t="s">
        <v>67</v>
      </c>
      <c r="L1305" t="s">
        <v>9</v>
      </c>
      <c r="M1305" t="s">
        <v>9</v>
      </c>
      <c r="N1305" t="s">
        <v>586</v>
      </c>
      <c r="O1305">
        <v>0</v>
      </c>
      <c r="S1305" t="str">
        <f>TEXT(Table1[[#This Row],[Date]],"MMM-YY")</f>
        <v>Jan-25</v>
      </c>
      <c r="T1305">
        <f>_xlfn.ISOWEEKNUM(Table1[[#This Row],[Date]])</f>
        <v>3</v>
      </c>
      <c r="U1305" t="str">
        <f>TEXT(Table1[[#This Row],[Expected Business Month]],"YYYY")</f>
        <v>2025</v>
      </c>
    </row>
    <row r="1306" spans="1:21" hidden="1">
      <c r="A1306" s="1">
        <v>45677</v>
      </c>
      <c r="B1306" t="s">
        <v>3248</v>
      </c>
      <c r="C1306" t="s">
        <v>63</v>
      </c>
      <c r="D1306" t="s">
        <v>64</v>
      </c>
      <c r="E1306" t="s">
        <v>38</v>
      </c>
      <c r="F1306" t="s">
        <v>269</v>
      </c>
      <c r="G1306" s="9" t="s">
        <v>3249</v>
      </c>
      <c r="H1306">
        <v>9755</v>
      </c>
      <c r="I1306">
        <v>9755</v>
      </c>
      <c r="J1306" s="21">
        <v>45658</v>
      </c>
      <c r="K1306" t="s">
        <v>67</v>
      </c>
      <c r="L1306" t="s">
        <v>68</v>
      </c>
      <c r="M1306" t="s">
        <v>69</v>
      </c>
      <c r="O1306">
        <v>0</v>
      </c>
      <c r="S1306" t="str">
        <f>TEXT(Table1[[#This Row],[Date]],"MMM-YY")</f>
        <v>Jan-25</v>
      </c>
      <c r="T1306">
        <f>_xlfn.ISOWEEKNUM(Table1[[#This Row],[Date]])</f>
        <v>4</v>
      </c>
      <c r="U1306" t="str">
        <f>TEXT(Table1[[#This Row],[Expected Business Month]],"YYYY")</f>
        <v>2025</v>
      </c>
    </row>
    <row r="1307" spans="1:21" hidden="1">
      <c r="A1307" s="1">
        <v>45678</v>
      </c>
      <c r="B1307" t="s">
        <v>3248</v>
      </c>
      <c r="C1307" t="s">
        <v>63</v>
      </c>
      <c r="D1307" t="s">
        <v>64</v>
      </c>
      <c r="E1307" t="s">
        <v>38</v>
      </c>
      <c r="F1307" t="s">
        <v>269</v>
      </c>
      <c r="G1307" s="9" t="s">
        <v>3250</v>
      </c>
      <c r="H1307">
        <v>9900</v>
      </c>
      <c r="I1307">
        <v>9900</v>
      </c>
      <c r="J1307" s="21">
        <v>45658</v>
      </c>
      <c r="K1307" t="s">
        <v>67</v>
      </c>
      <c r="L1307" t="s">
        <v>68</v>
      </c>
      <c r="M1307" t="s">
        <v>69</v>
      </c>
      <c r="O1307">
        <v>0</v>
      </c>
      <c r="S1307" t="str">
        <f>TEXT(Table1[[#This Row],[Date]],"MMM-YY")</f>
        <v>Jan-25</v>
      </c>
      <c r="T1307">
        <f>_xlfn.ISOWEEKNUM(Table1[[#This Row],[Date]])</f>
        <v>4</v>
      </c>
      <c r="U1307" t="str">
        <f>TEXT(Table1[[#This Row],[Expected Business Month]],"YYYY")</f>
        <v>2025</v>
      </c>
    </row>
    <row r="1308" spans="1:21" hidden="1">
      <c r="A1308" s="1">
        <v>45678</v>
      </c>
      <c r="B1308" t="s">
        <v>3251</v>
      </c>
      <c r="C1308" t="s">
        <v>63</v>
      </c>
      <c r="D1308" t="s">
        <v>64</v>
      </c>
      <c r="E1308" t="s">
        <v>27</v>
      </c>
      <c r="F1308" t="s">
        <v>3252</v>
      </c>
      <c r="G1308" s="9" t="s">
        <v>3253</v>
      </c>
      <c r="H1308">
        <v>350000</v>
      </c>
      <c r="I1308">
        <v>0</v>
      </c>
      <c r="J1308" s="21">
        <v>45748</v>
      </c>
      <c r="K1308" t="s">
        <v>67</v>
      </c>
      <c r="L1308" t="s">
        <v>9</v>
      </c>
      <c r="M1308" t="s">
        <v>9</v>
      </c>
      <c r="O1308">
        <v>0</v>
      </c>
      <c r="S1308" t="str">
        <f>TEXT(Table1[[#This Row],[Date]],"MMM-YY")</f>
        <v>Jan-25</v>
      </c>
      <c r="T1308">
        <f>_xlfn.ISOWEEKNUM(Table1[[#This Row],[Date]])</f>
        <v>4</v>
      </c>
      <c r="U1308" t="str">
        <f>TEXT(Table1[[#This Row],[Expected Business Month]],"YYYY")</f>
        <v>2025</v>
      </c>
    </row>
    <row r="1309" spans="1:21" hidden="1">
      <c r="A1309" s="1">
        <v>45678</v>
      </c>
      <c r="B1309" t="s">
        <v>732</v>
      </c>
      <c r="C1309" t="s">
        <v>63</v>
      </c>
      <c r="D1309" t="s">
        <v>105</v>
      </c>
      <c r="E1309" t="s">
        <v>18</v>
      </c>
      <c r="F1309" t="s">
        <v>733</v>
      </c>
      <c r="G1309" s="9" t="s">
        <v>2266</v>
      </c>
      <c r="H1309">
        <v>0</v>
      </c>
      <c r="I1309">
        <v>0</v>
      </c>
      <c r="J1309" s="21">
        <v>45689</v>
      </c>
      <c r="K1309" t="s">
        <v>67</v>
      </c>
      <c r="L1309" t="s">
        <v>9</v>
      </c>
      <c r="M1309" t="s">
        <v>9</v>
      </c>
      <c r="O1309">
        <v>0</v>
      </c>
      <c r="S1309" t="str">
        <f>TEXT(Table1[[#This Row],[Date]],"MMM-YY")</f>
        <v>Jan-25</v>
      </c>
      <c r="T1309">
        <f>_xlfn.ISOWEEKNUM(Table1[[#This Row],[Date]])</f>
        <v>4</v>
      </c>
      <c r="U1309" t="str">
        <f>TEXT(Table1[[#This Row],[Expected Business Month]],"YYYY")</f>
        <v>2025</v>
      </c>
    </row>
    <row r="1310" spans="1:21" hidden="1">
      <c r="A1310" s="1">
        <v>45679</v>
      </c>
      <c r="B1310" t="s">
        <v>3248</v>
      </c>
      <c r="C1310" t="s">
        <v>63</v>
      </c>
      <c r="D1310" t="s">
        <v>64</v>
      </c>
      <c r="E1310" t="s">
        <v>38</v>
      </c>
      <c r="F1310" t="s">
        <v>269</v>
      </c>
      <c r="G1310" s="9" t="s">
        <v>3254</v>
      </c>
      <c r="H1310">
        <v>16060</v>
      </c>
      <c r="I1310">
        <v>16060</v>
      </c>
      <c r="J1310" s="21">
        <v>45658</v>
      </c>
      <c r="K1310" t="s">
        <v>67</v>
      </c>
      <c r="L1310" t="s">
        <v>68</v>
      </c>
      <c r="M1310" t="s">
        <v>69</v>
      </c>
      <c r="O1310">
        <v>0</v>
      </c>
      <c r="S1310" t="str">
        <f>TEXT(Table1[[#This Row],[Date]],"MMM-YY")</f>
        <v>Jan-25</v>
      </c>
      <c r="T1310">
        <f>_xlfn.ISOWEEKNUM(Table1[[#This Row],[Date]])</f>
        <v>4</v>
      </c>
      <c r="U1310" t="str">
        <f>TEXT(Table1[[#This Row],[Expected Business Month]],"YYYY")</f>
        <v>2025</v>
      </c>
    </row>
    <row r="1311" spans="1:21" hidden="1">
      <c r="A1311" s="1">
        <v>45679</v>
      </c>
      <c r="B1311" t="s">
        <v>3255</v>
      </c>
      <c r="C1311" t="s">
        <v>63</v>
      </c>
      <c r="D1311" t="s">
        <v>64</v>
      </c>
      <c r="E1311" t="s">
        <v>27</v>
      </c>
      <c r="F1311" t="s">
        <v>3256</v>
      </c>
      <c r="G1311" s="9" t="s">
        <v>2266</v>
      </c>
      <c r="H1311">
        <v>0</v>
      </c>
      <c r="I1311">
        <v>0</v>
      </c>
      <c r="J1311" s="21">
        <v>45689</v>
      </c>
      <c r="K1311" t="s">
        <v>67</v>
      </c>
      <c r="L1311" t="s">
        <v>9</v>
      </c>
      <c r="M1311" t="s">
        <v>9</v>
      </c>
      <c r="N1311" t="s">
        <v>1145</v>
      </c>
      <c r="O1311">
        <v>0</v>
      </c>
      <c r="S1311" t="str">
        <f>TEXT(Table1[[#This Row],[Date]],"MMM-YY")</f>
        <v>Jan-25</v>
      </c>
      <c r="T1311">
        <f>_xlfn.ISOWEEKNUM(Table1[[#This Row],[Date]])</f>
        <v>4</v>
      </c>
      <c r="U1311" t="str">
        <f>TEXT(Table1[[#This Row],[Expected Business Month]],"YYYY")</f>
        <v>2025</v>
      </c>
    </row>
    <row r="1312" spans="1:21" hidden="1">
      <c r="A1312" s="1">
        <v>45680</v>
      </c>
      <c r="B1312" t="s">
        <v>3248</v>
      </c>
      <c r="C1312" t="s">
        <v>63</v>
      </c>
      <c r="D1312" t="s">
        <v>64</v>
      </c>
      <c r="E1312" t="s">
        <v>38</v>
      </c>
      <c r="F1312" t="s">
        <v>269</v>
      </c>
      <c r="G1312" s="9" t="s">
        <v>3257</v>
      </c>
      <c r="H1312">
        <v>13470</v>
      </c>
      <c r="I1312">
        <v>13470</v>
      </c>
      <c r="J1312" s="21">
        <v>45658</v>
      </c>
      <c r="K1312" t="s">
        <v>67</v>
      </c>
      <c r="L1312" t="s">
        <v>68</v>
      </c>
      <c r="M1312" t="s">
        <v>69</v>
      </c>
      <c r="O1312">
        <v>0</v>
      </c>
      <c r="S1312" t="str">
        <f>TEXT(Table1[[#This Row],[Date]],"MMM-YY")</f>
        <v>Jan-25</v>
      </c>
      <c r="T1312">
        <f>_xlfn.ISOWEEKNUM(Table1[[#This Row],[Date]])</f>
        <v>4</v>
      </c>
      <c r="U1312" t="str">
        <f>TEXT(Table1[[#This Row],[Expected Business Month]],"YYYY")</f>
        <v>2025</v>
      </c>
    </row>
    <row r="1313" spans="1:21" hidden="1">
      <c r="A1313" s="1">
        <v>45680</v>
      </c>
      <c r="B1313" t="s">
        <v>788</v>
      </c>
      <c r="C1313" t="s">
        <v>63</v>
      </c>
      <c r="D1313" t="s">
        <v>618</v>
      </c>
      <c r="E1313" t="s">
        <v>18</v>
      </c>
      <c r="F1313" t="s">
        <v>3258</v>
      </c>
      <c r="G1313" s="9" t="s">
        <v>3259</v>
      </c>
      <c r="H1313">
        <v>0</v>
      </c>
      <c r="I1313">
        <v>0</v>
      </c>
      <c r="J1313" s="21">
        <v>45689</v>
      </c>
      <c r="K1313" t="s">
        <v>67</v>
      </c>
      <c r="L1313" t="s">
        <v>9</v>
      </c>
      <c r="M1313" t="s">
        <v>9</v>
      </c>
      <c r="O1313">
        <v>0</v>
      </c>
      <c r="S1313" t="str">
        <f>TEXT(Table1[[#This Row],[Date]],"MMM-YY")</f>
        <v>Jan-25</v>
      </c>
      <c r="T1313">
        <f>_xlfn.ISOWEEKNUM(Table1[[#This Row],[Date]])</f>
        <v>4</v>
      </c>
      <c r="U1313" t="str">
        <f>TEXT(Table1[[#This Row],[Expected Business Month]],"YYYY")</f>
        <v>2025</v>
      </c>
    </row>
    <row r="1314" spans="1:21" hidden="1">
      <c r="A1314" s="1">
        <v>45680</v>
      </c>
      <c r="B1314" t="s">
        <v>3260</v>
      </c>
      <c r="C1314" t="s">
        <v>63</v>
      </c>
      <c r="D1314" t="s">
        <v>64</v>
      </c>
      <c r="E1314" t="s">
        <v>26</v>
      </c>
      <c r="F1314" t="s">
        <v>3261</v>
      </c>
      <c r="G1314" s="9" t="s">
        <v>2655</v>
      </c>
      <c r="H1314">
        <v>0</v>
      </c>
      <c r="I1314">
        <v>0</v>
      </c>
      <c r="J1314" s="21">
        <v>45689</v>
      </c>
      <c r="K1314" t="s">
        <v>67</v>
      </c>
      <c r="L1314" t="s">
        <v>9</v>
      </c>
      <c r="M1314" t="s">
        <v>9</v>
      </c>
      <c r="O1314">
        <v>0</v>
      </c>
      <c r="S1314" t="str">
        <f>TEXT(Table1[[#This Row],[Date]],"MMM-YY")</f>
        <v>Jan-25</v>
      </c>
      <c r="T1314">
        <f>_xlfn.ISOWEEKNUM(Table1[[#This Row],[Date]])</f>
        <v>4</v>
      </c>
      <c r="U1314" t="str">
        <f>TEXT(Table1[[#This Row],[Expected Business Month]],"YYYY")</f>
        <v>2025</v>
      </c>
    </row>
    <row r="1315" spans="1:21" hidden="1">
      <c r="A1315" s="1">
        <v>45681</v>
      </c>
      <c r="B1315" t="s">
        <v>2750</v>
      </c>
      <c r="C1315" t="s">
        <v>63</v>
      </c>
      <c r="D1315" t="s">
        <v>64</v>
      </c>
      <c r="E1315" t="s">
        <v>32</v>
      </c>
      <c r="F1315" t="s">
        <v>214</v>
      </c>
      <c r="G1315" s="9" t="s">
        <v>3262</v>
      </c>
      <c r="H1315">
        <v>8100</v>
      </c>
      <c r="I1315">
        <v>8100</v>
      </c>
      <c r="J1315" s="21">
        <v>45658</v>
      </c>
      <c r="K1315" t="s">
        <v>67</v>
      </c>
      <c r="L1315" t="s">
        <v>68</v>
      </c>
      <c r="M1315" t="s">
        <v>69</v>
      </c>
      <c r="O1315">
        <v>0</v>
      </c>
      <c r="S1315" t="str">
        <f>TEXT(Table1[[#This Row],[Date]],"MMM-YY")</f>
        <v>Jan-25</v>
      </c>
      <c r="T1315">
        <f>_xlfn.ISOWEEKNUM(Table1[[#This Row],[Date]])</f>
        <v>4</v>
      </c>
      <c r="U1315" t="str">
        <f>TEXT(Table1[[#This Row],[Expected Business Month]],"YYYY")</f>
        <v>2025</v>
      </c>
    </row>
    <row r="1316" spans="1:21" hidden="1">
      <c r="A1316" s="1">
        <v>45681</v>
      </c>
      <c r="B1316" t="s">
        <v>3248</v>
      </c>
      <c r="C1316" t="s">
        <v>63</v>
      </c>
      <c r="D1316" t="s">
        <v>64</v>
      </c>
      <c r="E1316" t="s">
        <v>38</v>
      </c>
      <c r="F1316" t="s">
        <v>269</v>
      </c>
      <c r="G1316" s="9" t="s">
        <v>3263</v>
      </c>
      <c r="H1316">
        <v>19280</v>
      </c>
      <c r="I1316">
        <v>19280</v>
      </c>
      <c r="J1316" s="21">
        <v>45658</v>
      </c>
      <c r="K1316" t="s">
        <v>67</v>
      </c>
      <c r="L1316" t="s">
        <v>68</v>
      </c>
      <c r="M1316" t="s">
        <v>69</v>
      </c>
      <c r="O1316">
        <v>0</v>
      </c>
      <c r="S1316" t="str">
        <f>TEXT(Table1[[#This Row],[Date]],"MMM-YY")</f>
        <v>Jan-25</v>
      </c>
      <c r="T1316">
        <f>_xlfn.ISOWEEKNUM(Table1[[#This Row],[Date]])</f>
        <v>4</v>
      </c>
      <c r="U1316" t="str">
        <f>TEXT(Table1[[#This Row],[Expected Business Month]],"YYYY")</f>
        <v>2025</v>
      </c>
    </row>
    <row r="1317" spans="1:21" hidden="1">
      <c r="A1317" s="1">
        <v>45683</v>
      </c>
      <c r="B1317" t="s">
        <v>3264</v>
      </c>
      <c r="C1317" t="s">
        <v>96</v>
      </c>
      <c r="D1317" t="s">
        <v>64</v>
      </c>
      <c r="E1317" t="s">
        <v>27</v>
      </c>
      <c r="F1317" t="s">
        <v>133</v>
      </c>
      <c r="G1317" s="9" t="s">
        <v>3265</v>
      </c>
      <c r="H1317">
        <v>28179</v>
      </c>
      <c r="I1317">
        <v>28179</v>
      </c>
      <c r="J1317" s="21">
        <v>45658</v>
      </c>
      <c r="K1317" t="s">
        <v>67</v>
      </c>
      <c r="L1317" t="s">
        <v>68</v>
      </c>
      <c r="M1317" t="s">
        <v>69</v>
      </c>
      <c r="O1317">
        <v>0</v>
      </c>
      <c r="S1317" t="str">
        <f>TEXT(Table1[[#This Row],[Date]],"MMM-YY")</f>
        <v>Jan-25</v>
      </c>
      <c r="T1317">
        <f>_xlfn.ISOWEEKNUM(Table1[[#This Row],[Date]])</f>
        <v>4</v>
      </c>
      <c r="U1317" t="str">
        <f>TEXT(Table1[[#This Row],[Expected Business Month]],"YYYY")</f>
        <v>2025</v>
      </c>
    </row>
    <row r="1318" spans="1:21" hidden="1">
      <c r="A1318" s="1">
        <v>45683</v>
      </c>
      <c r="B1318" t="s">
        <v>1763</v>
      </c>
      <c r="C1318" t="s">
        <v>96</v>
      </c>
      <c r="D1318" t="s">
        <v>20</v>
      </c>
      <c r="E1318" t="s">
        <v>23</v>
      </c>
      <c r="F1318" t="s">
        <v>73</v>
      </c>
      <c r="G1318" s="9" t="s">
        <v>3265</v>
      </c>
      <c r="H1318">
        <v>13800</v>
      </c>
      <c r="I1318">
        <v>13800</v>
      </c>
      <c r="J1318" s="21">
        <v>45658</v>
      </c>
      <c r="K1318" t="s">
        <v>67</v>
      </c>
      <c r="L1318" t="s">
        <v>68</v>
      </c>
      <c r="M1318" t="s">
        <v>69</v>
      </c>
      <c r="O1318">
        <v>0</v>
      </c>
      <c r="S1318" t="str">
        <f>TEXT(Table1[[#This Row],[Date]],"MMM-YY")</f>
        <v>Jan-25</v>
      </c>
      <c r="T1318">
        <f>_xlfn.ISOWEEKNUM(Table1[[#This Row],[Date]])</f>
        <v>4</v>
      </c>
      <c r="U1318" t="str">
        <f>TEXT(Table1[[#This Row],[Expected Business Month]],"YYYY")</f>
        <v>2025</v>
      </c>
    </row>
    <row r="1319" spans="1:21" hidden="1">
      <c r="A1319" s="1">
        <v>45684</v>
      </c>
      <c r="B1319" t="s">
        <v>3266</v>
      </c>
      <c r="C1319" t="s">
        <v>63</v>
      </c>
      <c r="D1319" t="s">
        <v>64</v>
      </c>
      <c r="E1319" t="s">
        <v>32</v>
      </c>
      <c r="F1319" t="s">
        <v>2752</v>
      </c>
      <c r="G1319" s="9" t="s">
        <v>3267</v>
      </c>
      <c r="H1319">
        <v>5100</v>
      </c>
      <c r="I1319">
        <v>5100</v>
      </c>
      <c r="J1319" s="21">
        <v>45658</v>
      </c>
      <c r="K1319" t="s">
        <v>67</v>
      </c>
      <c r="L1319" t="s">
        <v>68</v>
      </c>
      <c r="M1319" t="s">
        <v>69</v>
      </c>
      <c r="O1319">
        <v>0</v>
      </c>
      <c r="S1319" t="str">
        <f>TEXT(Table1[[#This Row],[Date]],"MMM-YY")</f>
        <v>Jan-25</v>
      </c>
      <c r="T1319">
        <f>_xlfn.ISOWEEKNUM(Table1[[#This Row],[Date]])</f>
        <v>5</v>
      </c>
      <c r="U1319" t="str">
        <f>TEXT(Table1[[#This Row],[Expected Business Month]],"YYYY")</f>
        <v>2025</v>
      </c>
    </row>
    <row r="1320" spans="1:21" hidden="1">
      <c r="A1320" s="1">
        <v>45684</v>
      </c>
      <c r="B1320" t="s">
        <v>3248</v>
      </c>
      <c r="C1320" t="s">
        <v>63</v>
      </c>
      <c r="D1320" t="s">
        <v>64</v>
      </c>
      <c r="E1320" t="s">
        <v>38</v>
      </c>
      <c r="F1320" t="s">
        <v>269</v>
      </c>
      <c r="G1320" s="9" t="s">
        <v>3268</v>
      </c>
      <c r="H1320">
        <v>19870</v>
      </c>
      <c r="I1320">
        <v>19870</v>
      </c>
      <c r="J1320" s="21">
        <v>45658</v>
      </c>
      <c r="K1320" t="s">
        <v>67</v>
      </c>
      <c r="L1320" t="s">
        <v>68</v>
      </c>
      <c r="M1320" t="s">
        <v>69</v>
      </c>
      <c r="O1320">
        <v>0</v>
      </c>
      <c r="S1320" t="str">
        <f>TEXT(Table1[[#This Row],[Date]],"MMM-YY")</f>
        <v>Jan-25</v>
      </c>
      <c r="T1320">
        <f>_xlfn.ISOWEEKNUM(Table1[[#This Row],[Date]])</f>
        <v>5</v>
      </c>
      <c r="U1320" t="str">
        <f>TEXT(Table1[[#This Row],[Expected Business Month]],"YYYY")</f>
        <v>2025</v>
      </c>
    </row>
    <row r="1321" spans="1:21" hidden="1">
      <c r="A1321" s="1">
        <v>45684</v>
      </c>
      <c r="B1321" t="s">
        <v>3269</v>
      </c>
      <c r="C1321" t="s">
        <v>63</v>
      </c>
      <c r="D1321" t="s">
        <v>64</v>
      </c>
      <c r="E1321" t="s">
        <v>38</v>
      </c>
      <c r="F1321" t="s">
        <v>371</v>
      </c>
      <c r="G1321" s="9" t="s">
        <v>3268</v>
      </c>
      <c r="H1321">
        <v>8280</v>
      </c>
      <c r="I1321">
        <v>8280</v>
      </c>
      <c r="J1321" s="21">
        <v>45658</v>
      </c>
      <c r="K1321" t="s">
        <v>67</v>
      </c>
      <c r="L1321" t="s">
        <v>68</v>
      </c>
      <c r="M1321" t="s">
        <v>69</v>
      </c>
      <c r="O1321">
        <v>0</v>
      </c>
      <c r="S1321" t="str">
        <f>TEXT(Table1[[#This Row],[Date]],"MMM-YY")</f>
        <v>Jan-25</v>
      </c>
      <c r="T1321">
        <f>_xlfn.ISOWEEKNUM(Table1[[#This Row],[Date]])</f>
        <v>5</v>
      </c>
      <c r="U1321" t="str">
        <f>TEXT(Table1[[#This Row],[Expected Business Month]],"YYYY")</f>
        <v>2025</v>
      </c>
    </row>
    <row r="1322" spans="1:21" hidden="1">
      <c r="A1322" s="1">
        <v>45685</v>
      </c>
      <c r="B1322" t="s">
        <v>3248</v>
      </c>
      <c r="C1322" t="s">
        <v>63</v>
      </c>
      <c r="D1322" t="s">
        <v>64</v>
      </c>
      <c r="E1322" t="s">
        <v>38</v>
      </c>
      <c r="F1322" t="s">
        <v>269</v>
      </c>
      <c r="G1322" s="9" t="s">
        <v>3270</v>
      </c>
      <c r="H1322">
        <v>13270</v>
      </c>
      <c r="I1322">
        <v>13270</v>
      </c>
      <c r="J1322" s="21">
        <v>45658</v>
      </c>
      <c r="K1322" t="s">
        <v>67</v>
      </c>
      <c r="L1322" t="s">
        <v>68</v>
      </c>
      <c r="M1322" t="s">
        <v>69</v>
      </c>
      <c r="O1322">
        <v>0</v>
      </c>
      <c r="S1322" t="str">
        <f>TEXT(Table1[[#This Row],[Date]],"MMM-YY")</f>
        <v>Jan-25</v>
      </c>
      <c r="T1322">
        <f>_xlfn.ISOWEEKNUM(Table1[[#This Row],[Date]])</f>
        <v>5</v>
      </c>
      <c r="U1322" t="str">
        <f>TEXT(Table1[[#This Row],[Expected Business Month]],"YYYY")</f>
        <v>2025</v>
      </c>
    </row>
    <row r="1323" spans="1:21" hidden="1">
      <c r="A1323" s="1">
        <v>45685</v>
      </c>
      <c r="B1323" t="s">
        <v>3269</v>
      </c>
      <c r="C1323" t="s">
        <v>63</v>
      </c>
      <c r="D1323" t="s">
        <v>64</v>
      </c>
      <c r="E1323" t="s">
        <v>38</v>
      </c>
      <c r="F1323" t="s">
        <v>371</v>
      </c>
      <c r="G1323" s="9" t="s">
        <v>3270</v>
      </c>
      <c r="H1323">
        <v>16229</v>
      </c>
      <c r="I1323">
        <v>16229</v>
      </c>
      <c r="J1323" s="21">
        <v>45658</v>
      </c>
      <c r="K1323" t="s">
        <v>67</v>
      </c>
      <c r="L1323" t="s">
        <v>68</v>
      </c>
      <c r="M1323" t="s">
        <v>69</v>
      </c>
      <c r="O1323">
        <v>0</v>
      </c>
      <c r="S1323" t="str">
        <f>TEXT(Table1[[#This Row],[Date]],"MMM-YY")</f>
        <v>Jan-25</v>
      </c>
      <c r="T1323">
        <f>_xlfn.ISOWEEKNUM(Table1[[#This Row],[Date]])</f>
        <v>5</v>
      </c>
      <c r="U1323" t="str">
        <f>TEXT(Table1[[#This Row],[Expected Business Month]],"YYYY")</f>
        <v>2025</v>
      </c>
    </row>
    <row r="1324" spans="1:21" hidden="1">
      <c r="A1324" s="1">
        <v>45685</v>
      </c>
      <c r="B1324" t="s">
        <v>3271</v>
      </c>
      <c r="C1324" t="s">
        <v>63</v>
      </c>
      <c r="D1324" t="s">
        <v>105</v>
      </c>
      <c r="E1324" t="s">
        <v>18</v>
      </c>
      <c r="F1324" t="s">
        <v>744</v>
      </c>
      <c r="G1324" s="9" t="s">
        <v>3272</v>
      </c>
      <c r="H1324">
        <v>30000</v>
      </c>
      <c r="I1324">
        <v>0</v>
      </c>
      <c r="J1324" s="21">
        <v>45689</v>
      </c>
      <c r="K1324" t="s">
        <v>67</v>
      </c>
      <c r="L1324" t="s">
        <v>9</v>
      </c>
      <c r="M1324" t="s">
        <v>9</v>
      </c>
      <c r="N1324" t="s">
        <v>1145</v>
      </c>
      <c r="O1324">
        <v>0</v>
      </c>
      <c r="S1324" t="str">
        <f>TEXT(Table1[[#This Row],[Date]],"MMM-YY")</f>
        <v>Jan-25</v>
      </c>
      <c r="T1324">
        <f>_xlfn.ISOWEEKNUM(Table1[[#This Row],[Date]])</f>
        <v>5</v>
      </c>
      <c r="U1324" t="str">
        <f>TEXT(Table1[[#This Row],[Expected Business Month]],"YYYY")</f>
        <v>2025</v>
      </c>
    </row>
    <row r="1325" spans="1:21" hidden="1">
      <c r="A1325" s="1">
        <v>45686</v>
      </c>
      <c r="B1325" t="s">
        <v>3248</v>
      </c>
      <c r="C1325" t="s">
        <v>63</v>
      </c>
      <c r="D1325" t="s">
        <v>64</v>
      </c>
      <c r="E1325" t="s">
        <v>38</v>
      </c>
      <c r="F1325" t="s">
        <v>269</v>
      </c>
      <c r="G1325" s="9" t="s">
        <v>3273</v>
      </c>
      <c r="H1325">
        <v>14030</v>
      </c>
      <c r="I1325">
        <v>14030</v>
      </c>
      <c r="J1325" s="21">
        <v>45658</v>
      </c>
      <c r="K1325" t="s">
        <v>67</v>
      </c>
      <c r="L1325" t="s">
        <v>68</v>
      </c>
      <c r="M1325" t="s">
        <v>69</v>
      </c>
      <c r="O1325">
        <v>0</v>
      </c>
      <c r="S1325" t="str">
        <f>TEXT(Table1[[#This Row],[Date]],"MMM-YY")</f>
        <v>Jan-25</v>
      </c>
      <c r="T1325">
        <f>_xlfn.ISOWEEKNUM(Table1[[#This Row],[Date]])</f>
        <v>5</v>
      </c>
      <c r="U1325" t="str">
        <f>TEXT(Table1[[#This Row],[Expected Business Month]],"YYYY")</f>
        <v>2025</v>
      </c>
    </row>
    <row r="1326" spans="1:21" hidden="1">
      <c r="A1326" s="1">
        <v>45686</v>
      </c>
      <c r="B1326" t="s">
        <v>3269</v>
      </c>
      <c r="C1326" t="s">
        <v>63</v>
      </c>
      <c r="D1326" t="s">
        <v>64</v>
      </c>
      <c r="E1326" t="s">
        <v>38</v>
      </c>
      <c r="F1326" t="s">
        <v>371</v>
      </c>
      <c r="G1326" s="9" t="s">
        <v>3273</v>
      </c>
      <c r="H1326">
        <v>22986</v>
      </c>
      <c r="I1326">
        <v>22986</v>
      </c>
      <c r="J1326" s="21">
        <v>45658</v>
      </c>
      <c r="K1326" t="s">
        <v>67</v>
      </c>
      <c r="L1326" t="s">
        <v>68</v>
      </c>
      <c r="M1326" t="s">
        <v>69</v>
      </c>
      <c r="O1326">
        <v>0</v>
      </c>
      <c r="S1326" t="str">
        <f>TEXT(Table1[[#This Row],[Date]],"MMM-YY")</f>
        <v>Jan-25</v>
      </c>
      <c r="T1326">
        <f>_xlfn.ISOWEEKNUM(Table1[[#This Row],[Date]])</f>
        <v>5</v>
      </c>
      <c r="U1326" t="str">
        <f>TEXT(Table1[[#This Row],[Expected Business Month]],"YYYY")</f>
        <v>2025</v>
      </c>
    </row>
    <row r="1327" spans="1:21" hidden="1">
      <c r="A1327" s="1">
        <v>45686</v>
      </c>
      <c r="B1327" t="s">
        <v>2982</v>
      </c>
      <c r="C1327" t="s">
        <v>63</v>
      </c>
      <c r="D1327" t="s">
        <v>105</v>
      </c>
      <c r="E1327" t="s">
        <v>18</v>
      </c>
      <c r="F1327" t="s">
        <v>3274</v>
      </c>
      <c r="G1327" s="9" t="s">
        <v>3275</v>
      </c>
      <c r="H1327">
        <v>30000</v>
      </c>
      <c r="I1327">
        <v>0</v>
      </c>
      <c r="J1327" s="21">
        <v>45689</v>
      </c>
      <c r="K1327" t="s">
        <v>67</v>
      </c>
      <c r="L1327" t="s">
        <v>9</v>
      </c>
      <c r="M1327" t="s">
        <v>9</v>
      </c>
      <c r="N1327" t="s">
        <v>3276</v>
      </c>
      <c r="O1327">
        <v>0</v>
      </c>
      <c r="S1327" t="str">
        <f>TEXT(Table1[[#This Row],[Date]],"MMM-YY")</f>
        <v>Jan-25</v>
      </c>
      <c r="T1327">
        <f>_xlfn.ISOWEEKNUM(Table1[[#This Row],[Date]])</f>
        <v>5</v>
      </c>
      <c r="U1327" t="str">
        <f>TEXT(Table1[[#This Row],[Expected Business Month]],"YYYY")</f>
        <v>2025</v>
      </c>
    </row>
    <row r="1328" spans="1:21" hidden="1">
      <c r="A1328" s="1">
        <v>45686</v>
      </c>
      <c r="B1328" t="s">
        <v>3277</v>
      </c>
      <c r="C1328" t="s">
        <v>63</v>
      </c>
      <c r="D1328" t="s">
        <v>64</v>
      </c>
      <c r="E1328" t="s">
        <v>41</v>
      </c>
      <c r="F1328" t="s">
        <v>2247</v>
      </c>
      <c r="G1328" s="9" t="s">
        <v>3278</v>
      </c>
      <c r="H1328">
        <v>14480</v>
      </c>
      <c r="I1328">
        <v>0</v>
      </c>
      <c r="J1328" s="21">
        <v>45658</v>
      </c>
      <c r="K1328" t="s">
        <v>67</v>
      </c>
      <c r="L1328" t="s">
        <v>9</v>
      </c>
      <c r="M1328" t="s">
        <v>9</v>
      </c>
      <c r="O1328">
        <v>0</v>
      </c>
      <c r="S1328" t="str">
        <f>TEXT(Table1[[#This Row],[Date]],"MMM-YY")</f>
        <v>Jan-25</v>
      </c>
      <c r="T1328">
        <f>_xlfn.ISOWEEKNUM(Table1[[#This Row],[Date]])</f>
        <v>5</v>
      </c>
      <c r="U1328" t="str">
        <f>TEXT(Table1[[#This Row],[Expected Business Month]],"YYYY")</f>
        <v>2025</v>
      </c>
    </row>
    <row r="1329" spans="1:21" hidden="1">
      <c r="A1329" s="1">
        <v>45687</v>
      </c>
      <c r="B1329" t="s">
        <v>3248</v>
      </c>
      <c r="C1329" t="s">
        <v>63</v>
      </c>
      <c r="D1329" t="s">
        <v>64</v>
      </c>
      <c r="E1329" t="s">
        <v>38</v>
      </c>
      <c r="F1329" t="s">
        <v>269</v>
      </c>
      <c r="G1329" s="9" t="s">
        <v>3279</v>
      </c>
      <c r="H1329">
        <v>18720</v>
      </c>
      <c r="I1329">
        <v>18720</v>
      </c>
      <c r="J1329" s="21">
        <v>45658</v>
      </c>
      <c r="K1329" t="s">
        <v>67</v>
      </c>
      <c r="L1329" t="s">
        <v>68</v>
      </c>
      <c r="M1329" t="s">
        <v>69</v>
      </c>
      <c r="O1329">
        <v>0</v>
      </c>
      <c r="S1329" t="str">
        <f>TEXT(Table1[[#This Row],[Date]],"MMM-YY")</f>
        <v>Jan-25</v>
      </c>
      <c r="T1329">
        <f>_xlfn.ISOWEEKNUM(Table1[[#This Row],[Date]])</f>
        <v>5</v>
      </c>
      <c r="U1329" t="str">
        <f>TEXT(Table1[[#This Row],[Expected Business Month]],"YYYY")</f>
        <v>2025</v>
      </c>
    </row>
    <row r="1330" spans="1:21" hidden="1">
      <c r="A1330" s="1">
        <v>45687</v>
      </c>
      <c r="B1330" t="s">
        <v>3269</v>
      </c>
      <c r="C1330" t="s">
        <v>63</v>
      </c>
      <c r="D1330" t="s">
        <v>64</v>
      </c>
      <c r="E1330" t="s">
        <v>38</v>
      </c>
      <c r="F1330" t="s">
        <v>371</v>
      </c>
      <c r="G1330" s="9" t="s">
        <v>3279</v>
      </c>
      <c r="H1330">
        <v>19285</v>
      </c>
      <c r="I1330">
        <v>19285</v>
      </c>
      <c r="J1330" s="21">
        <v>45658</v>
      </c>
      <c r="K1330" t="s">
        <v>67</v>
      </c>
      <c r="L1330" t="s">
        <v>68</v>
      </c>
      <c r="M1330" t="s">
        <v>69</v>
      </c>
      <c r="O1330">
        <v>0</v>
      </c>
      <c r="S1330" t="str">
        <f>TEXT(Table1[[#This Row],[Date]],"MMM-YY")</f>
        <v>Jan-25</v>
      </c>
      <c r="T1330">
        <f>_xlfn.ISOWEEKNUM(Table1[[#This Row],[Date]])</f>
        <v>5</v>
      </c>
      <c r="U1330" t="str">
        <f>TEXT(Table1[[#This Row],[Expected Business Month]],"YYYY")</f>
        <v>2025</v>
      </c>
    </row>
    <row r="1331" spans="1:21" hidden="1">
      <c r="A1331" s="1">
        <v>45687</v>
      </c>
      <c r="B1331" t="s">
        <v>2926</v>
      </c>
      <c r="C1331" t="s">
        <v>63</v>
      </c>
      <c r="D1331" t="s">
        <v>64</v>
      </c>
      <c r="E1331" t="s">
        <v>29</v>
      </c>
      <c r="F1331" t="s">
        <v>3280</v>
      </c>
      <c r="G1331" s="9" t="s">
        <v>3281</v>
      </c>
      <c r="H1331">
        <v>268000</v>
      </c>
      <c r="I1331">
        <v>268000</v>
      </c>
      <c r="J1331" s="21">
        <v>45689</v>
      </c>
      <c r="K1331" t="s">
        <v>67</v>
      </c>
      <c r="L1331" t="s">
        <v>68</v>
      </c>
      <c r="M1331" t="s">
        <v>69</v>
      </c>
      <c r="O1331">
        <v>0</v>
      </c>
      <c r="S1331" t="str">
        <f>TEXT(Table1[[#This Row],[Date]],"MMM-YY")</f>
        <v>Jan-25</v>
      </c>
      <c r="T1331">
        <f>_xlfn.ISOWEEKNUM(Table1[[#This Row],[Date]])</f>
        <v>5</v>
      </c>
      <c r="U1331" t="str">
        <f>TEXT(Table1[[#This Row],[Expected Business Month]],"YYYY")</f>
        <v>2025</v>
      </c>
    </row>
    <row r="1332" spans="1:21" hidden="1">
      <c r="A1332" s="1">
        <v>45688</v>
      </c>
      <c r="B1332" t="s">
        <v>3248</v>
      </c>
      <c r="C1332" t="s">
        <v>63</v>
      </c>
      <c r="D1332" t="s">
        <v>64</v>
      </c>
      <c r="E1332" t="s">
        <v>38</v>
      </c>
      <c r="F1332" t="s">
        <v>269</v>
      </c>
      <c r="G1332" s="9" t="s">
        <v>3282</v>
      </c>
      <c r="H1332">
        <v>25570</v>
      </c>
      <c r="I1332">
        <v>25570</v>
      </c>
      <c r="J1332" s="21">
        <v>45658</v>
      </c>
      <c r="K1332" t="s">
        <v>67</v>
      </c>
      <c r="L1332" t="s">
        <v>68</v>
      </c>
      <c r="M1332" t="s">
        <v>69</v>
      </c>
      <c r="O1332">
        <v>0</v>
      </c>
      <c r="S1332" t="str">
        <f>TEXT(Table1[[#This Row],[Date]],"MMM-YY")</f>
        <v>Jan-25</v>
      </c>
      <c r="T1332">
        <f>_xlfn.ISOWEEKNUM(Table1[[#This Row],[Date]])</f>
        <v>5</v>
      </c>
      <c r="U1332" t="str">
        <f>TEXT(Table1[[#This Row],[Expected Business Month]],"YYYY")</f>
        <v>2025</v>
      </c>
    </row>
    <row r="1333" spans="1:21" hidden="1">
      <c r="A1333" s="1">
        <v>45688</v>
      </c>
      <c r="B1333" t="s">
        <v>3269</v>
      </c>
      <c r="C1333" t="s">
        <v>63</v>
      </c>
      <c r="D1333" t="s">
        <v>64</v>
      </c>
      <c r="E1333" t="s">
        <v>38</v>
      </c>
      <c r="F1333" t="s">
        <v>371</v>
      </c>
      <c r="G1333" s="9" t="s">
        <v>3282</v>
      </c>
      <c r="H1333">
        <v>18681</v>
      </c>
      <c r="I1333">
        <v>18681</v>
      </c>
      <c r="J1333" s="21">
        <v>45658</v>
      </c>
      <c r="K1333" t="s">
        <v>67</v>
      </c>
      <c r="L1333" t="s">
        <v>68</v>
      </c>
      <c r="M1333" t="s">
        <v>69</v>
      </c>
      <c r="O1333">
        <v>0</v>
      </c>
      <c r="S1333" t="str">
        <f>TEXT(Table1[[#This Row],[Date]],"MMM-YY")</f>
        <v>Jan-25</v>
      </c>
      <c r="T1333">
        <f>_xlfn.ISOWEEKNUM(Table1[[#This Row],[Date]])</f>
        <v>5</v>
      </c>
      <c r="U1333" t="str">
        <f>TEXT(Table1[[#This Row],[Expected Business Month]],"YYYY")</f>
        <v>2025</v>
      </c>
    </row>
    <row r="1334" spans="1:21" hidden="1">
      <c r="A1334" s="1">
        <v>45688</v>
      </c>
      <c r="B1334" t="s">
        <v>1698</v>
      </c>
      <c r="C1334" t="s">
        <v>63</v>
      </c>
      <c r="D1334" t="s">
        <v>105</v>
      </c>
      <c r="E1334" t="s">
        <v>18</v>
      </c>
      <c r="F1334" t="s">
        <v>3283</v>
      </c>
      <c r="G1334" s="9" t="s">
        <v>3284</v>
      </c>
      <c r="H1334">
        <v>0</v>
      </c>
      <c r="I1334">
        <v>0</v>
      </c>
      <c r="J1334" s="21">
        <v>45689</v>
      </c>
      <c r="K1334" t="s">
        <v>67</v>
      </c>
      <c r="L1334" t="s">
        <v>68</v>
      </c>
      <c r="M1334" t="s">
        <v>69</v>
      </c>
      <c r="O1334">
        <v>0</v>
      </c>
      <c r="S1334" t="str">
        <f>TEXT(Table1[[#This Row],[Date]],"MMM-YY")</f>
        <v>Jan-25</v>
      </c>
      <c r="T1334">
        <f>_xlfn.ISOWEEKNUM(Table1[[#This Row],[Date]])</f>
        <v>5</v>
      </c>
      <c r="U1334" t="str">
        <f>TEXT(Table1[[#This Row],[Expected Business Month]],"YYYY")</f>
        <v>2025</v>
      </c>
    </row>
    <row r="1335" spans="1:21" hidden="1">
      <c r="A1335" s="1">
        <v>45691</v>
      </c>
      <c r="B1335" t="s">
        <v>3248</v>
      </c>
      <c r="C1335" t="s">
        <v>63</v>
      </c>
      <c r="D1335" t="s">
        <v>64</v>
      </c>
      <c r="E1335" t="s">
        <v>38</v>
      </c>
      <c r="F1335" t="s">
        <v>269</v>
      </c>
      <c r="G1335" s="9" t="s">
        <v>3285</v>
      </c>
      <c r="H1335">
        <v>6700</v>
      </c>
      <c r="I1335">
        <v>6700</v>
      </c>
      <c r="J1335" s="21">
        <v>45689</v>
      </c>
      <c r="K1335" t="s">
        <v>67</v>
      </c>
      <c r="L1335" t="s">
        <v>68</v>
      </c>
      <c r="M1335" t="s">
        <v>69</v>
      </c>
      <c r="O1335">
        <v>0</v>
      </c>
      <c r="S1335" t="str">
        <f>TEXT(Table1[[#This Row],[Date]],"MMM-YY")</f>
        <v>Feb-25</v>
      </c>
      <c r="T1335">
        <f>_xlfn.ISOWEEKNUM(Table1[[#This Row],[Date]])</f>
        <v>6</v>
      </c>
      <c r="U1335" t="str">
        <f>TEXT(Table1[[#This Row],[Expected Business Month]],"YYYY")</f>
        <v>2025</v>
      </c>
    </row>
    <row r="1336" spans="1:21" hidden="1">
      <c r="A1336" s="1">
        <v>45691</v>
      </c>
      <c r="B1336" t="s">
        <v>3269</v>
      </c>
      <c r="C1336" t="s">
        <v>63</v>
      </c>
      <c r="D1336" t="s">
        <v>64</v>
      </c>
      <c r="E1336" t="s">
        <v>38</v>
      </c>
      <c r="F1336" t="s">
        <v>371</v>
      </c>
      <c r="G1336" s="9" t="s">
        <v>3285</v>
      </c>
      <c r="H1336">
        <v>9306</v>
      </c>
      <c r="I1336">
        <v>9306</v>
      </c>
      <c r="J1336" s="21">
        <v>45689</v>
      </c>
      <c r="K1336" t="s">
        <v>67</v>
      </c>
      <c r="L1336" t="s">
        <v>68</v>
      </c>
      <c r="M1336" t="s">
        <v>69</v>
      </c>
      <c r="O1336">
        <v>0</v>
      </c>
      <c r="S1336" t="str">
        <f>TEXT(Table1[[#This Row],[Date]],"MMM-YY")</f>
        <v>Feb-25</v>
      </c>
      <c r="T1336">
        <f>_xlfn.ISOWEEKNUM(Table1[[#This Row],[Date]])</f>
        <v>6</v>
      </c>
      <c r="U1336" t="str">
        <f>TEXT(Table1[[#This Row],[Expected Business Month]],"YYYY")</f>
        <v>2025</v>
      </c>
    </row>
    <row r="1337" spans="1:21" hidden="1">
      <c r="A1337" s="1">
        <v>45691</v>
      </c>
      <c r="B1337" t="s">
        <v>3286</v>
      </c>
      <c r="C1337" t="s">
        <v>3287</v>
      </c>
      <c r="D1337" t="s">
        <v>64</v>
      </c>
      <c r="E1337" t="s">
        <v>28</v>
      </c>
      <c r="F1337" t="s">
        <v>3288</v>
      </c>
      <c r="G1337" s="9" t="s">
        <v>3289</v>
      </c>
      <c r="H1337">
        <v>14755</v>
      </c>
      <c r="I1337">
        <v>14755</v>
      </c>
      <c r="J1337" s="21">
        <v>45689</v>
      </c>
      <c r="K1337" t="s">
        <v>67</v>
      </c>
      <c r="L1337" t="s">
        <v>68</v>
      </c>
      <c r="M1337" t="s">
        <v>69</v>
      </c>
      <c r="O1337">
        <v>0</v>
      </c>
      <c r="S1337" t="str">
        <f>TEXT(Table1[[#This Row],[Date]],"MMM-YY")</f>
        <v>Feb-25</v>
      </c>
      <c r="T1337">
        <f>_xlfn.ISOWEEKNUM(Table1[[#This Row],[Date]])</f>
        <v>6</v>
      </c>
      <c r="U1337" t="str">
        <f>TEXT(Table1[[#This Row],[Expected Business Month]],"YYYY")</f>
        <v>2025</v>
      </c>
    </row>
    <row r="1338" spans="1:21" hidden="1">
      <c r="A1338" s="1">
        <v>45692</v>
      </c>
      <c r="B1338" t="s">
        <v>3248</v>
      </c>
      <c r="C1338" t="s">
        <v>63</v>
      </c>
      <c r="D1338" t="s">
        <v>64</v>
      </c>
      <c r="E1338" t="s">
        <v>38</v>
      </c>
      <c r="F1338" t="s">
        <v>269</v>
      </c>
      <c r="G1338" s="9" t="s">
        <v>3290</v>
      </c>
      <c r="H1338">
        <v>9160</v>
      </c>
      <c r="I1338">
        <v>9160</v>
      </c>
      <c r="J1338" s="21">
        <v>45689</v>
      </c>
      <c r="K1338" t="s">
        <v>67</v>
      </c>
      <c r="L1338" t="s">
        <v>68</v>
      </c>
      <c r="M1338" t="s">
        <v>69</v>
      </c>
      <c r="O1338">
        <v>0</v>
      </c>
      <c r="S1338" t="str">
        <f>TEXT(Table1[[#This Row],[Date]],"MMM-YY")</f>
        <v>Feb-25</v>
      </c>
      <c r="T1338">
        <f>_xlfn.ISOWEEKNUM(Table1[[#This Row],[Date]])</f>
        <v>6</v>
      </c>
      <c r="U1338" t="str">
        <f>TEXT(Table1[[#This Row],[Expected Business Month]],"YYYY")</f>
        <v>2025</v>
      </c>
    </row>
    <row r="1339" spans="1:21" hidden="1">
      <c r="A1339" s="1">
        <v>45692</v>
      </c>
      <c r="B1339" t="s">
        <v>3269</v>
      </c>
      <c r="C1339" t="s">
        <v>63</v>
      </c>
      <c r="D1339" t="s">
        <v>64</v>
      </c>
      <c r="E1339" t="s">
        <v>38</v>
      </c>
      <c r="F1339" t="s">
        <v>371</v>
      </c>
      <c r="G1339" s="9" t="s">
        <v>3291</v>
      </c>
      <c r="H1339">
        <v>13264</v>
      </c>
      <c r="I1339">
        <v>13264</v>
      </c>
      <c r="J1339" s="21">
        <v>45689</v>
      </c>
      <c r="K1339" t="s">
        <v>67</v>
      </c>
      <c r="L1339" t="s">
        <v>68</v>
      </c>
      <c r="M1339" t="s">
        <v>69</v>
      </c>
      <c r="O1339">
        <v>0</v>
      </c>
      <c r="S1339" t="str">
        <f>TEXT(Table1[[#This Row],[Date]],"MMM-YY")</f>
        <v>Feb-25</v>
      </c>
      <c r="T1339">
        <f>_xlfn.ISOWEEKNUM(Table1[[#This Row],[Date]])</f>
        <v>6</v>
      </c>
      <c r="U1339" t="str">
        <f>TEXT(Table1[[#This Row],[Expected Business Month]],"YYYY")</f>
        <v>2025</v>
      </c>
    </row>
    <row r="1340" spans="1:21" hidden="1">
      <c r="A1340" s="1">
        <v>45692</v>
      </c>
      <c r="B1340" t="s">
        <v>3292</v>
      </c>
      <c r="C1340" t="s">
        <v>96</v>
      </c>
      <c r="D1340" t="s">
        <v>20</v>
      </c>
      <c r="E1340" t="s">
        <v>23</v>
      </c>
      <c r="F1340" t="s">
        <v>3293</v>
      </c>
      <c r="G1340" s="9" t="s">
        <v>3294</v>
      </c>
      <c r="H1340">
        <v>16155</v>
      </c>
      <c r="I1340">
        <v>16155</v>
      </c>
      <c r="J1340" s="21">
        <v>45689</v>
      </c>
      <c r="K1340" t="s">
        <v>67</v>
      </c>
      <c r="L1340" t="s">
        <v>68</v>
      </c>
      <c r="M1340" t="s">
        <v>69</v>
      </c>
      <c r="O1340">
        <v>0</v>
      </c>
      <c r="S1340" t="str">
        <f>TEXT(Table1[[#This Row],[Date]],"MMM-YY")</f>
        <v>Feb-25</v>
      </c>
      <c r="T1340">
        <f>_xlfn.ISOWEEKNUM(Table1[[#This Row],[Date]])</f>
        <v>6</v>
      </c>
      <c r="U1340" t="str">
        <f>TEXT(Table1[[#This Row],[Expected Business Month]],"YYYY")</f>
        <v>2025</v>
      </c>
    </row>
    <row r="1341" spans="1:21" hidden="1">
      <c r="A1341" s="1">
        <v>45693</v>
      </c>
      <c r="B1341" t="s">
        <v>3248</v>
      </c>
      <c r="C1341" t="s">
        <v>63</v>
      </c>
      <c r="D1341" t="s">
        <v>64</v>
      </c>
      <c r="E1341" t="s">
        <v>38</v>
      </c>
      <c r="F1341" t="s">
        <v>269</v>
      </c>
      <c r="G1341" s="9" t="s">
        <v>3295</v>
      </c>
      <c r="H1341">
        <v>14140</v>
      </c>
      <c r="I1341">
        <v>14140</v>
      </c>
      <c r="J1341" s="21">
        <v>45689</v>
      </c>
      <c r="K1341" t="s">
        <v>67</v>
      </c>
      <c r="L1341" t="s">
        <v>68</v>
      </c>
      <c r="M1341" t="s">
        <v>69</v>
      </c>
      <c r="O1341">
        <v>0</v>
      </c>
      <c r="S1341" t="str">
        <f>TEXT(Table1[[#This Row],[Date]],"MMM-YY")</f>
        <v>Feb-25</v>
      </c>
      <c r="T1341">
        <f>_xlfn.ISOWEEKNUM(Table1[[#This Row],[Date]])</f>
        <v>6</v>
      </c>
      <c r="U1341" t="str">
        <f>TEXT(Table1[[#This Row],[Expected Business Month]],"YYYY")</f>
        <v>2025</v>
      </c>
    </row>
    <row r="1342" spans="1:21" hidden="1">
      <c r="A1342" s="1">
        <v>45693</v>
      </c>
      <c r="B1342" t="s">
        <v>3269</v>
      </c>
      <c r="C1342" t="s">
        <v>63</v>
      </c>
      <c r="D1342" t="s">
        <v>64</v>
      </c>
      <c r="E1342" t="s">
        <v>38</v>
      </c>
      <c r="F1342" t="s">
        <v>371</v>
      </c>
      <c r="G1342" s="9" t="s">
        <v>3295</v>
      </c>
      <c r="H1342">
        <v>14749</v>
      </c>
      <c r="I1342">
        <v>14749</v>
      </c>
      <c r="J1342" s="21">
        <v>45689</v>
      </c>
      <c r="K1342" t="s">
        <v>67</v>
      </c>
      <c r="L1342" t="s">
        <v>68</v>
      </c>
      <c r="M1342" t="s">
        <v>69</v>
      </c>
      <c r="O1342">
        <v>0</v>
      </c>
      <c r="S1342" t="str">
        <f>TEXT(Table1[[#This Row],[Date]],"MMM-YY")</f>
        <v>Feb-25</v>
      </c>
      <c r="T1342">
        <f>_xlfn.ISOWEEKNUM(Table1[[#This Row],[Date]])</f>
        <v>6</v>
      </c>
      <c r="U1342" t="str">
        <f>TEXT(Table1[[#This Row],[Expected Business Month]],"YYYY")</f>
        <v>2025</v>
      </c>
    </row>
    <row r="1343" spans="1:21" hidden="1">
      <c r="A1343" s="1">
        <v>45693</v>
      </c>
      <c r="B1343" t="s">
        <v>95</v>
      </c>
      <c r="C1343" t="s">
        <v>96</v>
      </c>
      <c r="D1343" t="s">
        <v>64</v>
      </c>
      <c r="E1343" t="s">
        <v>38</v>
      </c>
      <c r="F1343" t="s">
        <v>97</v>
      </c>
      <c r="G1343" s="9" t="s">
        <v>3296</v>
      </c>
      <c r="H1343">
        <v>29919</v>
      </c>
      <c r="I1343">
        <v>29919</v>
      </c>
      <c r="J1343" s="21">
        <v>45689</v>
      </c>
      <c r="K1343" t="s">
        <v>99</v>
      </c>
      <c r="L1343" t="s">
        <v>68</v>
      </c>
      <c r="M1343" t="s">
        <v>69</v>
      </c>
      <c r="O1343">
        <v>0</v>
      </c>
      <c r="S1343" t="str">
        <f>TEXT(Table1[[#This Row],[Date]],"MMM-YY")</f>
        <v>Feb-25</v>
      </c>
      <c r="T1343">
        <f>_xlfn.ISOWEEKNUM(Table1[[#This Row],[Date]])</f>
        <v>6</v>
      </c>
      <c r="U1343" t="str">
        <f>TEXT(Table1[[#This Row],[Expected Business Month]],"YYYY")</f>
        <v>2025</v>
      </c>
    </row>
    <row r="1344" spans="1:21" hidden="1">
      <c r="A1344" s="1">
        <v>45693</v>
      </c>
      <c r="B1344" t="s">
        <v>324</v>
      </c>
      <c r="C1344" t="s">
        <v>96</v>
      </c>
      <c r="D1344" t="s">
        <v>64</v>
      </c>
      <c r="E1344" t="s">
        <v>38</v>
      </c>
      <c r="F1344" t="s">
        <v>325</v>
      </c>
      <c r="G1344" s="9" t="s">
        <v>3297</v>
      </c>
      <c r="H1344">
        <v>39619</v>
      </c>
      <c r="I1344">
        <v>39619</v>
      </c>
      <c r="J1344" s="21">
        <v>45689</v>
      </c>
      <c r="K1344" t="s">
        <v>99</v>
      </c>
      <c r="L1344" t="s">
        <v>68</v>
      </c>
      <c r="M1344" t="s">
        <v>69</v>
      </c>
      <c r="O1344">
        <v>0</v>
      </c>
      <c r="S1344" t="str">
        <f>TEXT(Table1[[#This Row],[Date]],"MMM-YY")</f>
        <v>Feb-25</v>
      </c>
      <c r="T1344">
        <f>_xlfn.ISOWEEKNUM(Table1[[#This Row],[Date]])</f>
        <v>6</v>
      </c>
      <c r="U1344" t="str">
        <f>TEXT(Table1[[#This Row],[Expected Business Month]],"YYYY")</f>
        <v>2025</v>
      </c>
    </row>
    <row r="1345" spans="1:21" hidden="1">
      <c r="A1345" s="1">
        <v>45694</v>
      </c>
      <c r="B1345" t="s">
        <v>3248</v>
      </c>
      <c r="C1345" t="s">
        <v>63</v>
      </c>
      <c r="D1345" t="s">
        <v>64</v>
      </c>
      <c r="E1345" t="s">
        <v>38</v>
      </c>
      <c r="F1345" t="s">
        <v>269</v>
      </c>
      <c r="G1345" s="9" t="s">
        <v>3298</v>
      </c>
      <c r="H1345">
        <v>11510</v>
      </c>
      <c r="I1345">
        <v>11510</v>
      </c>
      <c r="J1345" s="21">
        <v>45689</v>
      </c>
      <c r="K1345" t="s">
        <v>67</v>
      </c>
      <c r="L1345" t="s">
        <v>68</v>
      </c>
      <c r="M1345" t="s">
        <v>69</v>
      </c>
      <c r="O1345">
        <v>0</v>
      </c>
      <c r="S1345" t="str">
        <f>TEXT(Table1[[#This Row],[Date]],"MMM-YY")</f>
        <v>Feb-25</v>
      </c>
      <c r="T1345">
        <f>_xlfn.ISOWEEKNUM(Table1[[#This Row],[Date]])</f>
        <v>6</v>
      </c>
      <c r="U1345" t="str">
        <f>TEXT(Table1[[#This Row],[Expected Business Month]],"YYYY")</f>
        <v>2025</v>
      </c>
    </row>
    <row r="1346" spans="1:21" hidden="1">
      <c r="A1346" s="1">
        <v>45694</v>
      </c>
      <c r="B1346" t="s">
        <v>3269</v>
      </c>
      <c r="C1346" t="s">
        <v>63</v>
      </c>
      <c r="D1346" t="s">
        <v>64</v>
      </c>
      <c r="E1346" t="s">
        <v>38</v>
      </c>
      <c r="F1346" t="s">
        <v>371</v>
      </c>
      <c r="G1346" s="9" t="s">
        <v>3298</v>
      </c>
      <c r="H1346">
        <v>13850</v>
      </c>
      <c r="I1346">
        <v>13850</v>
      </c>
      <c r="J1346" s="21">
        <v>45689</v>
      </c>
      <c r="K1346" t="s">
        <v>67</v>
      </c>
      <c r="L1346" t="s">
        <v>68</v>
      </c>
      <c r="M1346" t="s">
        <v>69</v>
      </c>
      <c r="O1346">
        <v>0</v>
      </c>
      <c r="S1346" t="str">
        <f>TEXT(Table1[[#This Row],[Date]],"MMM-YY")</f>
        <v>Feb-25</v>
      </c>
      <c r="T1346">
        <f>_xlfn.ISOWEEKNUM(Table1[[#This Row],[Date]])</f>
        <v>6</v>
      </c>
      <c r="U1346" t="str">
        <f>TEXT(Table1[[#This Row],[Expected Business Month]],"YYYY")</f>
        <v>2025</v>
      </c>
    </row>
    <row r="1347" spans="1:21" hidden="1">
      <c r="A1347" s="1">
        <v>45694</v>
      </c>
      <c r="B1347" t="s">
        <v>3299</v>
      </c>
      <c r="C1347" t="s">
        <v>63</v>
      </c>
      <c r="D1347" t="s">
        <v>105</v>
      </c>
      <c r="E1347" t="s">
        <v>18</v>
      </c>
      <c r="F1347" t="s">
        <v>3283</v>
      </c>
      <c r="G1347" s="9" t="s">
        <v>3300</v>
      </c>
      <c r="H1347">
        <v>133000</v>
      </c>
      <c r="I1347">
        <v>133000</v>
      </c>
      <c r="J1347" s="21">
        <v>45689</v>
      </c>
      <c r="K1347" t="s">
        <v>67</v>
      </c>
      <c r="L1347" t="s">
        <v>68</v>
      </c>
      <c r="M1347" t="s">
        <v>69</v>
      </c>
      <c r="O1347">
        <v>0</v>
      </c>
      <c r="S1347" t="str">
        <f>TEXT(Table1[[#This Row],[Date]],"MMM-YY")</f>
        <v>Feb-25</v>
      </c>
      <c r="T1347">
        <f>_xlfn.ISOWEEKNUM(Table1[[#This Row],[Date]])</f>
        <v>6</v>
      </c>
      <c r="U1347" t="str">
        <f>TEXT(Table1[[#This Row],[Expected Business Month]],"YYYY")</f>
        <v>2025</v>
      </c>
    </row>
    <row r="1348" spans="1:21" hidden="1">
      <c r="A1348" s="1">
        <v>45694</v>
      </c>
      <c r="B1348" t="s">
        <v>3301</v>
      </c>
      <c r="C1348" t="s">
        <v>96</v>
      </c>
      <c r="D1348" t="s">
        <v>2681</v>
      </c>
      <c r="E1348" t="s">
        <v>32</v>
      </c>
      <c r="F1348" t="s">
        <v>3033</v>
      </c>
      <c r="G1348" s="9" t="s">
        <v>3302</v>
      </c>
      <c r="H1348">
        <v>27903</v>
      </c>
      <c r="I1348">
        <v>27903</v>
      </c>
      <c r="J1348" s="21">
        <v>45689</v>
      </c>
      <c r="K1348" t="s">
        <v>67</v>
      </c>
      <c r="L1348" t="s">
        <v>68</v>
      </c>
      <c r="M1348" t="s">
        <v>69</v>
      </c>
      <c r="O1348">
        <v>0</v>
      </c>
      <c r="S1348" t="str">
        <f>TEXT(Table1[[#This Row],[Date]],"MMM-YY")</f>
        <v>Feb-25</v>
      </c>
      <c r="T1348">
        <f>_xlfn.ISOWEEKNUM(Table1[[#This Row],[Date]])</f>
        <v>6</v>
      </c>
      <c r="U1348" t="str">
        <f>TEXT(Table1[[#This Row],[Expected Business Month]],"YYYY")</f>
        <v>2025</v>
      </c>
    </row>
    <row r="1349" spans="1:21" hidden="1">
      <c r="A1349" s="1">
        <v>45694</v>
      </c>
      <c r="B1349" t="s">
        <v>3303</v>
      </c>
      <c r="C1349" t="s">
        <v>96</v>
      </c>
      <c r="D1349" t="s">
        <v>20</v>
      </c>
      <c r="E1349" t="s">
        <v>23</v>
      </c>
      <c r="F1349" t="s">
        <v>3304</v>
      </c>
      <c r="G1349" s="9" t="s">
        <v>3302</v>
      </c>
      <c r="H1349">
        <v>5252</v>
      </c>
      <c r="I1349">
        <v>5252</v>
      </c>
      <c r="J1349" s="21">
        <v>45689</v>
      </c>
      <c r="K1349" t="s">
        <v>67</v>
      </c>
      <c r="L1349" t="s">
        <v>68</v>
      </c>
      <c r="M1349" t="s">
        <v>69</v>
      </c>
      <c r="O1349">
        <v>0</v>
      </c>
      <c r="S1349" t="str">
        <f>TEXT(Table1[[#This Row],[Date]],"MMM-YY")</f>
        <v>Feb-25</v>
      </c>
      <c r="T1349">
        <f>_xlfn.ISOWEEKNUM(Table1[[#This Row],[Date]])</f>
        <v>6</v>
      </c>
      <c r="U1349" t="str">
        <f>TEXT(Table1[[#This Row],[Expected Business Month]],"YYYY")</f>
        <v>2025</v>
      </c>
    </row>
    <row r="1350" spans="1:21" hidden="1">
      <c r="A1350" s="1">
        <v>45694</v>
      </c>
      <c r="B1350" t="s">
        <v>213</v>
      </c>
      <c r="C1350" t="s">
        <v>96</v>
      </c>
      <c r="D1350" t="s">
        <v>20</v>
      </c>
      <c r="E1350" t="s">
        <v>23</v>
      </c>
      <c r="F1350" t="s">
        <v>214</v>
      </c>
      <c r="G1350" s="9" t="s">
        <v>3302</v>
      </c>
      <c r="H1350">
        <v>13301</v>
      </c>
      <c r="I1350">
        <v>13301</v>
      </c>
      <c r="J1350" s="21">
        <v>45689</v>
      </c>
      <c r="K1350" t="s">
        <v>67</v>
      </c>
      <c r="L1350" t="s">
        <v>68</v>
      </c>
      <c r="M1350" t="s">
        <v>69</v>
      </c>
      <c r="O1350">
        <v>0</v>
      </c>
      <c r="S1350" t="str">
        <f>TEXT(Table1[[#This Row],[Date]],"MMM-YY")</f>
        <v>Feb-25</v>
      </c>
      <c r="T1350">
        <f>_xlfn.ISOWEEKNUM(Table1[[#This Row],[Date]])</f>
        <v>6</v>
      </c>
      <c r="U1350" t="str">
        <f>TEXT(Table1[[#This Row],[Expected Business Month]],"YYYY")</f>
        <v>2025</v>
      </c>
    </row>
    <row r="1351" spans="1:21" hidden="1">
      <c r="A1351" s="1">
        <v>45694</v>
      </c>
      <c r="B1351" t="s">
        <v>1762</v>
      </c>
      <c r="C1351" t="s">
        <v>96</v>
      </c>
      <c r="D1351" t="s">
        <v>2681</v>
      </c>
      <c r="E1351" t="s">
        <v>32</v>
      </c>
      <c r="F1351" t="s">
        <v>3305</v>
      </c>
      <c r="G1351" s="9" t="s">
        <v>3306</v>
      </c>
      <c r="H1351">
        <v>17886</v>
      </c>
      <c r="I1351">
        <v>17886</v>
      </c>
      <c r="J1351" s="21">
        <v>45689</v>
      </c>
      <c r="K1351" t="s">
        <v>67</v>
      </c>
      <c r="L1351" t="s">
        <v>68</v>
      </c>
      <c r="M1351" t="s">
        <v>69</v>
      </c>
      <c r="O1351">
        <v>0</v>
      </c>
      <c r="S1351" t="str">
        <f>TEXT(Table1[[#This Row],[Date]],"MMM-YY")</f>
        <v>Feb-25</v>
      </c>
      <c r="T1351">
        <f>_xlfn.ISOWEEKNUM(Table1[[#This Row],[Date]])</f>
        <v>6</v>
      </c>
      <c r="U1351" t="str">
        <f>TEXT(Table1[[#This Row],[Expected Business Month]],"YYYY")</f>
        <v>2025</v>
      </c>
    </row>
    <row r="1352" spans="1:21" hidden="1">
      <c r="A1352" s="1">
        <v>45695</v>
      </c>
      <c r="B1352" t="s">
        <v>3248</v>
      </c>
      <c r="C1352" t="s">
        <v>63</v>
      </c>
      <c r="D1352" t="s">
        <v>64</v>
      </c>
      <c r="E1352" t="s">
        <v>38</v>
      </c>
      <c r="F1352" t="s">
        <v>269</v>
      </c>
      <c r="G1352" s="9" t="s">
        <v>3307</v>
      </c>
      <c r="H1352">
        <v>13740</v>
      </c>
      <c r="I1352">
        <v>13740</v>
      </c>
      <c r="J1352" s="21">
        <v>45689</v>
      </c>
      <c r="K1352" t="s">
        <v>67</v>
      </c>
      <c r="L1352" t="s">
        <v>68</v>
      </c>
      <c r="M1352" t="s">
        <v>69</v>
      </c>
      <c r="O1352">
        <v>0</v>
      </c>
      <c r="S1352" t="str">
        <f>TEXT(Table1[[#This Row],[Date]],"MMM-YY")</f>
        <v>Feb-25</v>
      </c>
      <c r="T1352">
        <f>_xlfn.ISOWEEKNUM(Table1[[#This Row],[Date]])</f>
        <v>6</v>
      </c>
      <c r="U1352" t="str">
        <f>TEXT(Table1[[#This Row],[Expected Business Month]],"YYYY")</f>
        <v>2025</v>
      </c>
    </row>
    <row r="1353" spans="1:21" hidden="1">
      <c r="A1353" s="1">
        <v>45695</v>
      </c>
      <c r="B1353" t="s">
        <v>3269</v>
      </c>
      <c r="C1353" t="s">
        <v>63</v>
      </c>
      <c r="D1353" t="s">
        <v>64</v>
      </c>
      <c r="E1353" t="s">
        <v>38</v>
      </c>
      <c r="F1353" t="s">
        <v>371</v>
      </c>
      <c r="G1353" s="9" t="s">
        <v>3307</v>
      </c>
      <c r="H1353">
        <v>16462</v>
      </c>
      <c r="I1353">
        <v>16462</v>
      </c>
      <c r="J1353" s="21">
        <v>45689</v>
      </c>
      <c r="K1353" t="s">
        <v>67</v>
      </c>
      <c r="L1353" t="s">
        <v>68</v>
      </c>
      <c r="M1353" t="s">
        <v>69</v>
      </c>
      <c r="O1353">
        <v>0</v>
      </c>
      <c r="S1353" t="str">
        <f>TEXT(Table1[[#This Row],[Date]],"MMM-YY")</f>
        <v>Feb-25</v>
      </c>
      <c r="T1353">
        <f>_xlfn.ISOWEEKNUM(Table1[[#This Row],[Date]])</f>
        <v>6</v>
      </c>
      <c r="U1353" t="str">
        <f>TEXT(Table1[[#This Row],[Expected Business Month]],"YYYY")</f>
        <v>2025</v>
      </c>
    </row>
    <row r="1354" spans="1:21" hidden="1">
      <c r="A1354" s="1">
        <v>45696</v>
      </c>
      <c r="B1354" t="s">
        <v>3308</v>
      </c>
      <c r="C1354" t="s">
        <v>96</v>
      </c>
      <c r="D1354" t="s">
        <v>20</v>
      </c>
      <c r="E1354" t="s">
        <v>23</v>
      </c>
      <c r="F1354" t="s">
        <v>3309</v>
      </c>
      <c r="G1354" s="9" t="s">
        <v>3310</v>
      </c>
      <c r="H1354">
        <v>2000000</v>
      </c>
      <c r="I1354">
        <v>0</v>
      </c>
      <c r="J1354" s="21">
        <v>45748</v>
      </c>
      <c r="K1354" t="s">
        <v>67</v>
      </c>
      <c r="L1354" t="s">
        <v>9</v>
      </c>
      <c r="M1354" t="s">
        <v>9</v>
      </c>
      <c r="N1354" t="s">
        <v>3311</v>
      </c>
      <c r="O1354">
        <v>0</v>
      </c>
      <c r="S1354" t="str">
        <f>TEXT(Table1[[#This Row],[Date]],"MMM-YY")</f>
        <v>Feb-25</v>
      </c>
      <c r="T1354">
        <f>_xlfn.ISOWEEKNUM(Table1[[#This Row],[Date]])</f>
        <v>6</v>
      </c>
      <c r="U1354" t="str">
        <f>TEXT(Table1[[#This Row],[Expected Business Month]],"YYYY")</f>
        <v>2025</v>
      </c>
    </row>
    <row r="1355" spans="1:21" hidden="1">
      <c r="A1355" s="1">
        <v>45697</v>
      </c>
      <c r="B1355" t="s">
        <v>3299</v>
      </c>
      <c r="C1355" t="s">
        <v>63</v>
      </c>
      <c r="D1355" t="s">
        <v>105</v>
      </c>
      <c r="E1355" t="s">
        <v>18</v>
      </c>
      <c r="F1355" t="s">
        <v>3283</v>
      </c>
      <c r="G1355" s="9" t="s">
        <v>3312</v>
      </c>
      <c r="H1355">
        <v>34350</v>
      </c>
      <c r="I1355">
        <v>34350</v>
      </c>
      <c r="J1355" s="21">
        <v>45689</v>
      </c>
      <c r="K1355" t="s">
        <v>67</v>
      </c>
      <c r="L1355" t="s">
        <v>68</v>
      </c>
      <c r="M1355" t="s">
        <v>69</v>
      </c>
      <c r="O1355">
        <v>0</v>
      </c>
      <c r="S1355" t="str">
        <f>TEXT(Table1[[#This Row],[Date]],"MMM-YY")</f>
        <v>Feb-25</v>
      </c>
      <c r="T1355">
        <f>_xlfn.ISOWEEKNUM(Table1[[#This Row],[Date]])</f>
        <v>6</v>
      </c>
      <c r="U1355" t="str">
        <f>TEXT(Table1[[#This Row],[Expected Business Month]],"YYYY")</f>
        <v>2025</v>
      </c>
    </row>
    <row r="1356" spans="1:21" hidden="1">
      <c r="A1356" s="1">
        <v>45697</v>
      </c>
      <c r="B1356" t="s">
        <v>3313</v>
      </c>
      <c r="C1356" t="s">
        <v>96</v>
      </c>
      <c r="D1356" t="s">
        <v>64</v>
      </c>
      <c r="E1356" t="s">
        <v>27</v>
      </c>
      <c r="F1356" t="s">
        <v>3314</v>
      </c>
      <c r="G1356" s="9" t="s">
        <v>3315</v>
      </c>
      <c r="H1356">
        <v>9720</v>
      </c>
      <c r="I1356">
        <v>9720</v>
      </c>
      <c r="J1356" s="21">
        <v>45689</v>
      </c>
      <c r="K1356" t="s">
        <v>67</v>
      </c>
      <c r="L1356" t="s">
        <v>68</v>
      </c>
      <c r="M1356" t="s">
        <v>69</v>
      </c>
      <c r="O1356">
        <v>0</v>
      </c>
      <c r="S1356" t="str">
        <f>TEXT(Table1[[#This Row],[Date]],"MMM-YY")</f>
        <v>Feb-25</v>
      </c>
      <c r="T1356">
        <f>_xlfn.ISOWEEKNUM(Table1[[#This Row],[Date]])</f>
        <v>6</v>
      </c>
      <c r="U1356" t="str">
        <f>TEXT(Table1[[#This Row],[Expected Business Month]],"YYYY")</f>
        <v>2025</v>
      </c>
    </row>
    <row r="1357" spans="1:21" hidden="1">
      <c r="A1357" s="1">
        <v>45698</v>
      </c>
      <c r="B1357" t="s">
        <v>3316</v>
      </c>
      <c r="C1357" t="s">
        <v>96</v>
      </c>
      <c r="D1357" t="s">
        <v>20</v>
      </c>
      <c r="E1357" t="s">
        <v>23</v>
      </c>
      <c r="F1357" t="s">
        <v>214</v>
      </c>
      <c r="G1357" s="9" t="s">
        <v>3317</v>
      </c>
      <c r="H1357">
        <v>8015</v>
      </c>
      <c r="I1357">
        <v>8015</v>
      </c>
      <c r="J1357" s="21">
        <v>45689</v>
      </c>
      <c r="K1357" t="s">
        <v>67</v>
      </c>
      <c r="L1357" t="s">
        <v>68</v>
      </c>
      <c r="M1357" t="s">
        <v>69</v>
      </c>
      <c r="O1357">
        <v>0</v>
      </c>
      <c r="S1357" t="str">
        <f>TEXT(Table1[[#This Row],[Date]],"MMM-YY")</f>
        <v>Feb-25</v>
      </c>
      <c r="T1357">
        <f>_xlfn.ISOWEEKNUM(Table1[[#This Row],[Date]])</f>
        <v>7</v>
      </c>
      <c r="U1357" t="str">
        <f>TEXT(Table1[[#This Row],[Expected Business Month]],"YYYY")</f>
        <v>2025</v>
      </c>
    </row>
    <row r="1358" spans="1:21" hidden="1">
      <c r="A1358" s="1">
        <v>45698</v>
      </c>
      <c r="B1358" t="s">
        <v>3248</v>
      </c>
      <c r="C1358" t="s">
        <v>63</v>
      </c>
      <c r="D1358" t="s">
        <v>64</v>
      </c>
      <c r="E1358" t="s">
        <v>38</v>
      </c>
      <c r="F1358" t="s">
        <v>269</v>
      </c>
      <c r="G1358" s="9" t="s">
        <v>3318</v>
      </c>
      <c r="H1358">
        <v>4710</v>
      </c>
      <c r="I1358">
        <v>4710</v>
      </c>
      <c r="J1358" s="21">
        <v>45689</v>
      </c>
      <c r="K1358" t="s">
        <v>67</v>
      </c>
      <c r="L1358" t="s">
        <v>68</v>
      </c>
      <c r="M1358" t="s">
        <v>69</v>
      </c>
      <c r="O1358">
        <v>0</v>
      </c>
      <c r="S1358" t="str">
        <f>TEXT(Table1[[#This Row],[Date]],"MMM-YY")</f>
        <v>Feb-25</v>
      </c>
      <c r="T1358">
        <f>_xlfn.ISOWEEKNUM(Table1[[#This Row],[Date]])</f>
        <v>7</v>
      </c>
      <c r="U1358" t="str">
        <f>TEXT(Table1[[#This Row],[Expected Business Month]],"YYYY")</f>
        <v>2025</v>
      </c>
    </row>
    <row r="1359" spans="1:21" hidden="1">
      <c r="A1359" s="1">
        <v>45333</v>
      </c>
      <c r="B1359" t="s">
        <v>3319</v>
      </c>
      <c r="C1359" t="s">
        <v>96</v>
      </c>
      <c r="D1359" t="s">
        <v>20</v>
      </c>
      <c r="E1359" t="s">
        <v>23</v>
      </c>
      <c r="F1359" t="s">
        <v>2269</v>
      </c>
      <c r="G1359" s="9" t="s">
        <v>3320</v>
      </c>
      <c r="H1359">
        <v>4610</v>
      </c>
      <c r="I1359">
        <v>4610</v>
      </c>
      <c r="J1359" s="21">
        <v>45689</v>
      </c>
      <c r="K1359" t="s">
        <v>67</v>
      </c>
      <c r="L1359" t="s">
        <v>68</v>
      </c>
      <c r="M1359" t="s">
        <v>69</v>
      </c>
      <c r="O1359">
        <v>0</v>
      </c>
      <c r="S1359" t="str">
        <f>TEXT(Table1[[#This Row],[Date]],"MMM-YY")</f>
        <v>Feb-24</v>
      </c>
      <c r="T1359">
        <f>_xlfn.ISOWEEKNUM(Table1[[#This Row],[Date]])</f>
        <v>6</v>
      </c>
      <c r="U1359" t="str">
        <f>TEXT(Table1[[#This Row],[Expected Business Month]],"YYYY")</f>
        <v>2025</v>
      </c>
    </row>
    <row r="1360" spans="1:21" hidden="1">
      <c r="A1360" s="1">
        <v>45699</v>
      </c>
      <c r="B1360" t="s">
        <v>3248</v>
      </c>
      <c r="C1360" t="s">
        <v>63</v>
      </c>
      <c r="D1360" t="s">
        <v>64</v>
      </c>
      <c r="E1360" t="s">
        <v>38</v>
      </c>
      <c r="F1360" t="s">
        <v>269</v>
      </c>
      <c r="G1360" s="9" t="s">
        <v>3321</v>
      </c>
      <c r="H1360">
        <v>8060</v>
      </c>
      <c r="I1360">
        <v>8060</v>
      </c>
      <c r="J1360" s="21">
        <v>45689</v>
      </c>
      <c r="K1360" t="s">
        <v>67</v>
      </c>
      <c r="L1360" t="s">
        <v>68</v>
      </c>
      <c r="M1360" t="s">
        <v>69</v>
      </c>
      <c r="O1360">
        <v>0</v>
      </c>
      <c r="S1360" t="str">
        <f>TEXT(Table1[[#This Row],[Date]],"MMM-YY")</f>
        <v>Feb-25</v>
      </c>
      <c r="T1360">
        <f>_xlfn.ISOWEEKNUM(Table1[[#This Row],[Date]])</f>
        <v>7</v>
      </c>
      <c r="U1360" t="str">
        <f>TEXT(Table1[[#This Row],[Expected Business Month]],"YYYY")</f>
        <v>2025</v>
      </c>
    </row>
    <row r="1361" spans="1:21" hidden="1">
      <c r="A1361" s="1">
        <v>45699</v>
      </c>
      <c r="B1361" t="s">
        <v>3269</v>
      </c>
      <c r="C1361" t="s">
        <v>63</v>
      </c>
      <c r="D1361" t="s">
        <v>64</v>
      </c>
      <c r="E1361" t="s">
        <v>38</v>
      </c>
      <c r="F1361" t="s">
        <v>371</v>
      </c>
      <c r="G1361" s="9" t="s">
        <v>3321</v>
      </c>
      <c r="H1361">
        <v>6457</v>
      </c>
      <c r="I1361">
        <v>6457</v>
      </c>
      <c r="J1361" s="21">
        <v>45689</v>
      </c>
      <c r="K1361" t="s">
        <v>67</v>
      </c>
      <c r="L1361" t="s">
        <v>68</v>
      </c>
      <c r="M1361" t="s">
        <v>69</v>
      </c>
      <c r="O1361">
        <v>0</v>
      </c>
      <c r="S1361" t="str">
        <f>TEXT(Table1[[#This Row],[Date]],"MMM-YY")</f>
        <v>Feb-25</v>
      </c>
      <c r="T1361">
        <f>_xlfn.ISOWEEKNUM(Table1[[#This Row],[Date]])</f>
        <v>7</v>
      </c>
      <c r="U1361" t="str">
        <f>TEXT(Table1[[#This Row],[Expected Business Month]],"YYYY")</f>
        <v>2025</v>
      </c>
    </row>
    <row r="1362" spans="1:21" hidden="1">
      <c r="A1362" s="1">
        <v>45699</v>
      </c>
      <c r="B1362" t="s">
        <v>3322</v>
      </c>
      <c r="C1362" t="s">
        <v>96</v>
      </c>
      <c r="D1362" t="s">
        <v>64</v>
      </c>
      <c r="E1362" t="s">
        <v>38</v>
      </c>
      <c r="F1362" t="s">
        <v>704</v>
      </c>
      <c r="G1362" s="9" t="s">
        <v>3323</v>
      </c>
      <c r="H1362">
        <v>400000</v>
      </c>
      <c r="I1362">
        <v>0</v>
      </c>
      <c r="J1362" s="21">
        <v>45689</v>
      </c>
      <c r="K1362" t="s">
        <v>67</v>
      </c>
      <c r="L1362" t="s">
        <v>9</v>
      </c>
      <c r="M1362" t="s">
        <v>9</v>
      </c>
      <c r="N1362" t="s">
        <v>3324</v>
      </c>
      <c r="O1362">
        <v>0</v>
      </c>
      <c r="S1362" t="str">
        <f>TEXT(Table1[[#This Row],[Date]],"MMM-YY")</f>
        <v>Feb-25</v>
      </c>
      <c r="T1362">
        <f>_xlfn.ISOWEEKNUM(Table1[[#This Row],[Date]])</f>
        <v>7</v>
      </c>
      <c r="U1362" t="str">
        <f>TEXT(Table1[[#This Row],[Expected Business Month]],"YYYY")</f>
        <v>2025</v>
      </c>
    </row>
    <row r="1363" spans="1:21" hidden="1">
      <c r="A1363" s="1">
        <v>45700</v>
      </c>
      <c r="B1363" t="s">
        <v>3248</v>
      </c>
      <c r="C1363" t="s">
        <v>63</v>
      </c>
      <c r="D1363" t="s">
        <v>64</v>
      </c>
      <c r="E1363" t="s">
        <v>38</v>
      </c>
      <c r="F1363" t="s">
        <v>269</v>
      </c>
      <c r="G1363" s="9" t="s">
        <v>3325</v>
      </c>
      <c r="H1363">
        <v>10797</v>
      </c>
      <c r="I1363">
        <v>10797</v>
      </c>
      <c r="J1363" s="21">
        <v>45689</v>
      </c>
      <c r="K1363" t="s">
        <v>67</v>
      </c>
      <c r="L1363" t="s">
        <v>68</v>
      </c>
      <c r="M1363" t="s">
        <v>69</v>
      </c>
      <c r="O1363">
        <v>0</v>
      </c>
      <c r="S1363" t="str">
        <f>TEXT(Table1[[#This Row],[Date]],"MMM-YY")</f>
        <v>Feb-25</v>
      </c>
      <c r="T1363">
        <f>_xlfn.ISOWEEKNUM(Table1[[#This Row],[Date]])</f>
        <v>7</v>
      </c>
      <c r="U1363" t="str">
        <f>TEXT(Table1[[#This Row],[Expected Business Month]],"YYYY")</f>
        <v>2025</v>
      </c>
    </row>
    <row r="1364" spans="1:21" hidden="1">
      <c r="A1364" s="1">
        <v>45700</v>
      </c>
      <c r="B1364" t="s">
        <v>3269</v>
      </c>
      <c r="C1364" t="s">
        <v>63</v>
      </c>
      <c r="D1364" t="s">
        <v>64</v>
      </c>
      <c r="E1364" t="s">
        <v>38</v>
      </c>
      <c r="F1364" t="s">
        <v>371</v>
      </c>
      <c r="G1364" s="9" t="s">
        <v>3325</v>
      </c>
      <c r="H1364">
        <v>13612</v>
      </c>
      <c r="I1364">
        <v>13612</v>
      </c>
      <c r="J1364" s="21">
        <v>45689</v>
      </c>
      <c r="K1364" t="s">
        <v>67</v>
      </c>
      <c r="L1364" t="s">
        <v>68</v>
      </c>
      <c r="M1364" t="s">
        <v>69</v>
      </c>
      <c r="O1364">
        <v>0</v>
      </c>
      <c r="S1364" t="str">
        <f>TEXT(Table1[[#This Row],[Date]],"MMM-YY")</f>
        <v>Feb-25</v>
      </c>
      <c r="T1364">
        <f>_xlfn.ISOWEEKNUM(Table1[[#This Row],[Date]])</f>
        <v>7</v>
      </c>
      <c r="U1364" t="str">
        <f>TEXT(Table1[[#This Row],[Expected Business Month]],"YYYY")</f>
        <v>2025</v>
      </c>
    </row>
    <row r="1365" spans="1:21" hidden="1">
      <c r="A1365" s="1">
        <v>45700</v>
      </c>
      <c r="B1365" t="s">
        <v>95</v>
      </c>
      <c r="C1365" t="s">
        <v>96</v>
      </c>
      <c r="D1365" t="s">
        <v>64</v>
      </c>
      <c r="E1365" t="s">
        <v>38</v>
      </c>
      <c r="F1365" t="s">
        <v>97</v>
      </c>
      <c r="G1365" s="9" t="s">
        <v>3326</v>
      </c>
      <c r="H1365">
        <v>29919</v>
      </c>
      <c r="I1365">
        <v>29919</v>
      </c>
      <c r="J1365" s="21">
        <v>45689</v>
      </c>
      <c r="K1365" t="s">
        <v>99</v>
      </c>
      <c r="L1365" t="s">
        <v>68</v>
      </c>
      <c r="M1365" t="s">
        <v>69</v>
      </c>
      <c r="O1365">
        <v>0</v>
      </c>
      <c r="S1365" t="str">
        <f>TEXT(Table1[[#This Row],[Date]],"MMM-YY")</f>
        <v>Feb-25</v>
      </c>
      <c r="T1365">
        <f>_xlfn.ISOWEEKNUM(Table1[[#This Row],[Date]])</f>
        <v>7</v>
      </c>
      <c r="U1365" t="str">
        <f>TEXT(Table1[[#This Row],[Expected Business Month]],"YYYY")</f>
        <v>2025</v>
      </c>
    </row>
    <row r="1366" spans="1:21" hidden="1">
      <c r="A1366" s="1">
        <v>45700</v>
      </c>
      <c r="B1366" t="s">
        <v>324</v>
      </c>
      <c r="C1366" t="s">
        <v>96</v>
      </c>
      <c r="D1366" t="s">
        <v>64</v>
      </c>
      <c r="E1366" t="s">
        <v>38</v>
      </c>
      <c r="F1366" t="s">
        <v>325</v>
      </c>
      <c r="G1366" s="9" t="s">
        <v>3327</v>
      </c>
      <c r="H1366">
        <v>39619</v>
      </c>
      <c r="I1366">
        <v>39619</v>
      </c>
      <c r="J1366" s="21">
        <v>45689</v>
      </c>
      <c r="K1366" t="s">
        <v>99</v>
      </c>
      <c r="L1366" t="s">
        <v>68</v>
      </c>
      <c r="M1366" t="s">
        <v>69</v>
      </c>
      <c r="O1366">
        <v>0</v>
      </c>
      <c r="S1366" t="str">
        <f>TEXT(Table1[[#This Row],[Date]],"MMM-YY")</f>
        <v>Feb-25</v>
      </c>
      <c r="T1366">
        <f>_xlfn.ISOWEEKNUM(Table1[[#This Row],[Date]])</f>
        <v>7</v>
      </c>
      <c r="U1366" t="str">
        <f>TEXT(Table1[[#This Row],[Expected Business Month]],"YYYY")</f>
        <v>2025</v>
      </c>
    </row>
    <row r="1367" spans="1:21" hidden="1">
      <c r="A1367" s="1">
        <v>45700</v>
      </c>
      <c r="B1367" t="s">
        <v>3328</v>
      </c>
      <c r="C1367" t="s">
        <v>63</v>
      </c>
      <c r="D1367" t="s">
        <v>105</v>
      </c>
      <c r="E1367" t="s">
        <v>18</v>
      </c>
      <c r="F1367" t="s">
        <v>3329</v>
      </c>
      <c r="G1367" s="9" t="s">
        <v>3330</v>
      </c>
      <c r="H1367">
        <v>27500</v>
      </c>
      <c r="I1367">
        <v>27500</v>
      </c>
      <c r="J1367" s="21">
        <v>45689</v>
      </c>
      <c r="K1367" t="s">
        <v>67</v>
      </c>
      <c r="L1367" t="s">
        <v>68</v>
      </c>
      <c r="M1367" t="s">
        <v>69</v>
      </c>
      <c r="O1367">
        <v>0</v>
      </c>
      <c r="S1367" t="str">
        <f>TEXT(Table1[[#This Row],[Date]],"MMM-YY")</f>
        <v>Feb-25</v>
      </c>
      <c r="T1367">
        <f>_xlfn.ISOWEEKNUM(Table1[[#This Row],[Date]])</f>
        <v>7</v>
      </c>
      <c r="U1367" t="str">
        <f>TEXT(Table1[[#This Row],[Expected Business Month]],"YYYY")</f>
        <v>2025</v>
      </c>
    </row>
    <row r="1368" spans="1:21" hidden="1">
      <c r="A1368" s="1">
        <v>45701</v>
      </c>
      <c r="B1368" t="s">
        <v>3248</v>
      </c>
      <c r="C1368" t="s">
        <v>63</v>
      </c>
      <c r="D1368" t="s">
        <v>64</v>
      </c>
      <c r="E1368" t="s">
        <v>38</v>
      </c>
      <c r="F1368" t="s">
        <v>269</v>
      </c>
      <c r="G1368" s="9" t="s">
        <v>3331</v>
      </c>
      <c r="H1368">
        <v>8760</v>
      </c>
      <c r="I1368">
        <v>8760</v>
      </c>
      <c r="J1368" s="21">
        <v>45689</v>
      </c>
      <c r="K1368" t="s">
        <v>67</v>
      </c>
      <c r="L1368" t="s">
        <v>68</v>
      </c>
      <c r="M1368" t="s">
        <v>69</v>
      </c>
      <c r="O1368">
        <v>0</v>
      </c>
      <c r="S1368" t="str">
        <f>TEXT(Table1[[#This Row],[Date]],"MMM-YY")</f>
        <v>Feb-25</v>
      </c>
      <c r="T1368">
        <f>_xlfn.ISOWEEKNUM(Table1[[#This Row],[Date]])</f>
        <v>7</v>
      </c>
      <c r="U1368" t="str">
        <f>TEXT(Table1[[#This Row],[Expected Business Month]],"YYYY")</f>
        <v>2025</v>
      </c>
    </row>
    <row r="1369" spans="1:21" hidden="1">
      <c r="A1369" s="1">
        <v>45701</v>
      </c>
      <c r="B1369" t="s">
        <v>3269</v>
      </c>
      <c r="C1369" t="s">
        <v>63</v>
      </c>
      <c r="D1369" t="s">
        <v>64</v>
      </c>
      <c r="E1369" t="s">
        <v>38</v>
      </c>
      <c r="F1369" t="s">
        <v>371</v>
      </c>
      <c r="G1369" s="9" t="s">
        <v>3331</v>
      </c>
      <c r="H1369">
        <v>9782</v>
      </c>
      <c r="I1369">
        <v>9782</v>
      </c>
      <c r="J1369" s="21">
        <v>45689</v>
      </c>
      <c r="K1369" t="s">
        <v>67</v>
      </c>
      <c r="L1369" t="s">
        <v>68</v>
      </c>
      <c r="M1369" t="s">
        <v>69</v>
      </c>
      <c r="O1369">
        <v>0</v>
      </c>
      <c r="S1369" t="str">
        <f>TEXT(Table1[[#This Row],[Date]],"MMM-YY")</f>
        <v>Feb-25</v>
      </c>
      <c r="T1369">
        <f>_xlfn.ISOWEEKNUM(Table1[[#This Row],[Date]])</f>
        <v>7</v>
      </c>
      <c r="U1369" t="str">
        <f>TEXT(Table1[[#This Row],[Expected Business Month]],"YYYY")</f>
        <v>2025</v>
      </c>
    </row>
    <row r="1370" spans="1:21" hidden="1">
      <c r="A1370" s="1">
        <v>45702</v>
      </c>
      <c r="B1370" t="s">
        <v>3248</v>
      </c>
      <c r="C1370" t="s">
        <v>63</v>
      </c>
      <c r="D1370" t="s">
        <v>64</v>
      </c>
      <c r="E1370" t="s">
        <v>38</v>
      </c>
      <c r="F1370" t="s">
        <v>269</v>
      </c>
      <c r="G1370" s="9" t="s">
        <v>3332</v>
      </c>
      <c r="H1370">
        <v>10880</v>
      </c>
      <c r="I1370">
        <v>10880</v>
      </c>
      <c r="J1370" s="21">
        <v>45689</v>
      </c>
      <c r="K1370" t="s">
        <v>67</v>
      </c>
      <c r="L1370" t="s">
        <v>68</v>
      </c>
      <c r="M1370" t="s">
        <v>69</v>
      </c>
      <c r="O1370">
        <v>0</v>
      </c>
      <c r="S1370" t="str">
        <f>TEXT(Table1[[#This Row],[Date]],"MMM-YY")</f>
        <v>Feb-25</v>
      </c>
      <c r="T1370">
        <f>_xlfn.ISOWEEKNUM(Table1[[#This Row],[Date]])</f>
        <v>7</v>
      </c>
      <c r="U1370" t="str">
        <f>TEXT(Table1[[#This Row],[Expected Business Month]],"YYYY")</f>
        <v>2025</v>
      </c>
    </row>
    <row r="1371" spans="1:21" hidden="1">
      <c r="A1371" s="1">
        <v>45702</v>
      </c>
      <c r="B1371" t="s">
        <v>3269</v>
      </c>
      <c r="C1371" t="s">
        <v>63</v>
      </c>
      <c r="D1371" t="s">
        <v>64</v>
      </c>
      <c r="E1371" t="s">
        <v>38</v>
      </c>
      <c r="F1371" t="s">
        <v>371</v>
      </c>
      <c r="G1371" s="9" t="s">
        <v>3332</v>
      </c>
      <c r="H1371">
        <v>10019</v>
      </c>
      <c r="I1371">
        <v>10019</v>
      </c>
      <c r="J1371" s="21">
        <v>45689</v>
      </c>
      <c r="K1371" t="s">
        <v>67</v>
      </c>
      <c r="L1371" t="s">
        <v>68</v>
      </c>
      <c r="M1371" t="s">
        <v>69</v>
      </c>
      <c r="O1371">
        <v>0</v>
      </c>
      <c r="S1371" t="str">
        <f>TEXT(Table1[[#This Row],[Date]],"MMM-YY")</f>
        <v>Feb-25</v>
      </c>
      <c r="T1371">
        <f>_xlfn.ISOWEEKNUM(Table1[[#This Row],[Date]])</f>
        <v>7</v>
      </c>
      <c r="U1371" t="str">
        <f>TEXT(Table1[[#This Row],[Expected Business Month]],"YYYY")</f>
        <v>2025</v>
      </c>
    </row>
    <row r="1372" spans="1:21" hidden="1">
      <c r="A1372" s="1">
        <v>45702</v>
      </c>
      <c r="B1372" t="s">
        <v>3159</v>
      </c>
      <c r="C1372" t="s">
        <v>96</v>
      </c>
      <c r="D1372" t="s">
        <v>20</v>
      </c>
      <c r="E1372" t="s">
        <v>23</v>
      </c>
      <c r="F1372" t="s">
        <v>143</v>
      </c>
      <c r="G1372" s="9" t="s">
        <v>3333</v>
      </c>
      <c r="H1372">
        <v>5200</v>
      </c>
      <c r="I1372">
        <v>5200</v>
      </c>
      <c r="J1372" s="21">
        <v>45689</v>
      </c>
      <c r="K1372" t="s">
        <v>67</v>
      </c>
      <c r="L1372" t="s">
        <v>68</v>
      </c>
      <c r="M1372" t="s">
        <v>69</v>
      </c>
      <c r="O1372">
        <v>0</v>
      </c>
      <c r="S1372" t="str">
        <f>TEXT(Table1[[#This Row],[Date]],"MMM-YY")</f>
        <v>Feb-25</v>
      </c>
      <c r="T1372">
        <f>_xlfn.ISOWEEKNUM(Table1[[#This Row],[Date]])</f>
        <v>7</v>
      </c>
      <c r="U1372" t="str">
        <f>TEXT(Table1[[#This Row],[Expected Business Month]],"YYYY")</f>
        <v>2025</v>
      </c>
    </row>
    <row r="1373" spans="1:21" hidden="1">
      <c r="A1373" s="1">
        <v>45704</v>
      </c>
      <c r="B1373" t="s">
        <v>3334</v>
      </c>
      <c r="C1373" t="s">
        <v>63</v>
      </c>
      <c r="D1373" t="s">
        <v>64</v>
      </c>
      <c r="E1373" t="s">
        <v>26</v>
      </c>
      <c r="F1373" t="s">
        <v>259</v>
      </c>
      <c r="G1373" s="9" t="s">
        <v>3335</v>
      </c>
      <c r="H1373">
        <v>4600</v>
      </c>
      <c r="I1373">
        <v>4600</v>
      </c>
      <c r="J1373" s="21">
        <v>45689</v>
      </c>
      <c r="K1373" t="s">
        <v>67</v>
      </c>
      <c r="L1373" t="s">
        <v>68</v>
      </c>
      <c r="M1373" t="s">
        <v>69</v>
      </c>
      <c r="O1373">
        <v>0</v>
      </c>
      <c r="S1373" t="str">
        <f>TEXT(Table1[[#This Row],[Date]],"MMM-YY")</f>
        <v>Feb-25</v>
      </c>
      <c r="T1373">
        <f>_xlfn.ISOWEEKNUM(Table1[[#This Row],[Date]])</f>
        <v>7</v>
      </c>
      <c r="U1373" t="str">
        <f>TEXT(Table1[[#This Row],[Expected Business Month]],"YYYY")</f>
        <v>2025</v>
      </c>
    </row>
    <row r="1374" spans="1:21" ht="15" hidden="1" customHeight="1">
      <c r="A1374" s="1">
        <v>45704</v>
      </c>
      <c r="B1374" t="s">
        <v>3336</v>
      </c>
      <c r="C1374" t="s">
        <v>63</v>
      </c>
      <c r="D1374" t="s">
        <v>64</v>
      </c>
      <c r="E1374" t="s">
        <v>38</v>
      </c>
      <c r="F1374" t="s">
        <v>1630</v>
      </c>
      <c r="G1374" s="9" t="s">
        <v>3337</v>
      </c>
      <c r="H1374">
        <v>149900</v>
      </c>
      <c r="I1374">
        <v>149900</v>
      </c>
      <c r="J1374" s="21">
        <v>45689</v>
      </c>
      <c r="K1374" t="s">
        <v>67</v>
      </c>
      <c r="L1374" t="s">
        <v>68</v>
      </c>
      <c r="M1374" t="s">
        <v>69</v>
      </c>
      <c r="O1374">
        <v>0</v>
      </c>
      <c r="S1374" t="str">
        <f>TEXT(Table1[[#This Row],[Date]],"MMM-YY")</f>
        <v>Feb-25</v>
      </c>
      <c r="T1374">
        <f>_xlfn.ISOWEEKNUM(Table1[[#This Row],[Date]])</f>
        <v>7</v>
      </c>
      <c r="U1374" t="str">
        <f>TEXT(Table1[[#This Row],[Expected Business Month]],"YYYY")</f>
        <v>2025</v>
      </c>
    </row>
    <row r="1375" spans="1:21" hidden="1">
      <c r="A1375" s="1">
        <v>45705</v>
      </c>
      <c r="B1375" t="s">
        <v>3248</v>
      </c>
      <c r="C1375" t="s">
        <v>63</v>
      </c>
      <c r="D1375" t="s">
        <v>64</v>
      </c>
      <c r="E1375" t="s">
        <v>38</v>
      </c>
      <c r="F1375" t="s">
        <v>269</v>
      </c>
      <c r="G1375" s="9" t="s">
        <v>3338</v>
      </c>
      <c r="H1375">
        <v>8760</v>
      </c>
      <c r="I1375">
        <v>8760</v>
      </c>
      <c r="J1375" s="21">
        <v>45689</v>
      </c>
      <c r="K1375" t="s">
        <v>67</v>
      </c>
      <c r="L1375" t="s">
        <v>68</v>
      </c>
      <c r="M1375" t="s">
        <v>69</v>
      </c>
      <c r="O1375">
        <v>0</v>
      </c>
      <c r="S1375" t="str">
        <f>TEXT(Table1[[#This Row],[Date]],"MMM-YY")</f>
        <v>Feb-25</v>
      </c>
      <c r="T1375">
        <f>_xlfn.ISOWEEKNUM(Table1[[#This Row],[Date]])</f>
        <v>8</v>
      </c>
      <c r="U1375" t="str">
        <f>TEXT(Table1[[#This Row],[Expected Business Month]],"YYYY")</f>
        <v>2025</v>
      </c>
    </row>
    <row r="1376" spans="1:21" hidden="1">
      <c r="A1376" s="1">
        <v>45705</v>
      </c>
      <c r="B1376" t="s">
        <v>3269</v>
      </c>
      <c r="C1376" t="s">
        <v>63</v>
      </c>
      <c r="D1376" t="s">
        <v>64</v>
      </c>
      <c r="E1376" t="s">
        <v>38</v>
      </c>
      <c r="F1376" t="s">
        <v>371</v>
      </c>
      <c r="G1376" s="9" t="s">
        <v>3338</v>
      </c>
      <c r="H1376">
        <v>9021</v>
      </c>
      <c r="I1376">
        <v>9021</v>
      </c>
      <c r="J1376" s="21">
        <v>45689</v>
      </c>
      <c r="K1376" t="s">
        <v>67</v>
      </c>
      <c r="L1376" t="s">
        <v>68</v>
      </c>
      <c r="M1376" t="s">
        <v>69</v>
      </c>
      <c r="O1376">
        <v>0</v>
      </c>
      <c r="S1376" t="str">
        <f>TEXT(Table1[[#This Row],[Date]],"MMM-YY")</f>
        <v>Feb-25</v>
      </c>
      <c r="T1376">
        <f>_xlfn.ISOWEEKNUM(Table1[[#This Row],[Date]])</f>
        <v>8</v>
      </c>
      <c r="U1376" t="str">
        <f>TEXT(Table1[[#This Row],[Expected Business Month]],"YYYY")</f>
        <v>2025</v>
      </c>
    </row>
    <row r="1377" spans="1:21" hidden="1">
      <c r="A1377" s="1">
        <v>45706</v>
      </c>
      <c r="B1377" t="s">
        <v>3248</v>
      </c>
      <c r="C1377" t="s">
        <v>63</v>
      </c>
      <c r="D1377" t="s">
        <v>64</v>
      </c>
      <c r="E1377" t="s">
        <v>38</v>
      </c>
      <c r="F1377" t="s">
        <v>269</v>
      </c>
      <c r="G1377" s="9" t="s">
        <v>3339</v>
      </c>
      <c r="H1377">
        <v>12157</v>
      </c>
      <c r="I1377">
        <v>12157</v>
      </c>
      <c r="J1377" s="21">
        <v>45689</v>
      </c>
      <c r="K1377" t="s">
        <v>67</v>
      </c>
      <c r="L1377" t="s">
        <v>68</v>
      </c>
      <c r="M1377" t="s">
        <v>69</v>
      </c>
      <c r="O1377">
        <v>0</v>
      </c>
      <c r="S1377" t="str">
        <f>TEXT(Table1[[#This Row],[Date]],"MMM-YY")</f>
        <v>Feb-25</v>
      </c>
      <c r="T1377">
        <f>_xlfn.ISOWEEKNUM(Table1[[#This Row],[Date]])</f>
        <v>8</v>
      </c>
      <c r="U1377" t="str">
        <f>TEXT(Table1[[#This Row],[Expected Business Month]],"YYYY")</f>
        <v>2025</v>
      </c>
    </row>
    <row r="1378" spans="1:21" hidden="1">
      <c r="A1378" s="1">
        <v>45706</v>
      </c>
      <c r="B1378" t="s">
        <v>3340</v>
      </c>
      <c r="C1378" t="s">
        <v>63</v>
      </c>
      <c r="D1378" t="s">
        <v>20</v>
      </c>
      <c r="E1378" t="s">
        <v>23</v>
      </c>
      <c r="F1378" t="s">
        <v>3341</v>
      </c>
      <c r="G1378" s="9" t="s">
        <v>3342</v>
      </c>
      <c r="H1378">
        <v>27000</v>
      </c>
      <c r="I1378">
        <v>0</v>
      </c>
      <c r="J1378" s="21">
        <v>45689</v>
      </c>
      <c r="K1378" t="s">
        <v>67</v>
      </c>
      <c r="L1378" t="s">
        <v>9</v>
      </c>
      <c r="M1378" t="s">
        <v>9</v>
      </c>
      <c r="N1378" t="s">
        <v>3343</v>
      </c>
      <c r="O1378">
        <v>0</v>
      </c>
      <c r="S1378" t="str">
        <f>TEXT(Table1[[#This Row],[Date]],"MMM-YY")</f>
        <v>Feb-25</v>
      </c>
      <c r="T1378">
        <f>_xlfn.ISOWEEKNUM(Table1[[#This Row],[Date]])</f>
        <v>8</v>
      </c>
      <c r="U1378" t="str">
        <f>TEXT(Table1[[#This Row],[Expected Business Month]],"YYYY")</f>
        <v>2025</v>
      </c>
    </row>
    <row r="1379" spans="1:21" hidden="1">
      <c r="A1379" s="1">
        <v>45706</v>
      </c>
      <c r="B1379" t="s">
        <v>3344</v>
      </c>
      <c r="C1379" t="s">
        <v>63</v>
      </c>
      <c r="D1379" t="s">
        <v>64</v>
      </c>
      <c r="E1379" t="s">
        <v>38</v>
      </c>
      <c r="F1379" t="s">
        <v>1186</v>
      </c>
      <c r="G1379" s="9" t="s">
        <v>3345</v>
      </c>
      <c r="H1379">
        <v>6000</v>
      </c>
      <c r="I1379">
        <v>6000</v>
      </c>
      <c r="J1379" s="21">
        <v>45689</v>
      </c>
      <c r="K1379" t="s">
        <v>67</v>
      </c>
      <c r="L1379" t="s">
        <v>68</v>
      </c>
      <c r="M1379" t="s">
        <v>69</v>
      </c>
      <c r="O1379">
        <v>0</v>
      </c>
      <c r="S1379" t="str">
        <f>TEXT(Table1[[#This Row],[Date]],"MMM-YY")</f>
        <v>Feb-25</v>
      </c>
      <c r="T1379">
        <f>_xlfn.ISOWEEKNUM(Table1[[#This Row],[Date]])</f>
        <v>8</v>
      </c>
      <c r="U1379" t="str">
        <f>TEXT(Table1[[#This Row],[Expected Business Month]],"YYYY")</f>
        <v>2025</v>
      </c>
    </row>
    <row r="1380" spans="1:21" hidden="1">
      <c r="A1380" s="1">
        <v>45707</v>
      </c>
      <c r="B1380" t="s">
        <v>3346</v>
      </c>
      <c r="C1380" t="s">
        <v>63</v>
      </c>
      <c r="D1380" t="s">
        <v>64</v>
      </c>
      <c r="E1380" t="s">
        <v>38</v>
      </c>
      <c r="F1380" t="s">
        <v>1186</v>
      </c>
      <c r="G1380" s="9" t="s">
        <v>3347</v>
      </c>
      <c r="H1380">
        <v>288565</v>
      </c>
      <c r="I1380">
        <v>288565</v>
      </c>
      <c r="J1380" s="21">
        <v>45689</v>
      </c>
      <c r="K1380" t="s">
        <v>67</v>
      </c>
      <c r="L1380" t="s">
        <v>68</v>
      </c>
      <c r="M1380" t="s">
        <v>69</v>
      </c>
      <c r="O1380">
        <v>200000</v>
      </c>
      <c r="S1380" t="str">
        <f>TEXT(Table1[[#This Row],[Date]],"MMM-YY")</f>
        <v>Feb-25</v>
      </c>
      <c r="T1380">
        <f>_xlfn.ISOWEEKNUM(Table1[[#This Row],[Date]])</f>
        <v>8</v>
      </c>
      <c r="U1380" t="str">
        <f>TEXT(Table1[[#This Row],[Expected Business Month]],"YYYY")</f>
        <v>2025</v>
      </c>
    </row>
    <row r="1381" spans="1:21" hidden="1">
      <c r="A1381" s="1">
        <v>45707</v>
      </c>
      <c r="B1381" t="s">
        <v>3248</v>
      </c>
      <c r="C1381" t="s">
        <v>63</v>
      </c>
      <c r="D1381" t="s">
        <v>64</v>
      </c>
      <c r="E1381" t="s">
        <v>38</v>
      </c>
      <c r="F1381" t="s">
        <v>269</v>
      </c>
      <c r="G1381" s="9" t="s">
        <v>3348</v>
      </c>
      <c r="H1381">
        <v>10170</v>
      </c>
      <c r="I1381">
        <v>10170</v>
      </c>
      <c r="J1381" s="21">
        <v>45689</v>
      </c>
      <c r="K1381" t="s">
        <v>67</v>
      </c>
      <c r="L1381" t="s">
        <v>68</v>
      </c>
      <c r="M1381" t="s">
        <v>69</v>
      </c>
      <c r="O1381">
        <v>0</v>
      </c>
      <c r="S1381" t="str">
        <f>TEXT(Table1[[#This Row],[Date]],"MMM-YY")</f>
        <v>Feb-25</v>
      </c>
      <c r="T1381">
        <f>_xlfn.ISOWEEKNUM(Table1[[#This Row],[Date]])</f>
        <v>8</v>
      </c>
      <c r="U1381" t="str">
        <f>TEXT(Table1[[#This Row],[Expected Business Month]],"YYYY")</f>
        <v>2025</v>
      </c>
    </row>
    <row r="1382" spans="1:21" ht="29.1" hidden="1">
      <c r="A1382" s="1">
        <v>45707</v>
      </c>
      <c r="B1382" t="s">
        <v>3349</v>
      </c>
      <c r="C1382" t="s">
        <v>96</v>
      </c>
      <c r="D1382" t="s">
        <v>64</v>
      </c>
      <c r="E1382" t="s">
        <v>29</v>
      </c>
      <c r="F1382" t="s">
        <v>3350</v>
      </c>
      <c r="G1382" s="9" t="s">
        <v>3351</v>
      </c>
      <c r="H1382">
        <v>23000</v>
      </c>
      <c r="I1382">
        <v>23000</v>
      </c>
      <c r="J1382" s="21">
        <v>45689</v>
      </c>
      <c r="K1382" t="s">
        <v>67</v>
      </c>
      <c r="L1382" t="s">
        <v>68</v>
      </c>
      <c r="M1382" t="s">
        <v>69</v>
      </c>
      <c r="O1382">
        <v>0</v>
      </c>
      <c r="S1382" t="str">
        <f>TEXT(Table1[[#This Row],[Date]],"MMM-YY")</f>
        <v>Feb-25</v>
      </c>
      <c r="T1382">
        <f>_xlfn.ISOWEEKNUM(Table1[[#This Row],[Date]])</f>
        <v>8</v>
      </c>
      <c r="U1382" t="str">
        <f>TEXT(Table1[[#This Row],[Expected Business Month]],"YYYY")</f>
        <v>2025</v>
      </c>
    </row>
    <row r="1383" spans="1:21" hidden="1">
      <c r="A1383" s="1">
        <v>45707</v>
      </c>
      <c r="B1383" t="s">
        <v>3344</v>
      </c>
      <c r="C1383" t="s">
        <v>63</v>
      </c>
      <c r="D1383" t="s">
        <v>64</v>
      </c>
      <c r="E1383" t="s">
        <v>38</v>
      </c>
      <c r="F1383" t="s">
        <v>1186</v>
      </c>
      <c r="G1383" s="9" t="s">
        <v>3352</v>
      </c>
      <c r="H1383">
        <v>10500</v>
      </c>
      <c r="I1383">
        <v>10500</v>
      </c>
      <c r="J1383" s="21">
        <v>45689</v>
      </c>
      <c r="K1383" t="s">
        <v>67</v>
      </c>
      <c r="L1383" t="s">
        <v>68</v>
      </c>
      <c r="M1383" t="s">
        <v>69</v>
      </c>
      <c r="O1383">
        <v>0</v>
      </c>
      <c r="S1383" t="str">
        <f>TEXT(Table1[[#This Row],[Date]],"MMM-YY")</f>
        <v>Feb-25</v>
      </c>
      <c r="T1383">
        <f>_xlfn.ISOWEEKNUM(Table1[[#This Row],[Date]])</f>
        <v>8</v>
      </c>
      <c r="U1383" t="str">
        <f>TEXT(Table1[[#This Row],[Expected Business Month]],"YYYY")</f>
        <v>2025</v>
      </c>
    </row>
    <row r="1384" spans="1:21" hidden="1">
      <c r="A1384" s="1">
        <v>45707</v>
      </c>
      <c r="B1384" t="s">
        <v>324</v>
      </c>
      <c r="C1384" t="s">
        <v>96</v>
      </c>
      <c r="D1384" t="s">
        <v>64</v>
      </c>
      <c r="E1384" t="s">
        <v>38</v>
      </c>
      <c r="F1384" t="s">
        <v>325</v>
      </c>
      <c r="G1384" s="9" t="s">
        <v>3353</v>
      </c>
      <c r="H1384">
        <v>53015</v>
      </c>
      <c r="I1384">
        <v>53015</v>
      </c>
      <c r="J1384" s="21">
        <v>45689</v>
      </c>
      <c r="K1384" t="s">
        <v>99</v>
      </c>
      <c r="L1384" t="s">
        <v>68</v>
      </c>
      <c r="M1384" t="s">
        <v>69</v>
      </c>
      <c r="O1384">
        <v>0</v>
      </c>
      <c r="S1384" t="str">
        <f>TEXT(Table1[[#This Row],[Date]],"MMM-YY")</f>
        <v>Feb-25</v>
      </c>
      <c r="T1384">
        <f>_xlfn.ISOWEEKNUM(Table1[[#This Row],[Date]])</f>
        <v>8</v>
      </c>
      <c r="U1384" t="str">
        <f>TEXT(Table1[[#This Row],[Expected Business Month]],"YYYY")</f>
        <v>2025</v>
      </c>
    </row>
    <row r="1385" spans="1:21" hidden="1">
      <c r="A1385" s="1">
        <v>45708</v>
      </c>
      <c r="B1385" t="s">
        <v>3248</v>
      </c>
      <c r="C1385" t="s">
        <v>63</v>
      </c>
      <c r="D1385" t="s">
        <v>64</v>
      </c>
      <c r="E1385" t="s">
        <v>38</v>
      </c>
      <c r="F1385" t="s">
        <v>269</v>
      </c>
      <c r="G1385" s="9" t="s">
        <v>3354</v>
      </c>
      <c r="H1385">
        <v>12576</v>
      </c>
      <c r="I1385">
        <v>12576</v>
      </c>
      <c r="J1385" s="21">
        <v>45689</v>
      </c>
      <c r="K1385" t="s">
        <v>67</v>
      </c>
      <c r="L1385" t="s">
        <v>68</v>
      </c>
      <c r="M1385" t="s">
        <v>69</v>
      </c>
      <c r="O1385">
        <v>0</v>
      </c>
      <c r="S1385" t="str">
        <f>TEXT(Table1[[#This Row],[Date]],"MMM-YY")</f>
        <v>Feb-25</v>
      </c>
      <c r="T1385">
        <f>_xlfn.ISOWEEKNUM(Table1[[#This Row],[Date]])</f>
        <v>8</v>
      </c>
      <c r="U1385" t="str">
        <f>TEXT(Table1[[#This Row],[Expected Business Month]],"YYYY")</f>
        <v>2025</v>
      </c>
    </row>
    <row r="1386" spans="1:21" hidden="1">
      <c r="A1386" s="1">
        <v>45709</v>
      </c>
      <c r="B1386" t="s">
        <v>3248</v>
      </c>
      <c r="C1386" t="s">
        <v>63</v>
      </c>
      <c r="D1386" t="s">
        <v>64</v>
      </c>
      <c r="E1386" t="s">
        <v>38</v>
      </c>
      <c r="F1386" t="s">
        <v>269</v>
      </c>
      <c r="G1386" s="9" t="s">
        <v>3355</v>
      </c>
      <c r="H1386">
        <v>10200</v>
      </c>
      <c r="I1386">
        <v>10200</v>
      </c>
      <c r="J1386" s="21">
        <v>45689</v>
      </c>
      <c r="K1386" t="s">
        <v>67</v>
      </c>
      <c r="L1386" t="s">
        <v>68</v>
      </c>
      <c r="M1386" t="s">
        <v>69</v>
      </c>
      <c r="O1386">
        <v>0</v>
      </c>
      <c r="S1386" t="str">
        <f>TEXT(Table1[[#This Row],[Date]],"MMM-YY")</f>
        <v>Feb-25</v>
      </c>
      <c r="T1386">
        <f>_xlfn.ISOWEEKNUM(Table1[[#This Row],[Date]])</f>
        <v>8</v>
      </c>
      <c r="U1386" t="str">
        <f>TEXT(Table1[[#This Row],[Expected Business Month]],"YYYY")</f>
        <v>2025</v>
      </c>
    </row>
    <row r="1387" spans="1:21" hidden="1">
      <c r="A1387" s="1">
        <v>45709</v>
      </c>
      <c r="B1387" t="s">
        <v>3356</v>
      </c>
      <c r="C1387" t="s">
        <v>96</v>
      </c>
      <c r="D1387" t="s">
        <v>20</v>
      </c>
      <c r="E1387" t="s">
        <v>23</v>
      </c>
      <c r="F1387" t="s">
        <v>214</v>
      </c>
      <c r="G1387" s="9" t="s">
        <v>3357</v>
      </c>
      <c r="H1387">
        <v>10250</v>
      </c>
      <c r="I1387">
        <v>10250</v>
      </c>
      <c r="J1387" s="21">
        <v>45689</v>
      </c>
      <c r="K1387" t="s">
        <v>67</v>
      </c>
      <c r="L1387" t="s">
        <v>68</v>
      </c>
      <c r="M1387" t="s">
        <v>69</v>
      </c>
      <c r="O1387">
        <v>0</v>
      </c>
      <c r="S1387" t="str">
        <f>TEXT(Table1[[#This Row],[Date]],"MMM-YY")</f>
        <v>Feb-25</v>
      </c>
      <c r="T1387">
        <f>_xlfn.ISOWEEKNUM(Table1[[#This Row],[Date]])</f>
        <v>8</v>
      </c>
      <c r="U1387" t="str">
        <f>TEXT(Table1[[#This Row],[Expected Business Month]],"YYYY")</f>
        <v>2025</v>
      </c>
    </row>
    <row r="1388" spans="1:21" hidden="1">
      <c r="A1388" s="1">
        <v>45710</v>
      </c>
      <c r="B1388" t="s">
        <v>3292</v>
      </c>
      <c r="C1388" t="s">
        <v>96</v>
      </c>
      <c r="D1388" t="s">
        <v>20</v>
      </c>
      <c r="E1388" t="s">
        <v>23</v>
      </c>
      <c r="F1388" t="s">
        <v>3358</v>
      </c>
      <c r="G1388" s="9" t="s">
        <v>3359</v>
      </c>
      <c r="H1388">
        <v>8630</v>
      </c>
      <c r="I1388">
        <v>8630</v>
      </c>
      <c r="J1388" s="21">
        <v>45689</v>
      </c>
      <c r="K1388" t="s">
        <v>67</v>
      </c>
      <c r="L1388" t="s">
        <v>68</v>
      </c>
      <c r="M1388" t="s">
        <v>69</v>
      </c>
      <c r="O1388">
        <v>0</v>
      </c>
      <c r="S1388" t="str">
        <f>TEXT(Table1[[#This Row],[Date]],"MMM-YY")</f>
        <v>Feb-25</v>
      </c>
      <c r="T1388">
        <f>_xlfn.ISOWEEKNUM(Table1[[#This Row],[Date]])</f>
        <v>8</v>
      </c>
      <c r="U1388" t="str">
        <f>TEXT(Table1[[#This Row],[Expected Business Month]],"YYYY")</f>
        <v>2025</v>
      </c>
    </row>
    <row r="1389" spans="1:21" hidden="1">
      <c r="A1389" s="1">
        <v>45712</v>
      </c>
      <c r="B1389" t="s">
        <v>3269</v>
      </c>
      <c r="C1389" t="s">
        <v>63</v>
      </c>
      <c r="D1389" t="s">
        <v>64</v>
      </c>
      <c r="E1389" t="s">
        <v>38</v>
      </c>
      <c r="F1389" t="s">
        <v>371</v>
      </c>
      <c r="G1389" s="9" t="s">
        <v>3360</v>
      </c>
      <c r="H1389">
        <v>10295</v>
      </c>
      <c r="I1389">
        <v>10295</v>
      </c>
      <c r="J1389" s="21">
        <v>45689</v>
      </c>
      <c r="K1389" t="s">
        <v>67</v>
      </c>
      <c r="L1389" t="s">
        <v>68</v>
      </c>
      <c r="M1389" t="s">
        <v>69</v>
      </c>
      <c r="O1389">
        <v>0</v>
      </c>
      <c r="S1389" t="str">
        <f>TEXT(Table1[[#This Row],[Date]],"MMM-YY")</f>
        <v>Feb-25</v>
      </c>
      <c r="T1389">
        <f>_xlfn.ISOWEEKNUM(Table1[[#This Row],[Date]])</f>
        <v>9</v>
      </c>
      <c r="U1389" t="str">
        <f>TEXT(Table1[[#This Row],[Expected Business Month]],"YYYY")</f>
        <v>2025</v>
      </c>
    </row>
    <row r="1390" spans="1:21" hidden="1">
      <c r="A1390" s="1">
        <v>45712</v>
      </c>
      <c r="B1390" t="s">
        <v>3248</v>
      </c>
      <c r="C1390" t="s">
        <v>63</v>
      </c>
      <c r="D1390" t="s">
        <v>64</v>
      </c>
      <c r="E1390" t="s">
        <v>38</v>
      </c>
      <c r="F1390" t="s">
        <v>269</v>
      </c>
      <c r="G1390" s="9" t="s">
        <v>3360</v>
      </c>
      <c r="H1390">
        <v>10060</v>
      </c>
      <c r="I1390">
        <v>10060</v>
      </c>
      <c r="J1390" s="21">
        <v>45689</v>
      </c>
      <c r="K1390" t="s">
        <v>67</v>
      </c>
      <c r="L1390" t="s">
        <v>68</v>
      </c>
      <c r="M1390" t="s">
        <v>69</v>
      </c>
      <c r="O1390">
        <v>0</v>
      </c>
      <c r="S1390" t="str">
        <f>TEXT(Table1[[#This Row],[Date]],"MMM-YY")</f>
        <v>Feb-25</v>
      </c>
      <c r="T1390">
        <f>_xlfn.ISOWEEKNUM(Table1[[#This Row],[Date]])</f>
        <v>9</v>
      </c>
      <c r="U1390" t="str">
        <f>TEXT(Table1[[#This Row],[Expected Business Month]],"YYYY")</f>
        <v>2025</v>
      </c>
    </row>
    <row r="1391" spans="1:21" hidden="1">
      <c r="A1391" s="1">
        <v>45712</v>
      </c>
      <c r="B1391" t="s">
        <v>3361</v>
      </c>
      <c r="C1391" t="s">
        <v>63</v>
      </c>
      <c r="D1391" t="s">
        <v>64</v>
      </c>
      <c r="E1391" t="s">
        <v>25</v>
      </c>
      <c r="F1391" t="s">
        <v>2949</v>
      </c>
      <c r="G1391" s="9" t="s">
        <v>3362</v>
      </c>
      <c r="H1391">
        <v>9000</v>
      </c>
      <c r="I1391">
        <v>9000</v>
      </c>
      <c r="J1391" s="21">
        <v>45689</v>
      </c>
      <c r="K1391" t="s">
        <v>67</v>
      </c>
      <c r="L1391" t="s">
        <v>68</v>
      </c>
      <c r="M1391" t="s">
        <v>69</v>
      </c>
      <c r="O1391">
        <v>0</v>
      </c>
      <c r="S1391" t="str">
        <f>TEXT(Table1[[#This Row],[Date]],"MMM-YY")</f>
        <v>Feb-25</v>
      </c>
      <c r="T1391">
        <f>_xlfn.ISOWEEKNUM(Table1[[#This Row],[Date]])</f>
        <v>9</v>
      </c>
      <c r="U1391" t="str">
        <f>TEXT(Table1[[#This Row],[Expected Business Month]],"YYYY")</f>
        <v>2025</v>
      </c>
    </row>
    <row r="1392" spans="1:21" hidden="1">
      <c r="A1392" s="1">
        <v>45713</v>
      </c>
      <c r="B1392" t="s">
        <v>3269</v>
      </c>
      <c r="C1392" t="s">
        <v>63</v>
      </c>
      <c r="D1392" t="s">
        <v>64</v>
      </c>
      <c r="E1392" t="s">
        <v>38</v>
      </c>
      <c r="F1392" t="s">
        <v>371</v>
      </c>
      <c r="G1392" s="9" t="s">
        <v>3363</v>
      </c>
      <c r="H1392">
        <v>8912</v>
      </c>
      <c r="I1392">
        <v>8912</v>
      </c>
      <c r="J1392" s="21">
        <v>45689</v>
      </c>
      <c r="K1392" t="s">
        <v>67</v>
      </c>
      <c r="L1392" t="s">
        <v>68</v>
      </c>
      <c r="M1392" t="s">
        <v>69</v>
      </c>
      <c r="O1392">
        <v>0</v>
      </c>
      <c r="S1392" t="str">
        <f>TEXT(Table1[[#This Row],[Date]],"MMM-YY")</f>
        <v>Feb-25</v>
      </c>
      <c r="T1392">
        <f>_xlfn.ISOWEEKNUM(Table1[[#This Row],[Date]])</f>
        <v>9</v>
      </c>
      <c r="U1392" t="str">
        <f>TEXT(Table1[[#This Row],[Expected Business Month]],"YYYY")</f>
        <v>2025</v>
      </c>
    </row>
    <row r="1393" spans="1:21" hidden="1">
      <c r="A1393" s="1">
        <v>45713</v>
      </c>
      <c r="B1393" t="s">
        <v>3248</v>
      </c>
      <c r="C1393" t="s">
        <v>63</v>
      </c>
      <c r="D1393" t="s">
        <v>64</v>
      </c>
      <c r="E1393" t="s">
        <v>38</v>
      </c>
      <c r="F1393" t="s">
        <v>269</v>
      </c>
      <c r="G1393" s="9" t="s">
        <v>3363</v>
      </c>
      <c r="H1393">
        <v>8660</v>
      </c>
      <c r="I1393">
        <v>8660</v>
      </c>
      <c r="J1393" s="21">
        <v>45689</v>
      </c>
      <c r="K1393" t="s">
        <v>67</v>
      </c>
      <c r="L1393" t="s">
        <v>68</v>
      </c>
      <c r="M1393" t="s">
        <v>69</v>
      </c>
      <c r="O1393">
        <v>0</v>
      </c>
      <c r="S1393" t="str">
        <f>TEXT(Table1[[#This Row],[Date]],"MMM-YY")</f>
        <v>Feb-25</v>
      </c>
      <c r="T1393">
        <f>_xlfn.ISOWEEKNUM(Table1[[#This Row],[Date]])</f>
        <v>9</v>
      </c>
      <c r="U1393" t="str">
        <f>TEXT(Table1[[#This Row],[Expected Business Month]],"YYYY")</f>
        <v>2025</v>
      </c>
    </row>
    <row r="1394" spans="1:21" hidden="1">
      <c r="A1394" s="1">
        <v>45714</v>
      </c>
      <c r="B1394" t="s">
        <v>245</v>
      </c>
      <c r="C1394" t="s">
        <v>96</v>
      </c>
      <c r="D1394" t="s">
        <v>20</v>
      </c>
      <c r="E1394" t="s">
        <v>23</v>
      </c>
      <c r="F1394" t="s">
        <v>3364</v>
      </c>
      <c r="G1394" s="9" t="s">
        <v>3365</v>
      </c>
      <c r="H1394">
        <v>4250</v>
      </c>
      <c r="I1394">
        <v>4250</v>
      </c>
      <c r="J1394" s="21">
        <v>45689</v>
      </c>
      <c r="K1394" t="s">
        <v>67</v>
      </c>
      <c r="L1394" t="s">
        <v>68</v>
      </c>
      <c r="M1394" t="s">
        <v>69</v>
      </c>
      <c r="O1394">
        <v>0</v>
      </c>
      <c r="S1394" t="str">
        <f>TEXT(Table1[[#This Row],[Date]],"MMM-YY")</f>
        <v>Feb-25</v>
      </c>
      <c r="T1394">
        <f>_xlfn.ISOWEEKNUM(Table1[[#This Row],[Date]])</f>
        <v>9</v>
      </c>
      <c r="U1394" t="str">
        <f>TEXT(Table1[[#This Row],[Expected Business Month]],"YYYY")</f>
        <v>2025</v>
      </c>
    </row>
    <row r="1395" spans="1:21" hidden="1">
      <c r="A1395" s="1">
        <v>45714</v>
      </c>
      <c r="B1395" t="s">
        <v>3366</v>
      </c>
      <c r="C1395" t="s">
        <v>96</v>
      </c>
      <c r="D1395" t="s">
        <v>2681</v>
      </c>
      <c r="E1395" t="s">
        <v>32</v>
      </c>
      <c r="F1395" t="s">
        <v>3367</v>
      </c>
      <c r="G1395" s="9" t="s">
        <v>3368</v>
      </c>
      <c r="H1395">
        <v>34991</v>
      </c>
      <c r="I1395">
        <v>34991</v>
      </c>
      <c r="J1395" s="21">
        <v>45689</v>
      </c>
      <c r="K1395" t="s">
        <v>67</v>
      </c>
      <c r="L1395" t="s">
        <v>68</v>
      </c>
      <c r="M1395" t="s">
        <v>69</v>
      </c>
      <c r="O1395">
        <v>0</v>
      </c>
      <c r="S1395" t="str">
        <f>TEXT(Table1[[#This Row],[Date]],"MMM-YY")</f>
        <v>Feb-25</v>
      </c>
      <c r="T1395">
        <f>_xlfn.ISOWEEKNUM(Table1[[#This Row],[Date]])</f>
        <v>9</v>
      </c>
      <c r="U1395" t="str">
        <f>TEXT(Table1[[#This Row],[Expected Business Month]],"YYYY")</f>
        <v>2025</v>
      </c>
    </row>
    <row r="1396" spans="1:21" hidden="1">
      <c r="A1396" s="1">
        <v>45715</v>
      </c>
      <c r="B1396" t="s">
        <v>3269</v>
      </c>
      <c r="C1396" t="s">
        <v>63</v>
      </c>
      <c r="D1396" t="s">
        <v>64</v>
      </c>
      <c r="E1396" t="s">
        <v>38</v>
      </c>
      <c r="F1396" t="s">
        <v>371</v>
      </c>
      <c r="G1396" s="9" t="s">
        <v>3369</v>
      </c>
      <c r="H1396">
        <v>12670</v>
      </c>
      <c r="I1396">
        <v>12670</v>
      </c>
      <c r="J1396" s="21">
        <v>45689</v>
      </c>
      <c r="K1396" t="s">
        <v>67</v>
      </c>
      <c r="L1396" t="s">
        <v>68</v>
      </c>
      <c r="M1396" t="s">
        <v>69</v>
      </c>
      <c r="O1396">
        <v>0</v>
      </c>
      <c r="S1396" t="str">
        <f>TEXT(Table1[[#This Row],[Date]],"MMM-YY")</f>
        <v>Feb-25</v>
      </c>
      <c r="T1396">
        <f>_xlfn.ISOWEEKNUM(Table1[[#This Row],[Date]])</f>
        <v>9</v>
      </c>
      <c r="U1396" t="str">
        <f>TEXT(Table1[[#This Row],[Expected Business Month]],"YYYY")</f>
        <v>2025</v>
      </c>
    </row>
    <row r="1397" spans="1:21" hidden="1">
      <c r="A1397" s="1">
        <v>45715</v>
      </c>
      <c r="B1397" t="s">
        <v>3248</v>
      </c>
      <c r="C1397" t="s">
        <v>63</v>
      </c>
      <c r="D1397" t="s">
        <v>64</v>
      </c>
      <c r="E1397" t="s">
        <v>38</v>
      </c>
      <c r="F1397" t="s">
        <v>269</v>
      </c>
      <c r="G1397" s="9" t="s">
        <v>3369</v>
      </c>
      <c r="H1397">
        <v>7660</v>
      </c>
      <c r="I1397">
        <v>7660</v>
      </c>
      <c r="J1397" s="21">
        <v>45689</v>
      </c>
      <c r="K1397" t="s">
        <v>67</v>
      </c>
      <c r="L1397" t="s">
        <v>68</v>
      </c>
      <c r="M1397" t="s">
        <v>69</v>
      </c>
      <c r="O1397">
        <v>0</v>
      </c>
      <c r="S1397" t="str">
        <f>TEXT(Table1[[#This Row],[Date]],"MMM-YY")</f>
        <v>Feb-25</v>
      </c>
      <c r="T1397">
        <f>_xlfn.ISOWEEKNUM(Table1[[#This Row],[Date]])</f>
        <v>9</v>
      </c>
      <c r="U1397" t="str">
        <f>TEXT(Table1[[#This Row],[Expected Business Month]],"YYYY")</f>
        <v>2025</v>
      </c>
    </row>
    <row r="1398" spans="1:21" hidden="1">
      <c r="A1398" s="1">
        <v>45715</v>
      </c>
      <c r="B1398" t="s">
        <v>3292</v>
      </c>
      <c r="C1398" t="s">
        <v>96</v>
      </c>
      <c r="D1398" t="s">
        <v>20</v>
      </c>
      <c r="E1398" t="s">
        <v>23</v>
      </c>
      <c r="F1398" t="s">
        <v>73</v>
      </c>
      <c r="G1398" s="9" t="s">
        <v>3370</v>
      </c>
      <c r="H1398">
        <v>11730</v>
      </c>
      <c r="I1398">
        <v>11730</v>
      </c>
      <c r="J1398" s="21">
        <v>45689</v>
      </c>
      <c r="K1398" t="s">
        <v>67</v>
      </c>
      <c r="L1398" t="s">
        <v>68</v>
      </c>
      <c r="M1398" t="s">
        <v>69</v>
      </c>
      <c r="O1398">
        <v>0</v>
      </c>
      <c r="S1398" t="str">
        <f>TEXT(Table1[[#This Row],[Date]],"MMM-YY")</f>
        <v>Feb-25</v>
      </c>
      <c r="T1398">
        <f>_xlfn.ISOWEEKNUM(Table1[[#This Row],[Date]])</f>
        <v>9</v>
      </c>
      <c r="U1398" t="str">
        <f>TEXT(Table1[[#This Row],[Expected Business Month]],"YYYY")</f>
        <v>2025</v>
      </c>
    </row>
    <row r="1399" spans="1:21" hidden="1">
      <c r="A1399" s="1">
        <v>45716</v>
      </c>
      <c r="B1399" t="s">
        <v>3269</v>
      </c>
      <c r="C1399" t="s">
        <v>63</v>
      </c>
      <c r="D1399" t="s">
        <v>64</v>
      </c>
      <c r="E1399" t="s">
        <v>38</v>
      </c>
      <c r="F1399" t="s">
        <v>371</v>
      </c>
      <c r="G1399" s="9" t="s">
        <v>3371</v>
      </c>
      <c r="H1399">
        <v>11732</v>
      </c>
      <c r="I1399">
        <v>11732</v>
      </c>
      <c r="J1399" s="21">
        <v>45689</v>
      </c>
      <c r="K1399" t="s">
        <v>67</v>
      </c>
      <c r="L1399" t="s">
        <v>68</v>
      </c>
      <c r="M1399" t="s">
        <v>69</v>
      </c>
      <c r="O1399">
        <v>0</v>
      </c>
      <c r="S1399" t="str">
        <f>TEXT(Table1[[#This Row],[Date]],"MMM-YY")</f>
        <v>Feb-25</v>
      </c>
      <c r="T1399">
        <f>_xlfn.ISOWEEKNUM(Table1[[#This Row],[Date]])</f>
        <v>9</v>
      </c>
      <c r="U1399" t="str">
        <f>TEXT(Table1[[#This Row],[Expected Business Month]],"YYYY")</f>
        <v>2025</v>
      </c>
    </row>
    <row r="1400" spans="1:21" hidden="1">
      <c r="A1400" s="1">
        <v>45716</v>
      </c>
      <c r="B1400" t="s">
        <v>3248</v>
      </c>
      <c r="C1400" t="s">
        <v>63</v>
      </c>
      <c r="D1400" t="s">
        <v>64</v>
      </c>
      <c r="E1400" t="s">
        <v>38</v>
      </c>
      <c r="F1400" t="s">
        <v>269</v>
      </c>
      <c r="G1400" s="9" t="s">
        <v>3371</v>
      </c>
      <c r="H1400">
        <v>9160</v>
      </c>
      <c r="I1400">
        <v>9160</v>
      </c>
      <c r="J1400" s="21">
        <v>45689</v>
      </c>
      <c r="K1400" t="s">
        <v>67</v>
      </c>
      <c r="L1400" t="s">
        <v>68</v>
      </c>
      <c r="M1400" t="s">
        <v>69</v>
      </c>
      <c r="O1400">
        <v>0</v>
      </c>
      <c r="S1400" t="str">
        <f>TEXT(Table1[[#This Row],[Date]],"MMM-YY")</f>
        <v>Feb-25</v>
      </c>
      <c r="T1400">
        <f>_xlfn.ISOWEEKNUM(Table1[[#This Row],[Date]])</f>
        <v>9</v>
      </c>
      <c r="U1400" t="str">
        <f>TEXT(Table1[[#This Row],[Expected Business Month]],"YYYY")</f>
        <v>2025</v>
      </c>
    </row>
    <row r="1401" spans="1:21" hidden="1">
      <c r="A1401" s="1">
        <v>45716</v>
      </c>
      <c r="B1401" t="s">
        <v>3372</v>
      </c>
      <c r="C1401" t="s">
        <v>96</v>
      </c>
      <c r="D1401" t="s">
        <v>20</v>
      </c>
      <c r="E1401" t="s">
        <v>23</v>
      </c>
      <c r="F1401" t="s">
        <v>423</v>
      </c>
      <c r="G1401" s="9" t="s">
        <v>3373</v>
      </c>
      <c r="H1401">
        <v>12580</v>
      </c>
      <c r="I1401">
        <v>12580</v>
      </c>
      <c r="J1401" s="21">
        <v>45689</v>
      </c>
      <c r="K1401" t="s">
        <v>67</v>
      </c>
      <c r="L1401" t="s">
        <v>68</v>
      </c>
      <c r="M1401" t="s">
        <v>69</v>
      </c>
      <c r="O1401">
        <v>0</v>
      </c>
      <c r="S1401" t="str">
        <f>TEXT(Table1[[#This Row],[Date]],"MMM-YY")</f>
        <v>Feb-25</v>
      </c>
      <c r="T1401">
        <f>_xlfn.ISOWEEKNUM(Table1[[#This Row],[Date]])</f>
        <v>9</v>
      </c>
      <c r="U1401" t="str">
        <f>TEXT(Table1[[#This Row],[Expected Business Month]],"YYYY")</f>
        <v>2025</v>
      </c>
    </row>
    <row r="1402" spans="1:21" hidden="1">
      <c r="A1402" s="1">
        <v>45716</v>
      </c>
      <c r="B1402" t="s">
        <v>3374</v>
      </c>
      <c r="C1402" t="s">
        <v>63</v>
      </c>
      <c r="D1402" t="s">
        <v>37</v>
      </c>
      <c r="E1402" t="s">
        <v>38</v>
      </c>
      <c r="F1402" t="s">
        <v>169</v>
      </c>
      <c r="G1402" s="9" t="s">
        <v>3371</v>
      </c>
      <c r="H1402">
        <v>8000</v>
      </c>
      <c r="I1402">
        <v>8000</v>
      </c>
      <c r="J1402" s="21">
        <v>45689</v>
      </c>
      <c r="K1402" t="s">
        <v>67</v>
      </c>
      <c r="L1402" t="s">
        <v>68</v>
      </c>
      <c r="M1402" t="s">
        <v>69</v>
      </c>
      <c r="O1402">
        <v>0</v>
      </c>
      <c r="S1402" t="str">
        <f>TEXT(Table1[[#This Row],[Date]],"MMM-YY")</f>
        <v>Feb-25</v>
      </c>
      <c r="T1402">
        <f>_xlfn.ISOWEEKNUM(Table1[[#This Row],[Date]])</f>
        <v>9</v>
      </c>
      <c r="U1402" t="str">
        <f>TEXT(Table1[[#This Row],[Expected Business Month]],"YYYY")</f>
        <v>2025</v>
      </c>
    </row>
    <row r="1403" spans="1:21" hidden="1">
      <c r="A1403" s="1">
        <v>45717</v>
      </c>
      <c r="B1403" t="s">
        <v>3375</v>
      </c>
      <c r="C1403" t="s">
        <v>96</v>
      </c>
      <c r="D1403" t="s">
        <v>20</v>
      </c>
      <c r="E1403" t="s">
        <v>23</v>
      </c>
      <c r="F1403" t="s">
        <v>1541</v>
      </c>
      <c r="G1403" s="9" t="s">
        <v>3376</v>
      </c>
      <c r="H1403">
        <v>13536</v>
      </c>
      <c r="I1403">
        <v>13536</v>
      </c>
      <c r="J1403" s="21">
        <v>45717</v>
      </c>
      <c r="K1403" t="s">
        <v>67</v>
      </c>
      <c r="L1403" t="s">
        <v>68</v>
      </c>
      <c r="M1403" t="s">
        <v>69</v>
      </c>
      <c r="O1403">
        <v>0</v>
      </c>
      <c r="S1403" t="str">
        <f>TEXT(Table1[[#This Row],[Date]],"MMM-YY")</f>
        <v>Mar-25</v>
      </c>
      <c r="T1403">
        <f>_xlfn.ISOWEEKNUM(Table1[[#This Row],[Date]])</f>
        <v>9</v>
      </c>
      <c r="U1403" t="str">
        <f>TEXT(Table1[[#This Row],[Expected Business Month]],"YYYY")</f>
        <v>2025</v>
      </c>
    </row>
    <row r="1404" spans="1:21" hidden="1">
      <c r="A1404" s="1">
        <v>45717</v>
      </c>
      <c r="B1404" t="s">
        <v>3372</v>
      </c>
      <c r="C1404" t="s">
        <v>96</v>
      </c>
      <c r="D1404" t="s">
        <v>20</v>
      </c>
      <c r="E1404" t="s">
        <v>23</v>
      </c>
      <c r="F1404" t="s">
        <v>214</v>
      </c>
      <c r="G1404" s="9" t="s">
        <v>3377</v>
      </c>
      <c r="H1404">
        <v>6309</v>
      </c>
      <c r="I1404">
        <v>6309</v>
      </c>
      <c r="J1404" s="21">
        <v>45717</v>
      </c>
      <c r="K1404" t="s">
        <v>67</v>
      </c>
      <c r="L1404" t="s">
        <v>68</v>
      </c>
      <c r="M1404" t="s">
        <v>69</v>
      </c>
      <c r="O1404">
        <v>0</v>
      </c>
      <c r="S1404" t="str">
        <f>TEXT(Table1[[#This Row],[Date]],"MMM-YY")</f>
        <v>Mar-25</v>
      </c>
      <c r="T1404">
        <f>_xlfn.ISOWEEKNUM(Table1[[#This Row],[Date]])</f>
        <v>9</v>
      </c>
      <c r="U1404" t="str">
        <f>TEXT(Table1[[#This Row],[Expected Business Month]],"YYYY")</f>
        <v>2025</v>
      </c>
    </row>
    <row r="1405" spans="1:21" hidden="1">
      <c r="A1405" s="1">
        <v>45718</v>
      </c>
      <c r="B1405" t="s">
        <v>3356</v>
      </c>
      <c r="C1405" t="s">
        <v>96</v>
      </c>
      <c r="D1405" t="s">
        <v>20</v>
      </c>
      <c r="E1405" t="s">
        <v>23</v>
      </c>
      <c r="F1405" t="s">
        <v>1707</v>
      </c>
      <c r="G1405" s="9" t="s">
        <v>3378</v>
      </c>
      <c r="H1405">
        <v>14850</v>
      </c>
      <c r="I1405">
        <v>14850</v>
      </c>
      <c r="J1405" s="21">
        <v>45717</v>
      </c>
      <c r="K1405" t="s">
        <v>67</v>
      </c>
      <c r="L1405" t="s">
        <v>68</v>
      </c>
      <c r="M1405" t="s">
        <v>69</v>
      </c>
      <c r="O1405">
        <v>0</v>
      </c>
      <c r="S1405" t="str">
        <f>TEXT(Table1[[#This Row],[Date]],"MMM-YY")</f>
        <v>Mar-25</v>
      </c>
      <c r="T1405">
        <f>_xlfn.ISOWEEKNUM(Table1[[#This Row],[Date]])</f>
        <v>9</v>
      </c>
      <c r="U1405" t="str">
        <f>TEXT(Table1[[#This Row],[Expected Business Month]],"YYYY")</f>
        <v>2025</v>
      </c>
    </row>
    <row r="1406" spans="1:21" hidden="1">
      <c r="A1406" s="1">
        <v>45719</v>
      </c>
      <c r="B1406" t="s">
        <v>3379</v>
      </c>
      <c r="C1406" t="s">
        <v>63</v>
      </c>
      <c r="D1406" t="s">
        <v>64</v>
      </c>
      <c r="E1406" t="s">
        <v>26</v>
      </c>
      <c r="F1406" t="s">
        <v>3380</v>
      </c>
      <c r="G1406" s="9" t="s">
        <v>3381</v>
      </c>
      <c r="H1406">
        <v>0</v>
      </c>
      <c r="I1406">
        <v>0</v>
      </c>
      <c r="J1406" s="21">
        <v>45717</v>
      </c>
      <c r="K1406" t="s">
        <v>67</v>
      </c>
      <c r="L1406" t="s">
        <v>68</v>
      </c>
      <c r="M1406" t="s">
        <v>69</v>
      </c>
      <c r="O1406">
        <v>200000</v>
      </c>
      <c r="S1406" t="str">
        <f>TEXT(Table1[[#This Row],[Date]],"MMM-YY")</f>
        <v>Mar-25</v>
      </c>
      <c r="T1406">
        <f>_xlfn.ISOWEEKNUM(Table1[[#This Row],[Date]])</f>
        <v>10</v>
      </c>
      <c r="U1406" t="str">
        <f>TEXT(Table1[[#This Row],[Expected Business Month]],"YYYY")</f>
        <v>2025</v>
      </c>
    </row>
    <row r="1407" spans="1:21" hidden="1">
      <c r="A1407" s="1">
        <v>45719</v>
      </c>
      <c r="B1407" t="s">
        <v>3382</v>
      </c>
      <c r="C1407" t="s">
        <v>63</v>
      </c>
      <c r="D1407" t="s">
        <v>64</v>
      </c>
      <c r="E1407" t="s">
        <v>26</v>
      </c>
      <c r="F1407" t="s">
        <v>269</v>
      </c>
      <c r="G1407" s="9" t="s">
        <v>3381</v>
      </c>
      <c r="H1407">
        <v>100000</v>
      </c>
      <c r="I1407">
        <v>0</v>
      </c>
      <c r="J1407" s="21">
        <v>45717</v>
      </c>
      <c r="K1407" t="s">
        <v>67</v>
      </c>
      <c r="L1407" t="s">
        <v>9</v>
      </c>
      <c r="M1407" t="s">
        <v>9</v>
      </c>
      <c r="N1407" t="s">
        <v>3383</v>
      </c>
      <c r="O1407">
        <v>100000</v>
      </c>
      <c r="S1407" t="str">
        <f>TEXT(Table1[[#This Row],[Date]],"MMM-YY")</f>
        <v>Mar-25</v>
      </c>
      <c r="T1407">
        <f>_xlfn.ISOWEEKNUM(Table1[[#This Row],[Date]])</f>
        <v>10</v>
      </c>
      <c r="U1407" t="str">
        <f>TEXT(Table1[[#This Row],[Expected Business Month]],"YYYY")</f>
        <v>2025</v>
      </c>
    </row>
    <row r="1408" spans="1:21" hidden="1">
      <c r="A1408" s="1">
        <v>45719</v>
      </c>
      <c r="B1408" t="s">
        <v>471</v>
      </c>
      <c r="C1408" t="s">
        <v>63</v>
      </c>
      <c r="D1408" t="s">
        <v>64</v>
      </c>
      <c r="E1408" t="s">
        <v>26</v>
      </c>
      <c r="F1408" t="s">
        <v>1624</v>
      </c>
      <c r="G1408" s="9" t="s">
        <v>3381</v>
      </c>
      <c r="H1408">
        <v>20000</v>
      </c>
      <c r="I1408">
        <v>20000</v>
      </c>
      <c r="J1408" s="21">
        <v>45717</v>
      </c>
      <c r="K1408" t="s">
        <v>67</v>
      </c>
      <c r="L1408" t="s">
        <v>68</v>
      </c>
      <c r="M1408" t="s">
        <v>69</v>
      </c>
      <c r="O1408">
        <v>20000</v>
      </c>
      <c r="S1408" t="str">
        <f>TEXT(Table1[[#This Row],[Date]],"MMM-YY")</f>
        <v>Mar-25</v>
      </c>
      <c r="T1408">
        <f>_xlfn.ISOWEEKNUM(Table1[[#This Row],[Date]])</f>
        <v>10</v>
      </c>
      <c r="U1408" t="str">
        <f>TEXT(Table1[[#This Row],[Expected Business Month]],"YYYY")</f>
        <v>2025</v>
      </c>
    </row>
    <row r="1409" spans="1:21" hidden="1">
      <c r="A1409" s="1">
        <v>45719</v>
      </c>
      <c r="B1409" t="s">
        <v>3384</v>
      </c>
      <c r="C1409" t="s">
        <v>63</v>
      </c>
      <c r="D1409" t="s">
        <v>64</v>
      </c>
      <c r="E1409" t="s">
        <v>26</v>
      </c>
      <c r="F1409" t="s">
        <v>1772</v>
      </c>
      <c r="G1409" s="9" t="s">
        <v>3381</v>
      </c>
      <c r="H1409">
        <v>100000</v>
      </c>
      <c r="I1409">
        <v>0</v>
      </c>
      <c r="J1409" s="21">
        <v>45717</v>
      </c>
      <c r="K1409" t="s">
        <v>67</v>
      </c>
      <c r="L1409" t="s">
        <v>9</v>
      </c>
      <c r="M1409" t="s">
        <v>9</v>
      </c>
      <c r="N1409" t="s">
        <v>9</v>
      </c>
      <c r="O1409">
        <v>100000</v>
      </c>
      <c r="S1409" t="str">
        <f>TEXT(Table1[[#This Row],[Date]],"MMM-YY")</f>
        <v>Mar-25</v>
      </c>
      <c r="T1409">
        <f>_xlfn.ISOWEEKNUM(Table1[[#This Row],[Date]])</f>
        <v>10</v>
      </c>
      <c r="U1409" t="str">
        <f>TEXT(Table1[[#This Row],[Expected Business Month]],"YYYY")</f>
        <v>2025</v>
      </c>
    </row>
    <row r="1410" spans="1:21" hidden="1">
      <c r="A1410" s="1">
        <v>45719</v>
      </c>
      <c r="B1410" t="s">
        <v>3385</v>
      </c>
      <c r="C1410" t="s">
        <v>63</v>
      </c>
      <c r="D1410" t="s">
        <v>64</v>
      </c>
      <c r="E1410" t="s">
        <v>26</v>
      </c>
      <c r="F1410" t="s">
        <v>1772</v>
      </c>
      <c r="G1410" s="9" t="s">
        <v>3381</v>
      </c>
      <c r="H1410">
        <v>9000</v>
      </c>
      <c r="I1410">
        <v>9000</v>
      </c>
      <c r="J1410" s="21">
        <v>45717</v>
      </c>
      <c r="K1410" t="s">
        <v>67</v>
      </c>
      <c r="L1410" t="s">
        <v>68</v>
      </c>
      <c r="M1410" t="s">
        <v>69</v>
      </c>
      <c r="O1410">
        <v>9000</v>
      </c>
      <c r="S1410" t="str">
        <f>TEXT(Table1[[#This Row],[Date]],"MMM-YY")</f>
        <v>Mar-25</v>
      </c>
      <c r="T1410">
        <f>_xlfn.ISOWEEKNUM(Table1[[#This Row],[Date]])</f>
        <v>10</v>
      </c>
      <c r="U1410" t="str">
        <f>TEXT(Table1[[#This Row],[Expected Business Month]],"YYYY")</f>
        <v>2025</v>
      </c>
    </row>
    <row r="1411" spans="1:21" hidden="1">
      <c r="A1411" s="1">
        <v>45719</v>
      </c>
      <c r="B1411" t="s">
        <v>3386</v>
      </c>
      <c r="C1411" t="s">
        <v>63</v>
      </c>
      <c r="D1411" t="s">
        <v>64</v>
      </c>
      <c r="E1411" t="s">
        <v>26</v>
      </c>
      <c r="F1411" t="s">
        <v>1772</v>
      </c>
      <c r="G1411" s="9" t="s">
        <v>3381</v>
      </c>
      <c r="H1411">
        <v>50000</v>
      </c>
      <c r="I1411">
        <v>0</v>
      </c>
      <c r="J1411" s="21">
        <v>45717</v>
      </c>
      <c r="K1411" t="s">
        <v>67</v>
      </c>
      <c r="L1411" t="s">
        <v>9</v>
      </c>
      <c r="M1411" t="s">
        <v>9</v>
      </c>
      <c r="N1411" t="s">
        <v>3383</v>
      </c>
      <c r="O1411">
        <v>50000</v>
      </c>
      <c r="S1411" t="str">
        <f>TEXT(Table1[[#This Row],[Date]],"MMM-YY")</f>
        <v>Mar-25</v>
      </c>
      <c r="T1411">
        <f>_xlfn.ISOWEEKNUM(Table1[[#This Row],[Date]])</f>
        <v>10</v>
      </c>
      <c r="U1411" t="str">
        <f>TEXT(Table1[[#This Row],[Expected Business Month]],"YYYY")</f>
        <v>2025</v>
      </c>
    </row>
    <row r="1412" spans="1:21" hidden="1">
      <c r="A1412" s="1">
        <v>45719</v>
      </c>
      <c r="B1412" t="s">
        <v>3387</v>
      </c>
      <c r="C1412" t="s">
        <v>63</v>
      </c>
      <c r="D1412" t="s">
        <v>105</v>
      </c>
      <c r="E1412" t="s">
        <v>18</v>
      </c>
      <c r="F1412" t="s">
        <v>2649</v>
      </c>
      <c r="G1412" s="9" t="s">
        <v>3381</v>
      </c>
      <c r="H1412">
        <v>150000</v>
      </c>
      <c r="I1412">
        <v>0</v>
      </c>
      <c r="J1412" s="21">
        <v>45717</v>
      </c>
      <c r="K1412" t="s">
        <v>67</v>
      </c>
      <c r="L1412" t="s">
        <v>9</v>
      </c>
      <c r="M1412" t="s">
        <v>9</v>
      </c>
      <c r="O1412">
        <v>150000</v>
      </c>
      <c r="S1412" t="str">
        <f>TEXT(Table1[[#This Row],[Date]],"MMM-YY")</f>
        <v>Mar-25</v>
      </c>
      <c r="T1412">
        <f>_xlfn.ISOWEEKNUM(Table1[[#This Row],[Date]])</f>
        <v>10</v>
      </c>
      <c r="U1412" t="str">
        <f>TEXT(Table1[[#This Row],[Expected Business Month]],"YYYY")</f>
        <v>2025</v>
      </c>
    </row>
    <row r="1413" spans="1:21" hidden="1">
      <c r="A1413" s="1">
        <v>45719</v>
      </c>
      <c r="B1413" t="s">
        <v>3388</v>
      </c>
      <c r="C1413" t="s">
        <v>63</v>
      </c>
      <c r="D1413" t="s">
        <v>64</v>
      </c>
      <c r="E1413" t="s">
        <v>38</v>
      </c>
      <c r="F1413" t="s">
        <v>1186</v>
      </c>
      <c r="G1413" s="9" t="s">
        <v>3389</v>
      </c>
      <c r="H1413">
        <v>0</v>
      </c>
      <c r="I1413">
        <v>0</v>
      </c>
      <c r="J1413" s="21">
        <v>45717</v>
      </c>
      <c r="K1413" t="s">
        <v>67</v>
      </c>
      <c r="L1413" t="s">
        <v>68</v>
      </c>
      <c r="M1413" t="s">
        <v>69</v>
      </c>
      <c r="O1413">
        <v>0</v>
      </c>
      <c r="S1413" t="str">
        <f>TEXT(Table1[[#This Row],[Date]],"MMM-YY")</f>
        <v>Mar-25</v>
      </c>
      <c r="T1413">
        <f>_xlfn.ISOWEEKNUM(Table1[[#This Row],[Date]])</f>
        <v>10</v>
      </c>
      <c r="U1413" t="str">
        <f>TEXT(Table1[[#This Row],[Expected Business Month]],"YYYY")</f>
        <v>2025</v>
      </c>
    </row>
    <row r="1414" spans="1:21" hidden="1">
      <c r="A1414" s="1">
        <v>45719</v>
      </c>
      <c r="B1414" t="s">
        <v>3390</v>
      </c>
      <c r="C1414" t="s">
        <v>96</v>
      </c>
      <c r="D1414" t="s">
        <v>20</v>
      </c>
      <c r="E1414" t="s">
        <v>23</v>
      </c>
      <c r="F1414" t="s">
        <v>3391</v>
      </c>
      <c r="G1414" s="9" t="s">
        <v>3392</v>
      </c>
      <c r="H1414">
        <v>6518</v>
      </c>
      <c r="I1414">
        <v>6518</v>
      </c>
      <c r="J1414" s="21">
        <v>45717</v>
      </c>
      <c r="K1414" t="s">
        <v>67</v>
      </c>
      <c r="L1414" t="s">
        <v>68</v>
      </c>
      <c r="M1414" t="s">
        <v>69</v>
      </c>
      <c r="O1414">
        <v>0</v>
      </c>
      <c r="S1414" t="str">
        <f>TEXT(Table1[[#This Row],[Date]],"MMM-YY")</f>
        <v>Mar-25</v>
      </c>
      <c r="T1414">
        <f>_xlfn.ISOWEEKNUM(Table1[[#This Row],[Date]])</f>
        <v>10</v>
      </c>
      <c r="U1414" t="str">
        <f>TEXT(Table1[[#This Row],[Expected Business Month]],"YYYY")</f>
        <v>2025</v>
      </c>
    </row>
    <row r="1415" spans="1:21" hidden="1">
      <c r="A1415" s="1">
        <v>45719</v>
      </c>
      <c r="B1415" t="s">
        <v>1763</v>
      </c>
      <c r="C1415" t="s">
        <v>96</v>
      </c>
      <c r="D1415" t="s">
        <v>20</v>
      </c>
      <c r="E1415" t="s">
        <v>23</v>
      </c>
      <c r="F1415" t="s">
        <v>3393</v>
      </c>
      <c r="G1415" s="9" t="s">
        <v>3394</v>
      </c>
      <c r="H1415">
        <v>15300</v>
      </c>
      <c r="I1415">
        <v>15300</v>
      </c>
      <c r="J1415" s="21">
        <v>45717</v>
      </c>
      <c r="K1415" t="s">
        <v>67</v>
      </c>
      <c r="L1415" t="s">
        <v>68</v>
      </c>
      <c r="M1415" t="s">
        <v>69</v>
      </c>
      <c r="O1415">
        <v>0</v>
      </c>
      <c r="S1415" t="str">
        <f>TEXT(Table1[[#This Row],[Date]],"MMM-YY")</f>
        <v>Mar-25</v>
      </c>
      <c r="T1415">
        <f>_xlfn.ISOWEEKNUM(Table1[[#This Row],[Date]])</f>
        <v>10</v>
      </c>
      <c r="U1415" t="str">
        <f>TEXT(Table1[[#This Row],[Expected Business Month]],"YYYY")</f>
        <v>2025</v>
      </c>
    </row>
    <row r="1416" spans="1:21" hidden="1">
      <c r="A1416" s="1">
        <v>45719</v>
      </c>
      <c r="B1416" t="s">
        <v>3395</v>
      </c>
      <c r="C1416" t="s">
        <v>63</v>
      </c>
      <c r="D1416" t="s">
        <v>105</v>
      </c>
      <c r="E1416" t="s">
        <v>18</v>
      </c>
      <c r="F1416" t="s">
        <v>3396</v>
      </c>
      <c r="G1416" s="9" t="s">
        <v>3397</v>
      </c>
      <c r="H1416">
        <v>67000</v>
      </c>
      <c r="I1416">
        <v>0</v>
      </c>
      <c r="J1416" s="21">
        <v>45717</v>
      </c>
      <c r="K1416" t="s">
        <v>67</v>
      </c>
      <c r="L1416" t="s">
        <v>9</v>
      </c>
      <c r="M1416" t="s">
        <v>9</v>
      </c>
      <c r="N1416" t="s">
        <v>831</v>
      </c>
      <c r="O1416">
        <v>67000</v>
      </c>
      <c r="S1416" t="str">
        <f>TEXT(Table1[[#This Row],[Date]],"MMM-YY")</f>
        <v>Mar-25</v>
      </c>
      <c r="T1416">
        <f>_xlfn.ISOWEEKNUM(Table1[[#This Row],[Date]])</f>
        <v>10</v>
      </c>
      <c r="U1416" t="str">
        <f>TEXT(Table1[[#This Row],[Expected Business Month]],"YYYY")</f>
        <v>2025</v>
      </c>
    </row>
    <row r="1417" spans="1:21" hidden="1">
      <c r="A1417" s="1">
        <v>45719</v>
      </c>
      <c r="B1417" t="s">
        <v>3398</v>
      </c>
      <c r="C1417" t="s">
        <v>63</v>
      </c>
      <c r="D1417" t="s">
        <v>64</v>
      </c>
      <c r="E1417" t="s">
        <v>26</v>
      </c>
      <c r="F1417" t="s">
        <v>3399</v>
      </c>
      <c r="G1417" s="9" t="s">
        <v>3400</v>
      </c>
      <c r="H1417">
        <v>150000</v>
      </c>
      <c r="I1417">
        <v>0</v>
      </c>
      <c r="J1417" s="21">
        <v>45717</v>
      </c>
      <c r="K1417" t="s">
        <v>67</v>
      </c>
      <c r="L1417" t="s">
        <v>9</v>
      </c>
      <c r="M1417" t="s">
        <v>9</v>
      </c>
      <c r="N1417" t="s">
        <v>831</v>
      </c>
      <c r="O1417">
        <v>150000</v>
      </c>
      <c r="S1417" t="str">
        <f>TEXT(Table1[[#This Row],[Date]],"MMM-YY")</f>
        <v>Mar-25</v>
      </c>
      <c r="T1417">
        <f>_xlfn.ISOWEEKNUM(Table1[[#This Row],[Date]])</f>
        <v>10</v>
      </c>
      <c r="U1417" t="str">
        <f>TEXT(Table1[[#This Row],[Expected Business Month]],"YYYY")</f>
        <v>2025</v>
      </c>
    </row>
    <row r="1418" spans="1:21" hidden="1">
      <c r="A1418" s="1">
        <v>45719</v>
      </c>
      <c r="B1418" t="s">
        <v>3248</v>
      </c>
      <c r="C1418" t="s">
        <v>63</v>
      </c>
      <c r="D1418" t="s">
        <v>64</v>
      </c>
      <c r="E1418" t="s">
        <v>38</v>
      </c>
      <c r="F1418" t="s">
        <v>269</v>
      </c>
      <c r="G1418" s="9" t="s">
        <v>3401</v>
      </c>
      <c r="H1418">
        <v>9160</v>
      </c>
      <c r="I1418">
        <v>9160</v>
      </c>
      <c r="J1418" s="21">
        <v>45717</v>
      </c>
      <c r="K1418" t="s">
        <v>67</v>
      </c>
      <c r="L1418" t="s">
        <v>68</v>
      </c>
      <c r="M1418" t="s">
        <v>69</v>
      </c>
      <c r="O1418">
        <v>3000</v>
      </c>
      <c r="S1418" t="str">
        <f>TEXT(Table1[[#This Row],[Date]],"MMM-YY")</f>
        <v>Mar-25</v>
      </c>
      <c r="T1418">
        <f>_xlfn.ISOWEEKNUM(Table1[[#This Row],[Date]])</f>
        <v>10</v>
      </c>
      <c r="U1418" t="str">
        <f>TEXT(Table1[[#This Row],[Expected Business Month]],"YYYY")</f>
        <v>2025</v>
      </c>
    </row>
    <row r="1419" spans="1:21" hidden="1">
      <c r="A1419" s="1">
        <v>45720</v>
      </c>
      <c r="B1419" t="s">
        <v>3248</v>
      </c>
      <c r="C1419" t="s">
        <v>63</v>
      </c>
      <c r="D1419" t="s">
        <v>64</v>
      </c>
      <c r="E1419" t="s">
        <v>38</v>
      </c>
      <c r="F1419" t="s">
        <v>269</v>
      </c>
      <c r="G1419" s="9" t="s">
        <v>3402</v>
      </c>
      <c r="H1419">
        <v>11732</v>
      </c>
      <c r="I1419">
        <v>11732</v>
      </c>
      <c r="J1419" s="21">
        <v>45717</v>
      </c>
      <c r="K1419" t="s">
        <v>67</v>
      </c>
      <c r="L1419" t="s">
        <v>68</v>
      </c>
      <c r="M1419" t="s">
        <v>69</v>
      </c>
      <c r="O1419">
        <v>3500</v>
      </c>
      <c r="S1419" t="str">
        <f>TEXT(Table1[[#This Row],[Date]],"MMM-YY")</f>
        <v>Mar-25</v>
      </c>
      <c r="T1419">
        <f>_xlfn.ISOWEEKNUM(Table1[[#This Row],[Date]])</f>
        <v>10</v>
      </c>
      <c r="U1419" t="str">
        <f>TEXT(Table1[[#This Row],[Expected Business Month]],"YYYY")</f>
        <v>2025</v>
      </c>
    </row>
    <row r="1420" spans="1:21" hidden="1">
      <c r="A1420" s="1">
        <v>45720</v>
      </c>
      <c r="B1420" t="s">
        <v>3403</v>
      </c>
      <c r="C1420" t="s">
        <v>63</v>
      </c>
      <c r="D1420" t="s">
        <v>64</v>
      </c>
      <c r="E1420" t="s">
        <v>26</v>
      </c>
      <c r="F1420" t="s">
        <v>164</v>
      </c>
      <c r="G1420" s="9" t="s">
        <v>3404</v>
      </c>
      <c r="H1420">
        <v>6500</v>
      </c>
      <c r="I1420">
        <v>6500</v>
      </c>
      <c r="J1420" s="21">
        <v>45717</v>
      </c>
      <c r="K1420" t="s">
        <v>67</v>
      </c>
      <c r="L1420" t="s">
        <v>68</v>
      </c>
      <c r="M1420" t="s">
        <v>69</v>
      </c>
      <c r="O1420">
        <v>2000</v>
      </c>
      <c r="S1420" t="str">
        <f>TEXT(Table1[[#This Row],[Date]],"MMM-YY")</f>
        <v>Mar-25</v>
      </c>
      <c r="T1420">
        <f>_xlfn.ISOWEEKNUM(Table1[[#This Row],[Date]])</f>
        <v>10</v>
      </c>
      <c r="U1420" t="str">
        <f>TEXT(Table1[[#This Row],[Expected Business Month]],"YYYY")</f>
        <v>2025</v>
      </c>
    </row>
    <row r="1421" spans="1:21" hidden="1">
      <c r="A1421" s="1">
        <v>45720</v>
      </c>
      <c r="B1421" t="s">
        <v>3405</v>
      </c>
      <c r="C1421" t="s">
        <v>63</v>
      </c>
      <c r="D1421" t="s">
        <v>64</v>
      </c>
      <c r="E1421" t="s">
        <v>26</v>
      </c>
      <c r="F1421" t="s">
        <v>3399</v>
      </c>
      <c r="G1421" s="9" t="s">
        <v>3406</v>
      </c>
      <c r="H1421">
        <v>10459</v>
      </c>
      <c r="I1421">
        <v>10459</v>
      </c>
      <c r="J1421" s="21">
        <v>45717</v>
      </c>
      <c r="K1421" t="s">
        <v>67</v>
      </c>
      <c r="L1421" t="s">
        <v>68</v>
      </c>
      <c r="M1421" t="s">
        <v>69</v>
      </c>
      <c r="O1421">
        <v>10550</v>
      </c>
      <c r="S1421" t="str">
        <f>TEXT(Table1[[#This Row],[Date]],"MMM-YY")</f>
        <v>Mar-25</v>
      </c>
      <c r="T1421">
        <f>_xlfn.ISOWEEKNUM(Table1[[#This Row],[Date]])</f>
        <v>10</v>
      </c>
      <c r="U1421" t="str">
        <f>TEXT(Table1[[#This Row],[Expected Business Month]],"YYYY")</f>
        <v>2025</v>
      </c>
    </row>
    <row r="1422" spans="1:21" hidden="1">
      <c r="A1422" s="1">
        <v>45720</v>
      </c>
      <c r="B1422" t="s">
        <v>245</v>
      </c>
      <c r="C1422" t="s">
        <v>96</v>
      </c>
      <c r="D1422" t="s">
        <v>20</v>
      </c>
      <c r="E1422" t="s">
        <v>23</v>
      </c>
      <c r="F1422" t="s">
        <v>3099</v>
      </c>
      <c r="G1422" s="9" t="s">
        <v>3407</v>
      </c>
      <c r="H1422">
        <v>9890</v>
      </c>
      <c r="I1422">
        <v>9890</v>
      </c>
      <c r="J1422" s="21">
        <v>45717</v>
      </c>
      <c r="K1422" t="s">
        <v>67</v>
      </c>
      <c r="L1422" t="s">
        <v>68</v>
      </c>
      <c r="M1422" t="s">
        <v>69</v>
      </c>
      <c r="O1422">
        <v>0</v>
      </c>
      <c r="S1422" t="str">
        <f>TEXT(Table1[[#This Row],[Date]],"MMM-YY")</f>
        <v>Mar-25</v>
      </c>
      <c r="T1422">
        <f>_xlfn.ISOWEEKNUM(Table1[[#This Row],[Date]])</f>
        <v>10</v>
      </c>
      <c r="U1422" t="str">
        <f>TEXT(Table1[[#This Row],[Expected Business Month]],"YYYY")</f>
        <v>2025</v>
      </c>
    </row>
    <row r="1423" spans="1:21" hidden="1">
      <c r="A1423" s="1">
        <v>45721</v>
      </c>
      <c r="B1423" t="s">
        <v>3405</v>
      </c>
      <c r="C1423" t="s">
        <v>63</v>
      </c>
      <c r="D1423" t="s">
        <v>64</v>
      </c>
      <c r="E1423" t="s">
        <v>26</v>
      </c>
      <c r="F1423" t="s">
        <v>3399</v>
      </c>
      <c r="G1423" s="9" t="s">
        <v>3408</v>
      </c>
      <c r="H1423">
        <v>15366</v>
      </c>
      <c r="I1423">
        <v>15366</v>
      </c>
      <c r="J1423" s="21">
        <v>45717</v>
      </c>
      <c r="K1423" t="s">
        <v>67</v>
      </c>
      <c r="L1423" t="s">
        <v>68</v>
      </c>
      <c r="M1423" t="s">
        <v>69</v>
      </c>
      <c r="O1423">
        <v>15366</v>
      </c>
      <c r="S1423" t="str">
        <f>TEXT(Table1[[#This Row],[Date]],"MMM-YY")</f>
        <v>Mar-25</v>
      </c>
      <c r="T1423">
        <f>_xlfn.ISOWEEKNUM(Table1[[#This Row],[Date]])</f>
        <v>10</v>
      </c>
      <c r="U1423" t="str">
        <f>TEXT(Table1[[#This Row],[Expected Business Month]],"YYYY")</f>
        <v>2025</v>
      </c>
    </row>
    <row r="1424" spans="1:21" hidden="1">
      <c r="A1424" s="1">
        <v>45721</v>
      </c>
      <c r="B1424" t="s">
        <v>3316</v>
      </c>
      <c r="C1424" t="s">
        <v>96</v>
      </c>
      <c r="D1424" t="s">
        <v>64</v>
      </c>
      <c r="E1424" t="s">
        <v>27</v>
      </c>
      <c r="F1424" t="s">
        <v>3409</v>
      </c>
      <c r="G1424" s="9" t="s">
        <v>3410</v>
      </c>
      <c r="H1424">
        <v>6142</v>
      </c>
      <c r="I1424">
        <v>6142</v>
      </c>
      <c r="J1424" s="21">
        <v>45717</v>
      </c>
      <c r="K1424" t="s">
        <v>67</v>
      </c>
      <c r="L1424" t="s">
        <v>68</v>
      </c>
      <c r="M1424" t="s">
        <v>69</v>
      </c>
      <c r="O1424">
        <v>0</v>
      </c>
      <c r="S1424" t="str">
        <f>TEXT(Table1[[#This Row],[Date]],"MMM-YY")</f>
        <v>Mar-25</v>
      </c>
      <c r="T1424">
        <f>_xlfn.ISOWEEKNUM(Table1[[#This Row],[Date]])</f>
        <v>10</v>
      </c>
      <c r="U1424" t="str">
        <f>TEXT(Table1[[#This Row],[Expected Business Month]],"YYYY")</f>
        <v>2025</v>
      </c>
    </row>
    <row r="1425" spans="1:21" hidden="1">
      <c r="A1425" s="1">
        <v>45721</v>
      </c>
      <c r="B1425" t="s">
        <v>3403</v>
      </c>
      <c r="C1425" t="s">
        <v>63</v>
      </c>
      <c r="D1425" t="s">
        <v>64</v>
      </c>
      <c r="E1425" t="s">
        <v>26</v>
      </c>
      <c r="F1425" t="s">
        <v>164</v>
      </c>
      <c r="G1425" s="9" t="s">
        <v>3411</v>
      </c>
      <c r="H1425">
        <v>9800</v>
      </c>
      <c r="I1425">
        <v>9800</v>
      </c>
      <c r="J1425" s="21">
        <v>45717</v>
      </c>
      <c r="K1425" t="s">
        <v>67</v>
      </c>
      <c r="L1425" t="s">
        <v>68</v>
      </c>
      <c r="M1425" t="s">
        <v>69</v>
      </c>
      <c r="O1425">
        <v>2000</v>
      </c>
      <c r="S1425" t="str">
        <f>TEXT(Table1[[#This Row],[Date]],"MMM-YY")</f>
        <v>Mar-25</v>
      </c>
      <c r="T1425">
        <f>_xlfn.ISOWEEKNUM(Table1[[#This Row],[Date]])</f>
        <v>10</v>
      </c>
      <c r="U1425" t="str">
        <f>TEXT(Table1[[#This Row],[Expected Business Month]],"YYYY")</f>
        <v>2025</v>
      </c>
    </row>
    <row r="1426" spans="1:21" hidden="1">
      <c r="A1426" s="1">
        <v>45721</v>
      </c>
      <c r="B1426" t="s">
        <v>3248</v>
      </c>
      <c r="C1426" t="s">
        <v>63</v>
      </c>
      <c r="D1426" t="s">
        <v>64</v>
      </c>
      <c r="E1426" t="s">
        <v>38</v>
      </c>
      <c r="F1426" t="s">
        <v>269</v>
      </c>
      <c r="G1426" s="9" t="s">
        <v>3412</v>
      </c>
      <c r="H1426">
        <v>7760</v>
      </c>
      <c r="I1426">
        <v>7760</v>
      </c>
      <c r="J1426" s="21">
        <v>45717</v>
      </c>
      <c r="K1426" t="s">
        <v>67</v>
      </c>
      <c r="L1426" t="s">
        <v>68</v>
      </c>
      <c r="M1426" t="s">
        <v>69</v>
      </c>
      <c r="O1426">
        <v>2500</v>
      </c>
      <c r="S1426" t="str">
        <f>TEXT(Table1[[#This Row],[Date]],"MMM-YY")</f>
        <v>Mar-25</v>
      </c>
      <c r="T1426">
        <f>_xlfn.ISOWEEKNUM(Table1[[#This Row],[Date]])</f>
        <v>10</v>
      </c>
      <c r="U1426" t="str">
        <f>TEXT(Table1[[#This Row],[Expected Business Month]],"YYYY")</f>
        <v>2025</v>
      </c>
    </row>
    <row r="1427" spans="1:21" hidden="1">
      <c r="A1427" s="1">
        <v>45721</v>
      </c>
      <c r="B1427" t="s">
        <v>3413</v>
      </c>
      <c r="C1427" t="s">
        <v>63</v>
      </c>
      <c r="D1427" t="s">
        <v>64</v>
      </c>
      <c r="E1427" t="s">
        <v>38</v>
      </c>
      <c r="F1427" t="s">
        <v>1360</v>
      </c>
      <c r="G1427" s="9" t="s">
        <v>3414</v>
      </c>
      <c r="H1427">
        <v>300000</v>
      </c>
      <c r="I1427">
        <v>0</v>
      </c>
      <c r="J1427" s="21">
        <v>45717</v>
      </c>
      <c r="K1427" t="s">
        <v>67</v>
      </c>
      <c r="L1427" t="s">
        <v>9</v>
      </c>
      <c r="M1427" t="s">
        <v>9</v>
      </c>
      <c r="N1427" t="s">
        <v>1428</v>
      </c>
      <c r="O1427">
        <v>300000</v>
      </c>
      <c r="S1427" t="str">
        <f>TEXT(Table1[[#This Row],[Date]],"MMM-YY")</f>
        <v>Mar-25</v>
      </c>
      <c r="T1427">
        <f>_xlfn.ISOWEEKNUM(Table1[[#This Row],[Date]])</f>
        <v>10</v>
      </c>
      <c r="U1427" t="str">
        <f>TEXT(Table1[[#This Row],[Expected Business Month]],"YYYY")</f>
        <v>2025</v>
      </c>
    </row>
    <row r="1428" spans="1:21" hidden="1">
      <c r="A1428" s="1">
        <v>45722</v>
      </c>
      <c r="B1428" t="s">
        <v>3405</v>
      </c>
      <c r="C1428" t="s">
        <v>63</v>
      </c>
      <c r="D1428" t="s">
        <v>64</v>
      </c>
      <c r="E1428" t="s">
        <v>26</v>
      </c>
      <c r="F1428" t="s">
        <v>3399</v>
      </c>
      <c r="G1428" s="9" t="s">
        <v>3415</v>
      </c>
      <c r="H1428">
        <v>15204</v>
      </c>
      <c r="I1428">
        <v>15204</v>
      </c>
      <c r="J1428" s="21">
        <v>45717</v>
      </c>
      <c r="K1428" t="s">
        <v>67</v>
      </c>
      <c r="L1428" t="s">
        <v>68</v>
      </c>
      <c r="M1428" t="s">
        <v>69</v>
      </c>
      <c r="O1428">
        <v>15204</v>
      </c>
      <c r="S1428" t="str">
        <f>TEXT(Table1[[#This Row],[Date]],"MMM-YY")</f>
        <v>Mar-25</v>
      </c>
      <c r="T1428">
        <f>_xlfn.ISOWEEKNUM(Table1[[#This Row],[Date]])</f>
        <v>10</v>
      </c>
      <c r="U1428" t="str">
        <f>TEXT(Table1[[#This Row],[Expected Business Month]],"YYYY")</f>
        <v>2025</v>
      </c>
    </row>
    <row r="1429" spans="1:21" hidden="1">
      <c r="A1429" s="1">
        <v>45722</v>
      </c>
      <c r="B1429" t="s">
        <v>3403</v>
      </c>
      <c r="C1429" t="s">
        <v>63</v>
      </c>
      <c r="D1429" t="s">
        <v>64</v>
      </c>
      <c r="E1429" t="s">
        <v>26</v>
      </c>
      <c r="F1429" t="s">
        <v>164</v>
      </c>
      <c r="G1429" s="9" t="s">
        <v>3416</v>
      </c>
      <c r="H1429">
        <v>4490</v>
      </c>
      <c r="I1429">
        <v>4490</v>
      </c>
      <c r="J1429" s="21">
        <v>45717</v>
      </c>
      <c r="K1429" t="s">
        <v>67</v>
      </c>
      <c r="L1429" t="s">
        <v>68</v>
      </c>
      <c r="M1429" t="s">
        <v>69</v>
      </c>
      <c r="O1429">
        <v>2000</v>
      </c>
      <c r="S1429" t="str">
        <f>TEXT(Table1[[#This Row],[Date]],"MMM-YY")</f>
        <v>Mar-25</v>
      </c>
      <c r="T1429">
        <f>_xlfn.ISOWEEKNUM(Table1[[#This Row],[Date]])</f>
        <v>10</v>
      </c>
      <c r="U1429" t="str">
        <f>TEXT(Table1[[#This Row],[Expected Business Month]],"YYYY")</f>
        <v>2025</v>
      </c>
    </row>
    <row r="1430" spans="1:21" hidden="1">
      <c r="A1430" s="1">
        <v>45722</v>
      </c>
      <c r="B1430" t="s">
        <v>3248</v>
      </c>
      <c r="C1430" t="s">
        <v>63</v>
      </c>
      <c r="D1430" t="s">
        <v>64</v>
      </c>
      <c r="E1430" t="s">
        <v>38</v>
      </c>
      <c r="F1430" t="s">
        <v>269</v>
      </c>
      <c r="G1430" s="9" t="s">
        <v>3417</v>
      </c>
      <c r="H1430">
        <v>10950</v>
      </c>
      <c r="I1430">
        <v>10950</v>
      </c>
      <c r="J1430" s="21">
        <v>45717</v>
      </c>
      <c r="K1430" t="s">
        <v>67</v>
      </c>
      <c r="L1430" t="s">
        <v>68</v>
      </c>
      <c r="M1430" t="s">
        <v>69</v>
      </c>
      <c r="O1430">
        <v>3500</v>
      </c>
      <c r="S1430" t="str">
        <f>TEXT(Table1[[#This Row],[Date]],"MMM-YY")</f>
        <v>Mar-25</v>
      </c>
      <c r="T1430">
        <f>_xlfn.ISOWEEKNUM(Table1[[#This Row],[Date]])</f>
        <v>10</v>
      </c>
      <c r="U1430" t="str">
        <f>TEXT(Table1[[#This Row],[Expected Business Month]],"YYYY")</f>
        <v>2025</v>
      </c>
    </row>
    <row r="1431" spans="1:21" hidden="1">
      <c r="A1431" s="1">
        <v>45722</v>
      </c>
      <c r="B1431" t="s">
        <v>95</v>
      </c>
      <c r="C1431" t="s">
        <v>96</v>
      </c>
      <c r="D1431" t="s">
        <v>64</v>
      </c>
      <c r="E1431" t="s">
        <v>38</v>
      </c>
      <c r="F1431" t="s">
        <v>97</v>
      </c>
      <c r="G1431" s="9" t="s">
        <v>3418</v>
      </c>
      <c r="H1431">
        <v>39256</v>
      </c>
      <c r="I1431">
        <v>39256</v>
      </c>
      <c r="J1431" s="21">
        <v>45717</v>
      </c>
      <c r="K1431" t="s">
        <v>99</v>
      </c>
      <c r="L1431" t="s">
        <v>68</v>
      </c>
      <c r="M1431" t="s">
        <v>69</v>
      </c>
      <c r="O1431">
        <v>0</v>
      </c>
      <c r="S1431" t="str">
        <f>TEXT(Table1[[#This Row],[Date]],"MMM-YY")</f>
        <v>Mar-25</v>
      </c>
      <c r="T1431">
        <f>_xlfn.ISOWEEKNUM(Table1[[#This Row],[Date]])</f>
        <v>10</v>
      </c>
      <c r="U1431" t="str">
        <f>TEXT(Table1[[#This Row],[Expected Business Month]],"YYYY")</f>
        <v>2025</v>
      </c>
    </row>
    <row r="1432" spans="1:21" hidden="1">
      <c r="A1432" s="1">
        <v>45723</v>
      </c>
      <c r="B1432" t="s">
        <v>3405</v>
      </c>
      <c r="C1432" t="s">
        <v>63</v>
      </c>
      <c r="D1432" t="s">
        <v>64</v>
      </c>
      <c r="E1432" t="s">
        <v>26</v>
      </c>
      <c r="F1432" t="s">
        <v>3399</v>
      </c>
      <c r="G1432" s="9" t="s">
        <v>3419</v>
      </c>
      <c r="H1432">
        <v>11632</v>
      </c>
      <c r="I1432">
        <v>11632</v>
      </c>
      <c r="J1432" s="21">
        <v>45717</v>
      </c>
      <c r="K1432" t="s">
        <v>67</v>
      </c>
      <c r="L1432" t="s">
        <v>68</v>
      </c>
      <c r="M1432" t="s">
        <v>69</v>
      </c>
      <c r="O1432">
        <v>11632</v>
      </c>
      <c r="S1432" t="str">
        <f>TEXT(Table1[[#This Row],[Date]],"MMM-YY")</f>
        <v>Mar-25</v>
      </c>
      <c r="T1432">
        <f>_xlfn.ISOWEEKNUM(Table1[[#This Row],[Date]])</f>
        <v>10</v>
      </c>
      <c r="U1432" t="str">
        <f>TEXT(Table1[[#This Row],[Expected Business Month]],"YYYY")</f>
        <v>2025</v>
      </c>
    </row>
    <row r="1433" spans="1:21" hidden="1">
      <c r="A1433" s="1">
        <v>45723</v>
      </c>
      <c r="B1433" t="s">
        <v>3248</v>
      </c>
      <c r="C1433" t="s">
        <v>63</v>
      </c>
      <c r="D1433" t="s">
        <v>64</v>
      </c>
      <c r="E1433" t="s">
        <v>38</v>
      </c>
      <c r="F1433" t="s">
        <v>269</v>
      </c>
      <c r="G1433" s="9" t="s">
        <v>3420</v>
      </c>
      <c r="H1433">
        <v>10950</v>
      </c>
      <c r="I1433">
        <v>10950</v>
      </c>
      <c r="J1433" s="21">
        <v>45717</v>
      </c>
      <c r="K1433" t="s">
        <v>67</v>
      </c>
      <c r="L1433" t="s">
        <v>68</v>
      </c>
      <c r="M1433" t="s">
        <v>69</v>
      </c>
      <c r="O1433">
        <v>3500</v>
      </c>
      <c r="S1433" t="str">
        <f>TEXT(Table1[[#This Row],[Date]],"MMM-YY")</f>
        <v>Mar-25</v>
      </c>
      <c r="T1433">
        <f>_xlfn.ISOWEEKNUM(Table1[[#This Row],[Date]])</f>
        <v>10</v>
      </c>
      <c r="U1433" t="str">
        <f>TEXT(Table1[[#This Row],[Expected Business Month]],"YYYY")</f>
        <v>2025</v>
      </c>
    </row>
    <row r="1434" spans="1:21" hidden="1">
      <c r="A1434" s="1">
        <v>45724</v>
      </c>
      <c r="B1434" t="s">
        <v>3421</v>
      </c>
      <c r="C1434" t="s">
        <v>63</v>
      </c>
      <c r="D1434" t="s">
        <v>105</v>
      </c>
      <c r="E1434" t="s">
        <v>18</v>
      </c>
      <c r="F1434" t="s">
        <v>3422</v>
      </c>
      <c r="G1434" s="9" t="s">
        <v>3423</v>
      </c>
      <c r="H1434">
        <v>172896</v>
      </c>
      <c r="I1434">
        <v>172896</v>
      </c>
      <c r="J1434" s="21">
        <v>45717</v>
      </c>
      <c r="K1434" t="s">
        <v>67</v>
      </c>
      <c r="L1434" t="s">
        <v>68</v>
      </c>
      <c r="M1434" t="s">
        <v>69</v>
      </c>
      <c r="O1434">
        <v>0</v>
      </c>
      <c r="S1434" t="str">
        <f>TEXT(Table1[[#This Row],[Date]],"MMM-YY")</f>
        <v>Mar-25</v>
      </c>
      <c r="T1434">
        <f>_xlfn.ISOWEEKNUM(Table1[[#This Row],[Date]])</f>
        <v>10</v>
      </c>
      <c r="U1434" t="str">
        <f>TEXT(Table1[[#This Row],[Expected Business Month]],"YYYY")</f>
        <v>2025</v>
      </c>
    </row>
    <row r="1435" spans="1:21" hidden="1">
      <c r="A1435" s="1">
        <v>45725</v>
      </c>
      <c r="B1435" t="s">
        <v>355</v>
      </c>
      <c r="C1435" t="s">
        <v>96</v>
      </c>
      <c r="D1435" t="s">
        <v>20</v>
      </c>
      <c r="E1435" t="s">
        <v>23</v>
      </c>
      <c r="F1435" t="s">
        <v>2414</v>
      </c>
      <c r="G1435" s="9" t="s">
        <v>3424</v>
      </c>
      <c r="H1435">
        <v>9091</v>
      </c>
      <c r="I1435">
        <v>9091</v>
      </c>
      <c r="J1435" s="21">
        <v>45717</v>
      </c>
      <c r="K1435" t="s">
        <v>67</v>
      </c>
      <c r="L1435" t="s">
        <v>68</v>
      </c>
      <c r="M1435" t="s">
        <v>69</v>
      </c>
      <c r="O1435">
        <v>0</v>
      </c>
      <c r="S1435" t="str">
        <f>TEXT(Table1[[#This Row],[Date]],"MMM-YY")</f>
        <v>Mar-25</v>
      </c>
      <c r="T1435">
        <f>_xlfn.ISOWEEKNUM(Table1[[#This Row],[Date]])</f>
        <v>10</v>
      </c>
      <c r="U1435" t="str">
        <f>TEXT(Table1[[#This Row],[Expected Business Month]],"YYYY")</f>
        <v>2025</v>
      </c>
    </row>
    <row r="1436" spans="1:21" hidden="1">
      <c r="A1436" s="1">
        <v>45726</v>
      </c>
      <c r="B1436" t="s">
        <v>3405</v>
      </c>
      <c r="C1436" t="s">
        <v>63</v>
      </c>
      <c r="D1436" t="s">
        <v>64</v>
      </c>
      <c r="E1436" t="s">
        <v>26</v>
      </c>
      <c r="F1436" t="s">
        <v>3399</v>
      </c>
      <c r="G1436" s="9" t="s">
        <v>3425</v>
      </c>
      <c r="H1436">
        <v>13820</v>
      </c>
      <c r="I1436">
        <v>13820</v>
      </c>
      <c r="J1436" s="21">
        <v>45717</v>
      </c>
      <c r="K1436" t="s">
        <v>67</v>
      </c>
      <c r="L1436" t="s">
        <v>68</v>
      </c>
      <c r="M1436" t="s">
        <v>69</v>
      </c>
      <c r="O1436">
        <v>13820</v>
      </c>
      <c r="S1436" t="str">
        <f>TEXT(Table1[[#This Row],[Date]],"MMM-YY")</f>
        <v>Mar-25</v>
      </c>
      <c r="T1436">
        <f>_xlfn.ISOWEEKNUM(Table1[[#This Row],[Date]])</f>
        <v>11</v>
      </c>
      <c r="U1436" t="str">
        <f>TEXT(Table1[[#This Row],[Expected Business Month]],"YYYY")</f>
        <v>2025</v>
      </c>
    </row>
    <row r="1437" spans="1:21" hidden="1">
      <c r="A1437" s="1">
        <v>45726</v>
      </c>
      <c r="B1437" t="s">
        <v>3248</v>
      </c>
      <c r="C1437" t="s">
        <v>63</v>
      </c>
      <c r="D1437" t="s">
        <v>64</v>
      </c>
      <c r="E1437" t="s">
        <v>38</v>
      </c>
      <c r="F1437" t="s">
        <v>269</v>
      </c>
      <c r="G1437" s="9" t="s">
        <v>3426</v>
      </c>
      <c r="H1437">
        <v>12950</v>
      </c>
      <c r="I1437">
        <v>12950</v>
      </c>
      <c r="J1437" s="21">
        <v>45717</v>
      </c>
      <c r="K1437" t="s">
        <v>67</v>
      </c>
      <c r="L1437" t="s">
        <v>68</v>
      </c>
      <c r="M1437" t="s">
        <v>69</v>
      </c>
      <c r="O1437">
        <v>3500</v>
      </c>
      <c r="S1437" t="str">
        <f>TEXT(Table1[[#This Row],[Date]],"MMM-YY")</f>
        <v>Mar-25</v>
      </c>
      <c r="T1437">
        <f>_xlfn.ISOWEEKNUM(Table1[[#This Row],[Date]])</f>
        <v>11</v>
      </c>
      <c r="U1437" t="str">
        <f>TEXT(Table1[[#This Row],[Expected Business Month]],"YYYY")</f>
        <v>2025</v>
      </c>
    </row>
    <row r="1438" spans="1:21" hidden="1">
      <c r="A1438" s="1">
        <v>45726</v>
      </c>
      <c r="B1438" t="s">
        <v>3427</v>
      </c>
      <c r="C1438" t="s">
        <v>63</v>
      </c>
      <c r="D1438" t="s">
        <v>64</v>
      </c>
      <c r="E1438" t="s">
        <v>26</v>
      </c>
      <c r="F1438" t="s">
        <v>3428</v>
      </c>
      <c r="G1438" s="9" t="s">
        <v>3429</v>
      </c>
      <c r="H1438">
        <v>9000</v>
      </c>
      <c r="I1438">
        <v>9000</v>
      </c>
      <c r="J1438" s="21">
        <v>45717</v>
      </c>
      <c r="K1438" t="s">
        <v>67</v>
      </c>
      <c r="L1438" t="s">
        <v>68</v>
      </c>
      <c r="M1438" t="s">
        <v>69</v>
      </c>
      <c r="O1438">
        <v>0</v>
      </c>
      <c r="S1438" t="str">
        <f>TEXT(Table1[[#This Row],[Date]],"MMM-YY")</f>
        <v>Mar-25</v>
      </c>
      <c r="T1438">
        <f>_xlfn.ISOWEEKNUM(Table1[[#This Row],[Date]])</f>
        <v>11</v>
      </c>
      <c r="U1438" t="str">
        <f>TEXT(Table1[[#This Row],[Expected Business Month]],"YYYY")</f>
        <v>2025</v>
      </c>
    </row>
    <row r="1439" spans="1:21" ht="29.1" hidden="1">
      <c r="A1439" s="1">
        <v>45727</v>
      </c>
      <c r="B1439" t="s">
        <v>3149</v>
      </c>
      <c r="C1439" t="s">
        <v>96</v>
      </c>
      <c r="D1439" t="s">
        <v>64</v>
      </c>
      <c r="E1439" t="s">
        <v>38</v>
      </c>
      <c r="F1439" t="s">
        <v>625</v>
      </c>
      <c r="G1439" s="9" t="s">
        <v>3430</v>
      </c>
      <c r="H1439">
        <v>12600</v>
      </c>
      <c r="I1439">
        <v>12600</v>
      </c>
      <c r="J1439" s="21">
        <v>45717</v>
      </c>
      <c r="K1439" t="s">
        <v>67</v>
      </c>
      <c r="L1439" t="s">
        <v>68</v>
      </c>
      <c r="M1439" t="s">
        <v>69</v>
      </c>
      <c r="O1439">
        <v>0</v>
      </c>
      <c r="S1439" t="str">
        <f>TEXT(Table1[[#This Row],[Date]],"MMM-YY")</f>
        <v>Mar-25</v>
      </c>
      <c r="T1439">
        <f>_xlfn.ISOWEEKNUM(Table1[[#This Row],[Date]])</f>
        <v>11</v>
      </c>
      <c r="U1439" t="str">
        <f>TEXT(Table1[[#This Row],[Expected Business Month]],"YYYY")</f>
        <v>2025</v>
      </c>
    </row>
    <row r="1440" spans="1:21" hidden="1">
      <c r="A1440" s="1">
        <v>45727</v>
      </c>
      <c r="B1440" t="s">
        <v>3431</v>
      </c>
      <c r="C1440" t="s">
        <v>63</v>
      </c>
      <c r="D1440" t="s">
        <v>64</v>
      </c>
      <c r="E1440" t="s">
        <v>26</v>
      </c>
      <c r="F1440" t="s">
        <v>3428</v>
      </c>
      <c r="G1440" s="9" t="s">
        <v>3432</v>
      </c>
      <c r="H1440">
        <v>11525</v>
      </c>
      <c r="I1440">
        <v>11525</v>
      </c>
      <c r="J1440" s="21">
        <v>45717</v>
      </c>
      <c r="K1440" t="s">
        <v>67</v>
      </c>
      <c r="L1440" t="s">
        <v>68</v>
      </c>
      <c r="M1440" t="s">
        <v>69</v>
      </c>
      <c r="O1440">
        <v>0</v>
      </c>
      <c r="S1440" t="str">
        <f>TEXT(Table1[[#This Row],[Date]],"MMM-YY")</f>
        <v>Mar-25</v>
      </c>
      <c r="T1440">
        <f>_xlfn.ISOWEEKNUM(Table1[[#This Row],[Date]])</f>
        <v>11</v>
      </c>
      <c r="U1440" t="str">
        <f>TEXT(Table1[[#This Row],[Expected Business Month]],"YYYY")</f>
        <v>2025</v>
      </c>
    </row>
    <row r="1441" spans="1:21" hidden="1">
      <c r="A1441" s="1">
        <v>45727</v>
      </c>
      <c r="B1441" t="s">
        <v>3433</v>
      </c>
      <c r="C1441" t="s">
        <v>63</v>
      </c>
      <c r="D1441" t="s">
        <v>64</v>
      </c>
      <c r="E1441" t="s">
        <v>38</v>
      </c>
      <c r="F1441" t="s">
        <v>269</v>
      </c>
      <c r="G1441" s="9" t="s">
        <v>3434</v>
      </c>
      <c r="H1441">
        <v>5700</v>
      </c>
      <c r="I1441">
        <v>5700</v>
      </c>
      <c r="J1441" s="21">
        <v>45717</v>
      </c>
      <c r="K1441" t="s">
        <v>67</v>
      </c>
      <c r="L1441" t="s">
        <v>68</v>
      </c>
      <c r="M1441" t="s">
        <v>69</v>
      </c>
      <c r="O1441">
        <v>5700</v>
      </c>
      <c r="S1441" t="str">
        <f>TEXT(Table1[[#This Row],[Date]],"MMM-YY")</f>
        <v>Mar-25</v>
      </c>
      <c r="T1441">
        <f>_xlfn.ISOWEEKNUM(Table1[[#This Row],[Date]])</f>
        <v>11</v>
      </c>
      <c r="U1441" t="str">
        <f>TEXT(Table1[[#This Row],[Expected Business Month]],"YYYY")</f>
        <v>2025</v>
      </c>
    </row>
    <row r="1442" spans="1:21" hidden="1">
      <c r="A1442" s="1">
        <v>45727</v>
      </c>
      <c r="B1442" t="s">
        <v>3248</v>
      </c>
      <c r="C1442" t="s">
        <v>63</v>
      </c>
      <c r="D1442" t="s">
        <v>64</v>
      </c>
      <c r="E1442" t="s">
        <v>38</v>
      </c>
      <c r="F1442" t="s">
        <v>269</v>
      </c>
      <c r="G1442" s="9" t="s">
        <v>3435</v>
      </c>
      <c r="H1442">
        <v>10270</v>
      </c>
      <c r="I1442">
        <v>10270</v>
      </c>
      <c r="J1442" s="21">
        <v>45717</v>
      </c>
      <c r="K1442" t="s">
        <v>67</v>
      </c>
      <c r="L1442" t="s">
        <v>68</v>
      </c>
      <c r="M1442" t="s">
        <v>69</v>
      </c>
      <c r="O1442">
        <v>2900</v>
      </c>
      <c r="S1442" t="str">
        <f>TEXT(Table1[[#This Row],[Date]],"MMM-YY")</f>
        <v>Mar-25</v>
      </c>
      <c r="T1442">
        <f>_xlfn.ISOWEEKNUM(Table1[[#This Row],[Date]])</f>
        <v>11</v>
      </c>
      <c r="U1442" t="str">
        <f>TEXT(Table1[[#This Row],[Expected Business Month]],"YYYY")</f>
        <v>2025</v>
      </c>
    </row>
    <row r="1443" spans="1:21" hidden="1">
      <c r="A1443" s="1">
        <v>45727</v>
      </c>
      <c r="B1443" t="s">
        <v>3405</v>
      </c>
      <c r="C1443" t="s">
        <v>63</v>
      </c>
      <c r="D1443" t="s">
        <v>64</v>
      </c>
      <c r="E1443" t="s">
        <v>26</v>
      </c>
      <c r="F1443" t="s">
        <v>3399</v>
      </c>
      <c r="G1443" s="9" t="s">
        <v>3436</v>
      </c>
      <c r="H1443">
        <v>10050</v>
      </c>
      <c r="I1443">
        <v>10050</v>
      </c>
      <c r="J1443" s="21">
        <v>45717</v>
      </c>
      <c r="K1443" t="s">
        <v>67</v>
      </c>
      <c r="L1443" t="s">
        <v>68</v>
      </c>
      <c r="M1443" t="s">
        <v>69</v>
      </c>
      <c r="O1443">
        <v>10050</v>
      </c>
      <c r="S1443" t="str">
        <f>TEXT(Table1[[#This Row],[Date]],"MMM-YY")</f>
        <v>Mar-25</v>
      </c>
      <c r="T1443">
        <f>_xlfn.ISOWEEKNUM(Table1[[#This Row],[Date]])</f>
        <v>11</v>
      </c>
      <c r="U1443" t="str">
        <f>TEXT(Table1[[#This Row],[Expected Business Month]],"YYYY")</f>
        <v>2025</v>
      </c>
    </row>
    <row r="1444" spans="1:21" hidden="1">
      <c r="A1444" s="1">
        <v>45728</v>
      </c>
      <c r="B1444" t="s">
        <v>3248</v>
      </c>
      <c r="C1444" t="s">
        <v>63</v>
      </c>
      <c r="D1444" t="s">
        <v>64</v>
      </c>
      <c r="E1444" t="s">
        <v>38</v>
      </c>
      <c r="F1444" t="s">
        <v>269</v>
      </c>
      <c r="G1444" s="9" t="s">
        <v>3437</v>
      </c>
      <c r="H1444">
        <v>8860</v>
      </c>
      <c r="I1444">
        <v>8860</v>
      </c>
      <c r="J1444" s="21">
        <v>45717</v>
      </c>
      <c r="K1444" t="s">
        <v>67</v>
      </c>
      <c r="L1444" t="s">
        <v>68</v>
      </c>
      <c r="M1444" t="s">
        <v>69</v>
      </c>
      <c r="O1444">
        <v>2500</v>
      </c>
      <c r="S1444" t="str">
        <f>TEXT(Table1[[#This Row],[Date]],"MMM-YY")</f>
        <v>Mar-25</v>
      </c>
      <c r="T1444">
        <f>_xlfn.ISOWEEKNUM(Table1[[#This Row],[Date]])</f>
        <v>11</v>
      </c>
      <c r="U1444" t="str">
        <f>TEXT(Table1[[#This Row],[Expected Business Month]],"YYYY")</f>
        <v>2025</v>
      </c>
    </row>
    <row r="1445" spans="1:21" hidden="1">
      <c r="A1445" s="1">
        <v>45728</v>
      </c>
      <c r="B1445" t="s">
        <v>3433</v>
      </c>
      <c r="C1445" t="s">
        <v>63</v>
      </c>
      <c r="D1445" t="s">
        <v>64</v>
      </c>
      <c r="E1445" t="s">
        <v>38</v>
      </c>
      <c r="F1445" t="s">
        <v>269</v>
      </c>
      <c r="G1445" s="9" t="s">
        <v>3438</v>
      </c>
      <c r="H1445">
        <v>9866</v>
      </c>
      <c r="I1445">
        <v>9866</v>
      </c>
      <c r="J1445" s="21">
        <v>45717</v>
      </c>
      <c r="K1445" t="s">
        <v>67</v>
      </c>
      <c r="L1445" t="s">
        <v>68</v>
      </c>
      <c r="M1445" t="s">
        <v>69</v>
      </c>
      <c r="O1445">
        <v>7000</v>
      </c>
      <c r="S1445" t="str">
        <f>TEXT(Table1[[#This Row],[Date]],"MMM-YY")</f>
        <v>Mar-25</v>
      </c>
      <c r="T1445">
        <f>_xlfn.ISOWEEKNUM(Table1[[#This Row],[Date]])</f>
        <v>11</v>
      </c>
      <c r="U1445" t="str">
        <f>TEXT(Table1[[#This Row],[Expected Business Month]],"YYYY")</f>
        <v>2025</v>
      </c>
    </row>
    <row r="1446" spans="1:21" hidden="1">
      <c r="A1446" s="1">
        <v>45728</v>
      </c>
      <c r="B1446" t="s">
        <v>3405</v>
      </c>
      <c r="C1446" t="s">
        <v>63</v>
      </c>
      <c r="D1446" t="s">
        <v>64</v>
      </c>
      <c r="E1446" t="s">
        <v>26</v>
      </c>
      <c r="F1446" t="s">
        <v>3399</v>
      </c>
      <c r="G1446" s="9" t="s">
        <v>3439</v>
      </c>
      <c r="H1446">
        <v>9440</v>
      </c>
      <c r="I1446">
        <v>9440</v>
      </c>
      <c r="J1446" s="21">
        <v>45717</v>
      </c>
      <c r="K1446" t="s">
        <v>67</v>
      </c>
      <c r="L1446" t="s">
        <v>68</v>
      </c>
      <c r="M1446" t="s">
        <v>69</v>
      </c>
      <c r="O1446">
        <v>9440</v>
      </c>
      <c r="S1446" t="str">
        <f>TEXT(Table1[[#This Row],[Date]],"MMM-YY")</f>
        <v>Mar-25</v>
      </c>
      <c r="T1446">
        <f>_xlfn.ISOWEEKNUM(Table1[[#This Row],[Date]])</f>
        <v>11</v>
      </c>
      <c r="U1446" t="str">
        <f>TEXT(Table1[[#This Row],[Expected Business Month]],"YYYY")</f>
        <v>2025</v>
      </c>
    </row>
    <row r="1447" spans="1:21" hidden="1">
      <c r="A1447" s="1">
        <v>45728</v>
      </c>
      <c r="B1447" t="s">
        <v>3149</v>
      </c>
      <c r="C1447" t="s">
        <v>96</v>
      </c>
      <c r="D1447" t="s">
        <v>20</v>
      </c>
      <c r="E1447" t="s">
        <v>23</v>
      </c>
      <c r="F1447" t="s">
        <v>3440</v>
      </c>
      <c r="G1447" s="9" t="s">
        <v>3441</v>
      </c>
      <c r="H1447">
        <v>9777</v>
      </c>
      <c r="I1447">
        <v>9777</v>
      </c>
      <c r="J1447" s="21">
        <v>45717</v>
      </c>
      <c r="K1447" t="s">
        <v>67</v>
      </c>
      <c r="L1447" t="s">
        <v>68</v>
      </c>
      <c r="M1447" t="s">
        <v>69</v>
      </c>
      <c r="O1447">
        <v>0</v>
      </c>
      <c r="S1447" t="str">
        <f>TEXT(Table1[[#This Row],[Date]],"MMM-YY")</f>
        <v>Mar-25</v>
      </c>
      <c r="T1447">
        <f>_xlfn.ISOWEEKNUM(Table1[[#This Row],[Date]])</f>
        <v>11</v>
      </c>
      <c r="U1447" t="str">
        <f>TEXT(Table1[[#This Row],[Expected Business Month]],"YYYY")</f>
        <v>2025</v>
      </c>
    </row>
    <row r="1448" spans="1:21" hidden="1">
      <c r="A1448" s="1">
        <v>45729</v>
      </c>
      <c r="B1448" t="s">
        <v>3442</v>
      </c>
      <c r="C1448" t="s">
        <v>63</v>
      </c>
      <c r="D1448" t="s">
        <v>64</v>
      </c>
      <c r="E1448" t="s">
        <v>26</v>
      </c>
      <c r="F1448" t="s">
        <v>3443</v>
      </c>
      <c r="G1448" s="9" t="s">
        <v>3444</v>
      </c>
      <c r="H1448">
        <v>5900</v>
      </c>
      <c r="I1448">
        <v>5900</v>
      </c>
      <c r="J1448" s="21">
        <v>45717</v>
      </c>
      <c r="K1448" t="s">
        <v>67</v>
      </c>
      <c r="L1448" t="s">
        <v>68</v>
      </c>
      <c r="M1448" t="s">
        <v>69</v>
      </c>
      <c r="O1448">
        <v>5900</v>
      </c>
      <c r="S1448" t="str">
        <f>TEXT(Table1[[#This Row],[Date]],"MMM-YY")</f>
        <v>Mar-25</v>
      </c>
      <c r="T1448">
        <f>_xlfn.ISOWEEKNUM(Table1[[#This Row],[Date]])</f>
        <v>11</v>
      </c>
      <c r="U1448" t="str">
        <f>TEXT(Table1[[#This Row],[Expected Business Month]],"YYYY")</f>
        <v>2025</v>
      </c>
    </row>
    <row r="1449" spans="1:21" hidden="1">
      <c r="A1449" s="1">
        <v>45729</v>
      </c>
      <c r="B1449" t="s">
        <v>471</v>
      </c>
      <c r="C1449" t="s">
        <v>63</v>
      </c>
      <c r="D1449" t="s">
        <v>64</v>
      </c>
      <c r="E1449" t="s">
        <v>26</v>
      </c>
      <c r="F1449" t="s">
        <v>3399</v>
      </c>
      <c r="G1449" s="9" t="s">
        <v>3444</v>
      </c>
      <c r="H1449">
        <v>7530</v>
      </c>
      <c r="I1449">
        <v>7530</v>
      </c>
      <c r="J1449" s="21">
        <v>45717</v>
      </c>
      <c r="K1449" t="s">
        <v>67</v>
      </c>
      <c r="L1449" t="s">
        <v>68</v>
      </c>
      <c r="M1449" t="s">
        <v>69</v>
      </c>
      <c r="O1449">
        <v>7530</v>
      </c>
      <c r="S1449" t="str">
        <f>TEXT(Table1[[#This Row],[Date]],"MMM-YY")</f>
        <v>Mar-25</v>
      </c>
      <c r="T1449">
        <f>_xlfn.ISOWEEKNUM(Table1[[#This Row],[Date]])</f>
        <v>11</v>
      </c>
      <c r="U1449" t="str">
        <f>TEXT(Table1[[#This Row],[Expected Business Month]],"YYYY")</f>
        <v>2025</v>
      </c>
    </row>
    <row r="1450" spans="1:21" hidden="1">
      <c r="A1450" s="1">
        <v>45729</v>
      </c>
      <c r="B1450" t="s">
        <v>3248</v>
      </c>
      <c r="C1450" t="s">
        <v>63</v>
      </c>
      <c r="D1450" t="s">
        <v>64</v>
      </c>
      <c r="E1450" t="s">
        <v>38</v>
      </c>
      <c r="F1450" t="s">
        <v>269</v>
      </c>
      <c r="G1450" s="9" t="s">
        <v>3445</v>
      </c>
      <c r="H1450">
        <v>11720</v>
      </c>
      <c r="I1450">
        <v>11720</v>
      </c>
      <c r="J1450" s="21">
        <v>45717</v>
      </c>
      <c r="K1450" t="s">
        <v>67</v>
      </c>
      <c r="L1450" t="s">
        <v>68</v>
      </c>
      <c r="M1450" t="s">
        <v>69</v>
      </c>
      <c r="O1450">
        <v>3500</v>
      </c>
      <c r="S1450" t="str">
        <f>TEXT(Table1[[#This Row],[Date]],"MMM-YY")</f>
        <v>Mar-25</v>
      </c>
      <c r="T1450">
        <f>_xlfn.ISOWEEKNUM(Table1[[#This Row],[Date]])</f>
        <v>11</v>
      </c>
      <c r="U1450" t="str">
        <f>TEXT(Table1[[#This Row],[Expected Business Month]],"YYYY")</f>
        <v>2025</v>
      </c>
    </row>
    <row r="1451" spans="1:21" hidden="1">
      <c r="A1451" s="1">
        <v>45730</v>
      </c>
      <c r="B1451" t="s">
        <v>3446</v>
      </c>
      <c r="C1451" t="s">
        <v>96</v>
      </c>
      <c r="D1451" t="s">
        <v>20</v>
      </c>
      <c r="E1451" t="s">
        <v>23</v>
      </c>
      <c r="F1451" t="s">
        <v>238</v>
      </c>
      <c r="G1451" s="9" t="s">
        <v>3447</v>
      </c>
      <c r="H1451">
        <v>15483</v>
      </c>
      <c r="I1451">
        <v>15483</v>
      </c>
      <c r="J1451" s="21">
        <v>45717</v>
      </c>
      <c r="K1451" t="s">
        <v>67</v>
      </c>
      <c r="L1451" t="s">
        <v>68</v>
      </c>
      <c r="M1451" t="s">
        <v>69</v>
      </c>
      <c r="O1451">
        <v>0</v>
      </c>
      <c r="S1451" t="str">
        <f>TEXT(Table1[[#This Row],[Date]],"MMM-YY")</f>
        <v>Mar-25</v>
      </c>
      <c r="T1451">
        <f>_xlfn.ISOWEEKNUM(Table1[[#This Row],[Date]])</f>
        <v>11</v>
      </c>
      <c r="U1451" t="str">
        <f>TEXT(Table1[[#This Row],[Expected Business Month]],"YYYY")</f>
        <v>2025</v>
      </c>
    </row>
    <row r="1452" spans="1:21" hidden="1">
      <c r="A1452" s="1">
        <v>45730</v>
      </c>
      <c r="B1452" t="s">
        <v>3405</v>
      </c>
      <c r="C1452" t="s">
        <v>63</v>
      </c>
      <c r="D1452" t="s">
        <v>64</v>
      </c>
      <c r="E1452" t="s">
        <v>26</v>
      </c>
      <c r="F1452" t="s">
        <v>3399</v>
      </c>
      <c r="G1452" s="9" t="s">
        <v>3448</v>
      </c>
      <c r="H1452">
        <v>6700</v>
      </c>
      <c r="I1452">
        <v>6700</v>
      </c>
      <c r="J1452" s="21">
        <v>45717</v>
      </c>
      <c r="K1452" t="s">
        <v>67</v>
      </c>
      <c r="L1452" t="s">
        <v>68</v>
      </c>
      <c r="M1452" t="s">
        <v>69</v>
      </c>
      <c r="O1452">
        <v>6700</v>
      </c>
      <c r="S1452" t="str">
        <f>TEXT(Table1[[#This Row],[Date]],"MMM-YY")</f>
        <v>Mar-25</v>
      </c>
      <c r="T1452">
        <f>_xlfn.ISOWEEKNUM(Table1[[#This Row],[Date]])</f>
        <v>11</v>
      </c>
      <c r="U1452" t="str">
        <f>TEXT(Table1[[#This Row],[Expected Business Month]],"YYYY")</f>
        <v>2025</v>
      </c>
    </row>
    <row r="1453" spans="1:21" hidden="1">
      <c r="A1453" s="1">
        <v>45731</v>
      </c>
      <c r="B1453" t="s">
        <v>3449</v>
      </c>
      <c r="C1453" t="s">
        <v>96</v>
      </c>
      <c r="D1453" t="s">
        <v>20</v>
      </c>
      <c r="E1453" t="s">
        <v>23</v>
      </c>
      <c r="F1453" t="s">
        <v>3450</v>
      </c>
      <c r="G1453" s="9" t="s">
        <v>3451</v>
      </c>
      <c r="H1453">
        <v>17820</v>
      </c>
      <c r="I1453">
        <v>17820</v>
      </c>
      <c r="J1453" s="21">
        <v>45717</v>
      </c>
      <c r="K1453" t="s">
        <v>67</v>
      </c>
      <c r="L1453" t="s">
        <v>68</v>
      </c>
      <c r="M1453" t="s">
        <v>69</v>
      </c>
      <c r="O1453">
        <v>0</v>
      </c>
      <c r="S1453" t="str">
        <f>TEXT(Table1[[#This Row],[Date]],"MMM-YY")</f>
        <v>Mar-25</v>
      </c>
      <c r="T1453">
        <f>_xlfn.ISOWEEKNUM(Table1[[#This Row],[Date]])</f>
        <v>11</v>
      </c>
      <c r="U1453" t="str">
        <f>TEXT(Table1[[#This Row],[Expected Business Month]],"YYYY")</f>
        <v>2025</v>
      </c>
    </row>
    <row r="1454" spans="1:21" hidden="1">
      <c r="A1454" s="1">
        <v>45731</v>
      </c>
      <c r="B1454" t="s">
        <v>3452</v>
      </c>
      <c r="C1454" t="s">
        <v>63</v>
      </c>
      <c r="D1454" t="s">
        <v>105</v>
      </c>
      <c r="E1454" t="s">
        <v>18</v>
      </c>
      <c r="F1454" t="s">
        <v>3453</v>
      </c>
      <c r="G1454" s="9" t="s">
        <v>3454</v>
      </c>
      <c r="H1454">
        <v>35000</v>
      </c>
      <c r="I1454">
        <v>35000</v>
      </c>
      <c r="J1454" s="21">
        <v>45717</v>
      </c>
      <c r="K1454" t="s">
        <v>67</v>
      </c>
      <c r="L1454" t="s">
        <v>68</v>
      </c>
      <c r="M1454" t="s">
        <v>69</v>
      </c>
      <c r="O1454">
        <v>12000</v>
      </c>
      <c r="S1454" t="str">
        <f>TEXT(Table1[[#This Row],[Date]],"MMM-YY")</f>
        <v>Mar-25</v>
      </c>
      <c r="T1454">
        <f>_xlfn.ISOWEEKNUM(Table1[[#This Row],[Date]])</f>
        <v>11</v>
      </c>
      <c r="U1454" t="str">
        <f>TEXT(Table1[[#This Row],[Expected Business Month]],"YYYY")</f>
        <v>2025</v>
      </c>
    </row>
    <row r="1455" spans="1:21" hidden="1">
      <c r="A1455" s="1">
        <v>45733</v>
      </c>
      <c r="B1455" t="s">
        <v>3248</v>
      </c>
      <c r="C1455" t="s">
        <v>63</v>
      </c>
      <c r="D1455" t="s">
        <v>64</v>
      </c>
      <c r="E1455" t="s">
        <v>38</v>
      </c>
      <c r="F1455" t="s">
        <v>269</v>
      </c>
      <c r="G1455" s="9" t="s">
        <v>3455</v>
      </c>
      <c r="H1455">
        <v>12000</v>
      </c>
      <c r="I1455">
        <v>12000</v>
      </c>
      <c r="J1455" s="21">
        <v>45717</v>
      </c>
      <c r="K1455" t="s">
        <v>67</v>
      </c>
      <c r="L1455" t="s">
        <v>68</v>
      </c>
      <c r="M1455" t="s">
        <v>69</v>
      </c>
      <c r="O1455">
        <v>3500</v>
      </c>
      <c r="S1455" t="str">
        <f>TEXT(Table1[[#This Row],[Date]],"MMM-YY")</f>
        <v>Mar-25</v>
      </c>
      <c r="T1455">
        <f>_xlfn.ISOWEEKNUM(Table1[[#This Row],[Date]])</f>
        <v>12</v>
      </c>
      <c r="U1455" t="str">
        <f>TEXT(Table1[[#This Row],[Expected Business Month]],"YYYY")</f>
        <v>2025</v>
      </c>
    </row>
    <row r="1456" spans="1:21" hidden="1">
      <c r="A1456" s="1">
        <v>45733</v>
      </c>
      <c r="B1456" t="s">
        <v>471</v>
      </c>
      <c r="C1456" t="s">
        <v>63</v>
      </c>
      <c r="D1456" t="s">
        <v>64</v>
      </c>
      <c r="E1456" t="s">
        <v>26</v>
      </c>
      <c r="F1456" t="s">
        <v>3399</v>
      </c>
      <c r="G1456" s="9" t="s">
        <v>3456</v>
      </c>
      <c r="H1456">
        <v>7530</v>
      </c>
      <c r="I1456">
        <v>7530</v>
      </c>
      <c r="J1456" s="21">
        <v>45717</v>
      </c>
      <c r="K1456" t="s">
        <v>67</v>
      </c>
      <c r="L1456" t="s">
        <v>68</v>
      </c>
      <c r="M1456" t="s">
        <v>69</v>
      </c>
      <c r="O1456">
        <v>7530</v>
      </c>
      <c r="S1456" t="str">
        <f>TEXT(Table1[[#This Row],[Date]],"MMM-YY")</f>
        <v>Mar-25</v>
      </c>
      <c r="T1456">
        <f>_xlfn.ISOWEEKNUM(Table1[[#This Row],[Date]])</f>
        <v>12</v>
      </c>
      <c r="U1456" t="str">
        <f>TEXT(Table1[[#This Row],[Expected Business Month]],"YYYY")</f>
        <v>2025</v>
      </c>
    </row>
    <row r="1457" spans="1:21" hidden="1">
      <c r="A1457" s="1">
        <v>45733</v>
      </c>
      <c r="B1457" t="s">
        <v>3457</v>
      </c>
      <c r="C1457" t="s">
        <v>63</v>
      </c>
      <c r="D1457" t="s">
        <v>64</v>
      </c>
      <c r="E1457" t="s">
        <v>29</v>
      </c>
      <c r="F1457" t="s">
        <v>3458</v>
      </c>
      <c r="G1457" s="9" t="s">
        <v>3459</v>
      </c>
      <c r="H1457">
        <v>0</v>
      </c>
      <c r="I1457">
        <v>0</v>
      </c>
      <c r="J1457" s="21">
        <v>45717</v>
      </c>
      <c r="K1457" t="s">
        <v>67</v>
      </c>
      <c r="L1457" t="s">
        <v>68</v>
      </c>
      <c r="M1457" t="s">
        <v>69</v>
      </c>
      <c r="O1457">
        <v>0</v>
      </c>
      <c r="S1457" t="str">
        <f>TEXT(Table1[[#This Row],[Date]],"MMM-YY")</f>
        <v>Mar-25</v>
      </c>
      <c r="T1457">
        <f>_xlfn.ISOWEEKNUM(Table1[[#This Row],[Date]])</f>
        <v>12</v>
      </c>
      <c r="U1457" t="str">
        <f>TEXT(Table1[[#This Row],[Expected Business Month]],"YYYY")</f>
        <v>2025</v>
      </c>
    </row>
    <row r="1458" spans="1:21" hidden="1">
      <c r="A1458" s="1">
        <v>45733</v>
      </c>
      <c r="B1458" t="s">
        <v>1375</v>
      </c>
      <c r="C1458" t="s">
        <v>96</v>
      </c>
      <c r="D1458" t="s">
        <v>20</v>
      </c>
      <c r="E1458" t="s">
        <v>23</v>
      </c>
      <c r="F1458" t="s">
        <v>153</v>
      </c>
      <c r="G1458" s="9" t="s">
        <v>3460</v>
      </c>
      <c r="H1458">
        <v>11500</v>
      </c>
      <c r="I1458">
        <v>11500</v>
      </c>
      <c r="J1458" s="21">
        <v>45717</v>
      </c>
      <c r="K1458" t="s">
        <v>67</v>
      </c>
      <c r="L1458" t="s">
        <v>68</v>
      </c>
      <c r="M1458" t="s">
        <v>69</v>
      </c>
      <c r="O1458">
        <v>0</v>
      </c>
      <c r="S1458" t="str">
        <f>TEXT(Table1[[#This Row],[Date]],"MMM-YY")</f>
        <v>Mar-25</v>
      </c>
      <c r="T1458">
        <f>_xlfn.ISOWEEKNUM(Table1[[#This Row],[Date]])</f>
        <v>12</v>
      </c>
      <c r="U1458" t="str">
        <f>TEXT(Table1[[#This Row],[Expected Business Month]],"YYYY")</f>
        <v>2025</v>
      </c>
    </row>
    <row r="1459" spans="1:21" hidden="1">
      <c r="A1459" s="1">
        <v>45733</v>
      </c>
      <c r="B1459" t="s">
        <v>3461</v>
      </c>
      <c r="C1459" t="s">
        <v>63</v>
      </c>
      <c r="D1459" t="s">
        <v>105</v>
      </c>
      <c r="E1459" t="s">
        <v>18</v>
      </c>
      <c r="F1459" t="s">
        <v>3462</v>
      </c>
      <c r="G1459" s="9" t="s">
        <v>3463</v>
      </c>
      <c r="H1459">
        <v>150000</v>
      </c>
      <c r="I1459">
        <v>0</v>
      </c>
      <c r="J1459" s="21">
        <v>45717</v>
      </c>
      <c r="K1459" t="s">
        <v>67</v>
      </c>
      <c r="L1459" t="s">
        <v>9</v>
      </c>
      <c r="M1459" t="s">
        <v>9</v>
      </c>
      <c r="N1459" t="s">
        <v>707</v>
      </c>
      <c r="O1459">
        <v>0</v>
      </c>
      <c r="S1459" t="str">
        <f>TEXT(Table1[[#This Row],[Date]],"MMM-YY")</f>
        <v>Mar-25</v>
      </c>
      <c r="T1459">
        <f>_xlfn.ISOWEEKNUM(Table1[[#This Row],[Date]])</f>
        <v>12</v>
      </c>
      <c r="U1459" t="str">
        <f>TEXT(Table1[[#This Row],[Expected Business Month]],"YYYY")</f>
        <v>2025</v>
      </c>
    </row>
    <row r="1460" spans="1:21" hidden="1">
      <c r="A1460" s="1">
        <v>45734</v>
      </c>
      <c r="B1460" t="s">
        <v>3248</v>
      </c>
      <c r="C1460" t="s">
        <v>63</v>
      </c>
      <c r="D1460" t="s">
        <v>64</v>
      </c>
      <c r="E1460" t="s">
        <v>38</v>
      </c>
      <c r="F1460" t="s">
        <v>269</v>
      </c>
      <c r="G1460" s="9" t="s">
        <v>3464</v>
      </c>
      <c r="H1460">
        <v>8450</v>
      </c>
      <c r="I1460">
        <v>8450</v>
      </c>
      <c r="J1460" s="21">
        <v>45717</v>
      </c>
      <c r="K1460" t="s">
        <v>67</v>
      </c>
      <c r="L1460" t="s">
        <v>68</v>
      </c>
      <c r="M1460" t="s">
        <v>69</v>
      </c>
      <c r="O1460">
        <v>4000</v>
      </c>
      <c r="S1460" t="str">
        <f>TEXT(Table1[[#This Row],[Date]],"MMM-YY")</f>
        <v>Mar-25</v>
      </c>
      <c r="T1460">
        <f>_xlfn.ISOWEEKNUM(Table1[[#This Row],[Date]])</f>
        <v>12</v>
      </c>
      <c r="U1460" t="str">
        <f>TEXT(Table1[[#This Row],[Expected Business Month]],"YYYY")</f>
        <v>2025</v>
      </c>
    </row>
    <row r="1461" spans="1:21" hidden="1">
      <c r="A1461" s="1">
        <v>45734</v>
      </c>
      <c r="B1461" t="s">
        <v>471</v>
      </c>
      <c r="C1461" t="s">
        <v>63</v>
      </c>
      <c r="D1461" t="s">
        <v>64</v>
      </c>
      <c r="E1461" t="s">
        <v>26</v>
      </c>
      <c r="F1461" t="s">
        <v>3399</v>
      </c>
      <c r="G1461" s="9" t="s">
        <v>3465</v>
      </c>
      <c r="H1461">
        <v>9475</v>
      </c>
      <c r="I1461">
        <v>9475</v>
      </c>
      <c r="J1461" s="21">
        <v>45717</v>
      </c>
      <c r="K1461" t="s">
        <v>67</v>
      </c>
      <c r="L1461" t="s">
        <v>68</v>
      </c>
      <c r="M1461" t="s">
        <v>69</v>
      </c>
      <c r="O1461">
        <v>9475</v>
      </c>
      <c r="S1461" t="str">
        <f>TEXT(Table1[[#This Row],[Date]],"MMM-YY")</f>
        <v>Mar-25</v>
      </c>
      <c r="T1461">
        <f>_xlfn.ISOWEEKNUM(Table1[[#This Row],[Date]])</f>
        <v>12</v>
      </c>
      <c r="U1461" t="str">
        <f>TEXT(Table1[[#This Row],[Expected Business Month]],"YYYY")</f>
        <v>2025</v>
      </c>
    </row>
    <row r="1462" spans="1:21" hidden="1">
      <c r="A1462" s="1">
        <v>45734</v>
      </c>
      <c r="B1462" t="s">
        <v>3466</v>
      </c>
      <c r="C1462" t="s">
        <v>63</v>
      </c>
      <c r="D1462" t="s">
        <v>64</v>
      </c>
      <c r="E1462" t="s">
        <v>26</v>
      </c>
      <c r="F1462" t="s">
        <v>1772</v>
      </c>
      <c r="G1462" s="9" t="s">
        <v>3467</v>
      </c>
      <c r="H1462">
        <v>16308</v>
      </c>
      <c r="I1462">
        <v>16308</v>
      </c>
      <c r="J1462" s="21">
        <v>45717</v>
      </c>
      <c r="K1462" t="s">
        <v>67</v>
      </c>
      <c r="L1462" t="s">
        <v>68</v>
      </c>
      <c r="M1462" t="s">
        <v>69</v>
      </c>
      <c r="O1462">
        <v>16308</v>
      </c>
      <c r="S1462" t="str">
        <f>TEXT(Table1[[#This Row],[Date]],"MMM-YY")</f>
        <v>Mar-25</v>
      </c>
      <c r="T1462">
        <f>_xlfn.ISOWEEKNUM(Table1[[#This Row],[Date]])</f>
        <v>12</v>
      </c>
      <c r="U1462" t="str">
        <f>TEXT(Table1[[#This Row],[Expected Business Month]],"YYYY")</f>
        <v>2025</v>
      </c>
    </row>
    <row r="1463" spans="1:21" hidden="1">
      <c r="A1463" s="1">
        <v>45734</v>
      </c>
      <c r="B1463" t="s">
        <v>355</v>
      </c>
      <c r="C1463" t="s">
        <v>96</v>
      </c>
      <c r="D1463" t="s">
        <v>20</v>
      </c>
      <c r="E1463" t="s">
        <v>23</v>
      </c>
      <c r="F1463" t="s">
        <v>214</v>
      </c>
      <c r="G1463" s="9" t="s">
        <v>3468</v>
      </c>
      <c r="H1463">
        <v>1096</v>
      </c>
      <c r="I1463">
        <v>1096</v>
      </c>
      <c r="J1463" s="21">
        <v>45717</v>
      </c>
      <c r="K1463" t="s">
        <v>67</v>
      </c>
      <c r="L1463" t="s">
        <v>68</v>
      </c>
      <c r="M1463" t="s">
        <v>69</v>
      </c>
      <c r="O1463">
        <v>0</v>
      </c>
      <c r="S1463" t="str">
        <f>TEXT(Table1[[#This Row],[Date]],"MMM-YY")</f>
        <v>Mar-25</v>
      </c>
      <c r="T1463">
        <f>_xlfn.ISOWEEKNUM(Table1[[#This Row],[Date]])</f>
        <v>12</v>
      </c>
      <c r="U1463" t="str">
        <f>TEXT(Table1[[#This Row],[Expected Business Month]],"YYYY")</f>
        <v>2025</v>
      </c>
    </row>
    <row r="1464" spans="1:21" hidden="1">
      <c r="A1464" s="1">
        <v>45735</v>
      </c>
      <c r="B1464" t="s">
        <v>3248</v>
      </c>
      <c r="C1464" t="s">
        <v>63</v>
      </c>
      <c r="D1464" t="s">
        <v>64</v>
      </c>
      <c r="E1464" t="s">
        <v>38</v>
      </c>
      <c r="F1464" t="s">
        <v>269</v>
      </c>
      <c r="G1464" s="9" t="s">
        <v>3469</v>
      </c>
      <c r="H1464">
        <v>8450</v>
      </c>
      <c r="I1464">
        <v>8450</v>
      </c>
      <c r="J1464" s="21">
        <v>45717</v>
      </c>
      <c r="K1464" t="s">
        <v>67</v>
      </c>
      <c r="L1464" t="s">
        <v>68</v>
      </c>
      <c r="M1464" t="s">
        <v>69</v>
      </c>
      <c r="O1464">
        <v>4000</v>
      </c>
      <c r="S1464" t="str">
        <f>TEXT(Table1[[#This Row],[Date]],"MMM-YY")</f>
        <v>Mar-25</v>
      </c>
      <c r="T1464">
        <f>_xlfn.ISOWEEKNUM(Table1[[#This Row],[Date]])</f>
        <v>12</v>
      </c>
      <c r="U1464" t="str">
        <f>TEXT(Table1[[#This Row],[Expected Business Month]],"YYYY")</f>
        <v>2025</v>
      </c>
    </row>
    <row r="1465" spans="1:21" hidden="1">
      <c r="A1465" s="1">
        <v>45735</v>
      </c>
      <c r="B1465" t="s">
        <v>471</v>
      </c>
      <c r="C1465" t="s">
        <v>63</v>
      </c>
      <c r="D1465" t="s">
        <v>64</v>
      </c>
      <c r="E1465" t="s">
        <v>26</v>
      </c>
      <c r="F1465" t="s">
        <v>3399</v>
      </c>
      <c r="G1465" s="9" t="s">
        <v>3470</v>
      </c>
      <c r="H1465">
        <v>12165</v>
      </c>
      <c r="I1465">
        <v>12165</v>
      </c>
      <c r="J1465" s="21">
        <v>45717</v>
      </c>
      <c r="K1465" t="s">
        <v>67</v>
      </c>
      <c r="L1465" t="s">
        <v>68</v>
      </c>
      <c r="M1465" t="s">
        <v>69</v>
      </c>
      <c r="O1465">
        <v>12165</v>
      </c>
      <c r="S1465" t="str">
        <f>TEXT(Table1[[#This Row],[Date]],"MMM-YY")</f>
        <v>Mar-25</v>
      </c>
      <c r="T1465">
        <f>_xlfn.ISOWEEKNUM(Table1[[#This Row],[Date]])</f>
        <v>12</v>
      </c>
      <c r="U1465" t="str">
        <f>TEXT(Table1[[#This Row],[Expected Business Month]],"YYYY")</f>
        <v>2025</v>
      </c>
    </row>
    <row r="1466" spans="1:21" hidden="1">
      <c r="A1466" s="1">
        <v>45735</v>
      </c>
      <c r="B1466" t="s">
        <v>3466</v>
      </c>
      <c r="C1466" t="s">
        <v>63</v>
      </c>
      <c r="D1466" t="s">
        <v>64</v>
      </c>
      <c r="E1466" t="s">
        <v>26</v>
      </c>
      <c r="F1466" t="s">
        <v>1772</v>
      </c>
      <c r="G1466" s="9" t="s">
        <v>3471</v>
      </c>
      <c r="H1466">
        <v>39806</v>
      </c>
      <c r="I1466">
        <v>39806</v>
      </c>
      <c r="J1466" s="21">
        <v>45717</v>
      </c>
      <c r="K1466" t="s">
        <v>67</v>
      </c>
      <c r="L1466" t="s">
        <v>68</v>
      </c>
      <c r="M1466" t="s">
        <v>69</v>
      </c>
      <c r="O1466">
        <v>39806</v>
      </c>
      <c r="S1466" t="str">
        <f>TEXT(Table1[[#This Row],[Date]],"MMM-YY")</f>
        <v>Mar-25</v>
      </c>
      <c r="T1466">
        <f>_xlfn.ISOWEEKNUM(Table1[[#This Row],[Date]])</f>
        <v>12</v>
      </c>
      <c r="U1466" t="str">
        <f>TEXT(Table1[[#This Row],[Expected Business Month]],"YYYY")</f>
        <v>2025</v>
      </c>
    </row>
    <row r="1467" spans="1:21" hidden="1">
      <c r="A1467" s="1">
        <v>45735</v>
      </c>
      <c r="B1467" t="s">
        <v>3472</v>
      </c>
      <c r="C1467" t="s">
        <v>63</v>
      </c>
      <c r="D1467" t="s">
        <v>64</v>
      </c>
      <c r="E1467" t="s">
        <v>26</v>
      </c>
      <c r="F1467" t="s">
        <v>250</v>
      </c>
      <c r="G1467" s="9" t="s">
        <v>3471</v>
      </c>
      <c r="H1467">
        <v>14390</v>
      </c>
      <c r="I1467">
        <v>14390</v>
      </c>
      <c r="J1467" s="21">
        <v>45717</v>
      </c>
      <c r="K1467" t="s">
        <v>67</v>
      </c>
      <c r="L1467" t="s">
        <v>68</v>
      </c>
      <c r="M1467" t="s">
        <v>69</v>
      </c>
      <c r="O1467">
        <v>14390</v>
      </c>
      <c r="S1467" t="str">
        <f>TEXT(Table1[[#This Row],[Date]],"MMM-YY")</f>
        <v>Mar-25</v>
      </c>
      <c r="T1467">
        <f>_xlfn.ISOWEEKNUM(Table1[[#This Row],[Date]])</f>
        <v>12</v>
      </c>
      <c r="U1467" t="str">
        <f>TEXT(Table1[[#This Row],[Expected Business Month]],"YYYY")</f>
        <v>2025</v>
      </c>
    </row>
    <row r="1468" spans="1:21" hidden="1">
      <c r="A1468" s="1">
        <v>45735</v>
      </c>
      <c r="B1468" t="s">
        <v>3473</v>
      </c>
      <c r="C1468" t="s">
        <v>63</v>
      </c>
      <c r="D1468" t="s">
        <v>64</v>
      </c>
      <c r="E1468" t="s">
        <v>26</v>
      </c>
      <c r="F1468" t="s">
        <v>250</v>
      </c>
      <c r="G1468" s="9" t="s">
        <v>3471</v>
      </c>
      <c r="H1468">
        <v>8780</v>
      </c>
      <c r="I1468">
        <v>8780</v>
      </c>
      <c r="J1468" s="21">
        <v>45717</v>
      </c>
      <c r="K1468" t="s">
        <v>67</v>
      </c>
      <c r="L1468" t="s">
        <v>68</v>
      </c>
      <c r="M1468" t="s">
        <v>69</v>
      </c>
      <c r="O1468">
        <v>8780</v>
      </c>
      <c r="S1468" t="str">
        <f>TEXT(Table1[[#This Row],[Date]],"MMM-YY")</f>
        <v>Mar-25</v>
      </c>
      <c r="T1468">
        <f>_xlfn.ISOWEEKNUM(Table1[[#This Row],[Date]])</f>
        <v>12</v>
      </c>
      <c r="U1468" t="str">
        <f>TEXT(Table1[[#This Row],[Expected Business Month]],"YYYY")</f>
        <v>2025</v>
      </c>
    </row>
    <row r="1469" spans="1:21" hidden="1">
      <c r="A1469" s="1">
        <v>45735</v>
      </c>
      <c r="B1469" t="s">
        <v>95</v>
      </c>
      <c r="C1469" t="s">
        <v>96</v>
      </c>
      <c r="D1469" t="s">
        <v>64</v>
      </c>
      <c r="E1469" t="s">
        <v>38</v>
      </c>
      <c r="F1469" t="s">
        <v>97</v>
      </c>
      <c r="G1469" s="9" t="s">
        <v>3474</v>
      </c>
      <c r="H1469">
        <v>34332</v>
      </c>
      <c r="I1469">
        <v>34332</v>
      </c>
      <c r="J1469" s="21">
        <v>45717</v>
      </c>
      <c r="K1469" t="s">
        <v>99</v>
      </c>
      <c r="L1469" t="s">
        <v>68</v>
      </c>
      <c r="M1469" t="s">
        <v>69</v>
      </c>
      <c r="O1469">
        <v>0</v>
      </c>
      <c r="S1469" t="str">
        <f>TEXT(Table1[[#This Row],[Date]],"MMM-YY")</f>
        <v>Mar-25</v>
      </c>
      <c r="T1469">
        <f>_xlfn.ISOWEEKNUM(Table1[[#This Row],[Date]])</f>
        <v>12</v>
      </c>
      <c r="U1469" t="str">
        <f>TEXT(Table1[[#This Row],[Expected Business Month]],"YYYY")</f>
        <v>2025</v>
      </c>
    </row>
    <row r="1470" spans="1:21" hidden="1">
      <c r="A1470" s="1">
        <v>45735</v>
      </c>
      <c r="B1470" t="s">
        <v>95</v>
      </c>
      <c r="C1470" t="s">
        <v>96</v>
      </c>
      <c r="D1470" t="s">
        <v>64</v>
      </c>
      <c r="E1470" t="s">
        <v>38</v>
      </c>
      <c r="F1470" t="s">
        <v>97</v>
      </c>
      <c r="G1470" s="9" t="s">
        <v>3475</v>
      </c>
      <c r="H1470">
        <v>30899</v>
      </c>
      <c r="I1470">
        <v>30899</v>
      </c>
      <c r="J1470" s="21">
        <v>45717</v>
      </c>
      <c r="K1470" t="s">
        <v>99</v>
      </c>
      <c r="L1470" t="s">
        <v>68</v>
      </c>
      <c r="M1470" t="s">
        <v>69</v>
      </c>
      <c r="O1470">
        <v>0</v>
      </c>
      <c r="S1470" t="str">
        <f>TEXT(Table1[[#This Row],[Date]],"MMM-YY")</f>
        <v>Mar-25</v>
      </c>
      <c r="T1470">
        <f>_xlfn.ISOWEEKNUM(Table1[[#This Row],[Date]])</f>
        <v>12</v>
      </c>
      <c r="U1470" t="str">
        <f>TEXT(Table1[[#This Row],[Expected Business Month]],"YYYY")</f>
        <v>2025</v>
      </c>
    </row>
    <row r="1471" spans="1:21" hidden="1">
      <c r="A1471" s="1">
        <v>45735</v>
      </c>
      <c r="B1471" t="s">
        <v>3385</v>
      </c>
      <c r="C1471" t="s">
        <v>96</v>
      </c>
      <c r="D1471" t="s">
        <v>64</v>
      </c>
      <c r="E1471" t="s">
        <v>26</v>
      </c>
      <c r="F1471" t="s">
        <v>1772</v>
      </c>
      <c r="G1471" s="9" t="s">
        <v>3471</v>
      </c>
      <c r="H1471">
        <v>10085</v>
      </c>
      <c r="I1471">
        <v>10085</v>
      </c>
      <c r="J1471" s="21">
        <v>45717</v>
      </c>
      <c r="K1471" t="s">
        <v>67</v>
      </c>
      <c r="L1471" t="s">
        <v>68</v>
      </c>
      <c r="M1471" t="s">
        <v>69</v>
      </c>
      <c r="O1471">
        <v>10085</v>
      </c>
      <c r="S1471" t="str">
        <f>TEXT(Table1[[#This Row],[Date]],"MMM-YY")</f>
        <v>Mar-25</v>
      </c>
      <c r="T1471">
        <f>_xlfn.ISOWEEKNUM(Table1[[#This Row],[Date]])</f>
        <v>12</v>
      </c>
      <c r="U1471" t="str">
        <f>TEXT(Table1[[#This Row],[Expected Business Month]],"YYYY")</f>
        <v>2025</v>
      </c>
    </row>
    <row r="1472" spans="1:21" hidden="1">
      <c r="A1472" s="1">
        <v>45735</v>
      </c>
      <c r="B1472" t="s">
        <v>3476</v>
      </c>
      <c r="C1472" t="s">
        <v>96</v>
      </c>
      <c r="D1472" t="s">
        <v>20</v>
      </c>
      <c r="E1472" t="s">
        <v>23</v>
      </c>
      <c r="F1472" t="s">
        <v>1444</v>
      </c>
      <c r="G1472" s="9" t="s">
        <v>3477</v>
      </c>
      <c r="H1472">
        <v>38589</v>
      </c>
      <c r="I1472">
        <v>38589</v>
      </c>
      <c r="J1472" s="21">
        <v>45717</v>
      </c>
      <c r="K1472" t="s">
        <v>67</v>
      </c>
      <c r="L1472" t="s">
        <v>68</v>
      </c>
      <c r="M1472" t="s">
        <v>69</v>
      </c>
      <c r="O1472">
        <v>0</v>
      </c>
      <c r="S1472" t="str">
        <f>TEXT(Table1[[#This Row],[Date]],"MMM-YY")</f>
        <v>Mar-25</v>
      </c>
      <c r="T1472">
        <f>_xlfn.ISOWEEKNUM(Table1[[#This Row],[Date]])</f>
        <v>12</v>
      </c>
      <c r="U1472" t="str">
        <f>TEXT(Table1[[#This Row],[Expected Business Month]],"YYYY")</f>
        <v>2025</v>
      </c>
    </row>
    <row r="1473" spans="1:21" hidden="1">
      <c r="A1473" s="1">
        <v>45736</v>
      </c>
      <c r="B1473" t="s">
        <v>471</v>
      </c>
      <c r="C1473" t="s">
        <v>63</v>
      </c>
      <c r="D1473" t="s">
        <v>64</v>
      </c>
      <c r="E1473" t="s">
        <v>26</v>
      </c>
      <c r="F1473" t="s">
        <v>3399</v>
      </c>
      <c r="G1473" s="9" t="s">
        <v>3478</v>
      </c>
      <c r="H1473">
        <v>12342</v>
      </c>
      <c r="I1473">
        <v>12342</v>
      </c>
      <c r="J1473" s="21">
        <v>45717</v>
      </c>
      <c r="K1473" t="s">
        <v>67</v>
      </c>
      <c r="L1473" t="s">
        <v>68</v>
      </c>
      <c r="M1473" t="s">
        <v>69</v>
      </c>
      <c r="O1473">
        <v>12342</v>
      </c>
      <c r="S1473" t="str">
        <f>TEXT(Table1[[#This Row],[Date]],"MMM-YY")</f>
        <v>Mar-25</v>
      </c>
      <c r="T1473">
        <f>_xlfn.ISOWEEKNUM(Table1[[#This Row],[Date]])</f>
        <v>12</v>
      </c>
      <c r="U1473" t="str">
        <f>TEXT(Table1[[#This Row],[Expected Business Month]],"YYYY")</f>
        <v>2025</v>
      </c>
    </row>
    <row r="1474" spans="1:21" hidden="1">
      <c r="A1474" s="1">
        <v>45736</v>
      </c>
      <c r="B1474" t="s">
        <v>3248</v>
      </c>
      <c r="C1474" t="s">
        <v>63</v>
      </c>
      <c r="D1474" t="s">
        <v>64</v>
      </c>
      <c r="E1474" t="s">
        <v>38</v>
      </c>
      <c r="F1474" t="s">
        <v>269</v>
      </c>
      <c r="G1474" s="9" t="s">
        <v>3479</v>
      </c>
      <c r="H1474">
        <v>8560</v>
      </c>
      <c r="I1474">
        <v>8560</v>
      </c>
      <c r="J1474" s="21">
        <v>45717</v>
      </c>
      <c r="K1474" t="s">
        <v>67</v>
      </c>
      <c r="L1474" t="s">
        <v>68</v>
      </c>
      <c r="M1474" t="s">
        <v>69</v>
      </c>
      <c r="O1474">
        <v>8560</v>
      </c>
      <c r="S1474" t="str">
        <f>TEXT(Table1[[#This Row],[Date]],"MMM-YY")</f>
        <v>Mar-25</v>
      </c>
      <c r="T1474">
        <f>_xlfn.ISOWEEKNUM(Table1[[#This Row],[Date]])</f>
        <v>12</v>
      </c>
      <c r="U1474" t="str">
        <f>TEXT(Table1[[#This Row],[Expected Business Month]],"YYYY")</f>
        <v>2025</v>
      </c>
    </row>
    <row r="1475" spans="1:21" hidden="1">
      <c r="A1475" s="1">
        <v>45737</v>
      </c>
      <c r="B1475" t="s">
        <v>471</v>
      </c>
      <c r="C1475" t="s">
        <v>63</v>
      </c>
      <c r="D1475" t="s">
        <v>64</v>
      </c>
      <c r="E1475" t="s">
        <v>26</v>
      </c>
      <c r="F1475" t="s">
        <v>3399</v>
      </c>
      <c r="G1475" s="9" t="s">
        <v>3480</v>
      </c>
      <c r="H1475">
        <v>7810</v>
      </c>
      <c r="I1475">
        <v>7810</v>
      </c>
      <c r="J1475" s="21">
        <v>45717</v>
      </c>
      <c r="K1475" t="s">
        <v>67</v>
      </c>
      <c r="L1475" t="s">
        <v>68</v>
      </c>
      <c r="M1475" t="s">
        <v>69</v>
      </c>
      <c r="O1475">
        <v>7810</v>
      </c>
      <c r="S1475" t="str">
        <f>TEXT(Table1[[#This Row],[Date]],"MMM-YY")</f>
        <v>Mar-25</v>
      </c>
      <c r="T1475">
        <f>_xlfn.ISOWEEKNUM(Table1[[#This Row],[Date]])</f>
        <v>12</v>
      </c>
      <c r="U1475" t="str">
        <f>TEXT(Table1[[#This Row],[Expected Business Month]],"YYYY")</f>
        <v>2025</v>
      </c>
    </row>
    <row r="1476" spans="1:21" hidden="1">
      <c r="A1476" s="1">
        <v>45737</v>
      </c>
      <c r="B1476" t="s">
        <v>3248</v>
      </c>
      <c r="C1476" t="s">
        <v>63</v>
      </c>
      <c r="D1476" t="s">
        <v>64</v>
      </c>
      <c r="E1476" t="s">
        <v>38</v>
      </c>
      <c r="F1476" t="s">
        <v>269</v>
      </c>
      <c r="G1476" s="9" t="s">
        <v>3481</v>
      </c>
      <c r="H1476">
        <v>8560</v>
      </c>
      <c r="I1476">
        <v>8650</v>
      </c>
      <c r="J1476" s="21">
        <v>45717</v>
      </c>
      <c r="K1476" t="s">
        <v>67</v>
      </c>
      <c r="L1476" t="s">
        <v>68</v>
      </c>
      <c r="M1476" t="s">
        <v>69</v>
      </c>
      <c r="O1476">
        <v>8560</v>
      </c>
      <c r="S1476" t="str">
        <f>TEXT(Table1[[#This Row],[Date]],"MMM-YY")</f>
        <v>Mar-25</v>
      </c>
      <c r="T1476">
        <f>_xlfn.ISOWEEKNUM(Table1[[#This Row],[Date]])</f>
        <v>12</v>
      </c>
      <c r="U1476" t="str">
        <f>TEXT(Table1[[#This Row],[Expected Business Month]],"YYYY")</f>
        <v>2025</v>
      </c>
    </row>
    <row r="1477" spans="1:21" hidden="1">
      <c r="A1477" s="1">
        <v>45737</v>
      </c>
      <c r="B1477" t="s">
        <v>3482</v>
      </c>
      <c r="C1477" t="s">
        <v>63</v>
      </c>
      <c r="D1477" t="s">
        <v>64</v>
      </c>
      <c r="E1477" t="s">
        <v>29</v>
      </c>
      <c r="F1477" t="s">
        <v>3458</v>
      </c>
      <c r="G1477" s="9" t="s">
        <v>3481</v>
      </c>
      <c r="H1477">
        <v>4035</v>
      </c>
      <c r="I1477">
        <v>4035</v>
      </c>
      <c r="J1477" s="21">
        <v>45717</v>
      </c>
      <c r="K1477" t="s">
        <v>67</v>
      </c>
      <c r="L1477" t="s">
        <v>68</v>
      </c>
      <c r="M1477" t="s">
        <v>69</v>
      </c>
      <c r="O1477">
        <v>4035</v>
      </c>
      <c r="S1477" t="str">
        <f>TEXT(Table1[[#This Row],[Date]],"MMM-YY")</f>
        <v>Mar-25</v>
      </c>
      <c r="T1477">
        <f>_xlfn.ISOWEEKNUM(Table1[[#This Row],[Date]])</f>
        <v>12</v>
      </c>
      <c r="U1477" t="str">
        <f>TEXT(Table1[[#This Row],[Expected Business Month]],"YYYY")</f>
        <v>2025</v>
      </c>
    </row>
    <row r="1478" spans="1:21" hidden="1">
      <c r="A1478" s="1">
        <v>45739</v>
      </c>
      <c r="B1478" t="s">
        <v>3303</v>
      </c>
      <c r="C1478" t="s">
        <v>96</v>
      </c>
      <c r="D1478" t="s">
        <v>20</v>
      </c>
      <c r="E1478" t="s">
        <v>23</v>
      </c>
      <c r="F1478" t="s">
        <v>1978</v>
      </c>
      <c r="G1478" s="9" t="s">
        <v>3483</v>
      </c>
      <c r="H1478">
        <v>7106</v>
      </c>
      <c r="I1478">
        <v>7106</v>
      </c>
      <c r="J1478" s="21">
        <v>45717</v>
      </c>
      <c r="K1478" t="s">
        <v>67</v>
      </c>
      <c r="L1478" t="s">
        <v>68</v>
      </c>
      <c r="M1478" t="s">
        <v>69</v>
      </c>
      <c r="O1478">
        <v>0</v>
      </c>
      <c r="S1478" t="str">
        <f>TEXT(Table1[[#This Row],[Date]],"MMM-YY")</f>
        <v>Mar-25</v>
      </c>
      <c r="T1478">
        <f>_xlfn.ISOWEEKNUM(Table1[[#This Row],[Date]])</f>
        <v>12</v>
      </c>
      <c r="U1478" t="str">
        <f>TEXT(Table1[[#This Row],[Expected Business Month]],"YYYY")</f>
        <v>2025</v>
      </c>
    </row>
    <row r="1479" spans="1:21" hidden="1">
      <c r="A1479" s="1">
        <v>45739</v>
      </c>
      <c r="B1479" t="s">
        <v>213</v>
      </c>
      <c r="C1479" t="s">
        <v>96</v>
      </c>
      <c r="D1479" t="s">
        <v>20</v>
      </c>
      <c r="E1479" t="s">
        <v>23</v>
      </c>
      <c r="F1479" t="s">
        <v>3484</v>
      </c>
      <c r="G1479" s="9" t="s">
        <v>3485</v>
      </c>
      <c r="H1479">
        <v>17008</v>
      </c>
      <c r="I1479">
        <v>17008</v>
      </c>
      <c r="J1479" s="21">
        <v>45717</v>
      </c>
      <c r="K1479" t="s">
        <v>67</v>
      </c>
      <c r="L1479" t="s">
        <v>68</v>
      </c>
      <c r="M1479" t="s">
        <v>69</v>
      </c>
      <c r="O1479">
        <v>17008</v>
      </c>
      <c r="S1479" t="str">
        <f>TEXT(Table1[[#This Row],[Date]],"MMM-YY")</f>
        <v>Mar-25</v>
      </c>
      <c r="T1479">
        <f>_xlfn.ISOWEEKNUM(Table1[[#This Row],[Date]])</f>
        <v>12</v>
      </c>
      <c r="U1479" t="str">
        <f>TEXT(Table1[[#This Row],[Expected Business Month]],"YYYY")</f>
        <v>2025</v>
      </c>
    </row>
    <row r="1480" spans="1:21" hidden="1">
      <c r="A1480" s="1">
        <v>45740</v>
      </c>
      <c r="B1480" t="s">
        <v>471</v>
      </c>
      <c r="C1480" t="s">
        <v>63</v>
      </c>
      <c r="D1480" t="s">
        <v>64</v>
      </c>
      <c r="E1480" t="s">
        <v>26</v>
      </c>
      <c r="F1480" t="s">
        <v>3399</v>
      </c>
      <c r="G1480" s="9" t="s">
        <v>3486</v>
      </c>
      <c r="H1480">
        <v>5050</v>
      </c>
      <c r="I1480">
        <v>5050</v>
      </c>
      <c r="J1480" s="21">
        <v>45717</v>
      </c>
      <c r="K1480" t="s">
        <v>67</v>
      </c>
      <c r="L1480" t="s">
        <v>68</v>
      </c>
      <c r="M1480" t="s">
        <v>69</v>
      </c>
      <c r="O1480">
        <v>4050</v>
      </c>
      <c r="S1480" t="str">
        <f>TEXT(Table1[[#This Row],[Date]],"MMM-YY")</f>
        <v>Mar-25</v>
      </c>
      <c r="T1480">
        <f>_xlfn.ISOWEEKNUM(Table1[[#This Row],[Date]])</f>
        <v>13</v>
      </c>
      <c r="U1480" t="str">
        <f>TEXT(Table1[[#This Row],[Expected Business Month]],"YYYY")</f>
        <v>2025</v>
      </c>
    </row>
    <row r="1481" spans="1:21" hidden="1">
      <c r="A1481" s="1">
        <v>45740</v>
      </c>
      <c r="B1481" t="s">
        <v>3248</v>
      </c>
      <c r="C1481" t="s">
        <v>63</v>
      </c>
      <c r="D1481" t="s">
        <v>64</v>
      </c>
      <c r="E1481" t="s">
        <v>38</v>
      </c>
      <c r="F1481" t="s">
        <v>269</v>
      </c>
      <c r="G1481" s="9" t="s">
        <v>3487</v>
      </c>
      <c r="H1481">
        <v>9842</v>
      </c>
      <c r="I1481">
        <v>9842</v>
      </c>
      <c r="J1481" s="21">
        <v>45717</v>
      </c>
      <c r="K1481" t="s">
        <v>67</v>
      </c>
      <c r="L1481" t="s">
        <v>68</v>
      </c>
      <c r="M1481" t="s">
        <v>69</v>
      </c>
      <c r="O1481">
        <v>9842</v>
      </c>
      <c r="S1481" t="str">
        <f>TEXT(Table1[[#This Row],[Date]],"MMM-YY")</f>
        <v>Mar-25</v>
      </c>
      <c r="T1481">
        <f>_xlfn.ISOWEEKNUM(Table1[[#This Row],[Date]])</f>
        <v>13</v>
      </c>
      <c r="U1481" t="str">
        <f>TEXT(Table1[[#This Row],[Expected Business Month]],"YYYY")</f>
        <v>2025</v>
      </c>
    </row>
    <row r="1482" spans="1:21" hidden="1">
      <c r="A1482" s="1">
        <v>45740</v>
      </c>
      <c r="B1482" t="s">
        <v>3482</v>
      </c>
      <c r="C1482" t="s">
        <v>63</v>
      </c>
      <c r="D1482" t="s">
        <v>64</v>
      </c>
      <c r="E1482" t="s">
        <v>29</v>
      </c>
      <c r="F1482" t="s">
        <v>3458</v>
      </c>
      <c r="G1482" s="9" t="s">
        <v>3487</v>
      </c>
      <c r="H1482">
        <v>5055</v>
      </c>
      <c r="I1482">
        <v>5005</v>
      </c>
      <c r="J1482" s="21">
        <v>45717</v>
      </c>
      <c r="K1482" t="s">
        <v>67</v>
      </c>
      <c r="L1482" t="s">
        <v>68</v>
      </c>
      <c r="M1482" t="s">
        <v>69</v>
      </c>
      <c r="O1482">
        <v>5055</v>
      </c>
      <c r="S1482" t="str">
        <f>TEXT(Table1[[#This Row],[Date]],"MMM-YY")</f>
        <v>Mar-25</v>
      </c>
      <c r="T1482">
        <f>_xlfn.ISOWEEKNUM(Table1[[#This Row],[Date]])</f>
        <v>13</v>
      </c>
      <c r="U1482" t="str">
        <f>TEXT(Table1[[#This Row],[Expected Business Month]],"YYYY")</f>
        <v>2025</v>
      </c>
    </row>
    <row r="1483" spans="1:21" hidden="1">
      <c r="A1483" s="1">
        <v>45741</v>
      </c>
      <c r="B1483" t="s">
        <v>471</v>
      </c>
      <c r="C1483" t="s">
        <v>63</v>
      </c>
      <c r="D1483" t="s">
        <v>64</v>
      </c>
      <c r="E1483" t="s">
        <v>26</v>
      </c>
      <c r="F1483" t="s">
        <v>3399</v>
      </c>
      <c r="G1483" s="9" t="s">
        <v>3488</v>
      </c>
      <c r="H1483">
        <v>5495</v>
      </c>
      <c r="I1483">
        <v>5495</v>
      </c>
      <c r="J1483" s="21">
        <v>45717</v>
      </c>
      <c r="K1483" t="s">
        <v>67</v>
      </c>
      <c r="L1483" t="s">
        <v>68</v>
      </c>
      <c r="M1483" t="s">
        <v>69</v>
      </c>
      <c r="O1483">
        <v>5495</v>
      </c>
      <c r="S1483" t="str">
        <f>TEXT(Table1[[#This Row],[Date]],"MMM-YY")</f>
        <v>Mar-25</v>
      </c>
      <c r="T1483">
        <f>_xlfn.ISOWEEKNUM(Table1[[#This Row],[Date]])</f>
        <v>13</v>
      </c>
      <c r="U1483" t="str">
        <f>TEXT(Table1[[#This Row],[Expected Business Month]],"YYYY")</f>
        <v>2025</v>
      </c>
    </row>
    <row r="1484" spans="1:21" hidden="1">
      <c r="A1484" s="1">
        <v>45741</v>
      </c>
      <c r="B1484" t="s">
        <v>3248</v>
      </c>
      <c r="C1484" t="s">
        <v>63</v>
      </c>
      <c r="D1484" t="s">
        <v>64</v>
      </c>
      <c r="E1484" t="s">
        <v>38</v>
      </c>
      <c r="F1484" t="s">
        <v>269</v>
      </c>
      <c r="G1484" s="9" t="s">
        <v>3489</v>
      </c>
      <c r="H1484">
        <v>1770</v>
      </c>
      <c r="I1484">
        <v>1770</v>
      </c>
      <c r="J1484" s="21">
        <v>45717</v>
      </c>
      <c r="K1484" t="s">
        <v>67</v>
      </c>
      <c r="L1484" t="s">
        <v>68</v>
      </c>
      <c r="M1484" t="s">
        <v>69</v>
      </c>
      <c r="O1484">
        <v>1770</v>
      </c>
      <c r="S1484" t="str">
        <f>TEXT(Table1[[#This Row],[Date]],"MMM-YY")</f>
        <v>Mar-25</v>
      </c>
      <c r="T1484">
        <f>_xlfn.ISOWEEKNUM(Table1[[#This Row],[Date]])</f>
        <v>13</v>
      </c>
      <c r="U1484" t="str">
        <f>TEXT(Table1[[#This Row],[Expected Business Month]],"YYYY")</f>
        <v>2025</v>
      </c>
    </row>
    <row r="1485" spans="1:21" hidden="1">
      <c r="A1485" s="1">
        <v>45741</v>
      </c>
      <c r="B1485" t="s">
        <v>3482</v>
      </c>
      <c r="C1485" t="s">
        <v>63</v>
      </c>
      <c r="D1485" t="s">
        <v>64</v>
      </c>
      <c r="E1485" t="s">
        <v>29</v>
      </c>
      <c r="F1485" t="s">
        <v>3458</v>
      </c>
      <c r="G1485" s="9" t="s">
        <v>3489</v>
      </c>
      <c r="H1485">
        <v>4080</v>
      </c>
      <c r="I1485">
        <v>4080</v>
      </c>
      <c r="J1485" s="21">
        <v>45717</v>
      </c>
      <c r="K1485" t="s">
        <v>67</v>
      </c>
      <c r="L1485" t="s">
        <v>68</v>
      </c>
      <c r="M1485" t="s">
        <v>69</v>
      </c>
      <c r="O1485">
        <v>4080</v>
      </c>
      <c r="S1485" t="str">
        <f>TEXT(Table1[[#This Row],[Date]],"MMM-YY")</f>
        <v>Mar-25</v>
      </c>
      <c r="T1485">
        <f>_xlfn.ISOWEEKNUM(Table1[[#This Row],[Date]])</f>
        <v>13</v>
      </c>
      <c r="U1485" t="str">
        <f>TEXT(Table1[[#This Row],[Expected Business Month]],"YYYY")</f>
        <v>2025</v>
      </c>
    </row>
    <row r="1486" spans="1:21" hidden="1">
      <c r="A1486" s="1">
        <v>45741</v>
      </c>
      <c r="B1486" t="s">
        <v>3375</v>
      </c>
      <c r="C1486" t="s">
        <v>96</v>
      </c>
      <c r="D1486" t="s">
        <v>20</v>
      </c>
      <c r="E1486" t="s">
        <v>23</v>
      </c>
      <c r="F1486" t="s">
        <v>545</v>
      </c>
      <c r="G1486" s="9" t="s">
        <v>3490</v>
      </c>
      <c r="H1486">
        <v>8541</v>
      </c>
      <c r="I1486">
        <v>8541</v>
      </c>
      <c r="J1486" s="21">
        <v>45717</v>
      </c>
      <c r="K1486" t="s">
        <v>67</v>
      </c>
      <c r="L1486" t="s">
        <v>68</v>
      </c>
      <c r="M1486" t="s">
        <v>69</v>
      </c>
      <c r="O1486">
        <v>2500</v>
      </c>
      <c r="S1486" t="str">
        <f>TEXT(Table1[[#This Row],[Date]],"MMM-YY")</f>
        <v>Mar-25</v>
      </c>
      <c r="T1486">
        <f>_xlfn.ISOWEEKNUM(Table1[[#This Row],[Date]])</f>
        <v>13</v>
      </c>
      <c r="U1486" t="str">
        <f>TEXT(Table1[[#This Row],[Expected Business Month]],"YYYY")</f>
        <v>2025</v>
      </c>
    </row>
    <row r="1487" spans="1:21" hidden="1">
      <c r="A1487" s="1">
        <v>45741</v>
      </c>
      <c r="B1487" t="s">
        <v>3385</v>
      </c>
      <c r="C1487" t="s">
        <v>96</v>
      </c>
      <c r="D1487" t="s">
        <v>64</v>
      </c>
      <c r="E1487" t="s">
        <v>26</v>
      </c>
      <c r="F1487" t="s">
        <v>1772</v>
      </c>
      <c r="G1487" s="9" t="s">
        <v>3491</v>
      </c>
      <c r="H1487">
        <v>5774</v>
      </c>
      <c r="I1487">
        <v>5774</v>
      </c>
      <c r="J1487" s="21">
        <v>45717</v>
      </c>
      <c r="K1487" t="s">
        <v>67</v>
      </c>
      <c r="L1487" t="s">
        <v>68</v>
      </c>
      <c r="M1487" t="s">
        <v>69</v>
      </c>
      <c r="O1487">
        <v>5774</v>
      </c>
      <c r="S1487" t="str">
        <f>TEXT(Table1[[#This Row],[Date]],"MMM-YY")</f>
        <v>Mar-25</v>
      </c>
      <c r="T1487">
        <f>_xlfn.ISOWEEKNUM(Table1[[#This Row],[Date]])</f>
        <v>13</v>
      </c>
      <c r="U1487" t="str">
        <f>TEXT(Table1[[#This Row],[Expected Business Month]],"YYYY")</f>
        <v>2025</v>
      </c>
    </row>
    <row r="1488" spans="1:21" hidden="1">
      <c r="A1488" s="1">
        <v>45742</v>
      </c>
      <c r="B1488" t="s">
        <v>3492</v>
      </c>
      <c r="C1488" t="s">
        <v>63</v>
      </c>
      <c r="D1488" t="s">
        <v>64</v>
      </c>
      <c r="E1488" t="s">
        <v>26</v>
      </c>
      <c r="F1488" t="s">
        <v>396</v>
      </c>
      <c r="G1488" s="9" t="s">
        <v>3493</v>
      </c>
      <c r="H1488">
        <v>104000</v>
      </c>
      <c r="I1488">
        <v>104000</v>
      </c>
      <c r="J1488" s="21">
        <v>45717</v>
      </c>
      <c r="K1488" t="s">
        <v>67</v>
      </c>
      <c r="L1488" t="s">
        <v>68</v>
      </c>
      <c r="M1488" t="s">
        <v>69</v>
      </c>
      <c r="O1488">
        <v>104000</v>
      </c>
      <c r="S1488" t="str">
        <f>TEXT(Table1[[#This Row],[Date]],"MMM-YY")</f>
        <v>Mar-25</v>
      </c>
      <c r="T1488">
        <f>_xlfn.ISOWEEKNUM(Table1[[#This Row],[Date]])</f>
        <v>13</v>
      </c>
      <c r="U1488" t="str">
        <f>TEXT(Table1[[#This Row],[Expected Business Month]],"YYYY")</f>
        <v>2025</v>
      </c>
    </row>
    <row r="1489" spans="1:21" hidden="1">
      <c r="A1489" s="1">
        <v>45742</v>
      </c>
      <c r="B1489" t="s">
        <v>95</v>
      </c>
      <c r="C1489" t="s">
        <v>96</v>
      </c>
      <c r="D1489" t="s">
        <v>64</v>
      </c>
      <c r="E1489" t="s">
        <v>38</v>
      </c>
      <c r="F1489" t="s">
        <v>97</v>
      </c>
      <c r="G1489" s="9" t="s">
        <v>3494</v>
      </c>
      <c r="H1489">
        <v>32860</v>
      </c>
      <c r="I1489">
        <v>32860</v>
      </c>
      <c r="J1489" s="21">
        <v>45717</v>
      </c>
      <c r="K1489" t="s">
        <v>99</v>
      </c>
      <c r="L1489" t="s">
        <v>68</v>
      </c>
      <c r="M1489" t="s">
        <v>69</v>
      </c>
      <c r="O1489">
        <v>0</v>
      </c>
      <c r="S1489" t="str">
        <f>TEXT(Table1[[#This Row],[Date]],"MMM-YY")</f>
        <v>Mar-25</v>
      </c>
      <c r="T1489">
        <f>_xlfn.ISOWEEKNUM(Table1[[#This Row],[Date]])</f>
        <v>13</v>
      </c>
      <c r="U1489" t="str">
        <f>TEXT(Table1[[#This Row],[Expected Business Month]],"YYYY")</f>
        <v>2025</v>
      </c>
    </row>
    <row r="1490" spans="1:21" hidden="1">
      <c r="A1490" s="1">
        <v>45742</v>
      </c>
      <c r="B1490" t="s">
        <v>245</v>
      </c>
      <c r="C1490" t="s">
        <v>96</v>
      </c>
      <c r="D1490" t="s">
        <v>20</v>
      </c>
      <c r="E1490" t="s">
        <v>23</v>
      </c>
      <c r="F1490" t="s">
        <v>133</v>
      </c>
      <c r="G1490" s="9" t="s">
        <v>3495</v>
      </c>
      <c r="H1490">
        <v>2400</v>
      </c>
      <c r="I1490">
        <v>2400</v>
      </c>
      <c r="J1490" s="21">
        <v>45717</v>
      </c>
      <c r="K1490" t="s">
        <v>67</v>
      </c>
      <c r="L1490" t="s">
        <v>68</v>
      </c>
      <c r="M1490" t="s">
        <v>69</v>
      </c>
      <c r="O1490">
        <v>2400</v>
      </c>
      <c r="S1490" t="str">
        <f>TEXT(Table1[[#This Row],[Date]],"MMM-YY")</f>
        <v>Mar-25</v>
      </c>
      <c r="T1490">
        <f>_xlfn.ISOWEEKNUM(Table1[[#This Row],[Date]])</f>
        <v>13</v>
      </c>
      <c r="U1490" t="str">
        <f>TEXT(Table1[[#This Row],[Expected Business Month]],"YYYY")</f>
        <v>2025</v>
      </c>
    </row>
    <row r="1491" spans="1:21" hidden="1">
      <c r="A1491" s="1">
        <v>45742</v>
      </c>
      <c r="B1491" t="s">
        <v>355</v>
      </c>
      <c r="C1491" t="s">
        <v>96</v>
      </c>
      <c r="D1491" t="s">
        <v>20</v>
      </c>
      <c r="E1491" t="s">
        <v>23</v>
      </c>
      <c r="F1491" t="s">
        <v>73</v>
      </c>
      <c r="G1491" s="9" t="s">
        <v>3496</v>
      </c>
      <c r="H1491">
        <v>8259</v>
      </c>
      <c r="I1491">
        <v>8259</v>
      </c>
      <c r="J1491" s="21">
        <v>45717</v>
      </c>
      <c r="K1491" t="s">
        <v>67</v>
      </c>
      <c r="L1491" t="s">
        <v>68</v>
      </c>
      <c r="M1491" t="s">
        <v>69</v>
      </c>
      <c r="O1491">
        <v>0</v>
      </c>
      <c r="S1491" t="str">
        <f>TEXT(Table1[[#This Row],[Date]],"MMM-YY")</f>
        <v>Mar-25</v>
      </c>
      <c r="T1491">
        <f>_xlfn.ISOWEEKNUM(Table1[[#This Row],[Date]])</f>
        <v>13</v>
      </c>
      <c r="U1491" t="str">
        <f>TEXT(Table1[[#This Row],[Expected Business Month]],"YYYY")</f>
        <v>2025</v>
      </c>
    </row>
    <row r="1492" spans="1:21" hidden="1">
      <c r="A1492" s="1">
        <v>45742</v>
      </c>
      <c r="B1492" t="s">
        <v>304</v>
      </c>
      <c r="C1492" t="s">
        <v>96</v>
      </c>
      <c r="D1492" t="s">
        <v>20</v>
      </c>
      <c r="E1492" t="s">
        <v>23</v>
      </c>
      <c r="F1492" t="s">
        <v>164</v>
      </c>
      <c r="G1492" s="9" t="s">
        <v>3495</v>
      </c>
      <c r="H1492">
        <v>5391</v>
      </c>
      <c r="I1492">
        <v>5391</v>
      </c>
      <c r="J1492" s="21">
        <v>45717</v>
      </c>
      <c r="K1492" t="s">
        <v>67</v>
      </c>
      <c r="L1492" t="s">
        <v>68</v>
      </c>
      <c r="M1492" t="s">
        <v>69</v>
      </c>
      <c r="O1492">
        <v>5391</v>
      </c>
      <c r="S1492" t="str">
        <f>TEXT(Table1[[#This Row],[Date]],"MMM-YY")</f>
        <v>Mar-25</v>
      </c>
      <c r="T1492">
        <f>_xlfn.ISOWEEKNUM(Table1[[#This Row],[Date]])</f>
        <v>13</v>
      </c>
      <c r="U1492" t="str">
        <f>TEXT(Table1[[#This Row],[Expected Business Month]],"YYYY")</f>
        <v>2025</v>
      </c>
    </row>
    <row r="1493" spans="1:21" hidden="1">
      <c r="A1493" s="1">
        <v>45742</v>
      </c>
      <c r="B1493" t="s">
        <v>471</v>
      </c>
      <c r="C1493" t="s">
        <v>63</v>
      </c>
      <c r="D1493" t="s">
        <v>64</v>
      </c>
      <c r="E1493" t="s">
        <v>26</v>
      </c>
      <c r="F1493" t="s">
        <v>3399</v>
      </c>
      <c r="G1493" s="9" t="s">
        <v>3497</v>
      </c>
      <c r="H1493">
        <v>7060</v>
      </c>
      <c r="I1493">
        <v>7060</v>
      </c>
      <c r="J1493" s="21">
        <v>45717</v>
      </c>
      <c r="K1493" t="s">
        <v>67</v>
      </c>
      <c r="L1493" t="s">
        <v>68</v>
      </c>
      <c r="M1493" t="s">
        <v>69</v>
      </c>
      <c r="O1493">
        <v>7060</v>
      </c>
      <c r="S1493" t="str">
        <f>TEXT(Table1[[#This Row],[Date]],"MMM-YY")</f>
        <v>Mar-25</v>
      </c>
      <c r="T1493">
        <f>_xlfn.ISOWEEKNUM(Table1[[#This Row],[Date]])</f>
        <v>13</v>
      </c>
      <c r="U1493" t="str">
        <f>TEXT(Table1[[#This Row],[Expected Business Month]],"YYYY")</f>
        <v>2025</v>
      </c>
    </row>
    <row r="1494" spans="1:21" hidden="1">
      <c r="A1494" s="1">
        <v>45742</v>
      </c>
      <c r="B1494" t="s">
        <v>3248</v>
      </c>
      <c r="C1494" t="s">
        <v>63</v>
      </c>
      <c r="D1494" t="s">
        <v>64</v>
      </c>
      <c r="E1494" t="s">
        <v>38</v>
      </c>
      <c r="F1494" t="s">
        <v>269</v>
      </c>
      <c r="G1494" s="9" t="s">
        <v>3498</v>
      </c>
      <c r="H1494">
        <v>8940</v>
      </c>
      <c r="I1494">
        <v>8940</v>
      </c>
      <c r="J1494" s="21">
        <v>45717</v>
      </c>
      <c r="K1494" t="s">
        <v>67</v>
      </c>
      <c r="L1494" t="s">
        <v>68</v>
      </c>
      <c r="M1494" t="s">
        <v>69</v>
      </c>
      <c r="O1494">
        <v>2650</v>
      </c>
      <c r="S1494" t="str">
        <f>TEXT(Table1[[#This Row],[Date]],"MMM-YY")</f>
        <v>Mar-25</v>
      </c>
      <c r="T1494">
        <f>_xlfn.ISOWEEKNUM(Table1[[#This Row],[Date]])</f>
        <v>13</v>
      </c>
      <c r="U1494" t="str">
        <f>TEXT(Table1[[#This Row],[Expected Business Month]],"YYYY")</f>
        <v>2025</v>
      </c>
    </row>
    <row r="1495" spans="1:21" hidden="1">
      <c r="A1495" s="1">
        <v>45742</v>
      </c>
      <c r="B1495" t="s">
        <v>3482</v>
      </c>
      <c r="C1495" t="s">
        <v>63</v>
      </c>
      <c r="D1495" t="s">
        <v>64</v>
      </c>
      <c r="E1495" t="s">
        <v>29</v>
      </c>
      <c r="F1495" t="s">
        <v>3458</v>
      </c>
      <c r="G1495" s="9" t="s">
        <v>3498</v>
      </c>
      <c r="H1495">
        <v>5220</v>
      </c>
      <c r="I1495">
        <v>5220</v>
      </c>
      <c r="J1495" s="21">
        <v>45717</v>
      </c>
      <c r="K1495" t="s">
        <v>67</v>
      </c>
      <c r="L1495" t="s">
        <v>68</v>
      </c>
      <c r="M1495" t="s">
        <v>69</v>
      </c>
      <c r="O1495">
        <v>5220</v>
      </c>
      <c r="S1495" t="str">
        <f>TEXT(Table1[[#This Row],[Date]],"MMM-YY")</f>
        <v>Mar-25</v>
      </c>
      <c r="T1495">
        <f>_xlfn.ISOWEEKNUM(Table1[[#This Row],[Date]])</f>
        <v>13</v>
      </c>
      <c r="U1495" t="str">
        <f>TEXT(Table1[[#This Row],[Expected Business Month]],"YYYY")</f>
        <v>2025</v>
      </c>
    </row>
    <row r="1496" spans="1:21" hidden="1">
      <c r="A1496" s="1">
        <v>45743</v>
      </c>
      <c r="B1496" t="s">
        <v>471</v>
      </c>
      <c r="C1496" t="s">
        <v>63</v>
      </c>
      <c r="D1496" t="s">
        <v>64</v>
      </c>
      <c r="E1496" t="s">
        <v>26</v>
      </c>
      <c r="F1496" t="s">
        <v>3399</v>
      </c>
      <c r="G1496" s="9" t="s">
        <v>3499</v>
      </c>
      <c r="H1496">
        <v>4365</v>
      </c>
      <c r="I1496">
        <v>4365</v>
      </c>
      <c r="J1496" s="21">
        <v>45717</v>
      </c>
      <c r="K1496" t="s">
        <v>67</v>
      </c>
      <c r="L1496" t="s">
        <v>68</v>
      </c>
      <c r="M1496" t="s">
        <v>69</v>
      </c>
      <c r="O1496">
        <v>4365</v>
      </c>
      <c r="S1496" t="str">
        <f>TEXT(Table1[[#This Row],[Date]],"MMM-YY")</f>
        <v>Mar-25</v>
      </c>
      <c r="T1496">
        <f>_xlfn.ISOWEEKNUM(Table1[[#This Row],[Date]])</f>
        <v>13</v>
      </c>
      <c r="U1496" t="str">
        <f>TEXT(Table1[[#This Row],[Expected Business Month]],"YYYY")</f>
        <v>2025</v>
      </c>
    </row>
    <row r="1497" spans="1:21" hidden="1">
      <c r="A1497" s="1">
        <v>45743</v>
      </c>
      <c r="B1497" t="s">
        <v>3248</v>
      </c>
      <c r="C1497" t="s">
        <v>63</v>
      </c>
      <c r="D1497" t="s">
        <v>64</v>
      </c>
      <c r="E1497" t="s">
        <v>38</v>
      </c>
      <c r="F1497" t="s">
        <v>269</v>
      </c>
      <c r="G1497" s="9" t="s">
        <v>3500</v>
      </c>
      <c r="H1497">
        <v>7621</v>
      </c>
      <c r="I1497">
        <v>7621</v>
      </c>
      <c r="J1497" s="21">
        <v>45717</v>
      </c>
      <c r="K1497" t="s">
        <v>67</v>
      </c>
      <c r="L1497" t="s">
        <v>68</v>
      </c>
      <c r="M1497" t="s">
        <v>69</v>
      </c>
      <c r="O1497">
        <v>3025</v>
      </c>
      <c r="S1497" t="str">
        <f>TEXT(Table1[[#This Row],[Date]],"MMM-YY")</f>
        <v>Mar-25</v>
      </c>
      <c r="T1497">
        <f>_xlfn.ISOWEEKNUM(Table1[[#This Row],[Date]])</f>
        <v>13</v>
      </c>
      <c r="U1497" t="str">
        <f>TEXT(Table1[[#This Row],[Expected Business Month]],"YYYY")</f>
        <v>2025</v>
      </c>
    </row>
    <row r="1498" spans="1:21" hidden="1">
      <c r="A1498" s="1">
        <v>45743</v>
      </c>
      <c r="B1498" t="s">
        <v>3482</v>
      </c>
      <c r="C1498" t="s">
        <v>63</v>
      </c>
      <c r="D1498" t="s">
        <v>64</v>
      </c>
      <c r="E1498" t="s">
        <v>29</v>
      </c>
      <c r="F1498" t="s">
        <v>3458</v>
      </c>
      <c r="G1498" s="9" t="s">
        <v>3500</v>
      </c>
      <c r="H1498">
        <v>2850</v>
      </c>
      <c r="I1498">
        <v>2850</v>
      </c>
      <c r="J1498" s="21">
        <v>45717</v>
      </c>
      <c r="K1498" t="s">
        <v>67</v>
      </c>
      <c r="L1498" t="s">
        <v>68</v>
      </c>
      <c r="M1498" t="s">
        <v>69</v>
      </c>
      <c r="O1498">
        <v>2850</v>
      </c>
      <c r="S1498" t="str">
        <f>TEXT(Table1[[#This Row],[Date]],"MMM-YY")</f>
        <v>Mar-25</v>
      </c>
      <c r="T1498">
        <f>_xlfn.ISOWEEKNUM(Table1[[#This Row],[Date]])</f>
        <v>13</v>
      </c>
      <c r="U1498" t="str">
        <f>TEXT(Table1[[#This Row],[Expected Business Month]],"YYYY")</f>
        <v>2025</v>
      </c>
    </row>
    <row r="1499" spans="1:21" hidden="1">
      <c r="A1499" s="1">
        <v>45743</v>
      </c>
      <c r="B1499" t="s">
        <v>3501</v>
      </c>
      <c r="C1499" t="s">
        <v>63</v>
      </c>
      <c r="D1499" t="s">
        <v>64</v>
      </c>
      <c r="E1499" t="s">
        <v>25</v>
      </c>
      <c r="F1499" t="s">
        <v>3502</v>
      </c>
      <c r="G1499" s="9" t="s">
        <v>3503</v>
      </c>
      <c r="H1499">
        <v>12050</v>
      </c>
      <c r="I1499">
        <v>12050</v>
      </c>
      <c r="J1499" s="21">
        <v>45717</v>
      </c>
      <c r="K1499" t="s">
        <v>67</v>
      </c>
      <c r="L1499" t="s">
        <v>68</v>
      </c>
      <c r="M1499" t="s">
        <v>69</v>
      </c>
      <c r="O1499">
        <v>0</v>
      </c>
      <c r="S1499" t="str">
        <f>TEXT(Table1[[#This Row],[Date]],"MMM-YY")</f>
        <v>Mar-25</v>
      </c>
      <c r="T1499">
        <f>_xlfn.ISOWEEKNUM(Table1[[#This Row],[Date]])</f>
        <v>13</v>
      </c>
      <c r="U1499" t="str">
        <f>TEXT(Table1[[#This Row],[Expected Business Month]],"YYYY")</f>
        <v>2025</v>
      </c>
    </row>
    <row r="1500" spans="1:21" hidden="1">
      <c r="A1500" s="1">
        <v>45743</v>
      </c>
      <c r="B1500" t="s">
        <v>245</v>
      </c>
      <c r="C1500" t="s">
        <v>96</v>
      </c>
      <c r="D1500" t="s">
        <v>20</v>
      </c>
      <c r="E1500" t="s">
        <v>23</v>
      </c>
      <c r="F1500" t="s">
        <v>214</v>
      </c>
      <c r="G1500" s="9" t="s">
        <v>3504</v>
      </c>
      <c r="H1500">
        <v>3359</v>
      </c>
      <c r="I1500">
        <v>3359</v>
      </c>
      <c r="J1500" s="21">
        <v>45717</v>
      </c>
      <c r="K1500" t="s">
        <v>67</v>
      </c>
      <c r="L1500" t="s">
        <v>68</v>
      </c>
      <c r="M1500" t="s">
        <v>69</v>
      </c>
      <c r="O1500">
        <v>900</v>
      </c>
      <c r="S1500" t="str">
        <f>TEXT(Table1[[#This Row],[Date]],"MMM-YY")</f>
        <v>Mar-25</v>
      </c>
      <c r="T1500">
        <f>_xlfn.ISOWEEKNUM(Table1[[#This Row],[Date]])</f>
        <v>13</v>
      </c>
      <c r="U1500" t="str">
        <f>TEXT(Table1[[#This Row],[Expected Business Month]],"YYYY")</f>
        <v>2025</v>
      </c>
    </row>
    <row r="1501" spans="1:21" hidden="1">
      <c r="A1501" s="1">
        <v>45743</v>
      </c>
      <c r="B1501" t="s">
        <v>3375</v>
      </c>
      <c r="C1501" t="s">
        <v>96</v>
      </c>
      <c r="D1501" t="s">
        <v>20</v>
      </c>
      <c r="E1501" t="s">
        <v>23</v>
      </c>
      <c r="F1501" t="s">
        <v>238</v>
      </c>
      <c r="G1501" s="9" t="s">
        <v>3505</v>
      </c>
      <c r="H1501">
        <v>19990</v>
      </c>
      <c r="I1501">
        <v>19990</v>
      </c>
      <c r="J1501" s="21">
        <v>45717</v>
      </c>
      <c r="K1501" t="s">
        <v>67</v>
      </c>
      <c r="L1501" t="s">
        <v>68</v>
      </c>
      <c r="M1501" t="s">
        <v>69</v>
      </c>
      <c r="O1501">
        <v>0</v>
      </c>
      <c r="S1501" t="str">
        <f>TEXT(Table1[[#This Row],[Date]],"MMM-YY")</f>
        <v>Mar-25</v>
      </c>
      <c r="T1501">
        <f>_xlfn.ISOWEEKNUM(Table1[[#This Row],[Date]])</f>
        <v>13</v>
      </c>
      <c r="U1501" t="str">
        <f>TEXT(Table1[[#This Row],[Expected Business Month]],"YYYY")</f>
        <v>2025</v>
      </c>
    </row>
    <row r="1502" spans="1:21" hidden="1">
      <c r="A1502" s="1">
        <v>45744</v>
      </c>
      <c r="B1502" t="s">
        <v>471</v>
      </c>
      <c r="C1502" t="s">
        <v>63</v>
      </c>
      <c r="D1502" t="s">
        <v>64</v>
      </c>
      <c r="E1502" t="s">
        <v>26</v>
      </c>
      <c r="F1502" t="s">
        <v>3399</v>
      </c>
      <c r="G1502" s="9" t="s">
        <v>3506</v>
      </c>
      <c r="H1502">
        <v>5530</v>
      </c>
      <c r="I1502">
        <v>5530</v>
      </c>
      <c r="J1502" s="21">
        <v>45717</v>
      </c>
      <c r="K1502" t="s">
        <v>67</v>
      </c>
      <c r="L1502" t="s">
        <v>68</v>
      </c>
      <c r="M1502" t="s">
        <v>69</v>
      </c>
      <c r="O1502">
        <v>5530</v>
      </c>
      <c r="S1502" t="str">
        <f>TEXT(Table1[[#This Row],[Date]],"MMM-YY")</f>
        <v>Mar-25</v>
      </c>
      <c r="T1502">
        <f>_xlfn.ISOWEEKNUM(Table1[[#This Row],[Date]])</f>
        <v>13</v>
      </c>
      <c r="U1502" t="str">
        <f>TEXT(Table1[[#This Row],[Expected Business Month]],"YYYY")</f>
        <v>2025</v>
      </c>
    </row>
    <row r="1503" spans="1:21" hidden="1">
      <c r="A1503" s="1">
        <v>45744</v>
      </c>
      <c r="B1503" t="s">
        <v>3248</v>
      </c>
      <c r="C1503" t="s">
        <v>63</v>
      </c>
      <c r="D1503" t="s">
        <v>64</v>
      </c>
      <c r="E1503" t="s">
        <v>38</v>
      </c>
      <c r="F1503" t="s">
        <v>269</v>
      </c>
      <c r="G1503" s="9" t="s">
        <v>3507</v>
      </c>
      <c r="H1503">
        <v>7500</v>
      </c>
      <c r="I1503">
        <v>7500</v>
      </c>
      <c r="J1503" s="21">
        <v>45717</v>
      </c>
      <c r="K1503" t="s">
        <v>67</v>
      </c>
      <c r="L1503" t="s">
        <v>68</v>
      </c>
      <c r="M1503" t="s">
        <v>69</v>
      </c>
      <c r="O1503">
        <v>3500</v>
      </c>
      <c r="S1503" t="str">
        <f>TEXT(Table1[[#This Row],[Date]],"MMM-YY")</f>
        <v>Mar-25</v>
      </c>
      <c r="T1503">
        <f>_xlfn.ISOWEEKNUM(Table1[[#This Row],[Date]])</f>
        <v>13</v>
      </c>
      <c r="U1503" t="str">
        <f>TEXT(Table1[[#This Row],[Expected Business Month]],"YYYY")</f>
        <v>2025</v>
      </c>
    </row>
    <row r="1504" spans="1:21" hidden="1">
      <c r="A1504" s="1">
        <v>45744</v>
      </c>
      <c r="B1504" t="s">
        <v>3482</v>
      </c>
      <c r="C1504" t="s">
        <v>63</v>
      </c>
      <c r="D1504" t="s">
        <v>64</v>
      </c>
      <c r="E1504" t="s">
        <v>29</v>
      </c>
      <c r="F1504" t="s">
        <v>3458</v>
      </c>
      <c r="G1504" s="9" t="s">
        <v>3507</v>
      </c>
      <c r="H1504">
        <v>5500</v>
      </c>
      <c r="I1504">
        <v>5500</v>
      </c>
      <c r="J1504" s="21">
        <v>45717</v>
      </c>
      <c r="K1504" t="s">
        <v>67</v>
      </c>
      <c r="L1504" t="s">
        <v>68</v>
      </c>
      <c r="M1504" t="s">
        <v>69</v>
      </c>
      <c r="O1504">
        <v>4500</v>
      </c>
      <c r="S1504" t="str">
        <f>TEXT(Table1[[#This Row],[Date]],"MMM-YY")</f>
        <v>Mar-25</v>
      </c>
      <c r="T1504">
        <f>_xlfn.ISOWEEKNUM(Table1[[#This Row],[Date]])</f>
        <v>13</v>
      </c>
      <c r="U1504" t="str">
        <f>TEXT(Table1[[#This Row],[Expected Business Month]],"YYYY")</f>
        <v>2025</v>
      </c>
    </row>
    <row r="1505" spans="1:21" hidden="1">
      <c r="A1505" s="1">
        <v>45744</v>
      </c>
      <c r="B1505" t="s">
        <v>3508</v>
      </c>
      <c r="C1505" t="s">
        <v>63</v>
      </c>
      <c r="D1505" t="s">
        <v>64</v>
      </c>
      <c r="E1505" t="s">
        <v>38</v>
      </c>
      <c r="F1505" t="s">
        <v>2649</v>
      </c>
      <c r="G1505" s="9" t="s">
        <v>3507</v>
      </c>
      <c r="H1505">
        <v>0</v>
      </c>
      <c r="I1505">
        <v>0</v>
      </c>
      <c r="J1505" s="21">
        <v>45717</v>
      </c>
      <c r="K1505" t="s">
        <v>67</v>
      </c>
      <c r="L1505" t="s">
        <v>68</v>
      </c>
      <c r="M1505" t="s">
        <v>69</v>
      </c>
      <c r="O1505">
        <v>0</v>
      </c>
      <c r="S1505" t="str">
        <f>TEXT(Table1[[#This Row],[Date]],"MMM-YY")</f>
        <v>Mar-25</v>
      </c>
      <c r="T1505">
        <f>_xlfn.ISOWEEKNUM(Table1[[#This Row],[Date]])</f>
        <v>13</v>
      </c>
      <c r="U1505" t="str">
        <f>TEXT(Table1[[#This Row],[Expected Business Month]],"YYYY")</f>
        <v>2025</v>
      </c>
    </row>
    <row r="1506" spans="1:21" hidden="1">
      <c r="A1506" s="1">
        <v>45744</v>
      </c>
      <c r="B1506" t="s">
        <v>3509</v>
      </c>
      <c r="C1506" t="s">
        <v>63</v>
      </c>
      <c r="D1506" t="s">
        <v>64</v>
      </c>
      <c r="E1506" t="s">
        <v>29</v>
      </c>
      <c r="F1506" t="s">
        <v>2779</v>
      </c>
      <c r="G1506" s="9" t="s">
        <v>3510</v>
      </c>
      <c r="H1506">
        <v>27788</v>
      </c>
      <c r="I1506">
        <v>2778</v>
      </c>
      <c r="J1506" s="21">
        <v>45717</v>
      </c>
      <c r="K1506" t="s">
        <v>67</v>
      </c>
      <c r="L1506" t="s">
        <v>68</v>
      </c>
      <c r="M1506" t="s">
        <v>69</v>
      </c>
      <c r="O1506">
        <v>0</v>
      </c>
      <c r="S1506" t="str">
        <f>TEXT(Table1[[#This Row],[Date]],"MMM-YY")</f>
        <v>Mar-25</v>
      </c>
      <c r="T1506">
        <f>_xlfn.ISOWEEKNUM(Table1[[#This Row],[Date]])</f>
        <v>13</v>
      </c>
      <c r="U1506" t="str">
        <f>TEXT(Table1[[#This Row],[Expected Business Month]],"YYYY")</f>
        <v>2025</v>
      </c>
    </row>
    <row r="1507" spans="1:21" hidden="1">
      <c r="A1507" s="1">
        <v>45744</v>
      </c>
      <c r="B1507" t="s">
        <v>3511</v>
      </c>
      <c r="C1507" t="s">
        <v>96</v>
      </c>
      <c r="D1507" t="s">
        <v>20</v>
      </c>
      <c r="E1507" t="s">
        <v>23</v>
      </c>
      <c r="F1507" t="s">
        <v>715</v>
      </c>
      <c r="G1507" s="9" t="s">
        <v>3512</v>
      </c>
      <c r="H1507">
        <v>63409</v>
      </c>
      <c r="I1507">
        <v>63409</v>
      </c>
      <c r="J1507" s="21">
        <v>45717</v>
      </c>
      <c r="K1507" t="s">
        <v>67</v>
      </c>
      <c r="L1507" t="s">
        <v>68</v>
      </c>
      <c r="M1507" t="s">
        <v>69</v>
      </c>
      <c r="O1507">
        <v>0</v>
      </c>
      <c r="S1507" t="str">
        <f>TEXT(Table1[[#This Row],[Date]],"MMM-YY")</f>
        <v>Mar-25</v>
      </c>
      <c r="T1507">
        <f>_xlfn.ISOWEEKNUM(Table1[[#This Row],[Date]])</f>
        <v>13</v>
      </c>
      <c r="U1507" t="str">
        <f>TEXT(Table1[[#This Row],[Expected Business Month]],"YYYY")</f>
        <v>2025</v>
      </c>
    </row>
    <row r="1508" spans="1:21" hidden="1">
      <c r="A1508" s="1">
        <v>45744</v>
      </c>
      <c r="B1508" t="s">
        <v>3511</v>
      </c>
      <c r="C1508" t="s">
        <v>96</v>
      </c>
      <c r="D1508" t="s">
        <v>20</v>
      </c>
      <c r="E1508" t="s">
        <v>23</v>
      </c>
      <c r="F1508" t="s">
        <v>214</v>
      </c>
      <c r="G1508" s="9" t="s">
        <v>3513</v>
      </c>
      <c r="H1508">
        <v>8477</v>
      </c>
      <c r="I1508">
        <v>8477</v>
      </c>
      <c r="J1508" s="21">
        <v>45717</v>
      </c>
      <c r="K1508" t="s">
        <v>67</v>
      </c>
      <c r="L1508" t="s">
        <v>68</v>
      </c>
      <c r="M1508" t="s">
        <v>69</v>
      </c>
      <c r="O1508">
        <v>8477</v>
      </c>
      <c r="S1508" t="str">
        <f>TEXT(Table1[[#This Row],[Date]],"MMM-YY")</f>
        <v>Mar-25</v>
      </c>
      <c r="T1508">
        <f>_xlfn.ISOWEEKNUM(Table1[[#This Row],[Date]])</f>
        <v>13</v>
      </c>
      <c r="U1508" t="str">
        <f>TEXT(Table1[[#This Row],[Expected Business Month]],"YYYY")</f>
        <v>2025</v>
      </c>
    </row>
    <row r="1509" spans="1:21" hidden="1">
      <c r="A1509" s="1">
        <v>45744</v>
      </c>
      <c r="B1509" t="s">
        <v>3218</v>
      </c>
      <c r="C1509" t="s">
        <v>96</v>
      </c>
      <c r="D1509" t="s">
        <v>64</v>
      </c>
      <c r="E1509" t="s">
        <v>26</v>
      </c>
      <c r="F1509" t="s">
        <v>3514</v>
      </c>
      <c r="G1509" s="9" t="s">
        <v>3515</v>
      </c>
      <c r="H1509">
        <v>79644</v>
      </c>
      <c r="I1509">
        <v>79644</v>
      </c>
      <c r="J1509" s="21">
        <v>45717</v>
      </c>
      <c r="K1509" t="s">
        <v>67</v>
      </c>
      <c r="L1509" t="s">
        <v>68</v>
      </c>
      <c r="M1509" t="s">
        <v>69</v>
      </c>
      <c r="O1509">
        <v>14053</v>
      </c>
      <c r="S1509" t="str">
        <f>TEXT(Table1[[#This Row],[Date]],"MMM-YY")</f>
        <v>Mar-25</v>
      </c>
      <c r="T1509">
        <f>_xlfn.ISOWEEKNUM(Table1[[#This Row],[Date]])</f>
        <v>13</v>
      </c>
      <c r="U1509" t="str">
        <f>TEXT(Table1[[#This Row],[Expected Business Month]],"YYYY")</f>
        <v>2025</v>
      </c>
    </row>
    <row r="1510" spans="1:21" hidden="1">
      <c r="A1510" s="1">
        <v>45745</v>
      </c>
      <c r="B1510" t="s">
        <v>3508</v>
      </c>
      <c r="C1510" t="s">
        <v>63</v>
      </c>
      <c r="D1510" t="s">
        <v>64</v>
      </c>
      <c r="E1510" t="s">
        <v>38</v>
      </c>
      <c r="F1510" t="s">
        <v>2649</v>
      </c>
      <c r="G1510" s="9" t="s">
        <v>3516</v>
      </c>
      <c r="H1510">
        <v>41750</v>
      </c>
      <c r="I1510">
        <v>41750</v>
      </c>
      <c r="J1510" s="21">
        <v>45717</v>
      </c>
      <c r="K1510" t="s">
        <v>67</v>
      </c>
      <c r="L1510" t="s">
        <v>68</v>
      </c>
      <c r="M1510" t="s">
        <v>69</v>
      </c>
      <c r="O1510">
        <v>41750</v>
      </c>
      <c r="S1510" t="str">
        <f>TEXT(Table1[[#This Row],[Date]],"MMM-YY")</f>
        <v>Mar-25</v>
      </c>
      <c r="T1510">
        <f>_xlfn.ISOWEEKNUM(Table1[[#This Row],[Date]])</f>
        <v>13</v>
      </c>
      <c r="U1510" t="str">
        <f>TEXT(Table1[[#This Row],[Expected Business Month]],"YYYY")</f>
        <v>2025</v>
      </c>
    </row>
    <row r="1511" spans="1:21" hidden="1">
      <c r="A1511" s="1">
        <v>45745</v>
      </c>
      <c r="B1511" t="s">
        <v>3149</v>
      </c>
      <c r="C1511" t="s">
        <v>96</v>
      </c>
      <c r="D1511" t="s">
        <v>20</v>
      </c>
      <c r="E1511" t="s">
        <v>23</v>
      </c>
      <c r="F1511" t="s">
        <v>3517</v>
      </c>
      <c r="G1511" s="9" t="s">
        <v>3518</v>
      </c>
      <c r="H1511">
        <v>6338</v>
      </c>
      <c r="I1511">
        <v>6338</v>
      </c>
      <c r="J1511" s="21">
        <v>45717</v>
      </c>
      <c r="K1511" t="s">
        <v>67</v>
      </c>
      <c r="L1511" t="s">
        <v>68</v>
      </c>
      <c r="M1511" t="s">
        <v>69</v>
      </c>
      <c r="O1511">
        <v>0</v>
      </c>
      <c r="S1511" t="str">
        <f>TEXT(Table1[[#This Row],[Date]],"MMM-YY")</f>
        <v>Mar-25</v>
      </c>
      <c r="T1511">
        <f>_xlfn.ISOWEEKNUM(Table1[[#This Row],[Date]])</f>
        <v>13</v>
      </c>
      <c r="U1511" t="str">
        <f>TEXT(Table1[[#This Row],[Expected Business Month]],"YYYY")</f>
        <v>2025</v>
      </c>
    </row>
    <row r="1512" spans="1:21" hidden="1">
      <c r="A1512" s="1">
        <v>45746</v>
      </c>
      <c r="B1512" t="s">
        <v>3519</v>
      </c>
      <c r="C1512" t="s">
        <v>63</v>
      </c>
      <c r="D1512" t="s">
        <v>64</v>
      </c>
      <c r="E1512" t="s">
        <v>38</v>
      </c>
      <c r="F1512" t="s">
        <v>1186</v>
      </c>
      <c r="G1512" s="9" t="s">
        <v>3520</v>
      </c>
      <c r="H1512">
        <v>472960</v>
      </c>
      <c r="I1512">
        <v>472960</v>
      </c>
      <c r="J1512" s="21">
        <v>45717</v>
      </c>
      <c r="K1512" t="s">
        <v>67</v>
      </c>
      <c r="L1512" t="s">
        <v>68</v>
      </c>
      <c r="M1512" t="s">
        <v>69</v>
      </c>
      <c r="O1512">
        <v>368000</v>
      </c>
      <c r="S1512" t="str">
        <f>TEXT(Table1[[#This Row],[Date]],"MMM-YY")</f>
        <v>Mar-25</v>
      </c>
      <c r="T1512">
        <f>_xlfn.ISOWEEKNUM(Table1[[#This Row],[Date]])</f>
        <v>13</v>
      </c>
      <c r="U1512" t="str">
        <f>TEXT(Table1[[#This Row],[Expected Business Month]],"YYYY")</f>
        <v>2025</v>
      </c>
    </row>
    <row r="1513" spans="1:21" hidden="1">
      <c r="A1513" s="1">
        <v>45747</v>
      </c>
      <c r="B1513" t="s">
        <v>3519</v>
      </c>
      <c r="C1513" t="s">
        <v>63</v>
      </c>
      <c r="D1513" t="s">
        <v>64</v>
      </c>
      <c r="E1513" t="s">
        <v>38</v>
      </c>
      <c r="F1513" t="s">
        <v>1186</v>
      </c>
      <c r="G1513" s="9" t="s">
        <v>3521</v>
      </c>
      <c r="H1513">
        <v>38000</v>
      </c>
      <c r="I1513">
        <v>38000</v>
      </c>
      <c r="J1513" s="21">
        <v>45717</v>
      </c>
      <c r="K1513" t="s">
        <v>67</v>
      </c>
      <c r="L1513" t="s">
        <v>68</v>
      </c>
      <c r="M1513" t="s">
        <v>69</v>
      </c>
      <c r="O1513">
        <v>38000</v>
      </c>
      <c r="S1513" t="str">
        <f>TEXT(Table1[[#This Row],[Date]],"MMM-YY")</f>
        <v>Mar-25</v>
      </c>
      <c r="T1513">
        <f>_xlfn.ISOWEEKNUM(Table1[[#This Row],[Date]])</f>
        <v>14</v>
      </c>
      <c r="U1513" t="str">
        <f>TEXT(Table1[[#This Row],[Expected Business Month]],"YYYY")</f>
        <v>2025</v>
      </c>
    </row>
    <row r="1514" spans="1:21" ht="29.1" hidden="1">
      <c r="A1514" s="1">
        <v>45748</v>
      </c>
      <c r="B1514" t="s">
        <v>3522</v>
      </c>
      <c r="C1514" t="s">
        <v>63</v>
      </c>
      <c r="D1514" t="s">
        <v>64</v>
      </c>
      <c r="E1514" t="s">
        <v>29</v>
      </c>
      <c r="F1514" t="s">
        <v>3523</v>
      </c>
      <c r="G1514" s="9" t="s">
        <v>3524</v>
      </c>
      <c r="H1514">
        <v>0</v>
      </c>
      <c r="I1514">
        <v>0</v>
      </c>
      <c r="J1514" s="21">
        <v>45748</v>
      </c>
      <c r="K1514" t="s">
        <v>67</v>
      </c>
      <c r="L1514" t="s">
        <v>68</v>
      </c>
      <c r="M1514" t="s">
        <v>69</v>
      </c>
      <c r="O1514">
        <v>0</v>
      </c>
      <c r="S1514" t="str">
        <f>TEXT(Table1[[#This Row],[Date]],"MMM-YY")</f>
        <v>Apr-25</v>
      </c>
      <c r="T1514">
        <f>_xlfn.ISOWEEKNUM(Table1[[#This Row],[Date]])</f>
        <v>14</v>
      </c>
      <c r="U1514" t="str">
        <f>TEXT(Table1[[#This Row],[Expected Business Month]],"YYYY")</f>
        <v>2025</v>
      </c>
    </row>
    <row r="1515" spans="1:21" hidden="1">
      <c r="A1515" s="1">
        <v>45748</v>
      </c>
      <c r="B1515" t="s">
        <v>3525</v>
      </c>
      <c r="C1515" t="s">
        <v>63</v>
      </c>
      <c r="D1515" t="s">
        <v>105</v>
      </c>
      <c r="E1515" t="s">
        <v>18</v>
      </c>
      <c r="F1515" t="s">
        <v>3526</v>
      </c>
      <c r="G1515" s="9" t="s">
        <v>3527</v>
      </c>
      <c r="H1515">
        <v>0</v>
      </c>
      <c r="I1515">
        <v>0</v>
      </c>
      <c r="J1515" s="21">
        <v>45748</v>
      </c>
      <c r="K1515" t="s">
        <v>67</v>
      </c>
      <c r="L1515" t="s">
        <v>9</v>
      </c>
      <c r="M1515" t="s">
        <v>9</v>
      </c>
      <c r="O1515">
        <v>0</v>
      </c>
      <c r="S1515" t="str">
        <f>TEXT(Table1[[#This Row],[Date]],"MMM-YY")</f>
        <v>Apr-25</v>
      </c>
      <c r="T1515">
        <f>_xlfn.ISOWEEKNUM(Table1[[#This Row],[Date]])</f>
        <v>14</v>
      </c>
      <c r="U1515" t="str">
        <f>TEXT(Table1[[#This Row],[Expected Business Month]],"YYYY")</f>
        <v>2025</v>
      </c>
    </row>
    <row r="1516" spans="1:21">
      <c r="A1516" s="1">
        <v>45749</v>
      </c>
      <c r="B1516" t="s">
        <v>95</v>
      </c>
      <c r="C1516" t="s">
        <v>96</v>
      </c>
      <c r="D1516" t="s">
        <v>64</v>
      </c>
      <c r="E1516" t="s">
        <v>38</v>
      </c>
      <c r="F1516" t="s">
        <v>97</v>
      </c>
      <c r="G1516" s="9" t="s">
        <v>3528</v>
      </c>
      <c r="H1516">
        <v>34332</v>
      </c>
      <c r="I1516">
        <v>34332</v>
      </c>
      <c r="J1516" s="21">
        <v>45748</v>
      </c>
      <c r="K1516" t="s">
        <v>99</v>
      </c>
      <c r="L1516" t="s">
        <v>68</v>
      </c>
      <c r="M1516" t="s">
        <v>69</v>
      </c>
      <c r="O1516">
        <v>0</v>
      </c>
      <c r="S1516" t="str">
        <f>TEXT(Table1[[#This Row],[Date]],"MMM-YY")</f>
        <v>Apr-25</v>
      </c>
      <c r="T1516">
        <f>_xlfn.ISOWEEKNUM(Table1[[#This Row],[Date]])</f>
        <v>14</v>
      </c>
      <c r="U1516" t="str">
        <f>TEXT(Table1[[#This Row],[Expected Business Month]],"YYYY")</f>
        <v>2025</v>
      </c>
    </row>
    <row r="1517" spans="1:21" hidden="1">
      <c r="A1517" s="1">
        <v>45749</v>
      </c>
      <c r="B1517" t="s">
        <v>3529</v>
      </c>
      <c r="C1517" t="s">
        <v>63</v>
      </c>
      <c r="D1517" t="s">
        <v>64</v>
      </c>
      <c r="E1517" t="s">
        <v>26</v>
      </c>
      <c r="F1517" t="s">
        <v>1922</v>
      </c>
      <c r="G1517" s="9" t="s">
        <v>3530</v>
      </c>
      <c r="H1517">
        <v>0</v>
      </c>
      <c r="I1517">
        <v>0</v>
      </c>
      <c r="J1517" s="21">
        <v>45748</v>
      </c>
      <c r="K1517" t="s">
        <v>67</v>
      </c>
      <c r="L1517" t="s">
        <v>9</v>
      </c>
      <c r="M1517" t="s">
        <v>9</v>
      </c>
      <c r="O1517">
        <v>0</v>
      </c>
      <c r="S1517" t="str">
        <f>TEXT(Table1[[#This Row],[Date]],"MMM-YY")</f>
        <v>Apr-25</v>
      </c>
      <c r="T1517">
        <f>_xlfn.ISOWEEKNUM(Table1[[#This Row],[Date]])</f>
        <v>14</v>
      </c>
      <c r="U1517" t="str">
        <f>TEXT(Table1[[#This Row],[Expected Business Month]],"YYYY")</f>
        <v>2025</v>
      </c>
    </row>
    <row r="1518" spans="1:21" hidden="1">
      <c r="A1518" s="1">
        <v>45749</v>
      </c>
      <c r="B1518" t="s">
        <v>3531</v>
      </c>
      <c r="C1518" t="s">
        <v>96</v>
      </c>
      <c r="D1518" t="s">
        <v>64</v>
      </c>
      <c r="E1518" t="s">
        <v>27</v>
      </c>
      <c r="F1518" t="s">
        <v>3532</v>
      </c>
      <c r="G1518" s="9" t="s">
        <v>3533</v>
      </c>
      <c r="H1518">
        <v>8050</v>
      </c>
      <c r="I1518">
        <v>8050</v>
      </c>
      <c r="J1518" s="21">
        <v>45748</v>
      </c>
      <c r="K1518" t="s">
        <v>67</v>
      </c>
      <c r="L1518" t="s">
        <v>68</v>
      </c>
      <c r="M1518" t="s">
        <v>69</v>
      </c>
      <c r="O1518">
        <v>0</v>
      </c>
      <c r="S1518" t="str">
        <f>TEXT(Table1[[#This Row],[Date]],"MMM-YY")</f>
        <v>Apr-25</v>
      </c>
      <c r="T1518">
        <f>_xlfn.ISOWEEKNUM(Table1[[#This Row],[Date]])</f>
        <v>14</v>
      </c>
      <c r="U1518" t="str">
        <f>TEXT(Table1[[#This Row],[Expected Business Month]],"YYYY")</f>
        <v>2025</v>
      </c>
    </row>
    <row r="1519" spans="1:21" hidden="1">
      <c r="A1519" s="1">
        <v>45750</v>
      </c>
      <c r="B1519" t="s">
        <v>3248</v>
      </c>
      <c r="C1519" t="s">
        <v>63</v>
      </c>
      <c r="D1519" t="s">
        <v>64</v>
      </c>
      <c r="E1519" t="s">
        <v>38</v>
      </c>
      <c r="F1519" t="s">
        <v>269</v>
      </c>
      <c r="G1519" s="9" t="s">
        <v>3534</v>
      </c>
      <c r="H1519">
        <v>7600</v>
      </c>
      <c r="I1519">
        <v>7600</v>
      </c>
      <c r="J1519" s="21">
        <v>45748</v>
      </c>
      <c r="K1519" t="s">
        <v>67</v>
      </c>
      <c r="L1519" t="s">
        <v>68</v>
      </c>
      <c r="M1519" t="s">
        <v>69</v>
      </c>
      <c r="O1519">
        <v>3000</v>
      </c>
      <c r="S1519" t="str">
        <f>TEXT(Table1[[#This Row],[Date]],"MMM-YY")</f>
        <v>Apr-25</v>
      </c>
      <c r="T1519">
        <f>_xlfn.ISOWEEKNUM(Table1[[#This Row],[Date]])</f>
        <v>14</v>
      </c>
      <c r="U1519" t="str">
        <f>TEXT(Table1[[#This Row],[Expected Business Month]],"YYYY")</f>
        <v>2025</v>
      </c>
    </row>
    <row r="1520" spans="1:21" hidden="1">
      <c r="A1520" s="1">
        <v>45750</v>
      </c>
      <c r="B1520" t="s">
        <v>2725</v>
      </c>
      <c r="C1520" t="s">
        <v>63</v>
      </c>
      <c r="D1520" t="s">
        <v>64</v>
      </c>
      <c r="E1520" t="s">
        <v>26</v>
      </c>
      <c r="F1520" t="s">
        <v>2726</v>
      </c>
      <c r="G1520" s="9" t="s">
        <v>1860</v>
      </c>
      <c r="H1520">
        <v>0</v>
      </c>
      <c r="J1520" s="21">
        <v>45870</v>
      </c>
      <c r="K1520" t="s">
        <v>67</v>
      </c>
      <c r="L1520" t="s">
        <v>9</v>
      </c>
      <c r="M1520" t="s">
        <v>2878</v>
      </c>
      <c r="O1520">
        <v>0</v>
      </c>
      <c r="S1520" t="str">
        <f>TEXT(Table1[[#This Row],[Date]],"MMM-YY")</f>
        <v>Apr-25</v>
      </c>
      <c r="T1520">
        <f>_xlfn.ISOWEEKNUM(Table1[[#This Row],[Date]])</f>
        <v>14</v>
      </c>
      <c r="U1520" t="str">
        <f>TEXT(Table1[[#This Row],[Expected Business Month]],"YYYY")</f>
        <v>2025</v>
      </c>
    </row>
    <row r="1521" spans="1:21" hidden="1">
      <c r="A1521" s="1">
        <v>45750</v>
      </c>
      <c r="B1521" t="s">
        <v>781</v>
      </c>
      <c r="C1521" t="s">
        <v>63</v>
      </c>
      <c r="D1521" t="s">
        <v>64</v>
      </c>
      <c r="E1521" t="s">
        <v>26</v>
      </c>
      <c r="F1521" t="s">
        <v>782</v>
      </c>
      <c r="G1521" s="9" t="s">
        <v>1860</v>
      </c>
      <c r="H1521">
        <v>0</v>
      </c>
      <c r="J1521" s="21">
        <v>45870</v>
      </c>
      <c r="K1521" t="s">
        <v>67</v>
      </c>
      <c r="L1521" t="s">
        <v>9</v>
      </c>
      <c r="M1521" t="s">
        <v>2878</v>
      </c>
      <c r="O1521">
        <v>0</v>
      </c>
      <c r="S1521" t="str">
        <f>TEXT(Table1[[#This Row],[Date]],"MMM-YY")</f>
        <v>Apr-25</v>
      </c>
      <c r="T1521">
        <f>_xlfn.ISOWEEKNUM(Table1[[#This Row],[Date]])</f>
        <v>14</v>
      </c>
      <c r="U1521" t="str">
        <f>TEXT(Table1[[#This Row],[Expected Business Month]],"YYYY")</f>
        <v>2025</v>
      </c>
    </row>
    <row r="1522" spans="1:21" hidden="1">
      <c r="A1522" s="1">
        <v>45751</v>
      </c>
      <c r="B1522" t="s">
        <v>3248</v>
      </c>
      <c r="C1522" t="s">
        <v>63</v>
      </c>
      <c r="D1522" t="s">
        <v>64</v>
      </c>
      <c r="E1522" t="s">
        <v>38</v>
      </c>
      <c r="F1522" t="s">
        <v>269</v>
      </c>
      <c r="G1522" s="9" t="s">
        <v>3535</v>
      </c>
      <c r="H1522">
        <v>8100</v>
      </c>
      <c r="I1522">
        <v>8100</v>
      </c>
      <c r="J1522" s="21">
        <v>45748</v>
      </c>
      <c r="K1522" t="s">
        <v>67</v>
      </c>
      <c r="L1522" t="s">
        <v>68</v>
      </c>
      <c r="M1522" t="s">
        <v>69</v>
      </c>
      <c r="O1522">
        <v>3000</v>
      </c>
      <c r="S1522" t="str">
        <f>TEXT(Table1[[#This Row],[Date]],"MMM-YY")</f>
        <v>Apr-25</v>
      </c>
      <c r="T1522">
        <f>_xlfn.ISOWEEKNUM(Table1[[#This Row],[Date]])</f>
        <v>14</v>
      </c>
      <c r="U1522" t="str">
        <f>TEXT(Table1[[#This Row],[Expected Business Month]],"YYYY")</f>
        <v>2025</v>
      </c>
    </row>
    <row r="1523" spans="1:21" ht="29.1" hidden="1">
      <c r="A1523" s="1">
        <v>45751</v>
      </c>
      <c r="B1523" t="s">
        <v>3536</v>
      </c>
      <c r="C1523" t="s">
        <v>63</v>
      </c>
      <c r="D1523" t="s">
        <v>105</v>
      </c>
      <c r="E1523" t="s">
        <v>18</v>
      </c>
      <c r="F1523" t="s">
        <v>3396</v>
      </c>
      <c r="G1523" s="9" t="s">
        <v>3537</v>
      </c>
      <c r="H1523">
        <v>0</v>
      </c>
      <c r="I1523">
        <v>0</v>
      </c>
      <c r="J1523" s="21">
        <v>45748</v>
      </c>
      <c r="K1523" t="s">
        <v>67</v>
      </c>
      <c r="L1523" t="s">
        <v>68</v>
      </c>
      <c r="M1523" t="s">
        <v>69</v>
      </c>
      <c r="O1523">
        <v>0</v>
      </c>
      <c r="S1523" t="str">
        <f>TEXT(Table1[[#This Row],[Date]],"MMM-YY")</f>
        <v>Apr-25</v>
      </c>
      <c r="T1523">
        <f>_xlfn.ISOWEEKNUM(Table1[[#This Row],[Date]])</f>
        <v>14</v>
      </c>
      <c r="U1523" t="str">
        <f>TEXT(Table1[[#This Row],[Expected Business Month]],"YYYY")</f>
        <v>2025</v>
      </c>
    </row>
    <row r="1524" spans="1:21" hidden="1">
      <c r="A1524" s="1">
        <v>45751</v>
      </c>
      <c r="B1524" t="s">
        <v>3538</v>
      </c>
      <c r="C1524" t="s">
        <v>96</v>
      </c>
      <c r="D1524" t="s">
        <v>64</v>
      </c>
      <c r="E1524" t="s">
        <v>26</v>
      </c>
      <c r="F1524" t="s">
        <v>214</v>
      </c>
      <c r="G1524" s="9" t="s">
        <v>3539</v>
      </c>
      <c r="H1524">
        <v>16422</v>
      </c>
      <c r="I1524">
        <v>16422</v>
      </c>
      <c r="J1524" s="21">
        <v>45748</v>
      </c>
      <c r="K1524" t="s">
        <v>67</v>
      </c>
      <c r="L1524" t="s">
        <v>68</v>
      </c>
      <c r="M1524" t="s">
        <v>69</v>
      </c>
      <c r="O1524">
        <v>0</v>
      </c>
      <c r="S1524" t="str">
        <f>TEXT(Table1[[#This Row],[Date]],"MMM-YY")</f>
        <v>Apr-25</v>
      </c>
      <c r="T1524">
        <f>_xlfn.ISOWEEKNUM(Table1[[#This Row],[Date]])</f>
        <v>14</v>
      </c>
      <c r="U1524" t="str">
        <f>TEXT(Table1[[#This Row],[Expected Business Month]],"YYYY")</f>
        <v>2025</v>
      </c>
    </row>
    <row r="1525" spans="1:21" hidden="1">
      <c r="A1525" s="1">
        <v>45752</v>
      </c>
      <c r="B1525" t="s">
        <v>3540</v>
      </c>
      <c r="C1525" t="s">
        <v>63</v>
      </c>
      <c r="D1525" t="s">
        <v>105</v>
      </c>
      <c r="E1525" t="s">
        <v>18</v>
      </c>
      <c r="F1525" t="s">
        <v>3396</v>
      </c>
      <c r="G1525" s="9" t="s">
        <v>3541</v>
      </c>
      <c r="H1525">
        <v>58565</v>
      </c>
      <c r="I1525">
        <v>58565</v>
      </c>
      <c r="J1525" s="21">
        <v>45748</v>
      </c>
      <c r="K1525" t="s">
        <v>67</v>
      </c>
      <c r="L1525" t="s">
        <v>68</v>
      </c>
      <c r="M1525" t="s">
        <v>69</v>
      </c>
      <c r="O1525">
        <v>19200</v>
      </c>
      <c r="S1525" t="str">
        <f>TEXT(Table1[[#This Row],[Date]],"MMM-YY")</f>
        <v>Apr-25</v>
      </c>
      <c r="T1525">
        <f>_xlfn.ISOWEEKNUM(Table1[[#This Row],[Date]])</f>
        <v>14</v>
      </c>
      <c r="U1525" t="str">
        <f>TEXT(Table1[[#This Row],[Expected Business Month]],"YYYY")</f>
        <v>2025</v>
      </c>
    </row>
    <row r="1526" spans="1:21" hidden="1">
      <c r="A1526" s="1">
        <v>45754</v>
      </c>
      <c r="B1526" t="s">
        <v>3248</v>
      </c>
      <c r="C1526" t="s">
        <v>63</v>
      </c>
      <c r="D1526" t="s">
        <v>64</v>
      </c>
      <c r="E1526" t="s">
        <v>38</v>
      </c>
      <c r="F1526" t="s">
        <v>269</v>
      </c>
      <c r="G1526" s="9" t="s">
        <v>3542</v>
      </c>
      <c r="H1526">
        <v>7900</v>
      </c>
      <c r="I1526">
        <v>7900</v>
      </c>
      <c r="J1526" s="21">
        <v>45748</v>
      </c>
      <c r="K1526" t="s">
        <v>67</v>
      </c>
      <c r="L1526" t="s">
        <v>68</v>
      </c>
      <c r="M1526" t="s">
        <v>69</v>
      </c>
      <c r="O1526">
        <v>3000</v>
      </c>
      <c r="S1526" t="str">
        <f>TEXT(Table1[[#This Row],[Date]],"MMM-YY")</f>
        <v>Apr-25</v>
      </c>
      <c r="T1526">
        <f>_xlfn.ISOWEEKNUM(Table1[[#This Row],[Date]])</f>
        <v>15</v>
      </c>
      <c r="U1526" t="str">
        <f>TEXT(Table1[[#This Row],[Expected Business Month]],"YYYY")</f>
        <v>2025</v>
      </c>
    </row>
    <row r="1527" spans="1:21" hidden="1">
      <c r="A1527" s="1">
        <v>45754</v>
      </c>
      <c r="B1527" t="s">
        <v>3543</v>
      </c>
      <c r="C1527" t="s">
        <v>63</v>
      </c>
      <c r="D1527" t="s">
        <v>64</v>
      </c>
      <c r="E1527" t="s">
        <v>29</v>
      </c>
      <c r="F1527" t="s">
        <v>3252</v>
      </c>
      <c r="G1527" s="9" t="s">
        <v>3544</v>
      </c>
      <c r="H1527">
        <v>500000</v>
      </c>
      <c r="I1527">
        <v>0</v>
      </c>
      <c r="J1527" s="21">
        <v>45748</v>
      </c>
      <c r="K1527" t="s">
        <v>67</v>
      </c>
      <c r="L1527" t="s">
        <v>9</v>
      </c>
      <c r="M1527" t="s">
        <v>9</v>
      </c>
      <c r="N1527" t="s">
        <v>3545</v>
      </c>
      <c r="O1527">
        <v>0</v>
      </c>
      <c r="S1527" t="str">
        <f>TEXT(Table1[[#This Row],[Date]],"MMM-YY")</f>
        <v>Apr-25</v>
      </c>
      <c r="T1527">
        <f>_xlfn.ISOWEEKNUM(Table1[[#This Row],[Date]])</f>
        <v>15</v>
      </c>
      <c r="U1527" t="str">
        <f>TEXT(Table1[[#This Row],[Expected Business Month]],"YYYY")</f>
        <v>2025</v>
      </c>
    </row>
    <row r="1528" spans="1:21" ht="29.1" hidden="1">
      <c r="A1528" s="1">
        <v>45754</v>
      </c>
      <c r="B1528" t="s">
        <v>62</v>
      </c>
      <c r="C1528" t="s">
        <v>63</v>
      </c>
      <c r="D1528" t="s">
        <v>64</v>
      </c>
      <c r="E1528" t="s">
        <v>27</v>
      </c>
      <c r="F1528" t="s">
        <v>3546</v>
      </c>
      <c r="G1528" s="9" t="s">
        <v>3547</v>
      </c>
      <c r="H1528">
        <v>623000</v>
      </c>
      <c r="I1528">
        <v>623000</v>
      </c>
      <c r="J1528" s="21">
        <v>45748</v>
      </c>
      <c r="K1528" t="s">
        <v>67</v>
      </c>
      <c r="L1528" t="s">
        <v>68</v>
      </c>
      <c r="M1528" t="s">
        <v>69</v>
      </c>
      <c r="O1528">
        <v>0</v>
      </c>
      <c r="S1528" t="str">
        <f>TEXT(Table1[[#This Row],[Date]],"MMM-YY")</f>
        <v>Apr-25</v>
      </c>
      <c r="T1528">
        <f>_xlfn.ISOWEEKNUM(Table1[[#This Row],[Date]])</f>
        <v>15</v>
      </c>
      <c r="U1528" t="str">
        <f>TEXT(Table1[[#This Row],[Expected Business Month]],"YYYY")</f>
        <v>2025</v>
      </c>
    </row>
    <row r="1529" spans="1:21" hidden="1">
      <c r="A1529" s="1">
        <v>45755</v>
      </c>
      <c r="B1529" t="s">
        <v>3548</v>
      </c>
      <c r="C1529" t="s">
        <v>63</v>
      </c>
      <c r="D1529" t="s">
        <v>64</v>
      </c>
      <c r="E1529" t="s">
        <v>39</v>
      </c>
      <c r="F1529" t="s">
        <v>3549</v>
      </c>
      <c r="G1529" s="9" t="s">
        <v>3550</v>
      </c>
      <c r="H1529">
        <v>0</v>
      </c>
      <c r="I1529">
        <v>0</v>
      </c>
      <c r="J1529" s="21">
        <v>45748</v>
      </c>
      <c r="K1529" t="s">
        <v>67</v>
      </c>
      <c r="L1529" t="s">
        <v>68</v>
      </c>
      <c r="M1529" t="s">
        <v>69</v>
      </c>
      <c r="O1529">
        <v>0</v>
      </c>
      <c r="S1529" t="str">
        <f>TEXT(Table1[[#This Row],[Date]],"MMM-YY")</f>
        <v>Apr-25</v>
      </c>
      <c r="T1529">
        <f>_xlfn.ISOWEEKNUM(Table1[[#This Row],[Date]])</f>
        <v>15</v>
      </c>
      <c r="U1529" t="str">
        <f>TEXT(Table1[[#This Row],[Expected Business Month]],"YYYY")</f>
        <v>2025</v>
      </c>
    </row>
    <row r="1530" spans="1:21" hidden="1">
      <c r="A1530" s="1">
        <v>45755</v>
      </c>
      <c r="B1530" t="s">
        <v>2420</v>
      </c>
      <c r="C1530" t="s">
        <v>96</v>
      </c>
      <c r="D1530" t="s">
        <v>20</v>
      </c>
      <c r="E1530" t="s">
        <v>23</v>
      </c>
      <c r="F1530" t="s">
        <v>770</v>
      </c>
      <c r="G1530" s="9" t="s">
        <v>3551</v>
      </c>
      <c r="H1530">
        <v>7107</v>
      </c>
      <c r="I1530">
        <v>7107</v>
      </c>
      <c r="J1530" s="21">
        <v>45748</v>
      </c>
      <c r="K1530" t="s">
        <v>67</v>
      </c>
      <c r="L1530" t="s">
        <v>68</v>
      </c>
      <c r="M1530" t="s">
        <v>69</v>
      </c>
      <c r="O1530">
        <v>0</v>
      </c>
      <c r="S1530" t="str">
        <f>TEXT(Table1[[#This Row],[Date]],"MMM-YY")</f>
        <v>Apr-25</v>
      </c>
      <c r="T1530">
        <f>_xlfn.ISOWEEKNUM(Table1[[#This Row],[Date]])</f>
        <v>15</v>
      </c>
      <c r="U1530" t="str">
        <f>TEXT(Table1[[#This Row],[Expected Business Month]],"YYYY")</f>
        <v>2025</v>
      </c>
    </row>
    <row r="1531" spans="1:21" hidden="1">
      <c r="A1531" s="1">
        <v>45755</v>
      </c>
      <c r="B1531" t="s">
        <v>3375</v>
      </c>
      <c r="C1531" t="s">
        <v>96</v>
      </c>
      <c r="D1531" t="s">
        <v>20</v>
      </c>
      <c r="E1531" t="s">
        <v>23</v>
      </c>
      <c r="F1531" t="s">
        <v>2172</v>
      </c>
      <c r="G1531" s="9" t="s">
        <v>3552</v>
      </c>
      <c r="H1531">
        <v>22165</v>
      </c>
      <c r="I1531">
        <v>22165</v>
      </c>
      <c r="J1531" s="21">
        <v>45748</v>
      </c>
      <c r="K1531" t="s">
        <v>67</v>
      </c>
      <c r="L1531" t="s">
        <v>68</v>
      </c>
      <c r="M1531" t="s">
        <v>69</v>
      </c>
      <c r="O1531">
        <v>0</v>
      </c>
      <c r="S1531" t="str">
        <f>TEXT(Table1[[#This Row],[Date]],"MMM-YY")</f>
        <v>Apr-25</v>
      </c>
      <c r="T1531">
        <f>_xlfn.ISOWEEKNUM(Table1[[#This Row],[Date]])</f>
        <v>15</v>
      </c>
      <c r="U1531" t="str">
        <f>TEXT(Table1[[#This Row],[Expected Business Month]],"YYYY")</f>
        <v>2025</v>
      </c>
    </row>
    <row r="1532" spans="1:21" hidden="1">
      <c r="A1532" s="1">
        <v>45755</v>
      </c>
      <c r="B1532" t="s">
        <v>3248</v>
      </c>
      <c r="C1532" t="s">
        <v>63</v>
      </c>
      <c r="D1532" t="s">
        <v>64</v>
      </c>
      <c r="E1532" t="s">
        <v>38</v>
      </c>
      <c r="F1532" t="s">
        <v>269</v>
      </c>
      <c r="G1532" s="9" t="s">
        <v>3553</v>
      </c>
      <c r="H1532">
        <v>7900</v>
      </c>
      <c r="I1532">
        <v>7900</v>
      </c>
      <c r="J1532" s="21">
        <v>45748</v>
      </c>
      <c r="K1532" t="s">
        <v>67</v>
      </c>
      <c r="L1532" t="s">
        <v>68</v>
      </c>
      <c r="M1532" t="s">
        <v>69</v>
      </c>
      <c r="O1532">
        <v>3000</v>
      </c>
      <c r="S1532" t="str">
        <f>TEXT(Table1[[#This Row],[Date]],"MMM-YY")</f>
        <v>Apr-25</v>
      </c>
      <c r="T1532">
        <f>_xlfn.ISOWEEKNUM(Table1[[#This Row],[Date]])</f>
        <v>15</v>
      </c>
      <c r="U1532" t="str">
        <f>TEXT(Table1[[#This Row],[Expected Business Month]],"YYYY")</f>
        <v>2025</v>
      </c>
    </row>
    <row r="1533" spans="1:21" hidden="1">
      <c r="A1533" s="1">
        <v>45756</v>
      </c>
      <c r="B1533" t="s">
        <v>3248</v>
      </c>
      <c r="C1533" t="s">
        <v>63</v>
      </c>
      <c r="D1533" t="s">
        <v>64</v>
      </c>
      <c r="E1533" t="s">
        <v>38</v>
      </c>
      <c r="F1533" t="s">
        <v>269</v>
      </c>
      <c r="G1533" s="9" t="s">
        <v>3554</v>
      </c>
      <c r="H1533">
        <v>7900</v>
      </c>
      <c r="I1533">
        <v>7900</v>
      </c>
      <c r="J1533" s="21">
        <v>45748</v>
      </c>
      <c r="K1533" t="s">
        <v>67</v>
      </c>
      <c r="L1533" t="s">
        <v>68</v>
      </c>
      <c r="M1533" t="s">
        <v>69</v>
      </c>
      <c r="O1533">
        <v>3000</v>
      </c>
      <c r="S1533" t="str">
        <f>TEXT(Table1[[#This Row],[Date]],"MMM-YY")</f>
        <v>Apr-25</v>
      </c>
      <c r="T1533">
        <f>_xlfn.ISOWEEKNUM(Table1[[#This Row],[Date]])</f>
        <v>15</v>
      </c>
      <c r="U1533" t="str">
        <f>TEXT(Table1[[#This Row],[Expected Business Month]],"YYYY")</f>
        <v>2025</v>
      </c>
    </row>
    <row r="1534" spans="1:21" hidden="1">
      <c r="A1534" s="1">
        <v>45756</v>
      </c>
      <c r="B1534" t="s">
        <v>3548</v>
      </c>
      <c r="C1534" t="s">
        <v>63</v>
      </c>
      <c r="D1534" t="s">
        <v>64</v>
      </c>
      <c r="E1534" t="s">
        <v>39</v>
      </c>
      <c r="F1534" t="s">
        <v>3549</v>
      </c>
      <c r="G1534" s="9" t="s">
        <v>3555</v>
      </c>
      <c r="H1534">
        <v>750000</v>
      </c>
      <c r="I1534">
        <v>750000</v>
      </c>
      <c r="J1534" s="21">
        <v>45748</v>
      </c>
      <c r="K1534" t="s">
        <v>67</v>
      </c>
      <c r="L1534" t="s">
        <v>68</v>
      </c>
      <c r="M1534" t="s">
        <v>69</v>
      </c>
      <c r="O1534">
        <v>0</v>
      </c>
      <c r="S1534" t="str">
        <f>TEXT(Table1[[#This Row],[Date]],"MMM-YY")</f>
        <v>Apr-25</v>
      </c>
      <c r="T1534">
        <f>_xlfn.ISOWEEKNUM(Table1[[#This Row],[Date]])</f>
        <v>15</v>
      </c>
      <c r="U1534" t="str">
        <f>TEXT(Table1[[#This Row],[Expected Business Month]],"YYYY")</f>
        <v>2025</v>
      </c>
    </row>
    <row r="1535" spans="1:21">
      <c r="A1535" s="1">
        <v>45756</v>
      </c>
      <c r="B1535" t="s">
        <v>95</v>
      </c>
      <c r="C1535" t="s">
        <v>96</v>
      </c>
      <c r="D1535" t="s">
        <v>64</v>
      </c>
      <c r="E1535" t="s">
        <v>38</v>
      </c>
      <c r="F1535" t="s">
        <v>97</v>
      </c>
      <c r="G1535" s="9" t="s">
        <v>3556</v>
      </c>
      <c r="H1535">
        <v>38929</v>
      </c>
      <c r="I1535">
        <v>38929</v>
      </c>
      <c r="J1535" s="21">
        <v>45748</v>
      </c>
      <c r="K1535" t="s">
        <v>99</v>
      </c>
      <c r="L1535" t="s">
        <v>68</v>
      </c>
      <c r="M1535" t="s">
        <v>69</v>
      </c>
      <c r="O1535">
        <v>0</v>
      </c>
      <c r="S1535" t="str">
        <f>TEXT(Table1[[#This Row],[Date]],"MMM-YY")</f>
        <v>Apr-25</v>
      </c>
      <c r="T1535">
        <f>_xlfn.ISOWEEKNUM(Table1[[#This Row],[Date]])</f>
        <v>15</v>
      </c>
      <c r="U1535" t="str">
        <f>TEXT(Table1[[#This Row],[Expected Business Month]],"YYYY")</f>
        <v>2025</v>
      </c>
    </row>
    <row r="1536" spans="1:21" hidden="1">
      <c r="A1536" s="1">
        <v>45757</v>
      </c>
      <c r="B1536" t="s">
        <v>3248</v>
      </c>
      <c r="C1536" t="s">
        <v>96</v>
      </c>
      <c r="D1536" t="s">
        <v>64</v>
      </c>
      <c r="E1536" t="s">
        <v>38</v>
      </c>
      <c r="F1536" t="s">
        <v>269</v>
      </c>
      <c r="G1536" s="9" t="s">
        <v>3557</v>
      </c>
      <c r="H1536">
        <v>6500</v>
      </c>
      <c r="I1536">
        <v>6500</v>
      </c>
      <c r="J1536" s="21">
        <v>45748</v>
      </c>
      <c r="K1536" t="s">
        <v>67</v>
      </c>
      <c r="L1536" t="s">
        <v>68</v>
      </c>
      <c r="M1536" t="s">
        <v>69</v>
      </c>
      <c r="O1536">
        <v>1500</v>
      </c>
      <c r="S1536" t="str">
        <f>TEXT(Table1[[#This Row],[Date]],"MMM-YY")</f>
        <v>Apr-25</v>
      </c>
      <c r="T1536">
        <f>_xlfn.ISOWEEKNUM(Table1[[#This Row],[Date]])</f>
        <v>15</v>
      </c>
      <c r="U1536" t="str">
        <f>TEXT(Table1[[#This Row],[Expected Business Month]],"YYYY")</f>
        <v>2025</v>
      </c>
    </row>
    <row r="1537" spans="1:21" hidden="1">
      <c r="A1537" s="1">
        <v>45758</v>
      </c>
      <c r="B1537" t="s">
        <v>3248</v>
      </c>
      <c r="C1537" t="s">
        <v>96</v>
      </c>
      <c r="D1537" t="s">
        <v>64</v>
      </c>
      <c r="E1537" t="s">
        <v>38</v>
      </c>
      <c r="F1537" t="s">
        <v>269</v>
      </c>
      <c r="G1537" s="9" t="s">
        <v>3558</v>
      </c>
      <c r="H1537">
        <v>6500</v>
      </c>
      <c r="I1537">
        <v>6500</v>
      </c>
      <c r="J1537" s="21">
        <v>45748</v>
      </c>
      <c r="K1537" t="s">
        <v>67</v>
      </c>
      <c r="L1537" t="s">
        <v>68</v>
      </c>
      <c r="M1537" t="s">
        <v>69</v>
      </c>
      <c r="O1537">
        <v>1500</v>
      </c>
      <c r="S1537" t="str">
        <f>TEXT(Table1[[#This Row],[Date]],"MMM-YY")</f>
        <v>Apr-25</v>
      </c>
      <c r="T1537">
        <f>_xlfn.ISOWEEKNUM(Table1[[#This Row],[Date]])</f>
        <v>15</v>
      </c>
      <c r="U1537" t="str">
        <f>TEXT(Table1[[#This Row],[Expected Business Month]],"YYYY")</f>
        <v>2025</v>
      </c>
    </row>
    <row r="1538" spans="1:21" hidden="1">
      <c r="A1538" s="1">
        <v>45761</v>
      </c>
      <c r="B1538" t="s">
        <v>3559</v>
      </c>
      <c r="C1538" t="s">
        <v>96</v>
      </c>
      <c r="D1538" t="s">
        <v>64</v>
      </c>
      <c r="E1538" t="s">
        <v>32</v>
      </c>
      <c r="F1538" t="s">
        <v>214</v>
      </c>
      <c r="G1538" s="9" t="s">
        <v>3560</v>
      </c>
      <c r="H1538">
        <v>7944</v>
      </c>
      <c r="I1538">
        <v>7944</v>
      </c>
      <c r="J1538" s="21">
        <v>45748</v>
      </c>
      <c r="K1538" t="s">
        <v>67</v>
      </c>
      <c r="L1538" t="s">
        <v>68</v>
      </c>
      <c r="M1538" t="s">
        <v>69</v>
      </c>
      <c r="O1538">
        <v>0</v>
      </c>
      <c r="S1538" t="str">
        <f>TEXT(Table1[[#This Row],[Date]],"MMM-YY")</f>
        <v>Apr-25</v>
      </c>
      <c r="T1538">
        <f>_xlfn.ISOWEEKNUM(Table1[[#This Row],[Date]])</f>
        <v>16</v>
      </c>
      <c r="U1538" t="str">
        <f>TEXT(Table1[[#This Row],[Expected Business Month]],"YYYY")</f>
        <v>2025</v>
      </c>
    </row>
    <row r="1539" spans="1:21" hidden="1">
      <c r="A1539" s="1">
        <v>45761</v>
      </c>
      <c r="B1539" t="s">
        <v>3248</v>
      </c>
      <c r="C1539" t="s">
        <v>96</v>
      </c>
      <c r="D1539" t="s">
        <v>64</v>
      </c>
      <c r="E1539" t="s">
        <v>38</v>
      </c>
      <c r="F1539" t="s">
        <v>269</v>
      </c>
      <c r="G1539" s="9" t="s">
        <v>3561</v>
      </c>
      <c r="H1539">
        <v>6500</v>
      </c>
      <c r="I1539">
        <v>6500</v>
      </c>
      <c r="J1539" s="21">
        <v>45748</v>
      </c>
      <c r="K1539" t="s">
        <v>67</v>
      </c>
      <c r="L1539" t="s">
        <v>68</v>
      </c>
      <c r="M1539" t="s">
        <v>69</v>
      </c>
      <c r="O1539">
        <v>1500</v>
      </c>
      <c r="S1539" t="str">
        <f>TEXT(Table1[[#This Row],[Date]],"MMM-YY")</f>
        <v>Apr-25</v>
      </c>
      <c r="T1539">
        <f>_xlfn.ISOWEEKNUM(Table1[[#This Row],[Date]])</f>
        <v>16</v>
      </c>
      <c r="U1539" t="str">
        <f>TEXT(Table1[[#This Row],[Expected Business Month]],"YYYY")</f>
        <v>2025</v>
      </c>
    </row>
    <row r="1540" spans="1:21" hidden="1">
      <c r="A1540" s="1">
        <v>45761</v>
      </c>
      <c r="B1540" t="s">
        <v>3562</v>
      </c>
      <c r="C1540" t="s">
        <v>63</v>
      </c>
      <c r="D1540" t="s">
        <v>64</v>
      </c>
      <c r="E1540" t="s">
        <v>32</v>
      </c>
      <c r="F1540" t="s">
        <v>1105</v>
      </c>
      <c r="G1540" s="9" t="s">
        <v>3563</v>
      </c>
      <c r="H1540">
        <v>84900</v>
      </c>
      <c r="I1540">
        <v>84900</v>
      </c>
      <c r="J1540" s="21">
        <v>45748</v>
      </c>
      <c r="K1540" t="s">
        <v>67</v>
      </c>
      <c r="L1540" t="s">
        <v>68</v>
      </c>
      <c r="M1540" t="s">
        <v>69</v>
      </c>
      <c r="O1540">
        <v>0</v>
      </c>
      <c r="S1540" t="str">
        <f>TEXT(Table1[[#This Row],[Date]],"MMM-YY")</f>
        <v>Apr-25</v>
      </c>
      <c r="T1540">
        <f>_xlfn.ISOWEEKNUM(Table1[[#This Row],[Date]])</f>
        <v>16</v>
      </c>
      <c r="U1540" t="str">
        <f>TEXT(Table1[[#This Row],[Expected Business Month]],"YYYY")</f>
        <v>2025</v>
      </c>
    </row>
    <row r="1541" spans="1:21" hidden="1">
      <c r="A1541" s="1">
        <v>45762</v>
      </c>
      <c r="B1541" t="s">
        <v>3248</v>
      </c>
      <c r="C1541" t="s">
        <v>96</v>
      </c>
      <c r="D1541" t="s">
        <v>64</v>
      </c>
      <c r="E1541" t="s">
        <v>38</v>
      </c>
      <c r="F1541" t="s">
        <v>269</v>
      </c>
      <c r="G1541" s="9" t="s">
        <v>3564</v>
      </c>
      <c r="H1541">
        <v>7200</v>
      </c>
      <c r="I1541">
        <v>7200</v>
      </c>
      <c r="J1541" s="21">
        <v>45748</v>
      </c>
      <c r="K1541" t="s">
        <v>67</v>
      </c>
      <c r="L1541" t="s">
        <v>68</v>
      </c>
      <c r="M1541" t="s">
        <v>69</v>
      </c>
      <c r="O1541">
        <v>1600</v>
      </c>
      <c r="S1541" t="str">
        <f>TEXT(Table1[[#This Row],[Date]],"MMM-YY")</f>
        <v>Apr-25</v>
      </c>
      <c r="T1541">
        <f>_xlfn.ISOWEEKNUM(Table1[[#This Row],[Date]])</f>
        <v>16</v>
      </c>
      <c r="U1541" t="str">
        <f>TEXT(Table1[[#This Row],[Expected Business Month]],"YYYY")</f>
        <v>2025</v>
      </c>
    </row>
    <row r="1542" spans="1:21" hidden="1">
      <c r="A1542" s="1">
        <v>45762</v>
      </c>
      <c r="B1542" t="s">
        <v>3562</v>
      </c>
      <c r="C1542" t="s">
        <v>63</v>
      </c>
      <c r="D1542" t="s">
        <v>64</v>
      </c>
      <c r="E1542" t="s">
        <v>32</v>
      </c>
      <c r="F1542" t="s">
        <v>1105</v>
      </c>
      <c r="G1542" s="9" t="s">
        <v>3565</v>
      </c>
      <c r="H1542">
        <v>31153</v>
      </c>
      <c r="I1542">
        <v>31153</v>
      </c>
      <c r="J1542" s="21">
        <v>45748</v>
      </c>
      <c r="K1542" t="s">
        <v>67</v>
      </c>
      <c r="L1542" t="s">
        <v>68</v>
      </c>
      <c r="M1542" t="s">
        <v>69</v>
      </c>
      <c r="O1542">
        <v>0</v>
      </c>
      <c r="S1542" t="str">
        <f>TEXT(Table1[[#This Row],[Date]],"MMM-YY")</f>
        <v>Apr-25</v>
      </c>
      <c r="T1542">
        <f>_xlfn.ISOWEEKNUM(Table1[[#This Row],[Date]])</f>
        <v>16</v>
      </c>
      <c r="U1542" t="str">
        <f>TEXT(Table1[[#This Row],[Expected Business Month]],"YYYY")</f>
        <v>2025</v>
      </c>
    </row>
    <row r="1543" spans="1:21" hidden="1">
      <c r="A1543" s="1">
        <v>45763</v>
      </c>
      <c r="B1543" t="s">
        <v>3248</v>
      </c>
      <c r="C1543" t="s">
        <v>96</v>
      </c>
      <c r="D1543" t="s">
        <v>64</v>
      </c>
      <c r="E1543" t="s">
        <v>38</v>
      </c>
      <c r="F1543" t="s">
        <v>269</v>
      </c>
      <c r="G1543" s="9" t="s">
        <v>3566</v>
      </c>
      <c r="H1543">
        <v>7600</v>
      </c>
      <c r="I1543">
        <v>7600</v>
      </c>
      <c r="J1543" s="21">
        <v>45748</v>
      </c>
      <c r="K1543" t="s">
        <v>67</v>
      </c>
      <c r="L1543" t="s">
        <v>68</v>
      </c>
      <c r="M1543" t="s">
        <v>69</v>
      </c>
      <c r="O1543">
        <v>1200</v>
      </c>
      <c r="S1543" t="str">
        <f>TEXT(Table1[[#This Row],[Date]],"MMM-YY")</f>
        <v>Apr-25</v>
      </c>
      <c r="T1543">
        <f>_xlfn.ISOWEEKNUM(Table1[[#This Row],[Date]])</f>
        <v>16</v>
      </c>
      <c r="U1543" t="str">
        <f>TEXT(Table1[[#This Row],[Expected Business Month]],"YYYY")</f>
        <v>2025</v>
      </c>
    </row>
    <row r="1544" spans="1:21" hidden="1">
      <c r="A1544" s="1">
        <v>45763</v>
      </c>
      <c r="B1544" t="s">
        <v>3567</v>
      </c>
      <c r="C1544" t="s">
        <v>96</v>
      </c>
      <c r="D1544" t="s">
        <v>20</v>
      </c>
      <c r="E1544" t="s">
        <v>23</v>
      </c>
      <c r="F1544" t="s">
        <v>625</v>
      </c>
      <c r="G1544" s="9" t="s">
        <v>3568</v>
      </c>
      <c r="H1544">
        <v>12744</v>
      </c>
      <c r="I1544">
        <v>12744</v>
      </c>
      <c r="J1544" s="21">
        <v>45748</v>
      </c>
      <c r="K1544" t="s">
        <v>67</v>
      </c>
      <c r="L1544" t="s">
        <v>68</v>
      </c>
      <c r="M1544" t="s">
        <v>69</v>
      </c>
      <c r="O1544">
        <v>0</v>
      </c>
      <c r="S1544" t="str">
        <f>TEXT(Table1[[#This Row],[Date]],"MMM-YY")</f>
        <v>Apr-25</v>
      </c>
      <c r="T1544">
        <f>_xlfn.ISOWEEKNUM(Table1[[#This Row],[Date]])</f>
        <v>16</v>
      </c>
      <c r="U1544" t="str">
        <f>TEXT(Table1[[#This Row],[Expected Business Month]],"YYYY")</f>
        <v>2025</v>
      </c>
    </row>
    <row r="1545" spans="1:21" hidden="1">
      <c r="A1545" s="1">
        <v>45764</v>
      </c>
      <c r="B1545" t="s">
        <v>3248</v>
      </c>
      <c r="C1545" t="s">
        <v>96</v>
      </c>
      <c r="D1545" t="s">
        <v>64</v>
      </c>
      <c r="E1545" t="s">
        <v>38</v>
      </c>
      <c r="F1545" t="s">
        <v>269</v>
      </c>
      <c r="G1545" s="9" t="s">
        <v>3569</v>
      </c>
      <c r="H1545">
        <v>7600</v>
      </c>
      <c r="I1545">
        <v>7600</v>
      </c>
      <c r="J1545" s="21">
        <v>45748</v>
      </c>
      <c r="K1545" t="s">
        <v>67</v>
      </c>
      <c r="L1545" t="s">
        <v>68</v>
      </c>
      <c r="M1545" t="s">
        <v>69</v>
      </c>
      <c r="O1545">
        <v>1200</v>
      </c>
      <c r="S1545" t="str">
        <f>TEXT(Table1[[#This Row],[Date]],"MMM-YY")</f>
        <v>Apr-25</v>
      </c>
      <c r="T1545">
        <f>_xlfn.ISOWEEKNUM(Table1[[#This Row],[Date]])</f>
        <v>16</v>
      </c>
      <c r="U1545" t="str">
        <f>TEXT(Table1[[#This Row],[Expected Business Month]],"YYYY")</f>
        <v>2025</v>
      </c>
    </row>
    <row r="1546" spans="1:21" hidden="1">
      <c r="A1546" s="1">
        <v>45765</v>
      </c>
      <c r="B1546" t="s">
        <v>3248</v>
      </c>
      <c r="C1546" t="s">
        <v>96</v>
      </c>
      <c r="D1546" t="s">
        <v>64</v>
      </c>
      <c r="E1546" t="s">
        <v>38</v>
      </c>
      <c r="F1546" t="s">
        <v>269</v>
      </c>
      <c r="G1546" s="9" t="s">
        <v>3570</v>
      </c>
      <c r="H1546">
        <v>8000</v>
      </c>
      <c r="I1546">
        <v>8000</v>
      </c>
      <c r="J1546" s="21">
        <v>45748</v>
      </c>
      <c r="K1546" t="s">
        <v>67</v>
      </c>
      <c r="L1546" t="s">
        <v>68</v>
      </c>
      <c r="M1546" t="s">
        <v>69</v>
      </c>
      <c r="O1546">
        <v>1000</v>
      </c>
      <c r="S1546" t="str">
        <f>TEXT(Table1[[#This Row],[Date]],"MMM-YY")</f>
        <v>Apr-25</v>
      </c>
      <c r="T1546">
        <f>_xlfn.ISOWEEKNUM(Table1[[#This Row],[Date]])</f>
        <v>16</v>
      </c>
      <c r="U1546" t="str">
        <f>TEXT(Table1[[#This Row],[Expected Business Month]],"YYYY")</f>
        <v>2025</v>
      </c>
    </row>
    <row r="1547" spans="1:21" hidden="1">
      <c r="A1547" s="1">
        <v>45767</v>
      </c>
      <c r="B1547" t="s">
        <v>3571</v>
      </c>
      <c r="C1547" t="s">
        <v>63</v>
      </c>
      <c r="D1547" t="s">
        <v>15</v>
      </c>
      <c r="E1547" t="s">
        <v>41</v>
      </c>
      <c r="F1547" t="s">
        <v>3572</v>
      </c>
      <c r="G1547" s="9" t="s">
        <v>3573</v>
      </c>
      <c r="H1547">
        <v>12800</v>
      </c>
      <c r="I1547">
        <v>12800</v>
      </c>
      <c r="J1547" s="21">
        <v>45748</v>
      </c>
      <c r="K1547" t="s">
        <v>67</v>
      </c>
      <c r="L1547" t="s">
        <v>68</v>
      </c>
      <c r="M1547" t="s">
        <v>69</v>
      </c>
      <c r="O1547">
        <v>0</v>
      </c>
      <c r="S1547" t="str">
        <f>TEXT(Table1[[#This Row],[Date]],"MMM-YY")</f>
        <v>Apr-25</v>
      </c>
      <c r="T1547">
        <f>_xlfn.ISOWEEKNUM(Table1[[#This Row],[Date]])</f>
        <v>16</v>
      </c>
      <c r="U1547" t="str">
        <f>TEXT(Table1[[#This Row],[Expected Business Month]],"YYYY")</f>
        <v>2025</v>
      </c>
    </row>
    <row r="1548" spans="1:21" hidden="1">
      <c r="A1548" s="1">
        <v>45767</v>
      </c>
      <c r="B1548" t="s">
        <v>1777</v>
      </c>
      <c r="C1548" t="s">
        <v>96</v>
      </c>
      <c r="D1548" t="s">
        <v>20</v>
      </c>
      <c r="E1548" t="s">
        <v>23</v>
      </c>
      <c r="F1548" t="s">
        <v>3574</v>
      </c>
      <c r="G1548" s="9" t="s">
        <v>3575</v>
      </c>
      <c r="H1548">
        <v>11610</v>
      </c>
      <c r="I1548">
        <v>11610</v>
      </c>
      <c r="J1548" s="21">
        <v>45748</v>
      </c>
      <c r="K1548" t="s">
        <v>67</v>
      </c>
      <c r="L1548" t="s">
        <v>68</v>
      </c>
      <c r="M1548" t="s">
        <v>69</v>
      </c>
      <c r="O1548">
        <v>0</v>
      </c>
      <c r="S1548" t="str">
        <f>TEXT(Table1[[#This Row],[Date]],"MMM-YY")</f>
        <v>Apr-25</v>
      </c>
      <c r="T1548">
        <f>_xlfn.ISOWEEKNUM(Table1[[#This Row],[Date]])</f>
        <v>16</v>
      </c>
      <c r="U1548" t="str">
        <f>TEXT(Table1[[#This Row],[Expected Business Month]],"YYYY")</f>
        <v>2025</v>
      </c>
    </row>
    <row r="1549" spans="1:21" hidden="1">
      <c r="A1549" s="1">
        <v>45768</v>
      </c>
      <c r="B1549" t="s">
        <v>344</v>
      </c>
      <c r="C1549" t="s">
        <v>96</v>
      </c>
      <c r="D1549" t="s">
        <v>20</v>
      </c>
      <c r="E1549" t="s">
        <v>23</v>
      </c>
      <c r="F1549" t="s">
        <v>214</v>
      </c>
      <c r="G1549" s="9" t="s">
        <v>3576</v>
      </c>
      <c r="H1549">
        <v>7010</v>
      </c>
      <c r="I1549">
        <v>7010</v>
      </c>
      <c r="J1549" s="21">
        <v>45748</v>
      </c>
      <c r="K1549" t="s">
        <v>67</v>
      </c>
      <c r="L1549" t="s">
        <v>68</v>
      </c>
      <c r="M1549" t="s">
        <v>69</v>
      </c>
      <c r="O1549">
        <v>0</v>
      </c>
      <c r="S1549" t="str">
        <f>TEXT(Table1[[#This Row],[Date]],"MMM-YY")</f>
        <v>Apr-25</v>
      </c>
      <c r="T1549">
        <f>_xlfn.ISOWEEKNUM(Table1[[#This Row],[Date]])</f>
        <v>17</v>
      </c>
      <c r="U1549" t="str">
        <f>TEXT(Table1[[#This Row],[Expected Business Month]],"YYYY")</f>
        <v>2025</v>
      </c>
    </row>
    <row r="1550" spans="1:21" hidden="1">
      <c r="A1550" s="1">
        <v>45768</v>
      </c>
      <c r="B1550" t="s">
        <v>3248</v>
      </c>
      <c r="C1550" t="s">
        <v>96</v>
      </c>
      <c r="D1550" t="s">
        <v>64</v>
      </c>
      <c r="E1550" t="s">
        <v>38</v>
      </c>
      <c r="F1550" t="s">
        <v>269</v>
      </c>
      <c r="G1550" s="9" t="s">
        <v>3577</v>
      </c>
      <c r="H1550">
        <v>8000</v>
      </c>
      <c r="I1550">
        <v>8000</v>
      </c>
      <c r="J1550" s="21">
        <v>45748</v>
      </c>
      <c r="K1550" t="s">
        <v>67</v>
      </c>
      <c r="L1550" t="s">
        <v>68</v>
      </c>
      <c r="M1550" t="s">
        <v>69</v>
      </c>
      <c r="O1550">
        <v>1000</v>
      </c>
      <c r="S1550" t="str">
        <f>TEXT(Table1[[#This Row],[Date]],"MMM-YY")</f>
        <v>Apr-25</v>
      </c>
      <c r="T1550">
        <f>_xlfn.ISOWEEKNUM(Table1[[#This Row],[Date]])</f>
        <v>17</v>
      </c>
      <c r="U1550" t="str">
        <f>TEXT(Table1[[#This Row],[Expected Business Month]],"YYYY")</f>
        <v>2025</v>
      </c>
    </row>
    <row r="1551" spans="1:21" hidden="1">
      <c r="A1551" s="1">
        <v>45769</v>
      </c>
      <c r="B1551" t="s">
        <v>3248</v>
      </c>
      <c r="C1551" t="s">
        <v>96</v>
      </c>
      <c r="D1551" t="s">
        <v>64</v>
      </c>
      <c r="E1551" t="s">
        <v>38</v>
      </c>
      <c r="F1551" t="s">
        <v>269</v>
      </c>
      <c r="G1551" s="9" t="s">
        <v>3578</v>
      </c>
      <c r="H1551">
        <v>9000</v>
      </c>
      <c r="I1551">
        <v>9000</v>
      </c>
      <c r="J1551" s="21">
        <v>45748</v>
      </c>
      <c r="K1551" t="s">
        <v>67</v>
      </c>
      <c r="L1551" t="s">
        <v>68</v>
      </c>
      <c r="M1551" t="s">
        <v>69</v>
      </c>
      <c r="O1551">
        <v>1500</v>
      </c>
      <c r="S1551" t="str">
        <f>TEXT(Table1[[#This Row],[Date]],"MMM-YY")</f>
        <v>Apr-25</v>
      </c>
      <c r="T1551">
        <f>_xlfn.ISOWEEKNUM(Table1[[#This Row],[Date]])</f>
        <v>17</v>
      </c>
      <c r="U1551" t="str">
        <f>TEXT(Table1[[#This Row],[Expected Business Month]],"YYYY")</f>
        <v>2025</v>
      </c>
    </row>
    <row r="1552" spans="1:21" hidden="1">
      <c r="A1552" s="1">
        <v>45769</v>
      </c>
      <c r="B1552" t="s">
        <v>245</v>
      </c>
      <c r="C1552" t="s">
        <v>96</v>
      </c>
      <c r="D1552" t="s">
        <v>20</v>
      </c>
      <c r="E1552" t="s">
        <v>23</v>
      </c>
      <c r="F1552" t="s">
        <v>2216</v>
      </c>
      <c r="G1552" s="9" t="s">
        <v>3579</v>
      </c>
      <c r="H1552">
        <v>11100</v>
      </c>
      <c r="I1552">
        <v>11100</v>
      </c>
      <c r="J1552" s="21">
        <v>45748</v>
      </c>
      <c r="K1552" t="s">
        <v>67</v>
      </c>
      <c r="L1552" t="s">
        <v>68</v>
      </c>
      <c r="M1552" t="s">
        <v>69</v>
      </c>
      <c r="O1552">
        <v>0</v>
      </c>
      <c r="S1552" t="str">
        <f>TEXT(Table1[[#This Row],[Date]],"MMM-YY")</f>
        <v>Apr-25</v>
      </c>
      <c r="T1552">
        <f>_xlfn.ISOWEEKNUM(Table1[[#This Row],[Date]])</f>
        <v>17</v>
      </c>
      <c r="U1552" t="str">
        <f>TEXT(Table1[[#This Row],[Expected Business Month]],"YYYY")</f>
        <v>2025</v>
      </c>
    </row>
    <row r="1553" spans="1:21" hidden="1">
      <c r="A1553" s="1">
        <v>45770</v>
      </c>
      <c r="B1553" t="s">
        <v>3248</v>
      </c>
      <c r="C1553" t="s">
        <v>96</v>
      </c>
      <c r="D1553" t="s">
        <v>64</v>
      </c>
      <c r="E1553" t="s">
        <v>38</v>
      </c>
      <c r="F1553" t="s">
        <v>269</v>
      </c>
      <c r="G1553" s="9" t="s">
        <v>3580</v>
      </c>
      <c r="H1553">
        <v>9000</v>
      </c>
      <c r="I1553">
        <v>9000</v>
      </c>
      <c r="J1553" s="21">
        <v>45748</v>
      </c>
      <c r="K1553" t="s">
        <v>67</v>
      </c>
      <c r="L1553" t="s">
        <v>68</v>
      </c>
      <c r="M1553" t="s">
        <v>69</v>
      </c>
      <c r="O1553">
        <v>1500</v>
      </c>
      <c r="S1553" t="str">
        <f>TEXT(Table1[[#This Row],[Date]],"MMM-YY")</f>
        <v>Apr-25</v>
      </c>
      <c r="T1553">
        <f>_xlfn.ISOWEEKNUM(Table1[[#This Row],[Date]])</f>
        <v>17</v>
      </c>
      <c r="U1553" t="str">
        <f>TEXT(Table1[[#This Row],[Expected Business Month]],"YYYY")</f>
        <v>2025</v>
      </c>
    </row>
    <row r="1554" spans="1:21">
      <c r="A1554" s="1">
        <v>45763</v>
      </c>
      <c r="B1554" t="s">
        <v>95</v>
      </c>
      <c r="C1554" t="s">
        <v>96</v>
      </c>
      <c r="D1554" t="s">
        <v>64</v>
      </c>
      <c r="E1554" t="s">
        <v>38</v>
      </c>
      <c r="F1554" t="s">
        <v>97</v>
      </c>
      <c r="G1554" s="9" t="s">
        <v>3581</v>
      </c>
      <c r="H1554">
        <v>38929</v>
      </c>
      <c r="I1554">
        <v>38929</v>
      </c>
      <c r="J1554" s="21">
        <v>45748</v>
      </c>
      <c r="K1554" t="s">
        <v>99</v>
      </c>
      <c r="L1554" t="s">
        <v>68</v>
      </c>
      <c r="M1554" t="s">
        <v>69</v>
      </c>
      <c r="O1554">
        <v>0</v>
      </c>
      <c r="S1554" t="str">
        <f>TEXT(Table1[[#This Row],[Date]],"MMM-YY")</f>
        <v>Apr-25</v>
      </c>
      <c r="T1554">
        <f>_xlfn.ISOWEEKNUM(Table1[[#This Row],[Date]])</f>
        <v>16</v>
      </c>
      <c r="U1554" t="str">
        <f>TEXT(Table1[[#This Row],[Expected Business Month]],"YYYY")</f>
        <v>2025</v>
      </c>
    </row>
    <row r="1555" spans="1:21">
      <c r="A1555" s="1">
        <v>45770</v>
      </c>
      <c r="B1555" t="s">
        <v>95</v>
      </c>
      <c r="C1555" t="s">
        <v>96</v>
      </c>
      <c r="D1555" t="s">
        <v>64</v>
      </c>
      <c r="E1555" t="s">
        <v>38</v>
      </c>
      <c r="F1555" t="s">
        <v>97</v>
      </c>
      <c r="G1555" s="9" t="s">
        <v>3581</v>
      </c>
      <c r="H1555">
        <v>38929</v>
      </c>
      <c r="I1555">
        <v>38929</v>
      </c>
      <c r="J1555" s="21">
        <v>45748</v>
      </c>
      <c r="K1555" t="s">
        <v>99</v>
      </c>
      <c r="L1555" t="s">
        <v>68</v>
      </c>
      <c r="M1555" t="s">
        <v>69</v>
      </c>
      <c r="O1555">
        <v>0</v>
      </c>
      <c r="S1555" t="str">
        <f>TEXT(Table1[[#This Row],[Date]],"MMM-YY")</f>
        <v>Apr-25</v>
      </c>
      <c r="T1555">
        <f>_xlfn.ISOWEEKNUM(Table1[[#This Row],[Date]])</f>
        <v>17</v>
      </c>
      <c r="U1555" t="str">
        <f>TEXT(Table1[[#This Row],[Expected Business Month]],"YYYY")</f>
        <v>2025</v>
      </c>
    </row>
    <row r="1556" spans="1:21" hidden="1">
      <c r="A1556" s="1">
        <v>45769</v>
      </c>
      <c r="B1556" t="s">
        <v>3582</v>
      </c>
      <c r="C1556" t="s">
        <v>63</v>
      </c>
      <c r="D1556" t="s">
        <v>64</v>
      </c>
      <c r="E1556" t="s">
        <v>32</v>
      </c>
      <c r="F1556" t="s">
        <v>3583</v>
      </c>
      <c r="G1556" s="9" t="s">
        <v>3584</v>
      </c>
      <c r="H1556">
        <v>12600</v>
      </c>
      <c r="I1556">
        <v>12600</v>
      </c>
      <c r="J1556" s="21">
        <v>45748</v>
      </c>
      <c r="K1556" t="s">
        <v>67</v>
      </c>
      <c r="L1556" t="s">
        <v>68</v>
      </c>
      <c r="M1556" t="s">
        <v>69</v>
      </c>
      <c r="O1556">
        <v>0</v>
      </c>
      <c r="S1556" t="str">
        <f>TEXT(Table1[[#This Row],[Date]],"MMM-YY")</f>
        <v>Apr-25</v>
      </c>
      <c r="T1556">
        <f>_xlfn.ISOWEEKNUM(Table1[[#This Row],[Date]])</f>
        <v>17</v>
      </c>
      <c r="U1556" t="str">
        <f>TEXT(Table1[[#This Row],[Expected Business Month]],"YYYY")</f>
        <v>2025</v>
      </c>
    </row>
    <row r="1557" spans="1:21" hidden="1">
      <c r="A1557" s="1">
        <v>45770</v>
      </c>
      <c r="B1557" t="s">
        <v>3585</v>
      </c>
      <c r="C1557" t="s">
        <v>63</v>
      </c>
      <c r="D1557" t="s">
        <v>64</v>
      </c>
      <c r="E1557" t="s">
        <v>32</v>
      </c>
      <c r="F1557" t="s">
        <v>3586</v>
      </c>
      <c r="G1557" s="9" t="s">
        <v>3587</v>
      </c>
      <c r="H1557">
        <v>62500</v>
      </c>
      <c r="I1557">
        <v>62500</v>
      </c>
      <c r="J1557" s="21">
        <v>45748</v>
      </c>
      <c r="K1557" t="s">
        <v>67</v>
      </c>
      <c r="L1557" t="s">
        <v>68</v>
      </c>
      <c r="M1557" t="s">
        <v>69</v>
      </c>
      <c r="O1557">
        <v>0</v>
      </c>
      <c r="S1557" t="str">
        <f>TEXT(Table1[[#This Row],[Date]],"MMM-YY")</f>
        <v>Apr-25</v>
      </c>
      <c r="T1557">
        <f>_xlfn.ISOWEEKNUM(Table1[[#This Row],[Date]])</f>
        <v>17</v>
      </c>
      <c r="U1557" t="str">
        <f>TEXT(Table1[[#This Row],[Expected Business Month]],"YYYY")</f>
        <v>2025</v>
      </c>
    </row>
    <row r="1558" spans="1:21" hidden="1">
      <c r="A1558" s="1">
        <v>45771</v>
      </c>
      <c r="B1558" t="s">
        <v>1083</v>
      </c>
      <c r="C1558" t="s">
        <v>63</v>
      </c>
      <c r="D1558" t="s">
        <v>64</v>
      </c>
      <c r="E1558" t="s">
        <v>26</v>
      </c>
      <c r="F1558" t="s">
        <v>3099</v>
      </c>
      <c r="G1558" s="9" t="s">
        <v>3588</v>
      </c>
      <c r="H1558">
        <v>0</v>
      </c>
      <c r="J1558" s="21">
        <v>45870</v>
      </c>
      <c r="K1558" t="s">
        <v>67</v>
      </c>
      <c r="L1558" t="s">
        <v>9</v>
      </c>
      <c r="M1558" t="s">
        <v>296</v>
      </c>
      <c r="O1558">
        <v>0</v>
      </c>
      <c r="S1558" t="str">
        <f>TEXT(Table1[[#This Row],[Date]],"MMM-YY")</f>
        <v>Apr-25</v>
      </c>
      <c r="T1558">
        <f>_xlfn.ISOWEEKNUM(Table1[[#This Row],[Date]])</f>
        <v>17</v>
      </c>
      <c r="U1558" t="str">
        <f>TEXT(Table1[[#This Row],[Expected Business Month]],"YYYY")</f>
        <v>2025</v>
      </c>
    </row>
    <row r="1559" spans="1:21" hidden="1">
      <c r="A1559" s="1">
        <v>45772</v>
      </c>
      <c r="B1559" t="s">
        <v>3248</v>
      </c>
      <c r="C1559" t="s">
        <v>96</v>
      </c>
      <c r="D1559" t="s">
        <v>64</v>
      </c>
      <c r="E1559" t="s">
        <v>38</v>
      </c>
      <c r="F1559" t="s">
        <v>269</v>
      </c>
      <c r="G1559" s="9" t="s">
        <v>3589</v>
      </c>
      <c r="H1559">
        <v>9000</v>
      </c>
      <c r="I1559">
        <v>9000</v>
      </c>
      <c r="J1559" s="21">
        <v>45748</v>
      </c>
      <c r="K1559" t="s">
        <v>67</v>
      </c>
      <c r="L1559" t="s">
        <v>68</v>
      </c>
      <c r="M1559" t="s">
        <v>69</v>
      </c>
      <c r="O1559">
        <v>1500</v>
      </c>
      <c r="S1559" t="str">
        <f>TEXT(Table1[[#This Row],[Date]],"MMM-YY")</f>
        <v>Apr-25</v>
      </c>
      <c r="T1559">
        <f>_xlfn.ISOWEEKNUM(Table1[[#This Row],[Date]])</f>
        <v>17</v>
      </c>
      <c r="U1559" t="str">
        <f>TEXT(Table1[[#This Row],[Expected Business Month]],"YYYY")</f>
        <v>2025</v>
      </c>
    </row>
    <row r="1560" spans="1:21" hidden="1">
      <c r="A1560" s="1">
        <v>45771</v>
      </c>
      <c r="B1560" t="s">
        <v>3590</v>
      </c>
      <c r="C1560" t="s">
        <v>96</v>
      </c>
      <c r="D1560" t="s">
        <v>20</v>
      </c>
      <c r="E1560" t="s">
        <v>23</v>
      </c>
      <c r="F1560" t="s">
        <v>3591</v>
      </c>
      <c r="G1560" s="9" t="s">
        <v>3592</v>
      </c>
      <c r="H1560">
        <v>26185</v>
      </c>
      <c r="I1560">
        <v>26185</v>
      </c>
      <c r="J1560" s="21">
        <v>45748</v>
      </c>
      <c r="K1560" t="s">
        <v>67</v>
      </c>
      <c r="L1560" t="s">
        <v>68</v>
      </c>
      <c r="M1560" t="s">
        <v>69</v>
      </c>
      <c r="O1560">
        <v>0</v>
      </c>
      <c r="S1560" t="str">
        <f>TEXT(Table1[[#This Row],[Date]],"MMM-YY")</f>
        <v>Apr-25</v>
      </c>
      <c r="T1560">
        <f>_xlfn.ISOWEEKNUM(Table1[[#This Row],[Date]])</f>
        <v>17</v>
      </c>
      <c r="U1560" t="str">
        <f>TEXT(Table1[[#This Row],[Expected Business Month]],"YYYY")</f>
        <v>2025</v>
      </c>
    </row>
    <row r="1561" spans="1:21" ht="29.1" hidden="1">
      <c r="A1561" s="1">
        <v>45775</v>
      </c>
      <c r="B1561" t="s">
        <v>3029</v>
      </c>
      <c r="C1561" t="s">
        <v>63</v>
      </c>
      <c r="D1561" t="s">
        <v>64</v>
      </c>
      <c r="E1561" t="s">
        <v>10</v>
      </c>
      <c r="F1561" t="s">
        <v>3593</v>
      </c>
      <c r="G1561" s="9" t="s">
        <v>3594</v>
      </c>
      <c r="H1561">
        <v>150000</v>
      </c>
      <c r="J1561" s="21">
        <v>45870</v>
      </c>
      <c r="K1561" t="s">
        <v>67</v>
      </c>
      <c r="L1561" t="s">
        <v>9</v>
      </c>
      <c r="M1561" t="s">
        <v>296</v>
      </c>
      <c r="O1561">
        <v>0</v>
      </c>
      <c r="S1561" t="str">
        <f>TEXT(Table1[[#This Row],[Date]],"MMM-YY")</f>
        <v>Apr-25</v>
      </c>
      <c r="T1561">
        <f>_xlfn.ISOWEEKNUM(Table1[[#This Row],[Date]])</f>
        <v>18</v>
      </c>
      <c r="U1561" t="str">
        <f>TEXT(Table1[[#This Row],[Expected Business Month]],"YYYY")</f>
        <v>2025</v>
      </c>
    </row>
    <row r="1562" spans="1:21" hidden="1">
      <c r="A1562" s="1">
        <v>45776</v>
      </c>
      <c r="B1562" t="s">
        <v>3595</v>
      </c>
      <c r="C1562" t="s">
        <v>63</v>
      </c>
      <c r="D1562" t="s">
        <v>64</v>
      </c>
      <c r="E1562" t="s">
        <v>32</v>
      </c>
      <c r="F1562" t="s">
        <v>3596</v>
      </c>
      <c r="G1562" s="9" t="s">
        <v>3597</v>
      </c>
      <c r="H1562">
        <v>0</v>
      </c>
      <c r="I1562">
        <v>0</v>
      </c>
      <c r="J1562" s="21">
        <v>45778</v>
      </c>
      <c r="K1562" t="s">
        <v>67</v>
      </c>
      <c r="L1562" t="s">
        <v>68</v>
      </c>
      <c r="M1562" t="s">
        <v>69</v>
      </c>
      <c r="O1562">
        <v>0</v>
      </c>
      <c r="S1562" t="str">
        <f>TEXT(Table1[[#This Row],[Date]],"MMM-YY")</f>
        <v>Apr-25</v>
      </c>
      <c r="T1562">
        <f>_xlfn.ISOWEEKNUM(Table1[[#This Row],[Date]])</f>
        <v>18</v>
      </c>
      <c r="U1562" t="str">
        <f>TEXT(Table1[[#This Row],[Expected Business Month]],"YYYY")</f>
        <v>2025</v>
      </c>
    </row>
    <row r="1563" spans="1:21" hidden="1">
      <c r="A1563" s="1">
        <v>45776</v>
      </c>
      <c r="B1563" t="s">
        <v>3029</v>
      </c>
      <c r="C1563" t="s">
        <v>63</v>
      </c>
      <c r="D1563" t="s">
        <v>64</v>
      </c>
      <c r="E1563" t="s">
        <v>10</v>
      </c>
      <c r="F1563" t="s">
        <v>3593</v>
      </c>
      <c r="G1563" s="9" t="s">
        <v>3598</v>
      </c>
      <c r="H1563">
        <v>0</v>
      </c>
      <c r="J1563" s="21">
        <v>45870</v>
      </c>
      <c r="K1563" t="s">
        <v>67</v>
      </c>
      <c r="L1563" t="s">
        <v>9</v>
      </c>
      <c r="M1563" t="s">
        <v>296</v>
      </c>
      <c r="O1563">
        <v>0</v>
      </c>
      <c r="S1563" t="str">
        <f>TEXT(Table1[[#This Row],[Date]],"MMM-YY")</f>
        <v>Apr-25</v>
      </c>
      <c r="T1563">
        <f>_xlfn.ISOWEEKNUM(Table1[[#This Row],[Date]])</f>
        <v>18</v>
      </c>
      <c r="U1563" t="str">
        <f>TEXT(Table1[[#This Row],[Expected Business Month]],"YYYY")</f>
        <v>2025</v>
      </c>
    </row>
    <row r="1564" spans="1:21" hidden="1">
      <c r="A1564" s="1">
        <v>45776</v>
      </c>
      <c r="B1564" t="s">
        <v>3599</v>
      </c>
      <c r="C1564" t="s">
        <v>63</v>
      </c>
      <c r="D1564" t="s">
        <v>105</v>
      </c>
      <c r="E1564" t="s">
        <v>18</v>
      </c>
      <c r="F1564" t="s">
        <v>206</v>
      </c>
      <c r="G1564" s="9" t="s">
        <v>3600</v>
      </c>
      <c r="H1564">
        <v>50000</v>
      </c>
      <c r="J1564" s="21">
        <v>45870</v>
      </c>
      <c r="K1564" t="s">
        <v>67</v>
      </c>
      <c r="L1564" t="s">
        <v>9</v>
      </c>
      <c r="M1564" t="s">
        <v>2878</v>
      </c>
      <c r="O1564">
        <v>0</v>
      </c>
      <c r="S1564" t="str">
        <f>TEXT(Table1[[#This Row],[Date]],"MMM-YY")</f>
        <v>Apr-25</v>
      </c>
      <c r="T1564">
        <f>_xlfn.ISOWEEKNUM(Table1[[#This Row],[Date]])</f>
        <v>18</v>
      </c>
      <c r="U1564" t="str">
        <f>TEXT(Table1[[#This Row],[Expected Business Month]],"YYYY")</f>
        <v>2025</v>
      </c>
    </row>
    <row r="1565" spans="1:21">
      <c r="A1565" s="1">
        <v>45777</v>
      </c>
      <c r="B1565" t="s">
        <v>95</v>
      </c>
      <c r="C1565" t="s">
        <v>96</v>
      </c>
      <c r="D1565" t="s">
        <v>64</v>
      </c>
      <c r="E1565" t="s">
        <v>38</v>
      </c>
      <c r="F1565" t="s">
        <v>97</v>
      </c>
      <c r="G1565" s="9" t="s">
        <v>3601</v>
      </c>
      <c r="H1565">
        <v>38929</v>
      </c>
      <c r="I1565">
        <v>38929</v>
      </c>
      <c r="J1565" s="21">
        <v>45748</v>
      </c>
      <c r="K1565" t="s">
        <v>99</v>
      </c>
      <c r="L1565" t="s">
        <v>68</v>
      </c>
      <c r="M1565" t="s">
        <v>69</v>
      </c>
      <c r="O1565">
        <v>0</v>
      </c>
      <c r="S1565" t="str">
        <f>TEXT(Table1[[#This Row],[Date]],"MMM-YY")</f>
        <v>Apr-25</v>
      </c>
      <c r="T1565">
        <f>_xlfn.ISOWEEKNUM(Table1[[#This Row],[Date]])</f>
        <v>18</v>
      </c>
      <c r="U1565" t="str">
        <f>TEXT(Table1[[#This Row],[Expected Business Month]],"YYYY")</f>
        <v>2025</v>
      </c>
    </row>
    <row r="1566" spans="1:21" hidden="1">
      <c r="A1566" s="1">
        <v>45777</v>
      </c>
      <c r="B1566" t="s">
        <v>3602</v>
      </c>
      <c r="C1566" t="s">
        <v>96</v>
      </c>
      <c r="D1566" t="s">
        <v>64</v>
      </c>
      <c r="E1566" t="s">
        <v>29</v>
      </c>
      <c r="F1566" t="s">
        <v>3280</v>
      </c>
      <c r="G1566" s="9" t="s">
        <v>3603</v>
      </c>
      <c r="H1566">
        <v>259000</v>
      </c>
      <c r="I1566">
        <v>0</v>
      </c>
      <c r="J1566" s="21">
        <v>45778</v>
      </c>
      <c r="K1566" t="s">
        <v>67</v>
      </c>
      <c r="L1566" t="s">
        <v>9</v>
      </c>
      <c r="M1566" t="s">
        <v>9</v>
      </c>
      <c r="N1566" t="s">
        <v>3604</v>
      </c>
      <c r="O1566">
        <v>0</v>
      </c>
      <c r="S1566" t="str">
        <f>TEXT(Table1[[#This Row],[Date]],"MMM-YY")</f>
        <v>Apr-25</v>
      </c>
      <c r="T1566">
        <f>_xlfn.ISOWEEKNUM(Table1[[#This Row],[Date]])</f>
        <v>18</v>
      </c>
      <c r="U1566" t="str">
        <f>TEXT(Table1[[#This Row],[Expected Business Month]],"YYYY")</f>
        <v>2025</v>
      </c>
    </row>
    <row r="1567" spans="1:21" hidden="1">
      <c r="A1567" s="1">
        <v>45777</v>
      </c>
      <c r="B1567" t="s">
        <v>355</v>
      </c>
      <c r="C1567" t="s">
        <v>96</v>
      </c>
      <c r="D1567" t="s">
        <v>20</v>
      </c>
      <c r="E1567" t="s">
        <v>23</v>
      </c>
      <c r="F1567" t="s">
        <v>214</v>
      </c>
      <c r="G1567" s="9" t="s">
        <v>3605</v>
      </c>
      <c r="H1567">
        <v>10764</v>
      </c>
      <c r="I1567">
        <v>10764</v>
      </c>
      <c r="J1567" s="21">
        <v>45748</v>
      </c>
      <c r="K1567" t="s">
        <v>67</v>
      </c>
      <c r="L1567" t="s">
        <v>68</v>
      </c>
      <c r="M1567" t="s">
        <v>69</v>
      </c>
      <c r="O1567">
        <v>0</v>
      </c>
      <c r="S1567" t="str">
        <f>TEXT(Table1[[#This Row],[Date]],"MMM-YY")</f>
        <v>Apr-25</v>
      </c>
      <c r="T1567">
        <f>_xlfn.ISOWEEKNUM(Table1[[#This Row],[Date]])</f>
        <v>18</v>
      </c>
      <c r="U1567" t="str">
        <f>TEXT(Table1[[#This Row],[Expected Business Month]],"YYYY")</f>
        <v>2025</v>
      </c>
    </row>
    <row r="1568" spans="1:21" hidden="1">
      <c r="A1568" s="1">
        <v>45778</v>
      </c>
      <c r="B1568" t="s">
        <v>304</v>
      </c>
      <c r="C1568" t="s">
        <v>96</v>
      </c>
      <c r="D1568" t="s">
        <v>20</v>
      </c>
      <c r="E1568" t="s">
        <v>23</v>
      </c>
      <c r="F1568" t="s">
        <v>444</v>
      </c>
      <c r="G1568" s="9" t="s">
        <v>3606</v>
      </c>
      <c r="H1568">
        <v>13524</v>
      </c>
      <c r="I1568">
        <v>13524</v>
      </c>
      <c r="J1568" s="21">
        <v>45778</v>
      </c>
      <c r="K1568" t="s">
        <v>67</v>
      </c>
      <c r="L1568" t="s">
        <v>68</v>
      </c>
      <c r="M1568" t="s">
        <v>69</v>
      </c>
      <c r="O1568">
        <v>0</v>
      </c>
      <c r="S1568" t="str">
        <f>TEXT(Table1[[#This Row],[Date]],"MMM-YY")</f>
        <v>May-25</v>
      </c>
      <c r="T1568">
        <f>_xlfn.ISOWEEKNUM(Table1[[#This Row],[Date]])</f>
        <v>18</v>
      </c>
      <c r="U1568" t="str">
        <f>TEXT(Table1[[#This Row],[Expected Business Month]],"YYYY")</f>
        <v>2025</v>
      </c>
    </row>
    <row r="1569" spans="1:21" hidden="1">
      <c r="A1569" s="1">
        <v>45778</v>
      </c>
      <c r="B1569" t="s">
        <v>3607</v>
      </c>
      <c r="C1569" t="s">
        <v>96</v>
      </c>
      <c r="D1569" t="s">
        <v>64</v>
      </c>
      <c r="E1569" t="s">
        <v>32</v>
      </c>
      <c r="F1569" t="s">
        <v>3586</v>
      </c>
      <c r="G1569" s="9" t="s">
        <v>3608</v>
      </c>
      <c r="H1569">
        <v>96500</v>
      </c>
      <c r="I1569">
        <v>96500</v>
      </c>
      <c r="J1569" s="21">
        <v>45778</v>
      </c>
      <c r="K1569" t="s">
        <v>67</v>
      </c>
      <c r="L1569" t="s">
        <v>68</v>
      </c>
      <c r="M1569" t="s">
        <v>69</v>
      </c>
      <c r="O1569">
        <v>0</v>
      </c>
      <c r="S1569" t="str">
        <f>TEXT(Table1[[#This Row],[Date]],"MMM-YY")</f>
        <v>May-25</v>
      </c>
      <c r="T1569">
        <f>_xlfn.ISOWEEKNUM(Table1[[#This Row],[Date]])</f>
        <v>18</v>
      </c>
      <c r="U1569" t="str">
        <f>TEXT(Table1[[#This Row],[Expected Business Month]],"YYYY")</f>
        <v>2025</v>
      </c>
    </row>
    <row r="1570" spans="1:21" hidden="1">
      <c r="A1570" s="1">
        <v>45780</v>
      </c>
      <c r="B1570" t="s">
        <v>3609</v>
      </c>
      <c r="C1570" t="s">
        <v>63</v>
      </c>
      <c r="D1570" t="s">
        <v>64</v>
      </c>
      <c r="E1570" t="s">
        <v>39</v>
      </c>
      <c r="F1570" t="s">
        <v>2523</v>
      </c>
      <c r="G1570" s="9" t="s">
        <v>3610</v>
      </c>
      <c r="H1570">
        <v>210000</v>
      </c>
      <c r="I1570">
        <v>210000</v>
      </c>
      <c r="J1570" s="21">
        <v>45778</v>
      </c>
      <c r="K1570" t="s">
        <v>67</v>
      </c>
      <c r="L1570" t="s">
        <v>68</v>
      </c>
      <c r="M1570" t="s">
        <v>69</v>
      </c>
      <c r="O1570">
        <v>0</v>
      </c>
      <c r="S1570" t="str">
        <f>TEXT(Table1[[#This Row],[Date]],"MMM-YY")</f>
        <v>May-25</v>
      </c>
      <c r="T1570">
        <f>_xlfn.ISOWEEKNUM(Table1[[#This Row],[Date]])</f>
        <v>18</v>
      </c>
      <c r="U1570" t="str">
        <f>TEXT(Table1[[#This Row],[Expected Business Month]],"YYYY")</f>
        <v>2025</v>
      </c>
    </row>
    <row r="1571" spans="1:21" ht="29.1" hidden="1">
      <c r="A1571" s="1">
        <v>45781</v>
      </c>
      <c r="B1571" t="s">
        <v>3611</v>
      </c>
      <c r="C1571" t="s">
        <v>63</v>
      </c>
      <c r="D1571" t="s">
        <v>64</v>
      </c>
      <c r="E1571" t="s">
        <v>32</v>
      </c>
      <c r="F1571" t="s">
        <v>3596</v>
      </c>
      <c r="G1571" s="9" t="s">
        <v>3612</v>
      </c>
      <c r="H1571">
        <v>9600</v>
      </c>
      <c r="I1571">
        <v>9600</v>
      </c>
      <c r="J1571" s="21">
        <v>45778</v>
      </c>
      <c r="K1571" t="s">
        <v>67</v>
      </c>
      <c r="L1571" t="s">
        <v>68</v>
      </c>
      <c r="M1571" t="s">
        <v>69</v>
      </c>
      <c r="O1571">
        <v>0</v>
      </c>
      <c r="S1571" t="str">
        <f>TEXT(Table1[[#This Row],[Date]],"MMM-YY")</f>
        <v>May-25</v>
      </c>
      <c r="T1571">
        <f>_xlfn.ISOWEEKNUM(Table1[[#This Row],[Date]])</f>
        <v>18</v>
      </c>
      <c r="U1571" t="str">
        <f>TEXT(Table1[[#This Row],[Expected Business Month]],"YYYY")</f>
        <v>2025</v>
      </c>
    </row>
    <row r="1572" spans="1:21" ht="29.1" hidden="1">
      <c r="A1572" s="1">
        <v>45781</v>
      </c>
      <c r="B1572" t="s">
        <v>3613</v>
      </c>
      <c r="C1572" t="s">
        <v>63</v>
      </c>
      <c r="D1572" t="s">
        <v>64</v>
      </c>
      <c r="E1572" t="s">
        <v>32</v>
      </c>
      <c r="F1572" t="s">
        <v>3596</v>
      </c>
      <c r="G1572" s="9" t="s">
        <v>3612</v>
      </c>
      <c r="H1572">
        <v>14880</v>
      </c>
      <c r="I1572">
        <v>14880</v>
      </c>
      <c r="J1572" s="21">
        <v>45778</v>
      </c>
      <c r="K1572" t="s">
        <v>67</v>
      </c>
      <c r="L1572" t="s">
        <v>68</v>
      </c>
      <c r="M1572" t="s">
        <v>69</v>
      </c>
      <c r="O1572">
        <v>0</v>
      </c>
      <c r="S1572" t="str">
        <f>TEXT(Table1[[#This Row],[Date]],"MMM-YY")</f>
        <v>May-25</v>
      </c>
      <c r="T1572">
        <f>_xlfn.ISOWEEKNUM(Table1[[#This Row],[Date]])</f>
        <v>18</v>
      </c>
      <c r="U1572" t="str">
        <f>TEXT(Table1[[#This Row],[Expected Business Month]],"YYYY")</f>
        <v>2025</v>
      </c>
    </row>
    <row r="1573" spans="1:21" ht="29.1" hidden="1">
      <c r="A1573" s="1">
        <v>45781</v>
      </c>
      <c r="B1573" t="s">
        <v>3266</v>
      </c>
      <c r="C1573" t="s">
        <v>63</v>
      </c>
      <c r="D1573" t="s">
        <v>64</v>
      </c>
      <c r="E1573" t="s">
        <v>32</v>
      </c>
      <c r="F1573" t="s">
        <v>3596</v>
      </c>
      <c r="G1573" s="9" t="s">
        <v>3612</v>
      </c>
      <c r="H1573">
        <v>18240</v>
      </c>
      <c r="I1573">
        <v>18240</v>
      </c>
      <c r="J1573" s="21">
        <v>45778</v>
      </c>
      <c r="K1573" t="s">
        <v>67</v>
      </c>
      <c r="L1573" t="s">
        <v>68</v>
      </c>
      <c r="M1573" t="s">
        <v>69</v>
      </c>
      <c r="O1573">
        <v>0</v>
      </c>
      <c r="S1573" t="str">
        <f>TEXT(Table1[[#This Row],[Date]],"MMM-YY")</f>
        <v>May-25</v>
      </c>
      <c r="T1573">
        <f>_xlfn.ISOWEEKNUM(Table1[[#This Row],[Date]])</f>
        <v>18</v>
      </c>
      <c r="U1573" t="str">
        <f>TEXT(Table1[[#This Row],[Expected Business Month]],"YYYY")</f>
        <v>2025</v>
      </c>
    </row>
    <row r="1574" spans="1:21" hidden="1">
      <c r="A1574" s="1">
        <v>45781</v>
      </c>
      <c r="B1574" t="s">
        <v>3614</v>
      </c>
      <c r="C1574" t="s">
        <v>63</v>
      </c>
      <c r="D1574" t="s">
        <v>64</v>
      </c>
      <c r="E1574" t="s">
        <v>32</v>
      </c>
      <c r="F1574" t="s">
        <v>3596</v>
      </c>
      <c r="G1574" s="9" t="s">
        <v>3615</v>
      </c>
      <c r="H1574">
        <v>15543</v>
      </c>
      <c r="I1574">
        <v>15543</v>
      </c>
      <c r="J1574" s="21">
        <v>45778</v>
      </c>
      <c r="K1574" t="s">
        <v>67</v>
      </c>
      <c r="L1574" t="s">
        <v>68</v>
      </c>
      <c r="M1574" t="s">
        <v>69</v>
      </c>
      <c r="O1574">
        <v>0</v>
      </c>
      <c r="S1574" t="str">
        <f>TEXT(Table1[[#This Row],[Date]],"MMM-YY")</f>
        <v>May-25</v>
      </c>
      <c r="T1574">
        <f>_xlfn.ISOWEEKNUM(Table1[[#This Row],[Date]])</f>
        <v>18</v>
      </c>
      <c r="U1574" t="str">
        <f>TEXT(Table1[[#This Row],[Expected Business Month]],"YYYY")</f>
        <v>2025</v>
      </c>
    </row>
    <row r="1575" spans="1:21" hidden="1">
      <c r="A1575" s="1">
        <v>45781</v>
      </c>
      <c r="B1575" t="s">
        <v>1762</v>
      </c>
      <c r="C1575" t="s">
        <v>63</v>
      </c>
      <c r="D1575" t="s">
        <v>64</v>
      </c>
      <c r="E1575" t="s">
        <v>32</v>
      </c>
      <c r="F1575" t="s">
        <v>3596</v>
      </c>
      <c r="G1575" s="9" t="s">
        <v>3616</v>
      </c>
      <c r="H1575">
        <v>12600</v>
      </c>
      <c r="I1575">
        <v>12600</v>
      </c>
      <c r="J1575" s="21">
        <v>45778</v>
      </c>
      <c r="K1575" t="s">
        <v>67</v>
      </c>
      <c r="L1575" t="s">
        <v>68</v>
      </c>
      <c r="M1575" t="s">
        <v>69</v>
      </c>
      <c r="O1575">
        <v>0</v>
      </c>
      <c r="S1575" t="str">
        <f>TEXT(Table1[[#This Row],[Date]],"MMM-YY")</f>
        <v>May-25</v>
      </c>
      <c r="T1575">
        <f>_xlfn.ISOWEEKNUM(Table1[[#This Row],[Date]])</f>
        <v>18</v>
      </c>
      <c r="U1575" t="str">
        <f>TEXT(Table1[[#This Row],[Expected Business Month]],"YYYY")</f>
        <v>2025</v>
      </c>
    </row>
    <row r="1576" spans="1:21" hidden="1">
      <c r="A1576" s="1">
        <v>45782</v>
      </c>
      <c r="B1576" t="s">
        <v>3617</v>
      </c>
      <c r="C1576" t="s">
        <v>63</v>
      </c>
      <c r="D1576" t="s">
        <v>64</v>
      </c>
      <c r="E1576" t="s">
        <v>37</v>
      </c>
      <c r="F1576" t="s">
        <v>169</v>
      </c>
      <c r="G1576" s="9" t="s">
        <v>3618</v>
      </c>
      <c r="H1576">
        <v>120000</v>
      </c>
      <c r="I1576">
        <v>0</v>
      </c>
      <c r="J1576" s="21">
        <v>45778</v>
      </c>
      <c r="K1576" t="s">
        <v>67</v>
      </c>
      <c r="L1576" t="s">
        <v>9</v>
      </c>
      <c r="M1576" t="s">
        <v>9</v>
      </c>
      <c r="N1576" t="s">
        <v>3619</v>
      </c>
      <c r="O1576">
        <v>0</v>
      </c>
      <c r="S1576" t="str">
        <f>TEXT(Table1[[#This Row],[Date]],"MMM-YY")</f>
        <v>May-25</v>
      </c>
      <c r="T1576">
        <f>_xlfn.ISOWEEKNUM(Table1[[#This Row],[Date]])</f>
        <v>19</v>
      </c>
      <c r="U1576" t="str">
        <f>TEXT(Table1[[#This Row],[Expected Business Month]],"YYYY")</f>
        <v>2025</v>
      </c>
    </row>
    <row r="1577" spans="1:21" hidden="1">
      <c r="A1577" s="1">
        <v>45782</v>
      </c>
      <c r="B1577" t="s">
        <v>3620</v>
      </c>
      <c r="C1577" t="s">
        <v>63</v>
      </c>
      <c r="D1577" t="s">
        <v>64</v>
      </c>
      <c r="E1577" t="s">
        <v>28</v>
      </c>
      <c r="F1577" t="s">
        <v>652</v>
      </c>
      <c r="G1577" s="9" t="s">
        <v>3621</v>
      </c>
      <c r="H1577">
        <v>50000</v>
      </c>
      <c r="J1577" s="21">
        <v>45870</v>
      </c>
      <c r="K1577" t="s">
        <v>67</v>
      </c>
      <c r="L1577" t="s">
        <v>9</v>
      </c>
      <c r="M1577" t="s">
        <v>296</v>
      </c>
      <c r="O1577">
        <v>0</v>
      </c>
      <c r="S1577" t="str">
        <f>TEXT(Table1[[#This Row],[Date]],"MMM-YY")</f>
        <v>May-25</v>
      </c>
      <c r="T1577">
        <f>_xlfn.ISOWEEKNUM(Table1[[#This Row],[Date]])</f>
        <v>19</v>
      </c>
      <c r="U1577" t="str">
        <f>TEXT(Table1[[#This Row],[Expected Business Month]],"YYYY")</f>
        <v>2025</v>
      </c>
    </row>
    <row r="1578" spans="1:21" hidden="1">
      <c r="A1578" s="1">
        <v>45783</v>
      </c>
      <c r="B1578" t="s">
        <v>1691</v>
      </c>
      <c r="C1578" t="s">
        <v>63</v>
      </c>
      <c r="D1578" t="s">
        <v>64</v>
      </c>
      <c r="E1578" t="s">
        <v>26</v>
      </c>
      <c r="F1578" t="s">
        <v>371</v>
      </c>
      <c r="G1578" s="9" t="s">
        <v>1860</v>
      </c>
      <c r="H1578">
        <v>0</v>
      </c>
      <c r="J1578" s="21">
        <v>45870</v>
      </c>
      <c r="K1578" t="s">
        <v>67</v>
      </c>
      <c r="L1578" t="s">
        <v>9</v>
      </c>
      <c r="M1578" t="s">
        <v>2878</v>
      </c>
      <c r="O1578">
        <v>0</v>
      </c>
      <c r="S1578" t="str">
        <f>TEXT(Table1[[#This Row],[Date]],"MMM-YY")</f>
        <v>May-25</v>
      </c>
      <c r="T1578">
        <f>_xlfn.ISOWEEKNUM(Table1[[#This Row],[Date]])</f>
        <v>19</v>
      </c>
      <c r="U1578" t="str">
        <f>TEXT(Table1[[#This Row],[Expected Business Month]],"YYYY")</f>
        <v>2025</v>
      </c>
    </row>
    <row r="1579" spans="1:21" hidden="1">
      <c r="A1579" s="1">
        <v>45783</v>
      </c>
      <c r="B1579" t="s">
        <v>3622</v>
      </c>
      <c r="C1579" t="s">
        <v>63</v>
      </c>
      <c r="D1579" t="s">
        <v>64</v>
      </c>
      <c r="E1579" t="s">
        <v>26</v>
      </c>
      <c r="F1579" t="s">
        <v>675</v>
      </c>
      <c r="G1579" s="9" t="s">
        <v>3073</v>
      </c>
      <c r="H1579">
        <v>40000</v>
      </c>
      <c r="I1579">
        <v>0</v>
      </c>
      <c r="J1579" s="21">
        <v>45809</v>
      </c>
      <c r="K1579" t="s">
        <v>67</v>
      </c>
      <c r="L1579" t="s">
        <v>9</v>
      </c>
      <c r="M1579" t="s">
        <v>9</v>
      </c>
      <c r="N1579" t="s">
        <v>2633</v>
      </c>
      <c r="O1579">
        <v>0</v>
      </c>
      <c r="S1579" t="str">
        <f>TEXT(Table1[[#This Row],[Date]],"MMM-YY")</f>
        <v>May-25</v>
      </c>
      <c r="T1579">
        <f>_xlfn.ISOWEEKNUM(Table1[[#This Row],[Date]])</f>
        <v>19</v>
      </c>
      <c r="U1579" t="str">
        <f>TEXT(Table1[[#This Row],[Expected Business Month]],"YYYY")</f>
        <v>2025</v>
      </c>
    </row>
    <row r="1580" spans="1:21" hidden="1">
      <c r="A1580" s="1">
        <v>45783</v>
      </c>
      <c r="B1580" t="s">
        <v>3623</v>
      </c>
      <c r="C1580" t="s">
        <v>63</v>
      </c>
      <c r="D1580" t="s">
        <v>64</v>
      </c>
      <c r="E1580" t="s">
        <v>26</v>
      </c>
      <c r="F1580" t="s">
        <v>3099</v>
      </c>
      <c r="G1580" s="9" t="s">
        <v>3624</v>
      </c>
      <c r="H1580">
        <v>55000</v>
      </c>
      <c r="I1580">
        <v>0</v>
      </c>
      <c r="J1580" s="21">
        <v>45778</v>
      </c>
      <c r="K1580" t="s">
        <v>67</v>
      </c>
      <c r="L1580" t="s">
        <v>9</v>
      </c>
      <c r="M1580" t="s">
        <v>9</v>
      </c>
      <c r="O1580">
        <v>0</v>
      </c>
      <c r="S1580" t="str">
        <f>TEXT(Table1[[#This Row],[Date]],"MMM-YY")</f>
        <v>May-25</v>
      </c>
      <c r="T1580">
        <f>_xlfn.ISOWEEKNUM(Table1[[#This Row],[Date]])</f>
        <v>19</v>
      </c>
      <c r="U1580" t="str">
        <f>TEXT(Table1[[#This Row],[Expected Business Month]],"YYYY")</f>
        <v>2025</v>
      </c>
    </row>
    <row r="1581" spans="1:21" hidden="1">
      <c r="A1581" s="1">
        <v>45784</v>
      </c>
      <c r="B1581" t="s">
        <v>3625</v>
      </c>
      <c r="C1581" t="s">
        <v>63</v>
      </c>
      <c r="D1581" t="s">
        <v>64</v>
      </c>
      <c r="E1581" t="s">
        <v>26</v>
      </c>
      <c r="F1581" t="s">
        <v>3586</v>
      </c>
      <c r="G1581" s="9" t="s">
        <v>3626</v>
      </c>
      <c r="H1581">
        <v>41086</v>
      </c>
      <c r="I1581">
        <v>41086</v>
      </c>
      <c r="J1581" s="21">
        <v>45778</v>
      </c>
      <c r="K1581" t="s">
        <v>67</v>
      </c>
      <c r="L1581" t="s">
        <v>68</v>
      </c>
      <c r="M1581" t="s">
        <v>69</v>
      </c>
      <c r="O1581">
        <v>0</v>
      </c>
      <c r="S1581" t="str">
        <f>TEXT(Table1[[#This Row],[Date]],"MMM-YY")</f>
        <v>May-25</v>
      </c>
      <c r="T1581">
        <f>_xlfn.ISOWEEKNUM(Table1[[#This Row],[Date]])</f>
        <v>19</v>
      </c>
      <c r="U1581" t="str">
        <f>TEXT(Table1[[#This Row],[Expected Business Month]],"YYYY")</f>
        <v>2025</v>
      </c>
    </row>
    <row r="1582" spans="1:21" hidden="1">
      <c r="A1582" s="1">
        <v>45784</v>
      </c>
      <c r="B1582" t="s">
        <v>3627</v>
      </c>
      <c r="C1582" t="s">
        <v>63</v>
      </c>
      <c r="D1582" t="s">
        <v>64</v>
      </c>
      <c r="E1582" t="s">
        <v>26</v>
      </c>
      <c r="F1582" t="s">
        <v>73</v>
      </c>
      <c r="G1582" s="9" t="s">
        <v>3628</v>
      </c>
      <c r="H1582">
        <v>0</v>
      </c>
      <c r="J1582" s="21">
        <v>45870</v>
      </c>
      <c r="K1582" t="s">
        <v>67</v>
      </c>
      <c r="L1582" t="s">
        <v>9</v>
      </c>
      <c r="M1582" t="s">
        <v>2878</v>
      </c>
      <c r="O1582">
        <v>0</v>
      </c>
      <c r="S1582" t="str">
        <f>TEXT(Table1[[#This Row],[Date]],"MMM-YY")</f>
        <v>May-25</v>
      </c>
      <c r="T1582">
        <f>_xlfn.ISOWEEKNUM(Table1[[#This Row],[Date]])</f>
        <v>19</v>
      </c>
      <c r="U1582" t="str">
        <f>TEXT(Table1[[#This Row],[Expected Business Month]],"YYYY")</f>
        <v>2025</v>
      </c>
    </row>
    <row r="1583" spans="1:21">
      <c r="A1583" s="1">
        <v>45784</v>
      </c>
      <c r="B1583" t="s">
        <v>95</v>
      </c>
      <c r="C1583" t="s">
        <v>96</v>
      </c>
      <c r="D1583" t="s">
        <v>64</v>
      </c>
      <c r="E1583" t="s">
        <v>38</v>
      </c>
      <c r="F1583" t="s">
        <v>97</v>
      </c>
      <c r="G1583" s="9" t="s">
        <v>3629</v>
      </c>
      <c r="H1583">
        <v>37918</v>
      </c>
      <c r="I1583">
        <v>37918</v>
      </c>
      <c r="J1583" s="21">
        <v>45778</v>
      </c>
      <c r="K1583" t="s">
        <v>99</v>
      </c>
      <c r="L1583" t="s">
        <v>68</v>
      </c>
      <c r="M1583" t="s">
        <v>69</v>
      </c>
      <c r="O1583">
        <v>0</v>
      </c>
      <c r="S1583" t="str">
        <f>TEXT(Table1[[#This Row],[Date]],"MMM-YY")</f>
        <v>May-25</v>
      </c>
      <c r="T1583">
        <f>_xlfn.ISOWEEKNUM(Table1[[#This Row],[Date]])</f>
        <v>19</v>
      </c>
      <c r="U1583" t="str">
        <f>TEXT(Table1[[#This Row],[Expected Business Month]],"YYYY")</f>
        <v>2025</v>
      </c>
    </row>
    <row r="1584" spans="1:21" hidden="1">
      <c r="A1584" s="1">
        <v>45785</v>
      </c>
      <c r="B1584" t="s">
        <v>382</v>
      </c>
      <c r="C1584" t="s">
        <v>63</v>
      </c>
      <c r="D1584" t="s">
        <v>64</v>
      </c>
      <c r="E1584" t="s">
        <v>28</v>
      </c>
      <c r="F1584" t="s">
        <v>196</v>
      </c>
      <c r="G1584" s="9" t="s">
        <v>3630</v>
      </c>
      <c r="H1584">
        <v>4207000</v>
      </c>
      <c r="I1584">
        <v>4207000</v>
      </c>
      <c r="J1584" s="21">
        <v>45839</v>
      </c>
      <c r="K1584" t="s">
        <v>67</v>
      </c>
      <c r="L1584" t="s">
        <v>68</v>
      </c>
      <c r="M1584" t="s">
        <v>69</v>
      </c>
      <c r="O1584">
        <v>0</v>
      </c>
      <c r="S1584" t="str">
        <f>TEXT(Table1[[#This Row],[Date]],"MMM-YY")</f>
        <v>May-25</v>
      </c>
      <c r="T1584">
        <f>_xlfn.ISOWEEKNUM(Table1[[#This Row],[Date]])</f>
        <v>19</v>
      </c>
      <c r="U1584" t="str">
        <f>TEXT(Table1[[#This Row],[Expected Business Month]],"YYYY")</f>
        <v>2025</v>
      </c>
    </row>
    <row r="1585" spans="1:21" hidden="1">
      <c r="A1585" s="1">
        <v>45786</v>
      </c>
      <c r="B1585" t="s">
        <v>3519</v>
      </c>
      <c r="C1585" t="s">
        <v>96</v>
      </c>
      <c r="D1585" t="s">
        <v>64</v>
      </c>
      <c r="E1585" t="s">
        <v>38</v>
      </c>
      <c r="F1585" t="s">
        <v>1186</v>
      </c>
      <c r="G1585" s="9" t="s">
        <v>2880</v>
      </c>
      <c r="H1585">
        <v>0</v>
      </c>
      <c r="I1585">
        <v>0</v>
      </c>
      <c r="J1585" s="21">
        <v>45778</v>
      </c>
      <c r="K1585" t="s">
        <v>67</v>
      </c>
      <c r="L1585" t="s">
        <v>68</v>
      </c>
      <c r="M1585" t="s">
        <v>69</v>
      </c>
      <c r="O1585">
        <v>0</v>
      </c>
      <c r="S1585" t="str">
        <f>TEXT(Table1[[#This Row],[Date]],"MMM-YY")</f>
        <v>May-25</v>
      </c>
      <c r="T1585">
        <f>_xlfn.ISOWEEKNUM(Table1[[#This Row],[Date]])</f>
        <v>19</v>
      </c>
      <c r="U1585" t="str">
        <f>TEXT(Table1[[#This Row],[Expected Business Month]],"YYYY")</f>
        <v>2025</v>
      </c>
    </row>
    <row r="1586" spans="1:21" hidden="1">
      <c r="A1586" s="1">
        <v>45786</v>
      </c>
      <c r="B1586" t="s">
        <v>3631</v>
      </c>
      <c r="C1586" t="s">
        <v>96</v>
      </c>
      <c r="D1586" t="s">
        <v>64</v>
      </c>
      <c r="E1586" t="s">
        <v>26</v>
      </c>
      <c r="F1586" t="s">
        <v>1975</v>
      </c>
      <c r="G1586" s="9" t="s">
        <v>3632</v>
      </c>
      <c r="H1586">
        <v>35000</v>
      </c>
      <c r="I1586">
        <v>35000</v>
      </c>
      <c r="J1586" s="21">
        <v>45778</v>
      </c>
      <c r="K1586" t="s">
        <v>99</v>
      </c>
      <c r="L1586" t="s">
        <v>68</v>
      </c>
      <c r="M1586" t="s">
        <v>69</v>
      </c>
      <c r="O1586">
        <v>0</v>
      </c>
      <c r="S1586" t="str">
        <f>TEXT(Table1[[#This Row],[Date]],"MMM-YY")</f>
        <v>May-25</v>
      </c>
      <c r="T1586">
        <f>_xlfn.ISOWEEKNUM(Table1[[#This Row],[Date]])</f>
        <v>19</v>
      </c>
      <c r="U1586" t="str">
        <f>TEXT(Table1[[#This Row],[Expected Business Month]],"YYYY")</f>
        <v>2025</v>
      </c>
    </row>
    <row r="1587" spans="1:21" hidden="1">
      <c r="A1587" s="1">
        <v>45786</v>
      </c>
      <c r="B1587" t="s">
        <v>3633</v>
      </c>
      <c r="C1587" t="s">
        <v>96</v>
      </c>
      <c r="D1587" t="s">
        <v>64</v>
      </c>
      <c r="E1587" t="s">
        <v>38</v>
      </c>
      <c r="F1587" t="s">
        <v>3634</v>
      </c>
      <c r="G1587" s="9" t="s">
        <v>3635</v>
      </c>
      <c r="H1587">
        <v>17000</v>
      </c>
      <c r="I1587">
        <v>17000</v>
      </c>
      <c r="J1587" s="21">
        <v>45778</v>
      </c>
      <c r="K1587" t="s">
        <v>67</v>
      </c>
      <c r="L1587" t="s">
        <v>68</v>
      </c>
      <c r="M1587" t="s">
        <v>69</v>
      </c>
      <c r="O1587">
        <v>0</v>
      </c>
      <c r="S1587" t="str">
        <f>TEXT(Table1[[#This Row],[Date]],"MMM-YY")</f>
        <v>May-25</v>
      </c>
      <c r="T1587">
        <f>_xlfn.ISOWEEKNUM(Table1[[#This Row],[Date]])</f>
        <v>19</v>
      </c>
      <c r="U1587" t="str">
        <f>TEXT(Table1[[#This Row],[Expected Business Month]],"YYYY")</f>
        <v>2025</v>
      </c>
    </row>
    <row r="1588" spans="1:21" hidden="1">
      <c r="A1588" s="1">
        <v>45788</v>
      </c>
      <c r="B1588" t="s">
        <v>3636</v>
      </c>
      <c r="C1588" t="s">
        <v>96</v>
      </c>
      <c r="D1588" t="s">
        <v>20</v>
      </c>
      <c r="E1588" t="s">
        <v>23</v>
      </c>
      <c r="F1588" t="s">
        <v>441</v>
      </c>
      <c r="G1588" s="9" t="s">
        <v>3637</v>
      </c>
      <c r="H1588">
        <v>4546</v>
      </c>
      <c r="I1588">
        <v>4546</v>
      </c>
      <c r="J1588" s="21">
        <v>45778</v>
      </c>
      <c r="K1588" t="s">
        <v>67</v>
      </c>
      <c r="L1588" t="s">
        <v>68</v>
      </c>
      <c r="M1588" t="s">
        <v>69</v>
      </c>
      <c r="O1588">
        <v>0</v>
      </c>
      <c r="S1588" t="str">
        <f>TEXT(Table1[[#This Row],[Date]],"MMM-YY")</f>
        <v>May-25</v>
      </c>
      <c r="T1588">
        <f>_xlfn.ISOWEEKNUM(Table1[[#This Row],[Date]])</f>
        <v>19</v>
      </c>
      <c r="U1588" t="str">
        <f>TEXT(Table1[[#This Row],[Expected Business Month]],"YYYY")</f>
        <v>2025</v>
      </c>
    </row>
    <row r="1589" spans="1:21" hidden="1">
      <c r="A1589" s="1">
        <v>45789</v>
      </c>
      <c r="B1589" t="s">
        <v>3638</v>
      </c>
      <c r="C1589" t="s">
        <v>96</v>
      </c>
      <c r="D1589" t="s">
        <v>20</v>
      </c>
      <c r="E1589" t="s">
        <v>23</v>
      </c>
      <c r="F1589" t="s">
        <v>214</v>
      </c>
      <c r="G1589" s="9" t="s">
        <v>3639</v>
      </c>
      <c r="H1589">
        <v>6285</v>
      </c>
      <c r="I1589">
        <v>6285</v>
      </c>
      <c r="J1589" s="21">
        <v>45778</v>
      </c>
      <c r="K1589" t="s">
        <v>67</v>
      </c>
      <c r="L1589" t="s">
        <v>68</v>
      </c>
      <c r="M1589" t="s">
        <v>69</v>
      </c>
      <c r="O1589">
        <v>0</v>
      </c>
      <c r="S1589" t="str">
        <f>TEXT(Table1[[#This Row],[Date]],"MMM-YY")</f>
        <v>May-25</v>
      </c>
      <c r="T1589">
        <f>_xlfn.ISOWEEKNUM(Table1[[#This Row],[Date]])</f>
        <v>20</v>
      </c>
      <c r="U1589" t="str">
        <f>TEXT(Table1[[#This Row],[Expected Business Month]],"YYYY")</f>
        <v>2025</v>
      </c>
    </row>
    <row r="1590" spans="1:21" hidden="1">
      <c r="A1590" s="1">
        <v>45790</v>
      </c>
      <c r="B1590" t="s">
        <v>1552</v>
      </c>
      <c r="C1590" t="s">
        <v>96</v>
      </c>
      <c r="D1590" t="s">
        <v>20</v>
      </c>
      <c r="E1590" t="s">
        <v>23</v>
      </c>
      <c r="F1590" t="s">
        <v>3640</v>
      </c>
      <c r="G1590" s="9" t="s">
        <v>3641</v>
      </c>
      <c r="H1590">
        <v>12000</v>
      </c>
      <c r="I1590">
        <v>12000</v>
      </c>
      <c r="J1590" s="21">
        <v>45778</v>
      </c>
      <c r="K1590" t="s">
        <v>67</v>
      </c>
      <c r="L1590" t="s">
        <v>68</v>
      </c>
      <c r="M1590" t="s">
        <v>69</v>
      </c>
      <c r="O1590">
        <v>0</v>
      </c>
      <c r="S1590" t="str">
        <f>TEXT(Table1[[#This Row],[Date]],"MMM-YY")</f>
        <v>May-25</v>
      </c>
      <c r="T1590">
        <f>_xlfn.ISOWEEKNUM(Table1[[#This Row],[Date]])</f>
        <v>20</v>
      </c>
      <c r="U1590" t="str">
        <f>TEXT(Table1[[#This Row],[Expected Business Month]],"YYYY")</f>
        <v>2025</v>
      </c>
    </row>
    <row r="1591" spans="1:21" hidden="1">
      <c r="A1591" s="1">
        <v>45790</v>
      </c>
      <c r="B1591" t="s">
        <v>3642</v>
      </c>
      <c r="C1591" t="s">
        <v>96</v>
      </c>
      <c r="D1591" t="s">
        <v>64</v>
      </c>
      <c r="E1591" t="s">
        <v>25</v>
      </c>
      <c r="F1591" t="s">
        <v>3643</v>
      </c>
      <c r="G1591" s="9" t="s">
        <v>3644</v>
      </c>
      <c r="H1591">
        <v>14000</v>
      </c>
      <c r="I1591">
        <v>14000</v>
      </c>
      <c r="J1591" s="21">
        <v>45778</v>
      </c>
      <c r="K1591" t="s">
        <v>67</v>
      </c>
      <c r="L1591" t="s">
        <v>68</v>
      </c>
      <c r="M1591" t="s">
        <v>69</v>
      </c>
      <c r="O1591">
        <v>0</v>
      </c>
      <c r="S1591" t="str">
        <f>TEXT(Table1[[#This Row],[Date]],"MMM-YY")</f>
        <v>May-25</v>
      </c>
      <c r="T1591">
        <f>_xlfn.ISOWEEKNUM(Table1[[#This Row],[Date]])</f>
        <v>20</v>
      </c>
      <c r="U1591" t="str">
        <f>TEXT(Table1[[#This Row],[Expected Business Month]],"YYYY")</f>
        <v>2025</v>
      </c>
    </row>
    <row r="1592" spans="1:21" hidden="1">
      <c r="A1592" s="1">
        <v>45791</v>
      </c>
      <c r="B1592" t="s">
        <v>3645</v>
      </c>
      <c r="C1592" t="s">
        <v>63</v>
      </c>
      <c r="D1592" t="s">
        <v>105</v>
      </c>
      <c r="E1592" t="s">
        <v>18</v>
      </c>
      <c r="F1592" t="s">
        <v>3646</v>
      </c>
      <c r="G1592" s="9" t="s">
        <v>3647</v>
      </c>
      <c r="H1592">
        <v>7300</v>
      </c>
      <c r="I1592">
        <v>7300</v>
      </c>
      <c r="J1592" s="21">
        <v>45778</v>
      </c>
      <c r="K1592" t="s">
        <v>67</v>
      </c>
      <c r="L1592" t="s">
        <v>68</v>
      </c>
      <c r="M1592" t="s">
        <v>69</v>
      </c>
      <c r="O1592">
        <v>0</v>
      </c>
      <c r="S1592" t="str">
        <f>TEXT(Table1[[#This Row],[Date]],"MMM-YY")</f>
        <v>May-25</v>
      </c>
      <c r="T1592">
        <f>_xlfn.ISOWEEKNUM(Table1[[#This Row],[Date]])</f>
        <v>20</v>
      </c>
      <c r="U1592" t="str">
        <f>TEXT(Table1[[#This Row],[Expected Business Month]],"YYYY")</f>
        <v>2025</v>
      </c>
    </row>
    <row r="1593" spans="1:21" hidden="1">
      <c r="A1593" s="1">
        <v>45791</v>
      </c>
      <c r="B1593" t="s">
        <v>119</v>
      </c>
      <c r="C1593" t="s">
        <v>63</v>
      </c>
      <c r="D1593" t="s">
        <v>105</v>
      </c>
      <c r="E1593" t="s">
        <v>18</v>
      </c>
      <c r="F1593" t="s">
        <v>3648</v>
      </c>
      <c r="G1593" s="9" t="s">
        <v>3649</v>
      </c>
      <c r="H1593">
        <v>32000</v>
      </c>
      <c r="I1593">
        <v>0</v>
      </c>
      <c r="J1593" s="21">
        <v>45778</v>
      </c>
      <c r="K1593" t="s">
        <v>67</v>
      </c>
      <c r="L1593" t="s">
        <v>9</v>
      </c>
      <c r="M1593" t="s">
        <v>9</v>
      </c>
      <c r="O1593">
        <v>0</v>
      </c>
      <c r="S1593" t="str">
        <f>TEXT(Table1[[#This Row],[Date]],"MMM-YY")</f>
        <v>May-25</v>
      </c>
      <c r="T1593">
        <f>_xlfn.ISOWEEKNUM(Table1[[#This Row],[Date]])</f>
        <v>20</v>
      </c>
      <c r="U1593" t="str">
        <f>TEXT(Table1[[#This Row],[Expected Business Month]],"YYYY")</f>
        <v>2025</v>
      </c>
    </row>
    <row r="1594" spans="1:21" hidden="1">
      <c r="A1594" s="1">
        <v>45791</v>
      </c>
      <c r="B1594" t="s">
        <v>778</v>
      </c>
      <c r="C1594" t="s">
        <v>63</v>
      </c>
      <c r="D1594" t="s">
        <v>64</v>
      </c>
      <c r="E1594" t="s">
        <v>26</v>
      </c>
      <c r="F1594" t="s">
        <v>1040</v>
      </c>
      <c r="G1594" s="9" t="s">
        <v>3650</v>
      </c>
      <c r="H1594">
        <v>0</v>
      </c>
      <c r="I1594">
        <v>0</v>
      </c>
      <c r="J1594" s="21">
        <v>45992</v>
      </c>
      <c r="K1594" t="s">
        <v>67</v>
      </c>
      <c r="L1594" t="s">
        <v>9</v>
      </c>
      <c r="M1594" t="s">
        <v>9</v>
      </c>
      <c r="O1594">
        <v>0</v>
      </c>
      <c r="P1594" t="s">
        <v>108</v>
      </c>
      <c r="S1594" t="str">
        <f>TEXT(Table1[[#This Row],[Date]],"MMM-YY")</f>
        <v>May-25</v>
      </c>
      <c r="T1594">
        <f>_xlfn.ISOWEEKNUM(Table1[[#This Row],[Date]])</f>
        <v>20</v>
      </c>
      <c r="U1594" t="str">
        <f>TEXT(Table1[[#This Row],[Expected Business Month]],"YYYY")</f>
        <v>2025</v>
      </c>
    </row>
    <row r="1595" spans="1:21">
      <c r="A1595" s="1">
        <v>45791</v>
      </c>
      <c r="B1595" t="s">
        <v>95</v>
      </c>
      <c r="C1595" t="s">
        <v>96</v>
      </c>
      <c r="D1595" t="s">
        <v>64</v>
      </c>
      <c r="E1595" t="s">
        <v>38</v>
      </c>
      <c r="F1595" t="s">
        <v>97</v>
      </c>
      <c r="G1595" s="9" t="s">
        <v>3651</v>
      </c>
      <c r="H1595">
        <v>37918</v>
      </c>
      <c r="I1595">
        <v>37918</v>
      </c>
      <c r="J1595" s="21">
        <v>45778</v>
      </c>
      <c r="K1595" t="s">
        <v>99</v>
      </c>
      <c r="L1595" t="s">
        <v>68</v>
      </c>
      <c r="M1595" t="s">
        <v>69</v>
      </c>
      <c r="O1595">
        <v>0</v>
      </c>
      <c r="S1595" t="str">
        <f>TEXT(Table1[[#This Row],[Date]],"MMM-YY")</f>
        <v>May-25</v>
      </c>
      <c r="T1595">
        <f>_xlfn.ISOWEEKNUM(Table1[[#This Row],[Date]])</f>
        <v>20</v>
      </c>
      <c r="U1595" t="str">
        <f>TEXT(Table1[[#This Row],[Expected Business Month]],"YYYY")</f>
        <v>2025</v>
      </c>
    </row>
    <row r="1596" spans="1:21" hidden="1">
      <c r="A1596" s="1">
        <v>45793</v>
      </c>
      <c r="B1596" t="s">
        <v>3652</v>
      </c>
      <c r="C1596" t="s">
        <v>63</v>
      </c>
      <c r="D1596" t="s">
        <v>64</v>
      </c>
      <c r="E1596" t="s">
        <v>28</v>
      </c>
      <c r="F1596" t="s">
        <v>2737</v>
      </c>
      <c r="G1596" s="9" t="s">
        <v>293</v>
      </c>
      <c r="H1596">
        <v>56000</v>
      </c>
      <c r="J1596" s="21">
        <v>45962</v>
      </c>
      <c r="K1596" t="s">
        <v>67</v>
      </c>
      <c r="L1596" t="s">
        <v>9</v>
      </c>
      <c r="M1596" t="s">
        <v>9</v>
      </c>
      <c r="N1596" t="s">
        <v>586</v>
      </c>
      <c r="O1596">
        <v>0</v>
      </c>
      <c r="P1596" t="s">
        <v>70</v>
      </c>
      <c r="S1596" t="str">
        <f>TEXT(Table1[[#This Row],[Date]],"MMM-YY")</f>
        <v>May-25</v>
      </c>
      <c r="T1596">
        <f>_xlfn.ISOWEEKNUM(Table1[[#This Row],[Date]])</f>
        <v>20</v>
      </c>
      <c r="U1596" t="str">
        <f>TEXT(Table1[[#This Row],[Expected Business Month]],"YYYY")</f>
        <v>2025</v>
      </c>
    </row>
    <row r="1597" spans="1:21" hidden="1">
      <c r="A1597" s="1">
        <v>45794</v>
      </c>
      <c r="B1597" t="s">
        <v>3538</v>
      </c>
      <c r="C1597" t="s">
        <v>96</v>
      </c>
      <c r="D1597" t="s">
        <v>64</v>
      </c>
      <c r="E1597" t="s">
        <v>38</v>
      </c>
      <c r="F1597" t="s">
        <v>3653</v>
      </c>
      <c r="G1597" s="9" t="s">
        <v>3654</v>
      </c>
      <c r="H1597">
        <v>4500</v>
      </c>
      <c r="I1597">
        <v>4500</v>
      </c>
      <c r="J1597" s="21">
        <v>45778</v>
      </c>
      <c r="K1597" t="s">
        <v>67</v>
      </c>
      <c r="L1597" t="s">
        <v>68</v>
      </c>
      <c r="M1597" t="s">
        <v>69</v>
      </c>
      <c r="O1597">
        <v>0</v>
      </c>
      <c r="S1597" t="str">
        <f>TEXT(Table1[[#This Row],[Date]],"MMM-YY")</f>
        <v>May-25</v>
      </c>
      <c r="T1597">
        <f>_xlfn.ISOWEEKNUM(Table1[[#This Row],[Date]])</f>
        <v>20</v>
      </c>
      <c r="U1597" t="str">
        <f>TEXT(Table1[[#This Row],[Expected Business Month]],"YYYY")</f>
        <v>2025</v>
      </c>
    </row>
    <row r="1598" spans="1:21" hidden="1">
      <c r="A1598" s="1">
        <v>45795</v>
      </c>
      <c r="B1598" t="s">
        <v>3636</v>
      </c>
      <c r="C1598" t="s">
        <v>96</v>
      </c>
      <c r="D1598" t="s">
        <v>20</v>
      </c>
      <c r="E1598" t="s">
        <v>23</v>
      </c>
      <c r="F1598" t="s">
        <v>73</v>
      </c>
      <c r="G1598" s="9" t="s">
        <v>3655</v>
      </c>
      <c r="H1598">
        <v>3395</v>
      </c>
      <c r="I1598">
        <v>3395</v>
      </c>
      <c r="J1598" s="21">
        <v>45778</v>
      </c>
      <c r="K1598" t="s">
        <v>67</v>
      </c>
      <c r="L1598" t="s">
        <v>68</v>
      </c>
      <c r="M1598" t="s">
        <v>69</v>
      </c>
      <c r="O1598">
        <v>0</v>
      </c>
      <c r="S1598" t="str">
        <f>TEXT(Table1[[#This Row],[Date]],"MMM-YY")</f>
        <v>May-25</v>
      </c>
      <c r="T1598">
        <f>_xlfn.ISOWEEKNUM(Table1[[#This Row],[Date]])</f>
        <v>20</v>
      </c>
      <c r="U1598" t="str">
        <f>TEXT(Table1[[#This Row],[Expected Business Month]],"YYYY")</f>
        <v>2025</v>
      </c>
    </row>
    <row r="1599" spans="1:21" ht="29.1" hidden="1">
      <c r="A1599" s="1">
        <v>45796</v>
      </c>
      <c r="B1599" t="s">
        <v>195</v>
      </c>
      <c r="C1599" t="s">
        <v>63</v>
      </c>
      <c r="D1599" t="s">
        <v>64</v>
      </c>
      <c r="E1599" t="s">
        <v>28</v>
      </c>
      <c r="F1599" t="s">
        <v>3656</v>
      </c>
      <c r="G1599" s="9" t="s">
        <v>3657</v>
      </c>
      <c r="H1599">
        <v>8500</v>
      </c>
      <c r="I1599">
        <v>8500</v>
      </c>
      <c r="J1599" s="21">
        <v>45778</v>
      </c>
      <c r="K1599" t="s">
        <v>67</v>
      </c>
      <c r="L1599" t="s">
        <v>68</v>
      </c>
      <c r="M1599" t="s">
        <v>69</v>
      </c>
      <c r="O1599">
        <v>0</v>
      </c>
      <c r="S1599" t="str">
        <f>TEXT(Table1[[#This Row],[Date]],"MMM-YY")</f>
        <v>May-25</v>
      </c>
      <c r="T1599">
        <f>_xlfn.ISOWEEKNUM(Table1[[#This Row],[Date]])</f>
        <v>21</v>
      </c>
      <c r="U1599" t="str">
        <f>TEXT(Table1[[#This Row],[Expected Business Month]],"YYYY")</f>
        <v>2025</v>
      </c>
    </row>
    <row r="1600" spans="1:21" hidden="1">
      <c r="A1600" s="1">
        <v>45796</v>
      </c>
      <c r="B1600" t="s">
        <v>3658</v>
      </c>
      <c r="C1600" t="s">
        <v>96</v>
      </c>
      <c r="D1600" t="s">
        <v>20</v>
      </c>
      <c r="E1600" t="s">
        <v>23</v>
      </c>
      <c r="F1600" t="s">
        <v>275</v>
      </c>
      <c r="G1600" s="9" t="s">
        <v>3659</v>
      </c>
      <c r="H1600">
        <v>8450</v>
      </c>
      <c r="I1600">
        <v>8450</v>
      </c>
      <c r="J1600" s="21">
        <v>45778</v>
      </c>
      <c r="K1600" t="s">
        <v>67</v>
      </c>
      <c r="L1600" t="s">
        <v>68</v>
      </c>
      <c r="M1600" t="s">
        <v>69</v>
      </c>
      <c r="O1600">
        <v>0</v>
      </c>
      <c r="S1600" t="str">
        <f>TEXT(Table1[[#This Row],[Date]],"MMM-YY")</f>
        <v>May-25</v>
      </c>
      <c r="T1600">
        <f>_xlfn.ISOWEEKNUM(Table1[[#This Row],[Date]])</f>
        <v>21</v>
      </c>
      <c r="U1600" t="str">
        <f>TEXT(Table1[[#This Row],[Expected Business Month]],"YYYY")</f>
        <v>2025</v>
      </c>
    </row>
    <row r="1601" spans="1:21">
      <c r="A1601" s="1">
        <v>45796</v>
      </c>
      <c r="B1601" t="s">
        <v>3660</v>
      </c>
      <c r="C1601" t="s">
        <v>96</v>
      </c>
      <c r="D1601" t="s">
        <v>64</v>
      </c>
      <c r="E1601" t="s">
        <v>38</v>
      </c>
      <c r="F1601" t="s">
        <v>325</v>
      </c>
      <c r="G1601" s="9" t="s">
        <v>3661</v>
      </c>
      <c r="H1601">
        <v>0</v>
      </c>
      <c r="I1601">
        <v>0</v>
      </c>
      <c r="J1601" s="21">
        <v>45778</v>
      </c>
      <c r="K1601" t="s">
        <v>99</v>
      </c>
      <c r="L1601" t="s">
        <v>68</v>
      </c>
      <c r="M1601" t="s">
        <v>69</v>
      </c>
      <c r="O1601">
        <v>0</v>
      </c>
      <c r="S1601" t="str">
        <f>TEXT(Table1[[#This Row],[Date]],"MMM-YY")</f>
        <v>May-25</v>
      </c>
      <c r="T1601">
        <f>_xlfn.ISOWEEKNUM(Table1[[#This Row],[Date]])</f>
        <v>21</v>
      </c>
      <c r="U1601" t="str">
        <f>TEXT(Table1[[#This Row],[Expected Business Month]],"YYYY")</f>
        <v>2025</v>
      </c>
    </row>
    <row r="1602" spans="1:21" hidden="1">
      <c r="A1602" s="1">
        <v>45796</v>
      </c>
      <c r="B1602" t="s">
        <v>3662</v>
      </c>
      <c r="C1602" t="s">
        <v>63</v>
      </c>
      <c r="D1602" t="s">
        <v>64</v>
      </c>
      <c r="E1602" t="s">
        <v>38</v>
      </c>
      <c r="F1602" t="s">
        <v>169</v>
      </c>
      <c r="G1602" s="9" t="s">
        <v>3663</v>
      </c>
      <c r="H1602">
        <v>800000</v>
      </c>
      <c r="I1602">
        <v>0</v>
      </c>
      <c r="J1602" s="21">
        <v>45778</v>
      </c>
      <c r="K1602" t="s">
        <v>67</v>
      </c>
      <c r="L1602" t="s">
        <v>9</v>
      </c>
      <c r="M1602" t="s">
        <v>9</v>
      </c>
      <c r="O1602">
        <v>0</v>
      </c>
      <c r="S1602" t="str">
        <f>TEXT(Table1[[#This Row],[Date]],"MMM-YY")</f>
        <v>May-25</v>
      </c>
      <c r="T1602">
        <f>_xlfn.ISOWEEKNUM(Table1[[#This Row],[Date]])</f>
        <v>21</v>
      </c>
      <c r="U1602" t="str">
        <f>TEXT(Table1[[#This Row],[Expected Business Month]],"YYYY")</f>
        <v>2025</v>
      </c>
    </row>
    <row r="1603" spans="1:21" hidden="1">
      <c r="A1603" s="1">
        <v>45797</v>
      </c>
      <c r="B1603" t="s">
        <v>3636</v>
      </c>
      <c r="C1603" t="s">
        <v>96</v>
      </c>
      <c r="D1603" t="s">
        <v>20</v>
      </c>
      <c r="E1603" t="s">
        <v>23</v>
      </c>
      <c r="F1603" t="s">
        <v>214</v>
      </c>
      <c r="G1603" s="9" t="s">
        <v>3664</v>
      </c>
      <c r="H1603">
        <v>4305</v>
      </c>
      <c r="I1603">
        <v>4305</v>
      </c>
      <c r="J1603" s="21">
        <v>45778</v>
      </c>
      <c r="K1603" t="s">
        <v>67</v>
      </c>
      <c r="L1603" t="s">
        <v>68</v>
      </c>
      <c r="M1603" t="s">
        <v>69</v>
      </c>
      <c r="O1603">
        <v>0</v>
      </c>
      <c r="S1603" t="str">
        <f>TEXT(Table1[[#This Row],[Date]],"MMM-YY")</f>
        <v>May-25</v>
      </c>
      <c r="T1603">
        <f>_xlfn.ISOWEEKNUM(Table1[[#This Row],[Date]])</f>
        <v>21</v>
      </c>
      <c r="U1603" t="str">
        <f>TEXT(Table1[[#This Row],[Expected Business Month]],"YYYY")</f>
        <v>2025</v>
      </c>
    </row>
    <row r="1604" spans="1:21" hidden="1">
      <c r="A1604" s="1">
        <v>45797</v>
      </c>
      <c r="B1604" t="s">
        <v>3665</v>
      </c>
      <c r="C1604" t="s">
        <v>63</v>
      </c>
      <c r="D1604" t="s">
        <v>64</v>
      </c>
      <c r="E1604" t="s">
        <v>25</v>
      </c>
      <c r="F1604" t="s">
        <v>3666</v>
      </c>
      <c r="G1604" s="9" t="s">
        <v>3667</v>
      </c>
      <c r="H1604">
        <v>0</v>
      </c>
      <c r="J1604" s="21">
        <v>45901</v>
      </c>
      <c r="K1604" t="s">
        <v>67</v>
      </c>
      <c r="L1604" t="s">
        <v>9</v>
      </c>
      <c r="M1604" t="s">
        <v>296</v>
      </c>
      <c r="O1604">
        <v>0</v>
      </c>
      <c r="P1604" t="s">
        <v>108</v>
      </c>
      <c r="S1604" t="str">
        <f>TEXT(Table1[[#This Row],[Date]],"MMM-YY")</f>
        <v>May-25</v>
      </c>
      <c r="T1604">
        <f>_xlfn.ISOWEEKNUM(Table1[[#This Row],[Date]])</f>
        <v>21</v>
      </c>
      <c r="U1604" t="str">
        <f>TEXT(Table1[[#This Row],[Expected Business Month]],"YYYY")</f>
        <v>2025</v>
      </c>
    </row>
    <row r="1605" spans="1:21" hidden="1">
      <c r="A1605" s="1">
        <v>45797</v>
      </c>
      <c r="B1605" t="s">
        <v>995</v>
      </c>
      <c r="C1605" t="s">
        <v>63</v>
      </c>
      <c r="D1605" t="s">
        <v>64</v>
      </c>
      <c r="E1605" t="s">
        <v>29</v>
      </c>
      <c r="F1605" t="s">
        <v>3668</v>
      </c>
      <c r="G1605" s="9" t="s">
        <v>3073</v>
      </c>
      <c r="H1605">
        <v>0</v>
      </c>
      <c r="J1605" s="21">
        <v>45870</v>
      </c>
      <c r="K1605" t="s">
        <v>67</v>
      </c>
      <c r="L1605" t="s">
        <v>9</v>
      </c>
      <c r="M1605" t="s">
        <v>2878</v>
      </c>
      <c r="O1605">
        <v>0</v>
      </c>
      <c r="S1605" t="str">
        <f>TEXT(Table1[[#This Row],[Date]],"MMM-YY")</f>
        <v>May-25</v>
      </c>
      <c r="T1605">
        <f>_xlfn.ISOWEEKNUM(Table1[[#This Row],[Date]])</f>
        <v>21</v>
      </c>
      <c r="U1605" t="str">
        <f>TEXT(Table1[[#This Row],[Expected Business Month]],"YYYY")</f>
        <v>2025</v>
      </c>
    </row>
    <row r="1606" spans="1:21">
      <c r="A1606" s="1">
        <v>45798</v>
      </c>
      <c r="B1606" t="s">
        <v>95</v>
      </c>
      <c r="C1606" t="s">
        <v>96</v>
      </c>
      <c r="D1606" t="s">
        <v>64</v>
      </c>
      <c r="E1606" t="s">
        <v>38</v>
      </c>
      <c r="F1606" t="s">
        <v>97</v>
      </c>
      <c r="G1606" s="9" t="s">
        <v>3669</v>
      </c>
      <c r="H1606">
        <v>37918</v>
      </c>
      <c r="I1606">
        <v>37918</v>
      </c>
      <c r="J1606" s="21">
        <v>45778</v>
      </c>
      <c r="K1606" t="s">
        <v>99</v>
      </c>
      <c r="L1606" t="s">
        <v>68</v>
      </c>
      <c r="M1606" t="s">
        <v>69</v>
      </c>
      <c r="O1606">
        <v>0</v>
      </c>
      <c r="S1606" t="str">
        <f>TEXT(Table1[[#This Row],[Date]],"MMM-YY")</f>
        <v>May-25</v>
      </c>
      <c r="T1606">
        <f>_xlfn.ISOWEEKNUM(Table1[[#This Row],[Date]])</f>
        <v>21</v>
      </c>
      <c r="U1606" t="str">
        <f>TEXT(Table1[[#This Row],[Expected Business Month]],"YYYY")</f>
        <v>2025</v>
      </c>
    </row>
    <row r="1607" spans="1:21" hidden="1">
      <c r="A1607" s="1">
        <v>45798</v>
      </c>
      <c r="B1607" t="s">
        <v>382</v>
      </c>
      <c r="C1607" t="s">
        <v>63</v>
      </c>
      <c r="D1607" t="s">
        <v>64</v>
      </c>
      <c r="E1607" t="s">
        <v>28</v>
      </c>
      <c r="F1607" t="s">
        <v>1707</v>
      </c>
      <c r="G1607" s="9" t="s">
        <v>3670</v>
      </c>
      <c r="H1607">
        <v>4207000</v>
      </c>
      <c r="I1607">
        <v>4207000</v>
      </c>
      <c r="J1607" s="21">
        <v>45839</v>
      </c>
      <c r="K1607" t="s">
        <v>67</v>
      </c>
      <c r="L1607" t="s">
        <v>68</v>
      </c>
      <c r="M1607" t="s">
        <v>69</v>
      </c>
      <c r="O1607">
        <v>0</v>
      </c>
      <c r="S1607" t="str">
        <f>TEXT(Table1[[#This Row],[Date]],"MMM-YY")</f>
        <v>May-25</v>
      </c>
      <c r="T1607">
        <f>_xlfn.ISOWEEKNUM(Table1[[#This Row],[Date]])</f>
        <v>21</v>
      </c>
      <c r="U1607" t="str">
        <f>TEXT(Table1[[#This Row],[Expected Business Month]],"YYYY")</f>
        <v>2025</v>
      </c>
    </row>
    <row r="1608" spans="1:21" hidden="1">
      <c r="A1608" s="1">
        <v>45798</v>
      </c>
      <c r="B1608" t="s">
        <v>3671</v>
      </c>
      <c r="C1608" t="s">
        <v>63</v>
      </c>
      <c r="D1608" t="s">
        <v>64</v>
      </c>
      <c r="E1608" t="s">
        <v>26</v>
      </c>
      <c r="F1608" t="s">
        <v>1015</v>
      </c>
      <c r="G1608" s="9" t="s">
        <v>2114</v>
      </c>
      <c r="H1608">
        <v>0</v>
      </c>
      <c r="J1608" s="21">
        <v>45870</v>
      </c>
      <c r="K1608" t="s">
        <v>67</v>
      </c>
      <c r="L1608" t="s">
        <v>9</v>
      </c>
      <c r="M1608" t="s">
        <v>2878</v>
      </c>
      <c r="O1608">
        <v>0</v>
      </c>
      <c r="S1608" t="str">
        <f>TEXT(Table1[[#This Row],[Date]],"MMM-YY")</f>
        <v>May-25</v>
      </c>
      <c r="T1608">
        <f>_xlfn.ISOWEEKNUM(Table1[[#This Row],[Date]])</f>
        <v>21</v>
      </c>
      <c r="U1608" t="str">
        <f>TEXT(Table1[[#This Row],[Expected Business Month]],"YYYY")</f>
        <v>2025</v>
      </c>
    </row>
    <row r="1609" spans="1:21" hidden="1">
      <c r="A1609" s="1">
        <v>45798</v>
      </c>
      <c r="B1609" t="s">
        <v>3672</v>
      </c>
      <c r="C1609" t="s">
        <v>63</v>
      </c>
      <c r="D1609" t="s">
        <v>64</v>
      </c>
      <c r="E1609" t="s">
        <v>38</v>
      </c>
      <c r="F1609" t="s">
        <v>169</v>
      </c>
      <c r="G1609" s="9" t="s">
        <v>3673</v>
      </c>
      <c r="H1609">
        <v>80000</v>
      </c>
      <c r="I1609">
        <v>0</v>
      </c>
      <c r="J1609" s="21">
        <v>45809</v>
      </c>
      <c r="K1609" t="s">
        <v>67</v>
      </c>
      <c r="L1609" t="s">
        <v>9</v>
      </c>
      <c r="M1609" t="s">
        <v>9</v>
      </c>
      <c r="N1609" t="s">
        <v>1428</v>
      </c>
      <c r="O1609">
        <v>0</v>
      </c>
      <c r="S1609" t="str">
        <f>TEXT(Table1[[#This Row],[Date]],"MMM-YY")</f>
        <v>May-25</v>
      </c>
      <c r="T1609">
        <f>_xlfn.ISOWEEKNUM(Table1[[#This Row],[Date]])</f>
        <v>21</v>
      </c>
      <c r="U1609" t="str">
        <f>TEXT(Table1[[#This Row],[Expected Business Month]],"YYYY")</f>
        <v>2025</v>
      </c>
    </row>
    <row r="1610" spans="1:21" hidden="1">
      <c r="A1610" s="1">
        <v>45799</v>
      </c>
      <c r="B1610" t="s">
        <v>3674</v>
      </c>
      <c r="C1610" t="s">
        <v>63</v>
      </c>
      <c r="D1610" t="s">
        <v>64</v>
      </c>
      <c r="E1610" t="s">
        <v>38</v>
      </c>
      <c r="F1610" t="s">
        <v>169</v>
      </c>
      <c r="G1610" s="9" t="s">
        <v>3663</v>
      </c>
      <c r="H1610">
        <v>100000</v>
      </c>
      <c r="I1610">
        <v>0</v>
      </c>
      <c r="J1610" s="21">
        <v>45809</v>
      </c>
      <c r="K1610" t="s">
        <v>67</v>
      </c>
      <c r="L1610" t="s">
        <v>9</v>
      </c>
      <c r="M1610" t="s">
        <v>9</v>
      </c>
      <c r="N1610" t="s">
        <v>1428</v>
      </c>
      <c r="O1610">
        <v>0</v>
      </c>
      <c r="S1610" t="str">
        <f>TEXT(Table1[[#This Row],[Date]],"MMM-YY")</f>
        <v>May-25</v>
      </c>
      <c r="T1610">
        <f>_xlfn.ISOWEEKNUM(Table1[[#This Row],[Date]])</f>
        <v>21</v>
      </c>
      <c r="U1610" t="str">
        <f>TEXT(Table1[[#This Row],[Expected Business Month]],"YYYY")</f>
        <v>2025</v>
      </c>
    </row>
    <row r="1611" spans="1:21" hidden="1">
      <c r="A1611" s="1">
        <v>45799</v>
      </c>
      <c r="B1611" t="s">
        <v>3675</v>
      </c>
      <c r="C1611" t="s">
        <v>63</v>
      </c>
      <c r="D1611" t="s">
        <v>64</v>
      </c>
      <c r="E1611" t="s">
        <v>30</v>
      </c>
      <c r="F1611" t="s">
        <v>214</v>
      </c>
      <c r="G1611" s="9" t="s">
        <v>2114</v>
      </c>
      <c r="H1611">
        <v>30000</v>
      </c>
      <c r="J1611" s="21">
        <v>45839</v>
      </c>
      <c r="K1611" t="s">
        <v>67</v>
      </c>
      <c r="L1611" t="s">
        <v>9</v>
      </c>
      <c r="M1611" t="s">
        <v>9</v>
      </c>
      <c r="O1611">
        <v>0</v>
      </c>
      <c r="S1611" t="str">
        <f>TEXT(Table1[[#This Row],[Date]],"MMM-YY")</f>
        <v>May-25</v>
      </c>
      <c r="T1611">
        <f>_xlfn.ISOWEEKNUM(Table1[[#This Row],[Date]])</f>
        <v>21</v>
      </c>
      <c r="U1611" t="str">
        <f>TEXT(Table1[[#This Row],[Expected Business Month]],"YYYY")</f>
        <v>2025</v>
      </c>
    </row>
    <row r="1612" spans="1:21" hidden="1">
      <c r="A1612" s="1">
        <v>45800</v>
      </c>
      <c r="B1612" t="s">
        <v>2581</v>
      </c>
      <c r="C1612" t="s">
        <v>96</v>
      </c>
      <c r="D1612" t="s">
        <v>20</v>
      </c>
      <c r="E1612" t="s">
        <v>23</v>
      </c>
      <c r="F1612" t="s">
        <v>1935</v>
      </c>
      <c r="G1612" s="9" t="s">
        <v>3676</v>
      </c>
      <c r="H1612">
        <v>7000</v>
      </c>
      <c r="I1612">
        <v>7000</v>
      </c>
      <c r="J1612" s="21">
        <v>45778</v>
      </c>
      <c r="K1612" t="s">
        <v>67</v>
      </c>
      <c r="L1612" t="s">
        <v>68</v>
      </c>
      <c r="M1612" t="s">
        <v>69</v>
      </c>
      <c r="O1612">
        <v>0</v>
      </c>
      <c r="S1612" t="str">
        <f>TEXT(Table1[[#This Row],[Date]],"MMM-YY")</f>
        <v>May-25</v>
      </c>
      <c r="T1612">
        <f>_xlfn.ISOWEEKNUM(Table1[[#This Row],[Date]])</f>
        <v>21</v>
      </c>
      <c r="U1612" t="str">
        <f>TEXT(Table1[[#This Row],[Expected Business Month]],"YYYY")</f>
        <v>2025</v>
      </c>
    </row>
    <row r="1613" spans="1:21" hidden="1">
      <c r="A1613" s="1">
        <v>45800</v>
      </c>
      <c r="B1613" t="s">
        <v>3375</v>
      </c>
      <c r="C1613" t="s">
        <v>96</v>
      </c>
      <c r="D1613" t="s">
        <v>20</v>
      </c>
      <c r="E1613" t="s">
        <v>23</v>
      </c>
      <c r="F1613" t="s">
        <v>625</v>
      </c>
      <c r="G1613" s="9" t="s">
        <v>3677</v>
      </c>
      <c r="H1613">
        <v>23484</v>
      </c>
      <c r="I1613">
        <v>23484</v>
      </c>
      <c r="J1613" s="21">
        <v>45778</v>
      </c>
      <c r="K1613" t="s">
        <v>67</v>
      </c>
      <c r="L1613" t="s">
        <v>68</v>
      </c>
      <c r="M1613" t="s">
        <v>69</v>
      </c>
      <c r="O1613">
        <v>0</v>
      </c>
      <c r="S1613" t="str">
        <f>TEXT(Table1[[#This Row],[Date]],"MMM-YY")</f>
        <v>May-25</v>
      </c>
      <c r="T1613">
        <f>_xlfn.ISOWEEKNUM(Table1[[#This Row],[Date]])</f>
        <v>21</v>
      </c>
      <c r="U1613" t="str">
        <f>TEXT(Table1[[#This Row],[Expected Business Month]],"YYYY")</f>
        <v>2025</v>
      </c>
    </row>
    <row r="1614" spans="1:21" hidden="1">
      <c r="A1614" s="1">
        <v>45800</v>
      </c>
      <c r="B1614" t="s">
        <v>3678</v>
      </c>
      <c r="C1614" t="s">
        <v>63</v>
      </c>
      <c r="D1614" t="s">
        <v>105</v>
      </c>
      <c r="E1614" t="s">
        <v>18</v>
      </c>
      <c r="F1614" t="s">
        <v>3679</v>
      </c>
      <c r="G1614" s="9" t="s">
        <v>2261</v>
      </c>
      <c r="H1614">
        <v>22000</v>
      </c>
      <c r="J1614" s="21">
        <v>45870</v>
      </c>
      <c r="K1614" t="s">
        <v>67</v>
      </c>
      <c r="L1614" t="s">
        <v>9</v>
      </c>
      <c r="M1614" t="s">
        <v>296</v>
      </c>
      <c r="O1614">
        <v>0</v>
      </c>
      <c r="S1614" t="str">
        <f>TEXT(Table1[[#This Row],[Date]],"MMM-YY")</f>
        <v>May-25</v>
      </c>
      <c r="T1614">
        <f>_xlfn.ISOWEEKNUM(Table1[[#This Row],[Date]])</f>
        <v>21</v>
      </c>
      <c r="U1614" t="str">
        <f>TEXT(Table1[[#This Row],[Expected Business Month]],"YYYY")</f>
        <v>2025</v>
      </c>
    </row>
    <row r="1615" spans="1:21" hidden="1">
      <c r="A1615" s="1">
        <v>45800</v>
      </c>
      <c r="B1615" t="s">
        <v>3680</v>
      </c>
      <c r="C1615" t="s">
        <v>63</v>
      </c>
      <c r="D1615" t="s">
        <v>105</v>
      </c>
      <c r="E1615" t="s">
        <v>18</v>
      </c>
      <c r="F1615" t="s">
        <v>3681</v>
      </c>
      <c r="G1615" s="9" t="s">
        <v>2261</v>
      </c>
      <c r="H1615">
        <v>30000</v>
      </c>
      <c r="J1615" s="21">
        <v>45870</v>
      </c>
      <c r="K1615" t="s">
        <v>67</v>
      </c>
      <c r="L1615" t="s">
        <v>9</v>
      </c>
      <c r="M1615" t="s">
        <v>2878</v>
      </c>
      <c r="O1615">
        <v>0</v>
      </c>
      <c r="S1615" t="str">
        <f>TEXT(Table1[[#This Row],[Date]],"MMM-YY")</f>
        <v>May-25</v>
      </c>
      <c r="T1615">
        <f>_xlfn.ISOWEEKNUM(Table1[[#This Row],[Date]])</f>
        <v>21</v>
      </c>
      <c r="U1615" t="str">
        <f>TEXT(Table1[[#This Row],[Expected Business Month]],"YYYY")</f>
        <v>2025</v>
      </c>
    </row>
    <row r="1616" spans="1:21" hidden="1">
      <c r="A1616" s="1">
        <v>45800</v>
      </c>
      <c r="B1616" t="s">
        <v>3682</v>
      </c>
      <c r="C1616" t="s">
        <v>63</v>
      </c>
      <c r="D1616" t="s">
        <v>64</v>
      </c>
      <c r="E1616" t="s">
        <v>27</v>
      </c>
      <c r="F1616" t="s">
        <v>3683</v>
      </c>
      <c r="G1616" s="9" t="s">
        <v>2114</v>
      </c>
      <c r="H1616">
        <v>0</v>
      </c>
      <c r="J1616" s="21">
        <v>45870</v>
      </c>
      <c r="K1616" t="s">
        <v>67</v>
      </c>
      <c r="L1616" t="s">
        <v>9</v>
      </c>
      <c r="M1616" t="s">
        <v>2878</v>
      </c>
      <c r="O1616">
        <v>0</v>
      </c>
      <c r="S1616" t="str">
        <f>TEXT(Table1[[#This Row],[Date]],"MMM-YY")</f>
        <v>May-25</v>
      </c>
      <c r="T1616">
        <f>_xlfn.ISOWEEKNUM(Table1[[#This Row],[Date]])</f>
        <v>21</v>
      </c>
      <c r="U1616" t="str">
        <f>TEXT(Table1[[#This Row],[Expected Business Month]],"YYYY")</f>
        <v>2025</v>
      </c>
    </row>
    <row r="1617" spans="1:21" hidden="1">
      <c r="A1617" s="1">
        <v>45803</v>
      </c>
      <c r="B1617" t="s">
        <v>3255</v>
      </c>
      <c r="C1617" t="s">
        <v>63</v>
      </c>
      <c r="D1617" t="s">
        <v>64</v>
      </c>
      <c r="E1617" t="s">
        <v>27</v>
      </c>
      <c r="F1617" t="s">
        <v>3256</v>
      </c>
      <c r="G1617" s="9" t="s">
        <v>3684</v>
      </c>
      <c r="H1617">
        <v>0</v>
      </c>
      <c r="J1617" s="21">
        <v>45870</v>
      </c>
      <c r="K1617" t="s">
        <v>67</v>
      </c>
      <c r="L1617" t="s">
        <v>9</v>
      </c>
      <c r="M1617" t="s">
        <v>2878</v>
      </c>
      <c r="O1617">
        <v>0</v>
      </c>
      <c r="S1617" t="str">
        <f>TEXT(Table1[[#This Row],[Date]],"MMM-YY")</f>
        <v>May-25</v>
      </c>
      <c r="T1617">
        <f>_xlfn.ISOWEEKNUM(Table1[[#This Row],[Date]])</f>
        <v>22</v>
      </c>
      <c r="U1617" t="str">
        <f>TEXT(Table1[[#This Row],[Expected Business Month]],"YYYY")</f>
        <v>2025</v>
      </c>
    </row>
    <row r="1618" spans="1:21" hidden="1">
      <c r="A1618" s="1">
        <v>45803</v>
      </c>
      <c r="B1618" t="s">
        <v>3685</v>
      </c>
      <c r="C1618" t="s">
        <v>96</v>
      </c>
      <c r="D1618" t="s">
        <v>64</v>
      </c>
      <c r="E1618" t="s">
        <v>32</v>
      </c>
      <c r="F1618" t="s">
        <v>3686</v>
      </c>
      <c r="G1618" s="9" t="s">
        <v>3687</v>
      </c>
      <c r="H1618">
        <v>0</v>
      </c>
      <c r="I1618">
        <v>0</v>
      </c>
      <c r="J1618" s="21">
        <v>45901</v>
      </c>
      <c r="K1618" t="s">
        <v>67</v>
      </c>
      <c r="L1618" t="s">
        <v>9</v>
      </c>
      <c r="M1618" t="s">
        <v>9</v>
      </c>
      <c r="N1618" t="s">
        <v>602</v>
      </c>
      <c r="O1618">
        <v>0</v>
      </c>
      <c r="P1618" t="s">
        <v>108</v>
      </c>
      <c r="S1618" t="str">
        <f>TEXT(Table1[[#This Row],[Date]],"MMM-YY")</f>
        <v>May-25</v>
      </c>
      <c r="T1618">
        <f>_xlfn.ISOWEEKNUM(Table1[[#This Row],[Date]])</f>
        <v>22</v>
      </c>
      <c r="U1618" t="str">
        <f>TEXT(Table1[[#This Row],[Expected Business Month]],"YYYY")</f>
        <v>2025</v>
      </c>
    </row>
    <row r="1619" spans="1:21" ht="29.1" hidden="1">
      <c r="A1619" s="1">
        <v>45803</v>
      </c>
      <c r="B1619" t="s">
        <v>374</v>
      </c>
      <c r="C1619" t="s">
        <v>96</v>
      </c>
      <c r="D1619" t="s">
        <v>64</v>
      </c>
      <c r="E1619" t="s">
        <v>28</v>
      </c>
      <c r="F1619" t="s">
        <v>3688</v>
      </c>
      <c r="G1619" s="9" t="s">
        <v>2831</v>
      </c>
      <c r="H1619">
        <v>0</v>
      </c>
      <c r="J1619" s="21">
        <v>45870</v>
      </c>
      <c r="K1619" t="s">
        <v>67</v>
      </c>
      <c r="L1619" t="s">
        <v>9</v>
      </c>
      <c r="M1619" t="s">
        <v>296</v>
      </c>
      <c r="O1619">
        <v>0</v>
      </c>
      <c r="S1619" t="str">
        <f>TEXT(Table1[[#This Row],[Date]],"MMM-YY")</f>
        <v>May-25</v>
      </c>
      <c r="T1619">
        <f>_xlfn.ISOWEEKNUM(Table1[[#This Row],[Date]])</f>
        <v>22</v>
      </c>
      <c r="U1619" t="str">
        <f>TEXT(Table1[[#This Row],[Expected Business Month]],"YYYY")</f>
        <v>2025</v>
      </c>
    </row>
    <row r="1620" spans="1:21" hidden="1">
      <c r="A1620" s="1">
        <v>45803</v>
      </c>
      <c r="B1620" t="s">
        <v>195</v>
      </c>
      <c r="C1620" t="s">
        <v>63</v>
      </c>
      <c r="D1620" t="s">
        <v>64</v>
      </c>
      <c r="E1620" t="s">
        <v>28</v>
      </c>
      <c r="F1620" t="s">
        <v>3689</v>
      </c>
      <c r="G1620" s="9" t="s">
        <v>3624</v>
      </c>
      <c r="H1620">
        <v>55000</v>
      </c>
      <c r="I1620">
        <v>0</v>
      </c>
      <c r="J1620" s="21">
        <v>45778</v>
      </c>
      <c r="K1620" t="s">
        <v>67</v>
      </c>
      <c r="L1620" t="s">
        <v>9</v>
      </c>
      <c r="M1620" t="s">
        <v>9</v>
      </c>
      <c r="O1620">
        <v>0</v>
      </c>
      <c r="S1620" t="str">
        <f>TEXT(Table1[[#This Row],[Date]],"MMM-YY")</f>
        <v>May-25</v>
      </c>
      <c r="T1620">
        <f>_xlfn.ISOWEEKNUM(Table1[[#This Row],[Date]])</f>
        <v>22</v>
      </c>
      <c r="U1620" t="str">
        <f>TEXT(Table1[[#This Row],[Expected Business Month]],"YYYY")</f>
        <v>2025</v>
      </c>
    </row>
    <row r="1621" spans="1:21" hidden="1">
      <c r="A1621" s="1">
        <v>45804</v>
      </c>
      <c r="B1621" t="s">
        <v>374</v>
      </c>
      <c r="C1621" t="s">
        <v>63</v>
      </c>
      <c r="D1621" t="s">
        <v>64</v>
      </c>
      <c r="E1621" t="s">
        <v>28</v>
      </c>
      <c r="F1621" t="s">
        <v>3688</v>
      </c>
      <c r="G1621" s="9" t="s">
        <v>3690</v>
      </c>
      <c r="H1621">
        <v>200000</v>
      </c>
      <c r="J1621" s="21">
        <v>45901</v>
      </c>
      <c r="K1621" t="s">
        <v>67</v>
      </c>
      <c r="L1621" t="s">
        <v>9</v>
      </c>
      <c r="M1621" t="s">
        <v>9</v>
      </c>
      <c r="O1621">
        <v>0</v>
      </c>
      <c r="P1621" t="s">
        <v>108</v>
      </c>
      <c r="S1621" t="str">
        <f>TEXT(Table1[[#This Row],[Date]],"MMM-YY")</f>
        <v>May-25</v>
      </c>
      <c r="T1621">
        <f>_xlfn.ISOWEEKNUM(Table1[[#This Row],[Date]])</f>
        <v>22</v>
      </c>
      <c r="U1621" t="str">
        <f>TEXT(Table1[[#This Row],[Expected Business Month]],"YYYY")</f>
        <v>2025</v>
      </c>
    </row>
    <row r="1622" spans="1:21" hidden="1">
      <c r="A1622" s="1">
        <v>45804</v>
      </c>
      <c r="B1622" t="s">
        <v>3691</v>
      </c>
      <c r="C1622" t="s">
        <v>63</v>
      </c>
      <c r="D1622" t="s">
        <v>64</v>
      </c>
      <c r="E1622" t="s">
        <v>26</v>
      </c>
      <c r="F1622" t="s">
        <v>3692</v>
      </c>
      <c r="G1622" s="9" t="s">
        <v>3693</v>
      </c>
      <c r="H1622">
        <v>9500</v>
      </c>
      <c r="I1622">
        <v>9500</v>
      </c>
      <c r="J1622" s="21">
        <v>45778</v>
      </c>
      <c r="K1622" t="s">
        <v>67</v>
      </c>
      <c r="L1622" t="s">
        <v>68</v>
      </c>
      <c r="M1622" t="s">
        <v>69</v>
      </c>
      <c r="O1622">
        <v>0</v>
      </c>
      <c r="S1622" t="str">
        <f>TEXT(Table1[[#This Row],[Date]],"MMM-YY")</f>
        <v>May-25</v>
      </c>
      <c r="T1622">
        <f>_xlfn.ISOWEEKNUM(Table1[[#This Row],[Date]])</f>
        <v>22</v>
      </c>
      <c r="U1622" t="str">
        <f>TEXT(Table1[[#This Row],[Expected Business Month]],"YYYY")</f>
        <v>2025</v>
      </c>
    </row>
    <row r="1623" spans="1:21" hidden="1">
      <c r="A1623" s="1">
        <v>45804</v>
      </c>
      <c r="B1623" t="s">
        <v>3694</v>
      </c>
      <c r="C1623" t="s">
        <v>63</v>
      </c>
      <c r="D1623" t="s">
        <v>64</v>
      </c>
      <c r="E1623" t="s">
        <v>28</v>
      </c>
      <c r="F1623" t="s">
        <v>1048</v>
      </c>
      <c r="G1623" s="9" t="s">
        <v>3695</v>
      </c>
      <c r="H1623">
        <v>50000</v>
      </c>
      <c r="J1623" s="21">
        <v>45870</v>
      </c>
      <c r="K1623" t="s">
        <v>67</v>
      </c>
      <c r="L1623" t="s">
        <v>9</v>
      </c>
      <c r="M1623" t="s">
        <v>2878</v>
      </c>
      <c r="O1623">
        <v>0</v>
      </c>
      <c r="S1623" t="str">
        <f>TEXT(Table1[[#This Row],[Date]],"MMM-YY")</f>
        <v>May-25</v>
      </c>
      <c r="T1623">
        <f>_xlfn.ISOWEEKNUM(Table1[[#This Row],[Date]])</f>
        <v>22</v>
      </c>
      <c r="U1623" t="str">
        <f>TEXT(Table1[[#This Row],[Expected Business Month]],"YYYY")</f>
        <v>2025</v>
      </c>
    </row>
    <row r="1624" spans="1:21">
      <c r="A1624" s="1">
        <v>45805</v>
      </c>
      <c r="B1624" t="s">
        <v>324</v>
      </c>
      <c r="C1624" t="s">
        <v>96</v>
      </c>
      <c r="D1624" t="s">
        <v>64</v>
      </c>
      <c r="E1624" t="s">
        <v>38</v>
      </c>
      <c r="F1624" t="s">
        <v>325</v>
      </c>
      <c r="G1624" s="9" t="s">
        <v>3696</v>
      </c>
      <c r="H1624">
        <v>59053</v>
      </c>
      <c r="I1624">
        <v>59053</v>
      </c>
      <c r="J1624" s="21">
        <v>45778</v>
      </c>
      <c r="K1624" t="s">
        <v>99</v>
      </c>
      <c r="L1624" t="s">
        <v>68</v>
      </c>
      <c r="M1624" t="s">
        <v>69</v>
      </c>
      <c r="O1624">
        <v>0</v>
      </c>
      <c r="S1624" t="str">
        <f>TEXT(Table1[[#This Row],[Date]],"MMM-YY")</f>
        <v>May-25</v>
      </c>
      <c r="T1624">
        <f>_xlfn.ISOWEEKNUM(Table1[[#This Row],[Date]])</f>
        <v>22</v>
      </c>
      <c r="U1624" t="str">
        <f>TEXT(Table1[[#This Row],[Expected Business Month]],"YYYY")</f>
        <v>2025</v>
      </c>
    </row>
    <row r="1625" spans="1:21">
      <c r="A1625" s="1">
        <v>45805</v>
      </c>
      <c r="B1625" t="s">
        <v>95</v>
      </c>
      <c r="C1625" t="s">
        <v>96</v>
      </c>
      <c r="D1625" t="s">
        <v>64</v>
      </c>
      <c r="E1625" t="s">
        <v>38</v>
      </c>
      <c r="F1625" t="s">
        <v>97</v>
      </c>
      <c r="G1625" s="9" t="s">
        <v>3697</v>
      </c>
      <c r="H1625">
        <v>38939</v>
      </c>
      <c r="I1625">
        <v>38939</v>
      </c>
      <c r="J1625" s="21">
        <v>45778</v>
      </c>
      <c r="K1625" t="s">
        <v>99</v>
      </c>
      <c r="L1625" t="s">
        <v>68</v>
      </c>
      <c r="M1625" t="s">
        <v>69</v>
      </c>
      <c r="O1625">
        <v>0</v>
      </c>
      <c r="S1625" t="str">
        <f>TEXT(Table1[[#This Row],[Date]],"MMM-YY")</f>
        <v>May-25</v>
      </c>
      <c r="T1625">
        <f>_xlfn.ISOWEEKNUM(Table1[[#This Row],[Date]])</f>
        <v>22</v>
      </c>
      <c r="U1625" t="str">
        <f>TEXT(Table1[[#This Row],[Expected Business Month]],"YYYY")</f>
        <v>2025</v>
      </c>
    </row>
    <row r="1626" spans="1:21" hidden="1">
      <c r="A1626" s="1">
        <v>45805</v>
      </c>
      <c r="B1626" t="s">
        <v>3698</v>
      </c>
      <c r="C1626" t="s">
        <v>96</v>
      </c>
      <c r="D1626" t="s">
        <v>20</v>
      </c>
      <c r="E1626" t="s">
        <v>23</v>
      </c>
      <c r="F1626" t="s">
        <v>143</v>
      </c>
      <c r="G1626" s="9" t="s">
        <v>3699</v>
      </c>
      <c r="H1626">
        <v>8493</v>
      </c>
      <c r="I1626">
        <v>8493</v>
      </c>
      <c r="J1626" s="21">
        <v>45778</v>
      </c>
      <c r="K1626" t="s">
        <v>67</v>
      </c>
      <c r="L1626" t="s">
        <v>68</v>
      </c>
      <c r="M1626" t="s">
        <v>69</v>
      </c>
      <c r="O1626">
        <v>0</v>
      </c>
      <c r="S1626" t="str">
        <f>TEXT(Table1[[#This Row],[Date]],"MMM-YY")</f>
        <v>May-25</v>
      </c>
      <c r="T1626">
        <f>_xlfn.ISOWEEKNUM(Table1[[#This Row],[Date]])</f>
        <v>22</v>
      </c>
      <c r="U1626" t="str">
        <f>TEXT(Table1[[#This Row],[Expected Business Month]],"YYYY")</f>
        <v>2025</v>
      </c>
    </row>
    <row r="1627" spans="1:21" hidden="1">
      <c r="A1627" s="1">
        <v>45805</v>
      </c>
      <c r="B1627" t="s">
        <v>245</v>
      </c>
      <c r="C1627" t="s">
        <v>96</v>
      </c>
      <c r="D1627" t="s">
        <v>20</v>
      </c>
      <c r="E1627" t="s">
        <v>23</v>
      </c>
      <c r="F1627" t="s">
        <v>704</v>
      </c>
      <c r="G1627" s="9" t="s">
        <v>3700</v>
      </c>
      <c r="H1627">
        <v>6892</v>
      </c>
      <c r="I1627">
        <v>6892</v>
      </c>
      <c r="J1627" s="21">
        <v>45778</v>
      </c>
      <c r="K1627" t="s">
        <v>67</v>
      </c>
      <c r="L1627" t="s">
        <v>68</v>
      </c>
      <c r="M1627" t="s">
        <v>69</v>
      </c>
      <c r="O1627">
        <v>0</v>
      </c>
      <c r="S1627" t="str">
        <f>TEXT(Table1[[#This Row],[Date]],"MMM-YY")</f>
        <v>May-25</v>
      </c>
      <c r="T1627">
        <f>_xlfn.ISOWEEKNUM(Table1[[#This Row],[Date]])</f>
        <v>22</v>
      </c>
      <c r="U1627" t="str">
        <f>TEXT(Table1[[#This Row],[Expected Business Month]],"YYYY")</f>
        <v>2025</v>
      </c>
    </row>
    <row r="1628" spans="1:21" ht="29.1" hidden="1">
      <c r="A1628" s="1">
        <v>45808</v>
      </c>
      <c r="B1628" t="s">
        <v>3701</v>
      </c>
      <c r="C1628" t="s">
        <v>63</v>
      </c>
      <c r="D1628" t="s">
        <v>64</v>
      </c>
      <c r="E1628" t="s">
        <v>16</v>
      </c>
      <c r="F1628" t="s">
        <v>1189</v>
      </c>
      <c r="G1628" s="9" t="s">
        <v>3702</v>
      </c>
      <c r="H1628">
        <v>90000</v>
      </c>
      <c r="I1628">
        <v>90000</v>
      </c>
      <c r="J1628" s="21">
        <v>45778</v>
      </c>
      <c r="K1628" t="s">
        <v>67</v>
      </c>
      <c r="L1628" t="s">
        <v>68</v>
      </c>
      <c r="M1628" t="s">
        <v>69</v>
      </c>
      <c r="O1628">
        <v>0</v>
      </c>
      <c r="S1628" t="str">
        <f>TEXT(Table1[[#This Row],[Date]],"MMM-YY")</f>
        <v>May-25</v>
      </c>
      <c r="T1628">
        <f>_xlfn.ISOWEEKNUM(Table1[[#This Row],[Date]])</f>
        <v>22</v>
      </c>
      <c r="U1628" t="str">
        <f>TEXT(Table1[[#This Row],[Expected Business Month]],"YYYY")</f>
        <v>2025</v>
      </c>
    </row>
    <row r="1629" spans="1:21" hidden="1">
      <c r="A1629" s="1">
        <v>45808</v>
      </c>
      <c r="B1629" t="s">
        <v>3703</v>
      </c>
      <c r="C1629" t="s">
        <v>96</v>
      </c>
      <c r="D1629" t="s">
        <v>64</v>
      </c>
      <c r="E1629" t="s">
        <v>38</v>
      </c>
      <c r="F1629" t="s">
        <v>1186</v>
      </c>
      <c r="G1629" s="9" t="s">
        <v>3704</v>
      </c>
      <c r="H1629">
        <v>67830</v>
      </c>
      <c r="I1629">
        <v>67830</v>
      </c>
      <c r="J1629" s="21">
        <v>45778</v>
      </c>
      <c r="K1629" t="s">
        <v>67</v>
      </c>
      <c r="L1629" t="s">
        <v>68</v>
      </c>
      <c r="M1629" t="s">
        <v>69</v>
      </c>
      <c r="O1629">
        <v>67830</v>
      </c>
      <c r="S1629" t="str">
        <f>TEXT(Table1[[#This Row],[Date]],"MMM-YY")</f>
        <v>May-25</v>
      </c>
      <c r="T1629">
        <f>_xlfn.ISOWEEKNUM(Table1[[#This Row],[Date]])</f>
        <v>22</v>
      </c>
      <c r="U1629" t="str">
        <f>TEXT(Table1[[#This Row],[Expected Business Month]],"YYYY")</f>
        <v>2025</v>
      </c>
    </row>
    <row r="1630" spans="1:21" hidden="1">
      <c r="A1630" s="1">
        <v>45809</v>
      </c>
      <c r="B1630" t="s">
        <v>3149</v>
      </c>
      <c r="C1630" t="s">
        <v>96</v>
      </c>
      <c r="D1630" t="s">
        <v>20</v>
      </c>
      <c r="E1630" t="s">
        <v>23</v>
      </c>
      <c r="F1630" t="s">
        <v>133</v>
      </c>
      <c r="G1630" s="9" t="s">
        <v>3705</v>
      </c>
      <c r="H1630">
        <v>3289</v>
      </c>
      <c r="I1630">
        <v>3289</v>
      </c>
      <c r="J1630" s="21">
        <v>45809</v>
      </c>
      <c r="K1630" t="s">
        <v>67</v>
      </c>
      <c r="L1630" t="s">
        <v>68</v>
      </c>
      <c r="M1630" t="s">
        <v>69</v>
      </c>
      <c r="O1630">
        <v>0</v>
      </c>
      <c r="S1630" t="str">
        <f>TEXT(Table1[[#This Row],[Date]],"MMM-YY")</f>
        <v>Jun-25</v>
      </c>
      <c r="T1630">
        <f>_xlfn.ISOWEEKNUM(Table1[[#This Row],[Date]])</f>
        <v>22</v>
      </c>
      <c r="U1630" t="str">
        <f>TEXT(Table1[[#This Row],[Expected Business Month]],"YYYY")</f>
        <v>2025</v>
      </c>
    </row>
    <row r="1631" spans="1:21" hidden="1">
      <c r="A1631" s="1">
        <v>45809</v>
      </c>
      <c r="B1631" t="s">
        <v>1400</v>
      </c>
      <c r="C1631" t="s">
        <v>96</v>
      </c>
      <c r="D1631" t="s">
        <v>20</v>
      </c>
      <c r="E1631" t="s">
        <v>23</v>
      </c>
      <c r="F1631" t="s">
        <v>73</v>
      </c>
      <c r="G1631" s="9" t="s">
        <v>3706</v>
      </c>
      <c r="H1631">
        <v>38009</v>
      </c>
      <c r="I1631">
        <v>38009</v>
      </c>
      <c r="J1631" s="21">
        <v>45809</v>
      </c>
      <c r="K1631" t="s">
        <v>67</v>
      </c>
      <c r="L1631" t="s">
        <v>68</v>
      </c>
      <c r="M1631" t="s">
        <v>69</v>
      </c>
      <c r="O1631">
        <v>0</v>
      </c>
      <c r="S1631" t="str">
        <f>TEXT(Table1[[#This Row],[Date]],"MMM-YY")</f>
        <v>Jun-25</v>
      </c>
      <c r="T1631">
        <f>_xlfn.ISOWEEKNUM(Table1[[#This Row],[Date]])</f>
        <v>22</v>
      </c>
      <c r="U1631" t="str">
        <f>TEXT(Table1[[#This Row],[Expected Business Month]],"YYYY")</f>
        <v>2025</v>
      </c>
    </row>
    <row r="1632" spans="1:21" hidden="1">
      <c r="A1632" s="1">
        <v>45810</v>
      </c>
      <c r="B1632" t="s">
        <v>152</v>
      </c>
      <c r="C1632" t="s">
        <v>96</v>
      </c>
      <c r="D1632" t="s">
        <v>20</v>
      </c>
      <c r="E1632" t="s">
        <v>23</v>
      </c>
      <c r="F1632" t="s">
        <v>441</v>
      </c>
      <c r="G1632" s="9" t="s">
        <v>3707</v>
      </c>
      <c r="H1632">
        <v>5604</v>
      </c>
      <c r="I1632">
        <v>5604</v>
      </c>
      <c r="J1632" s="21">
        <v>45809</v>
      </c>
      <c r="K1632" t="s">
        <v>67</v>
      </c>
      <c r="L1632" t="s">
        <v>68</v>
      </c>
      <c r="M1632" t="s">
        <v>69</v>
      </c>
      <c r="O1632">
        <v>0</v>
      </c>
      <c r="S1632" t="str">
        <f>TEXT(Table1[[#This Row],[Date]],"MMM-YY")</f>
        <v>Jun-25</v>
      </c>
      <c r="T1632">
        <f>_xlfn.ISOWEEKNUM(Table1[[#This Row],[Date]])</f>
        <v>23</v>
      </c>
      <c r="U1632" t="str">
        <f>TEXT(Table1[[#This Row],[Expected Business Month]],"YYYY")</f>
        <v>2025</v>
      </c>
    </row>
    <row r="1633" spans="1:21" hidden="1">
      <c r="A1633" s="1">
        <v>45810</v>
      </c>
      <c r="B1633" t="s">
        <v>3149</v>
      </c>
      <c r="C1633" t="s">
        <v>96</v>
      </c>
      <c r="D1633" t="s">
        <v>20</v>
      </c>
      <c r="E1633" t="s">
        <v>23</v>
      </c>
      <c r="F1633" t="s">
        <v>1650</v>
      </c>
      <c r="G1633" s="9" t="s">
        <v>3708</v>
      </c>
      <c r="H1633">
        <v>7561</v>
      </c>
      <c r="I1633">
        <v>7561</v>
      </c>
      <c r="J1633" s="21">
        <v>45809</v>
      </c>
      <c r="K1633" t="s">
        <v>67</v>
      </c>
      <c r="L1633" t="s">
        <v>68</v>
      </c>
      <c r="M1633" t="s">
        <v>69</v>
      </c>
      <c r="O1633">
        <v>0</v>
      </c>
      <c r="S1633" t="str">
        <f>TEXT(Table1[[#This Row],[Date]],"MMM-YY")</f>
        <v>Jun-25</v>
      </c>
      <c r="T1633">
        <f>_xlfn.ISOWEEKNUM(Table1[[#This Row],[Date]])</f>
        <v>23</v>
      </c>
      <c r="U1633" t="str">
        <f>TEXT(Table1[[#This Row],[Expected Business Month]],"YYYY")</f>
        <v>2025</v>
      </c>
    </row>
    <row r="1634" spans="1:21" hidden="1">
      <c r="A1634" s="1">
        <v>45810</v>
      </c>
      <c r="B1634" t="s">
        <v>1417</v>
      </c>
      <c r="C1634" t="s">
        <v>96</v>
      </c>
      <c r="D1634" t="s">
        <v>64</v>
      </c>
      <c r="E1634" t="s">
        <v>38</v>
      </c>
      <c r="F1634" t="s">
        <v>2728</v>
      </c>
      <c r="G1634" s="9" t="s">
        <v>3707</v>
      </c>
      <c r="H1634">
        <v>8795</v>
      </c>
      <c r="I1634">
        <v>8795</v>
      </c>
      <c r="J1634" s="21">
        <v>45809</v>
      </c>
      <c r="K1634" t="s">
        <v>67</v>
      </c>
      <c r="L1634" t="s">
        <v>68</v>
      </c>
      <c r="M1634" t="s">
        <v>69</v>
      </c>
      <c r="O1634">
        <v>0</v>
      </c>
      <c r="S1634" t="str">
        <f>TEXT(Table1[[#This Row],[Date]],"MMM-YY")</f>
        <v>Jun-25</v>
      </c>
      <c r="T1634">
        <f>_xlfn.ISOWEEKNUM(Table1[[#This Row],[Date]])</f>
        <v>23</v>
      </c>
      <c r="U1634" t="str">
        <f>TEXT(Table1[[#This Row],[Expected Business Month]],"YYYY")</f>
        <v>2025</v>
      </c>
    </row>
    <row r="1635" spans="1:21" hidden="1">
      <c r="A1635" s="1">
        <v>45811</v>
      </c>
      <c r="B1635" t="s">
        <v>3709</v>
      </c>
      <c r="C1635" t="s">
        <v>63</v>
      </c>
      <c r="D1635" t="s">
        <v>64</v>
      </c>
      <c r="E1635" t="s">
        <v>26</v>
      </c>
      <c r="F1635" t="s">
        <v>334</v>
      </c>
      <c r="G1635" s="9" t="s">
        <v>2655</v>
      </c>
      <c r="H1635">
        <v>45000</v>
      </c>
      <c r="J1635" s="21">
        <v>45870</v>
      </c>
      <c r="K1635" t="s">
        <v>67</v>
      </c>
      <c r="L1635" t="s">
        <v>9</v>
      </c>
      <c r="M1635" t="s">
        <v>2878</v>
      </c>
      <c r="O1635">
        <v>0</v>
      </c>
      <c r="S1635" t="str">
        <f>TEXT(Table1[[#This Row],[Date]],"MMM-YY")</f>
        <v>Jun-25</v>
      </c>
      <c r="T1635">
        <f>_xlfn.ISOWEEKNUM(Table1[[#This Row],[Date]])</f>
        <v>23</v>
      </c>
      <c r="U1635" t="str">
        <f>TEXT(Table1[[#This Row],[Expected Business Month]],"YYYY")</f>
        <v>2025</v>
      </c>
    </row>
    <row r="1636" spans="1:21" hidden="1">
      <c r="A1636" s="1">
        <v>45811</v>
      </c>
      <c r="B1636" t="s">
        <v>3710</v>
      </c>
      <c r="C1636" t="s">
        <v>96</v>
      </c>
      <c r="D1636" t="s">
        <v>64</v>
      </c>
      <c r="E1636" t="s">
        <v>26</v>
      </c>
      <c r="F1636" t="s">
        <v>3711</v>
      </c>
      <c r="G1636" s="9" t="s">
        <v>3712</v>
      </c>
      <c r="H1636">
        <v>12000</v>
      </c>
      <c r="I1636">
        <v>12000</v>
      </c>
      <c r="J1636" s="21">
        <v>45809</v>
      </c>
      <c r="K1636" t="s">
        <v>99</v>
      </c>
      <c r="L1636" t="s">
        <v>68</v>
      </c>
      <c r="M1636" t="s">
        <v>69</v>
      </c>
      <c r="O1636">
        <v>0</v>
      </c>
      <c r="S1636" t="str">
        <f>TEXT(Table1[[#This Row],[Date]],"MMM-YY")</f>
        <v>Jun-25</v>
      </c>
      <c r="T1636">
        <f>_xlfn.ISOWEEKNUM(Table1[[#This Row],[Date]])</f>
        <v>23</v>
      </c>
      <c r="U1636" t="str">
        <f>TEXT(Table1[[#This Row],[Expected Business Month]],"YYYY")</f>
        <v>2025</v>
      </c>
    </row>
    <row r="1637" spans="1:21" hidden="1">
      <c r="A1637" s="1">
        <v>46115</v>
      </c>
      <c r="B1637" t="s">
        <v>3713</v>
      </c>
      <c r="C1637" t="s">
        <v>63</v>
      </c>
      <c r="D1637" t="s">
        <v>64</v>
      </c>
      <c r="E1637" t="s">
        <v>13</v>
      </c>
      <c r="F1637" t="s">
        <v>3714</v>
      </c>
      <c r="G1637" s="9" t="s">
        <v>3715</v>
      </c>
      <c r="H1637">
        <v>30000</v>
      </c>
      <c r="J1637" s="21">
        <v>45870</v>
      </c>
      <c r="K1637" t="s">
        <v>67</v>
      </c>
      <c r="L1637" t="s">
        <v>9</v>
      </c>
      <c r="M1637" t="s">
        <v>2878</v>
      </c>
      <c r="O1637">
        <v>0</v>
      </c>
      <c r="S1637" t="str">
        <f>TEXT(Table1[[#This Row],[Date]],"MMM-YY")</f>
        <v>Apr-26</v>
      </c>
      <c r="T1637">
        <f>_xlfn.ISOWEEKNUM(Table1[[#This Row],[Date]])</f>
        <v>14</v>
      </c>
      <c r="U1637" t="str">
        <f>TEXT(Table1[[#This Row],[Expected Business Month]],"YYYY")</f>
        <v>2025</v>
      </c>
    </row>
    <row r="1638" spans="1:21" hidden="1">
      <c r="A1638" s="1">
        <v>45811</v>
      </c>
      <c r="B1638" t="s">
        <v>3200</v>
      </c>
      <c r="C1638" t="s">
        <v>96</v>
      </c>
      <c r="D1638" t="s">
        <v>20</v>
      </c>
      <c r="E1638" t="s">
        <v>23</v>
      </c>
      <c r="F1638" t="s">
        <v>3716</v>
      </c>
      <c r="G1638" s="9" t="s">
        <v>2744</v>
      </c>
      <c r="H1638">
        <v>3500</v>
      </c>
      <c r="I1638">
        <v>3500</v>
      </c>
      <c r="J1638" s="21">
        <v>45809</v>
      </c>
      <c r="K1638" t="s">
        <v>67</v>
      </c>
      <c r="L1638" t="s">
        <v>68</v>
      </c>
      <c r="M1638" t="s">
        <v>69</v>
      </c>
      <c r="O1638">
        <v>0</v>
      </c>
      <c r="S1638" t="str">
        <f>TEXT(Table1[[#This Row],[Date]],"MMM-YY")</f>
        <v>Jun-25</v>
      </c>
      <c r="T1638">
        <f>_xlfn.ISOWEEKNUM(Table1[[#This Row],[Date]])</f>
        <v>23</v>
      </c>
      <c r="U1638" t="str">
        <f>TEXT(Table1[[#This Row],[Expected Business Month]],"YYYY")</f>
        <v>2025</v>
      </c>
    </row>
    <row r="1639" spans="1:21">
      <c r="A1639" s="1">
        <v>45812</v>
      </c>
      <c r="B1639" t="s">
        <v>95</v>
      </c>
      <c r="C1639" t="s">
        <v>96</v>
      </c>
      <c r="D1639" t="s">
        <v>64</v>
      </c>
      <c r="E1639" t="s">
        <v>38</v>
      </c>
      <c r="F1639" t="s">
        <v>97</v>
      </c>
      <c r="G1639" s="9" t="s">
        <v>3717</v>
      </c>
      <c r="H1639">
        <v>42974</v>
      </c>
      <c r="I1639">
        <v>42974</v>
      </c>
      <c r="J1639" s="21">
        <v>45809</v>
      </c>
      <c r="K1639" t="s">
        <v>99</v>
      </c>
      <c r="L1639" t="s">
        <v>68</v>
      </c>
      <c r="M1639" t="s">
        <v>69</v>
      </c>
      <c r="O1639">
        <v>0</v>
      </c>
      <c r="S1639" t="str">
        <f>TEXT(Table1[[#This Row],[Date]],"MMM-YY")</f>
        <v>Jun-25</v>
      </c>
      <c r="T1639">
        <f>_xlfn.ISOWEEKNUM(Table1[[#This Row],[Date]])</f>
        <v>23</v>
      </c>
      <c r="U1639" t="str">
        <f>TEXT(Table1[[#This Row],[Expected Business Month]],"YYYY")</f>
        <v>2025</v>
      </c>
    </row>
    <row r="1640" spans="1:21" hidden="1">
      <c r="A1640" s="1">
        <v>45812</v>
      </c>
      <c r="B1640" t="s">
        <v>3718</v>
      </c>
      <c r="C1640" t="s">
        <v>63</v>
      </c>
      <c r="D1640" t="s">
        <v>64</v>
      </c>
      <c r="E1640" t="s">
        <v>27</v>
      </c>
      <c r="F1640" t="s">
        <v>3719</v>
      </c>
      <c r="G1640" s="9" t="s">
        <v>2465</v>
      </c>
      <c r="H1640">
        <v>0</v>
      </c>
      <c r="J1640" s="21">
        <v>45870</v>
      </c>
      <c r="K1640" t="s">
        <v>67</v>
      </c>
      <c r="L1640" t="s">
        <v>9</v>
      </c>
      <c r="M1640" t="s">
        <v>2878</v>
      </c>
      <c r="O1640">
        <v>0</v>
      </c>
      <c r="S1640" t="str">
        <f>TEXT(Table1[[#This Row],[Date]],"MMM-YY")</f>
        <v>Jun-25</v>
      </c>
      <c r="T1640">
        <f>_xlfn.ISOWEEKNUM(Table1[[#This Row],[Date]])</f>
        <v>23</v>
      </c>
      <c r="U1640" t="str">
        <f>TEXT(Table1[[#This Row],[Expected Business Month]],"YYYY")</f>
        <v>2025</v>
      </c>
    </row>
    <row r="1641" spans="1:21" hidden="1">
      <c r="A1641" s="1">
        <v>45812</v>
      </c>
      <c r="B1641" t="s">
        <v>1106</v>
      </c>
      <c r="C1641" t="s">
        <v>63</v>
      </c>
      <c r="D1641" t="s">
        <v>64</v>
      </c>
      <c r="E1641" t="s">
        <v>26</v>
      </c>
      <c r="F1641" t="s">
        <v>3720</v>
      </c>
      <c r="G1641" s="9" t="s">
        <v>2114</v>
      </c>
      <c r="H1641">
        <v>35000</v>
      </c>
      <c r="J1641" s="21">
        <v>45870</v>
      </c>
      <c r="K1641" t="s">
        <v>67</v>
      </c>
      <c r="L1641" t="s">
        <v>9</v>
      </c>
      <c r="M1641" t="s">
        <v>2878</v>
      </c>
      <c r="O1641">
        <v>0</v>
      </c>
      <c r="S1641" t="str">
        <f>TEXT(Table1[[#This Row],[Date]],"MMM-YY")</f>
        <v>Jun-25</v>
      </c>
      <c r="T1641">
        <f>_xlfn.ISOWEEKNUM(Table1[[#This Row],[Date]])</f>
        <v>23</v>
      </c>
      <c r="U1641" t="str">
        <f>TEXT(Table1[[#This Row],[Expected Business Month]],"YYYY")</f>
        <v>2025</v>
      </c>
    </row>
    <row r="1642" spans="1:21" hidden="1">
      <c r="A1642" s="1">
        <v>45812</v>
      </c>
      <c r="B1642" t="s">
        <v>3721</v>
      </c>
      <c r="C1642" t="s">
        <v>63</v>
      </c>
      <c r="D1642" t="s">
        <v>64</v>
      </c>
      <c r="E1642" t="s">
        <v>26</v>
      </c>
      <c r="F1642" t="s">
        <v>3722</v>
      </c>
      <c r="G1642" s="9" t="s">
        <v>3723</v>
      </c>
      <c r="H1642">
        <v>0</v>
      </c>
      <c r="J1642" s="21">
        <v>45870</v>
      </c>
      <c r="K1642" t="s">
        <v>67</v>
      </c>
      <c r="L1642" t="s">
        <v>9</v>
      </c>
      <c r="M1642" t="s">
        <v>2878</v>
      </c>
      <c r="O1642">
        <v>0</v>
      </c>
      <c r="S1642" t="str">
        <f>TEXT(Table1[[#This Row],[Date]],"MMM-YY")</f>
        <v>Jun-25</v>
      </c>
      <c r="T1642">
        <f>_xlfn.ISOWEEKNUM(Table1[[#This Row],[Date]])</f>
        <v>23</v>
      </c>
      <c r="U1642" t="str">
        <f>TEXT(Table1[[#This Row],[Expected Business Month]],"YYYY")</f>
        <v>2025</v>
      </c>
    </row>
    <row r="1643" spans="1:21" hidden="1">
      <c r="A1643" s="1">
        <v>45812</v>
      </c>
      <c r="B1643" t="s">
        <v>2041</v>
      </c>
      <c r="C1643" t="s">
        <v>63</v>
      </c>
      <c r="D1643" t="s">
        <v>64</v>
      </c>
      <c r="E1643" t="s">
        <v>26</v>
      </c>
      <c r="F1643" t="s">
        <v>2042</v>
      </c>
      <c r="G1643" s="9" t="s">
        <v>3724</v>
      </c>
      <c r="H1643">
        <v>0</v>
      </c>
      <c r="J1643" s="21">
        <v>45870</v>
      </c>
      <c r="K1643" t="s">
        <v>67</v>
      </c>
      <c r="L1643" t="s">
        <v>9</v>
      </c>
      <c r="M1643" t="s">
        <v>2878</v>
      </c>
      <c r="O1643">
        <v>0</v>
      </c>
      <c r="S1643" t="str">
        <f>TEXT(Table1[[#This Row],[Date]],"MMM-YY")</f>
        <v>Jun-25</v>
      </c>
      <c r="T1643">
        <f>_xlfn.ISOWEEKNUM(Table1[[#This Row],[Date]])</f>
        <v>23</v>
      </c>
      <c r="U1643" t="str">
        <f>TEXT(Table1[[#This Row],[Expected Business Month]],"YYYY")</f>
        <v>2025</v>
      </c>
    </row>
    <row r="1644" spans="1:21" hidden="1">
      <c r="A1644" s="1">
        <v>45813</v>
      </c>
      <c r="B1644" t="s">
        <v>3725</v>
      </c>
      <c r="C1644" t="s">
        <v>63</v>
      </c>
      <c r="D1644" t="s">
        <v>64</v>
      </c>
      <c r="E1644" t="s">
        <v>38</v>
      </c>
      <c r="F1644" t="s">
        <v>169</v>
      </c>
      <c r="G1644" s="9" t="s">
        <v>3726</v>
      </c>
      <c r="H1644">
        <v>300000</v>
      </c>
      <c r="I1644">
        <v>0</v>
      </c>
      <c r="J1644" s="21">
        <v>45809</v>
      </c>
      <c r="K1644" t="s">
        <v>67</v>
      </c>
      <c r="L1644" t="s">
        <v>9</v>
      </c>
      <c r="M1644" t="s">
        <v>9</v>
      </c>
      <c r="N1644" t="s">
        <v>1436</v>
      </c>
      <c r="O1644">
        <v>0</v>
      </c>
      <c r="S1644" t="str">
        <f>TEXT(Table1[[#This Row],[Date]],"MMM-YY")</f>
        <v>Jun-25</v>
      </c>
      <c r="T1644">
        <f>_xlfn.ISOWEEKNUM(Table1[[#This Row],[Date]])</f>
        <v>23</v>
      </c>
      <c r="U1644" t="str">
        <f>TEXT(Table1[[#This Row],[Expected Business Month]],"YYYY")</f>
        <v>2025</v>
      </c>
    </row>
    <row r="1645" spans="1:21" hidden="1">
      <c r="A1645" s="1">
        <v>45813</v>
      </c>
      <c r="B1645" t="s">
        <v>3727</v>
      </c>
      <c r="C1645" t="s">
        <v>63</v>
      </c>
      <c r="D1645" t="s">
        <v>64</v>
      </c>
      <c r="E1645" t="s">
        <v>26</v>
      </c>
      <c r="F1645" t="s">
        <v>2815</v>
      </c>
      <c r="G1645" s="9" t="s">
        <v>2114</v>
      </c>
      <c r="H1645">
        <v>35000</v>
      </c>
      <c r="J1645" s="21">
        <v>45870</v>
      </c>
      <c r="K1645" t="s">
        <v>67</v>
      </c>
      <c r="L1645" t="s">
        <v>9</v>
      </c>
      <c r="M1645" t="s">
        <v>2878</v>
      </c>
      <c r="O1645">
        <v>0</v>
      </c>
      <c r="S1645" t="str">
        <f>TEXT(Table1[[#This Row],[Date]],"MMM-YY")</f>
        <v>Jun-25</v>
      </c>
      <c r="T1645">
        <f>_xlfn.ISOWEEKNUM(Table1[[#This Row],[Date]])</f>
        <v>23</v>
      </c>
      <c r="U1645" t="str">
        <f>TEXT(Table1[[#This Row],[Expected Business Month]],"YYYY")</f>
        <v>2025</v>
      </c>
    </row>
    <row r="1646" spans="1:21" hidden="1">
      <c r="A1646" s="1">
        <v>45813</v>
      </c>
      <c r="B1646" t="s">
        <v>3728</v>
      </c>
      <c r="C1646" t="s">
        <v>96</v>
      </c>
      <c r="D1646" t="s">
        <v>64</v>
      </c>
      <c r="E1646" t="s">
        <v>32</v>
      </c>
      <c r="F1646" t="s">
        <v>3586</v>
      </c>
      <c r="G1646" s="9" t="s">
        <v>3729</v>
      </c>
      <c r="H1646">
        <v>0</v>
      </c>
      <c r="J1646" s="21">
        <v>45901</v>
      </c>
      <c r="K1646" t="s">
        <v>67</v>
      </c>
      <c r="L1646" t="s">
        <v>9</v>
      </c>
      <c r="M1646" t="s">
        <v>9</v>
      </c>
      <c r="O1646">
        <v>0</v>
      </c>
      <c r="P1646" t="s">
        <v>108</v>
      </c>
      <c r="S1646" t="str">
        <f>TEXT(Table1[[#This Row],[Date]],"MMM-YY")</f>
        <v>Jun-25</v>
      </c>
      <c r="T1646">
        <f>_xlfn.ISOWEEKNUM(Table1[[#This Row],[Date]])</f>
        <v>23</v>
      </c>
      <c r="U1646" t="str">
        <f>TEXT(Table1[[#This Row],[Expected Business Month]],"YYYY")</f>
        <v>2025</v>
      </c>
    </row>
    <row r="1647" spans="1:21" hidden="1">
      <c r="A1647" s="1">
        <v>45813</v>
      </c>
      <c r="B1647" t="s">
        <v>2535</v>
      </c>
      <c r="C1647" t="s">
        <v>63</v>
      </c>
      <c r="D1647" t="s">
        <v>64</v>
      </c>
      <c r="E1647" t="s">
        <v>26</v>
      </c>
      <c r="F1647" t="s">
        <v>1105</v>
      </c>
      <c r="G1647" s="9" t="s">
        <v>2114</v>
      </c>
      <c r="H1647">
        <v>0</v>
      </c>
      <c r="J1647" s="21">
        <v>45870</v>
      </c>
      <c r="K1647" t="s">
        <v>67</v>
      </c>
      <c r="L1647" t="s">
        <v>9</v>
      </c>
      <c r="M1647" t="s">
        <v>2878</v>
      </c>
      <c r="O1647">
        <v>0</v>
      </c>
      <c r="S1647" t="str">
        <f>TEXT(Table1[[#This Row],[Date]],"MMM-YY")</f>
        <v>Jun-25</v>
      </c>
      <c r="T1647">
        <f>_xlfn.ISOWEEKNUM(Table1[[#This Row],[Date]])</f>
        <v>23</v>
      </c>
      <c r="U1647" t="str">
        <f>TEXT(Table1[[#This Row],[Expected Business Month]],"YYYY")</f>
        <v>2025</v>
      </c>
    </row>
    <row r="1648" spans="1:21" hidden="1">
      <c r="A1648" s="1">
        <v>45814</v>
      </c>
      <c r="B1648" t="s">
        <v>3730</v>
      </c>
      <c r="C1648" t="s">
        <v>96</v>
      </c>
      <c r="D1648" t="s">
        <v>20</v>
      </c>
      <c r="E1648" t="s">
        <v>23</v>
      </c>
      <c r="F1648" t="s">
        <v>334</v>
      </c>
      <c r="G1648" s="9" t="s">
        <v>3731</v>
      </c>
      <c r="H1648">
        <v>5100</v>
      </c>
      <c r="I1648">
        <v>5100</v>
      </c>
      <c r="J1648" s="21">
        <v>45809</v>
      </c>
      <c r="K1648" t="s">
        <v>67</v>
      </c>
      <c r="L1648" t="s">
        <v>68</v>
      </c>
      <c r="M1648" t="s">
        <v>69</v>
      </c>
      <c r="O1648">
        <v>0</v>
      </c>
      <c r="S1648" t="str">
        <f>TEXT(Table1[[#This Row],[Date]],"MMM-YY")</f>
        <v>Jun-25</v>
      </c>
      <c r="T1648">
        <f>_xlfn.ISOWEEKNUM(Table1[[#This Row],[Date]])</f>
        <v>23</v>
      </c>
      <c r="U1648" t="str">
        <f>TEXT(Table1[[#This Row],[Expected Business Month]],"YYYY")</f>
        <v>2025</v>
      </c>
    </row>
    <row r="1649" spans="1:21" hidden="1">
      <c r="A1649" s="1">
        <v>45814</v>
      </c>
      <c r="B1649" t="s">
        <v>3636</v>
      </c>
      <c r="C1649" t="s">
        <v>96</v>
      </c>
      <c r="D1649" t="s">
        <v>20</v>
      </c>
      <c r="E1649" t="s">
        <v>23</v>
      </c>
      <c r="F1649" t="s">
        <v>3732</v>
      </c>
      <c r="G1649" s="9" t="s">
        <v>3505</v>
      </c>
      <c r="H1649">
        <v>23000</v>
      </c>
      <c r="I1649">
        <v>23000</v>
      </c>
      <c r="J1649" s="21">
        <v>45809</v>
      </c>
      <c r="K1649" t="s">
        <v>67</v>
      </c>
      <c r="L1649" t="s">
        <v>68</v>
      </c>
      <c r="M1649" t="s">
        <v>69</v>
      </c>
      <c r="O1649">
        <v>0</v>
      </c>
      <c r="S1649" t="str">
        <f>TEXT(Table1[[#This Row],[Date]],"MMM-YY")</f>
        <v>Jun-25</v>
      </c>
      <c r="T1649">
        <f>_xlfn.ISOWEEKNUM(Table1[[#This Row],[Date]])</f>
        <v>23</v>
      </c>
      <c r="U1649" t="str">
        <f>TEXT(Table1[[#This Row],[Expected Business Month]],"YYYY")</f>
        <v>2025</v>
      </c>
    </row>
    <row r="1650" spans="1:21" ht="29.1" hidden="1">
      <c r="A1650" s="1">
        <v>45814</v>
      </c>
      <c r="B1650" t="s">
        <v>82</v>
      </c>
      <c r="C1650" t="s">
        <v>63</v>
      </c>
      <c r="D1650" t="s">
        <v>64</v>
      </c>
      <c r="E1650" t="s">
        <v>38</v>
      </c>
      <c r="F1650" t="s">
        <v>93</v>
      </c>
      <c r="G1650" s="9" t="s">
        <v>3733</v>
      </c>
      <c r="H1650">
        <v>400000</v>
      </c>
      <c r="J1650" s="21">
        <v>45962</v>
      </c>
      <c r="K1650" t="s">
        <v>67</v>
      </c>
      <c r="L1650" t="s">
        <v>9</v>
      </c>
      <c r="M1650" t="s">
        <v>9</v>
      </c>
      <c r="N1650" t="s">
        <v>3734</v>
      </c>
      <c r="O1650">
        <v>0</v>
      </c>
      <c r="P1650" t="s">
        <v>108</v>
      </c>
      <c r="S1650" t="str">
        <f>TEXT(Table1[[#This Row],[Date]],"MMM-YY")</f>
        <v>Jun-25</v>
      </c>
      <c r="T1650">
        <f>_xlfn.ISOWEEKNUM(Table1[[#This Row],[Date]])</f>
        <v>23</v>
      </c>
      <c r="U1650" t="str">
        <f>TEXT(Table1[[#This Row],[Expected Business Month]],"YYYY")</f>
        <v>2025</v>
      </c>
    </row>
    <row r="1651" spans="1:21" ht="29.1" hidden="1">
      <c r="A1651" s="1">
        <v>45814</v>
      </c>
      <c r="B1651" t="s">
        <v>3735</v>
      </c>
      <c r="C1651" t="s">
        <v>63</v>
      </c>
      <c r="D1651" t="s">
        <v>64</v>
      </c>
      <c r="E1651" t="s">
        <v>28</v>
      </c>
      <c r="F1651" t="s">
        <v>3736</v>
      </c>
      <c r="G1651" s="9" t="s">
        <v>3737</v>
      </c>
      <c r="H1651">
        <v>20585</v>
      </c>
      <c r="I1651">
        <v>20585</v>
      </c>
      <c r="J1651" s="21">
        <v>45809</v>
      </c>
      <c r="K1651" t="s">
        <v>67</v>
      </c>
      <c r="L1651" t="s">
        <v>68</v>
      </c>
      <c r="M1651" t="s">
        <v>69</v>
      </c>
      <c r="O1651">
        <v>0</v>
      </c>
      <c r="S1651" t="str">
        <f>TEXT(Table1[[#This Row],[Date]],"MMM-YY")</f>
        <v>Jun-25</v>
      </c>
      <c r="T1651">
        <f>_xlfn.ISOWEEKNUM(Table1[[#This Row],[Date]])</f>
        <v>23</v>
      </c>
      <c r="U1651" t="str">
        <f>TEXT(Table1[[#This Row],[Expected Business Month]],"YYYY")</f>
        <v>2025</v>
      </c>
    </row>
    <row r="1652" spans="1:21" hidden="1">
      <c r="A1652" s="1">
        <v>45815</v>
      </c>
      <c r="B1652" t="s">
        <v>3636</v>
      </c>
      <c r="C1652" t="s">
        <v>96</v>
      </c>
      <c r="D1652" t="s">
        <v>20</v>
      </c>
      <c r="E1652" t="s">
        <v>23</v>
      </c>
      <c r="F1652" t="s">
        <v>2285</v>
      </c>
      <c r="G1652" s="9" t="s">
        <v>3738</v>
      </c>
      <c r="H1652">
        <v>12100</v>
      </c>
      <c r="I1652">
        <v>12100</v>
      </c>
      <c r="J1652" s="21">
        <v>45809</v>
      </c>
      <c r="K1652" t="s">
        <v>67</v>
      </c>
      <c r="L1652" t="s">
        <v>68</v>
      </c>
      <c r="M1652" t="s">
        <v>69</v>
      </c>
      <c r="O1652">
        <v>0</v>
      </c>
      <c r="S1652" t="str">
        <f>TEXT(Table1[[#This Row],[Date]],"MMM-YY")</f>
        <v>Jun-25</v>
      </c>
      <c r="T1652">
        <f>_xlfn.ISOWEEKNUM(Table1[[#This Row],[Date]])</f>
        <v>23</v>
      </c>
      <c r="U1652" t="str">
        <f>TEXT(Table1[[#This Row],[Expected Business Month]],"YYYY")</f>
        <v>2025</v>
      </c>
    </row>
    <row r="1653" spans="1:21" hidden="1">
      <c r="A1653" s="1">
        <v>45815</v>
      </c>
      <c r="B1653" t="s">
        <v>330</v>
      </c>
      <c r="C1653" t="s">
        <v>96</v>
      </c>
      <c r="D1653" t="s">
        <v>20</v>
      </c>
      <c r="E1653" t="s">
        <v>23</v>
      </c>
      <c r="F1653" t="s">
        <v>1745</v>
      </c>
      <c r="G1653" s="9" t="s">
        <v>3739</v>
      </c>
      <c r="H1653">
        <v>7500</v>
      </c>
      <c r="I1653">
        <v>7500</v>
      </c>
      <c r="J1653" s="21">
        <v>45809</v>
      </c>
      <c r="K1653" t="s">
        <v>67</v>
      </c>
      <c r="L1653" t="s">
        <v>68</v>
      </c>
      <c r="M1653" t="s">
        <v>69</v>
      </c>
      <c r="O1653">
        <v>0</v>
      </c>
      <c r="S1653" t="str">
        <f>TEXT(Table1[[#This Row],[Date]],"MMM-YY")</f>
        <v>Jun-25</v>
      </c>
      <c r="T1653">
        <f>_xlfn.ISOWEEKNUM(Table1[[#This Row],[Date]])</f>
        <v>23</v>
      </c>
      <c r="U1653" t="str">
        <f>TEXT(Table1[[#This Row],[Expected Business Month]],"YYYY")</f>
        <v>2025</v>
      </c>
    </row>
    <row r="1654" spans="1:21" hidden="1">
      <c r="A1654" s="1">
        <v>45817</v>
      </c>
      <c r="B1654" t="s">
        <v>3740</v>
      </c>
      <c r="C1654" t="s">
        <v>63</v>
      </c>
      <c r="D1654" t="s">
        <v>20</v>
      </c>
      <c r="E1654" t="s">
        <v>23</v>
      </c>
      <c r="F1654" t="s">
        <v>3741</v>
      </c>
      <c r="G1654" s="9" t="s">
        <v>3742</v>
      </c>
      <c r="H1654">
        <v>0</v>
      </c>
      <c r="I1654">
        <v>0</v>
      </c>
      <c r="J1654" s="21">
        <v>45809</v>
      </c>
      <c r="K1654" t="s">
        <v>67</v>
      </c>
      <c r="L1654" t="s">
        <v>9</v>
      </c>
      <c r="M1654" t="s">
        <v>9</v>
      </c>
      <c r="O1654">
        <v>0</v>
      </c>
      <c r="S1654" t="str">
        <f>TEXT(Table1[[#This Row],[Date]],"MMM-YY")</f>
        <v>Jun-25</v>
      </c>
      <c r="T1654">
        <f>_xlfn.ISOWEEKNUM(Table1[[#This Row],[Date]])</f>
        <v>24</v>
      </c>
      <c r="U1654" t="str">
        <f>TEXT(Table1[[#This Row],[Expected Business Month]],"YYYY")</f>
        <v>2025</v>
      </c>
    </row>
    <row r="1655" spans="1:21" ht="29.1" hidden="1">
      <c r="A1655" s="1">
        <v>45817</v>
      </c>
      <c r="B1655" t="s">
        <v>3743</v>
      </c>
      <c r="C1655" t="s">
        <v>63</v>
      </c>
      <c r="D1655" t="s">
        <v>105</v>
      </c>
      <c r="E1655" t="s">
        <v>18</v>
      </c>
      <c r="F1655" t="s">
        <v>3744</v>
      </c>
      <c r="G1655" s="9" t="s">
        <v>2090</v>
      </c>
      <c r="H1655">
        <v>0</v>
      </c>
      <c r="J1655" s="21">
        <v>45870</v>
      </c>
      <c r="K1655" t="s">
        <v>67</v>
      </c>
      <c r="L1655" t="s">
        <v>9</v>
      </c>
      <c r="M1655" t="s">
        <v>296</v>
      </c>
      <c r="O1655">
        <v>0</v>
      </c>
      <c r="S1655" t="str">
        <f>TEXT(Table1[[#This Row],[Date]],"MMM-YY")</f>
        <v>Jun-25</v>
      </c>
      <c r="T1655">
        <f>_xlfn.ISOWEEKNUM(Table1[[#This Row],[Date]])</f>
        <v>24</v>
      </c>
      <c r="U1655" t="str">
        <f>TEXT(Table1[[#This Row],[Expected Business Month]],"YYYY")</f>
        <v>2025</v>
      </c>
    </row>
    <row r="1656" spans="1:21" hidden="1">
      <c r="A1656" s="1">
        <v>45817</v>
      </c>
      <c r="B1656" t="s">
        <v>119</v>
      </c>
      <c r="C1656" t="s">
        <v>96</v>
      </c>
      <c r="D1656" t="s">
        <v>105</v>
      </c>
      <c r="E1656" t="s">
        <v>18</v>
      </c>
      <c r="F1656" t="s">
        <v>292</v>
      </c>
      <c r="G1656" s="9" t="s">
        <v>293</v>
      </c>
      <c r="H1656">
        <v>0</v>
      </c>
      <c r="J1656" s="21">
        <v>45901</v>
      </c>
      <c r="K1656" t="s">
        <v>67</v>
      </c>
      <c r="L1656" t="s">
        <v>68</v>
      </c>
      <c r="M1656" t="s">
        <v>69</v>
      </c>
      <c r="O1656">
        <v>0</v>
      </c>
      <c r="P1656" t="s">
        <v>108</v>
      </c>
      <c r="S1656" t="str">
        <f>TEXT(Table1[[#This Row],[Date]],"MMM-YY")</f>
        <v>Jun-25</v>
      </c>
      <c r="T1656">
        <f>_xlfn.ISOWEEKNUM(Table1[[#This Row],[Date]])</f>
        <v>24</v>
      </c>
      <c r="U1656" t="str">
        <f>TEXT(Table1[[#This Row],[Expected Business Month]],"YYYY")</f>
        <v>2025</v>
      </c>
    </row>
    <row r="1657" spans="1:21" hidden="1">
      <c r="A1657" s="1">
        <v>45817</v>
      </c>
      <c r="B1657" t="s">
        <v>3745</v>
      </c>
      <c r="C1657" t="s">
        <v>63</v>
      </c>
      <c r="D1657" t="s">
        <v>64</v>
      </c>
      <c r="E1657" t="s">
        <v>10</v>
      </c>
      <c r="F1657" t="s">
        <v>325</v>
      </c>
      <c r="G1657" s="9" t="s">
        <v>3746</v>
      </c>
      <c r="H1657">
        <v>0</v>
      </c>
      <c r="J1657" s="21">
        <v>45870</v>
      </c>
      <c r="K1657" t="s">
        <v>67</v>
      </c>
      <c r="L1657" t="s">
        <v>9</v>
      </c>
      <c r="M1657" t="s">
        <v>2878</v>
      </c>
      <c r="O1657">
        <v>0</v>
      </c>
      <c r="S1657" t="str">
        <f>TEXT(Table1[[#This Row],[Date]],"MMM-YY")</f>
        <v>Jun-25</v>
      </c>
      <c r="T1657">
        <f>_xlfn.ISOWEEKNUM(Table1[[#This Row],[Date]])</f>
        <v>24</v>
      </c>
      <c r="U1657" t="str">
        <f>TEXT(Table1[[#This Row],[Expected Business Month]],"YYYY")</f>
        <v>2025</v>
      </c>
    </row>
    <row r="1658" spans="1:21" hidden="1">
      <c r="A1658" s="1">
        <v>45818</v>
      </c>
      <c r="B1658" t="s">
        <v>3747</v>
      </c>
      <c r="C1658" t="s">
        <v>96</v>
      </c>
      <c r="D1658" t="s">
        <v>64</v>
      </c>
      <c r="E1658" t="s">
        <v>26</v>
      </c>
      <c r="F1658" t="s">
        <v>876</v>
      </c>
      <c r="G1658" s="9" t="s">
        <v>3748</v>
      </c>
      <c r="H1658">
        <v>0</v>
      </c>
      <c r="J1658" s="21">
        <v>45901</v>
      </c>
      <c r="K1658" t="s">
        <v>67</v>
      </c>
      <c r="L1658" t="s">
        <v>9</v>
      </c>
      <c r="M1658" t="s">
        <v>9</v>
      </c>
      <c r="O1658">
        <v>0</v>
      </c>
      <c r="P1658" t="s">
        <v>108</v>
      </c>
      <c r="S1658" t="str">
        <f>TEXT(Table1[[#This Row],[Date]],"MMM-YY")</f>
        <v>Jun-25</v>
      </c>
      <c r="T1658">
        <f>_xlfn.ISOWEEKNUM(Table1[[#This Row],[Date]])</f>
        <v>24</v>
      </c>
      <c r="U1658" t="str">
        <f>TEXT(Table1[[#This Row],[Expected Business Month]],"YYYY")</f>
        <v>2025</v>
      </c>
    </row>
    <row r="1659" spans="1:21" hidden="1">
      <c r="A1659" s="1">
        <v>45818</v>
      </c>
      <c r="B1659" t="s">
        <v>344</v>
      </c>
      <c r="C1659" t="s">
        <v>96</v>
      </c>
      <c r="D1659" t="s">
        <v>20</v>
      </c>
      <c r="E1659" t="s">
        <v>23</v>
      </c>
      <c r="F1659" t="s">
        <v>377</v>
      </c>
      <c r="G1659" s="9" t="s">
        <v>3749</v>
      </c>
      <c r="H1659">
        <v>6561</v>
      </c>
      <c r="I1659">
        <v>6561</v>
      </c>
      <c r="J1659" s="21">
        <v>45809</v>
      </c>
      <c r="K1659" t="s">
        <v>67</v>
      </c>
      <c r="L1659" t="s">
        <v>68</v>
      </c>
      <c r="M1659" t="s">
        <v>69</v>
      </c>
      <c r="O1659">
        <v>0</v>
      </c>
      <c r="S1659" t="str">
        <f>TEXT(Table1[[#This Row],[Date]],"MMM-YY")</f>
        <v>Jun-25</v>
      </c>
      <c r="T1659">
        <f>_xlfn.ISOWEEKNUM(Table1[[#This Row],[Date]])</f>
        <v>24</v>
      </c>
      <c r="U1659" t="str">
        <f>TEXT(Table1[[#This Row],[Expected Business Month]],"YYYY")</f>
        <v>2025</v>
      </c>
    </row>
    <row r="1660" spans="1:21" hidden="1">
      <c r="A1660" s="1">
        <v>45818</v>
      </c>
      <c r="B1660" t="s">
        <v>3750</v>
      </c>
      <c r="C1660" t="s">
        <v>96</v>
      </c>
      <c r="D1660" t="s">
        <v>64</v>
      </c>
      <c r="E1660" t="s">
        <v>38</v>
      </c>
      <c r="F1660" t="s">
        <v>1945</v>
      </c>
      <c r="G1660" s="9" t="s">
        <v>3751</v>
      </c>
      <c r="H1660">
        <v>50000</v>
      </c>
      <c r="J1660" s="21">
        <v>45839</v>
      </c>
      <c r="K1660" t="s">
        <v>67</v>
      </c>
      <c r="L1660" t="s">
        <v>9</v>
      </c>
      <c r="M1660" t="s">
        <v>9</v>
      </c>
      <c r="N1660" t="s">
        <v>3752</v>
      </c>
      <c r="O1660">
        <v>0</v>
      </c>
      <c r="S1660" t="str">
        <f>TEXT(Table1[[#This Row],[Date]],"MMM-YY")</f>
        <v>Jun-25</v>
      </c>
      <c r="T1660">
        <f>_xlfn.ISOWEEKNUM(Table1[[#This Row],[Date]])</f>
        <v>24</v>
      </c>
      <c r="U1660" t="str">
        <f>TEXT(Table1[[#This Row],[Expected Business Month]],"YYYY")</f>
        <v>2025</v>
      </c>
    </row>
    <row r="1661" spans="1:21" hidden="1">
      <c r="A1661" s="1">
        <v>45818</v>
      </c>
      <c r="B1661" t="s">
        <v>374</v>
      </c>
      <c r="C1661" t="s">
        <v>63</v>
      </c>
      <c r="D1661" t="s">
        <v>64</v>
      </c>
      <c r="E1661" t="s">
        <v>28</v>
      </c>
      <c r="F1661" t="s">
        <v>3753</v>
      </c>
      <c r="G1661" s="9" t="s">
        <v>3754</v>
      </c>
      <c r="H1661">
        <v>200000</v>
      </c>
      <c r="J1661" s="21">
        <v>45901</v>
      </c>
      <c r="K1661" t="s">
        <v>67</v>
      </c>
      <c r="L1661" t="s">
        <v>9</v>
      </c>
      <c r="M1661" t="s">
        <v>9</v>
      </c>
      <c r="O1661">
        <v>0</v>
      </c>
      <c r="P1661" t="s">
        <v>108</v>
      </c>
      <c r="S1661" t="str">
        <f>TEXT(Table1[[#This Row],[Date]],"MMM-YY")</f>
        <v>Jun-25</v>
      </c>
      <c r="T1661">
        <f>_xlfn.ISOWEEKNUM(Table1[[#This Row],[Date]])</f>
        <v>24</v>
      </c>
      <c r="U1661" t="str">
        <f>TEXT(Table1[[#This Row],[Expected Business Month]],"YYYY")</f>
        <v>2025</v>
      </c>
    </row>
    <row r="1662" spans="1:21" hidden="1">
      <c r="A1662" s="1">
        <v>45818</v>
      </c>
      <c r="B1662" t="s">
        <v>3755</v>
      </c>
      <c r="C1662" t="s">
        <v>63</v>
      </c>
      <c r="D1662" t="s">
        <v>64</v>
      </c>
      <c r="E1662" t="s">
        <v>40</v>
      </c>
      <c r="F1662" t="s">
        <v>3756</v>
      </c>
      <c r="G1662" s="9" t="s">
        <v>3757</v>
      </c>
      <c r="H1662">
        <v>30000</v>
      </c>
      <c r="J1662" s="21">
        <v>45870</v>
      </c>
      <c r="K1662" t="s">
        <v>67</v>
      </c>
      <c r="L1662" t="s">
        <v>9</v>
      </c>
      <c r="M1662" t="s">
        <v>2878</v>
      </c>
      <c r="O1662">
        <v>0</v>
      </c>
      <c r="S1662" t="str">
        <f>TEXT(Table1[[#This Row],[Date]],"MMM-YY")</f>
        <v>Jun-25</v>
      </c>
      <c r="T1662">
        <f>_xlfn.ISOWEEKNUM(Table1[[#This Row],[Date]])</f>
        <v>24</v>
      </c>
      <c r="U1662" t="str">
        <f>TEXT(Table1[[#This Row],[Expected Business Month]],"YYYY")</f>
        <v>2025</v>
      </c>
    </row>
    <row r="1663" spans="1:21" hidden="1">
      <c r="A1663" s="1">
        <v>45819</v>
      </c>
      <c r="B1663" t="s">
        <v>2312</v>
      </c>
      <c r="C1663" t="s">
        <v>96</v>
      </c>
      <c r="D1663" t="s">
        <v>64</v>
      </c>
      <c r="E1663" t="s">
        <v>26</v>
      </c>
      <c r="F1663" t="s">
        <v>3758</v>
      </c>
      <c r="G1663" s="9" t="s">
        <v>3759</v>
      </c>
      <c r="H1663">
        <v>0</v>
      </c>
      <c r="J1663" s="21">
        <v>45870</v>
      </c>
      <c r="K1663" t="s">
        <v>67</v>
      </c>
      <c r="L1663" t="s">
        <v>9</v>
      </c>
      <c r="M1663" t="s">
        <v>2878</v>
      </c>
      <c r="O1663">
        <v>0</v>
      </c>
      <c r="S1663" t="str">
        <f>TEXT(Table1[[#This Row],[Date]],"MMM-YY")</f>
        <v>Jun-25</v>
      </c>
      <c r="T1663">
        <f>_xlfn.ISOWEEKNUM(Table1[[#This Row],[Date]])</f>
        <v>24</v>
      </c>
      <c r="U1663" t="str">
        <f>TEXT(Table1[[#This Row],[Expected Business Month]],"YYYY")</f>
        <v>2025</v>
      </c>
    </row>
    <row r="1664" spans="1:21">
      <c r="A1664" s="1">
        <v>45819</v>
      </c>
      <c r="B1664" t="s">
        <v>324</v>
      </c>
      <c r="C1664" t="s">
        <v>96</v>
      </c>
      <c r="D1664" t="s">
        <v>64</v>
      </c>
      <c r="E1664" t="s">
        <v>38</v>
      </c>
      <c r="F1664" t="s">
        <v>325</v>
      </c>
      <c r="G1664" s="9" t="s">
        <v>3760</v>
      </c>
      <c r="H1664">
        <v>62072</v>
      </c>
      <c r="I1664">
        <v>62072</v>
      </c>
      <c r="J1664" s="21">
        <v>45809</v>
      </c>
      <c r="K1664" t="s">
        <v>99</v>
      </c>
      <c r="L1664" t="s">
        <v>68</v>
      </c>
      <c r="M1664" t="s">
        <v>69</v>
      </c>
      <c r="O1664">
        <v>0</v>
      </c>
      <c r="S1664" t="str">
        <f>TEXT(Table1[[#This Row],[Date]],"MMM-YY")</f>
        <v>Jun-25</v>
      </c>
      <c r="T1664">
        <f>_xlfn.ISOWEEKNUM(Table1[[#This Row],[Date]])</f>
        <v>24</v>
      </c>
      <c r="U1664" t="str">
        <f>TEXT(Table1[[#This Row],[Expected Business Month]],"YYYY")</f>
        <v>2025</v>
      </c>
    </row>
    <row r="1665" spans="1:21">
      <c r="A1665" s="1">
        <v>45819</v>
      </c>
      <c r="B1665" t="s">
        <v>95</v>
      </c>
      <c r="C1665" t="s">
        <v>96</v>
      </c>
      <c r="D1665" t="s">
        <v>64</v>
      </c>
      <c r="E1665" t="s">
        <v>38</v>
      </c>
      <c r="F1665" t="s">
        <v>97</v>
      </c>
      <c r="G1665" s="9" t="s">
        <v>3761</v>
      </c>
      <c r="H1665">
        <v>28818</v>
      </c>
      <c r="I1665">
        <v>28818</v>
      </c>
      <c r="J1665" s="21">
        <v>45809</v>
      </c>
      <c r="K1665" t="s">
        <v>99</v>
      </c>
      <c r="L1665" t="s">
        <v>68</v>
      </c>
      <c r="M1665" t="s">
        <v>69</v>
      </c>
      <c r="O1665">
        <v>0</v>
      </c>
      <c r="S1665" t="str">
        <f>TEXT(Table1[[#This Row],[Date]],"MMM-YY")</f>
        <v>Jun-25</v>
      </c>
      <c r="T1665">
        <f>_xlfn.ISOWEEKNUM(Table1[[#This Row],[Date]])</f>
        <v>24</v>
      </c>
      <c r="U1665" t="str">
        <f>TEXT(Table1[[#This Row],[Expected Business Month]],"YYYY")</f>
        <v>2025</v>
      </c>
    </row>
    <row r="1666" spans="1:21" hidden="1">
      <c r="A1666" s="1">
        <v>45819</v>
      </c>
      <c r="B1666" t="s">
        <v>3762</v>
      </c>
      <c r="C1666" t="s">
        <v>63</v>
      </c>
      <c r="D1666" t="s">
        <v>64</v>
      </c>
      <c r="E1666" t="s">
        <v>13</v>
      </c>
      <c r="F1666" t="s">
        <v>73</v>
      </c>
      <c r="G1666" s="9" t="s">
        <v>3763</v>
      </c>
      <c r="H1666">
        <v>0</v>
      </c>
      <c r="J1666" s="21">
        <v>45870</v>
      </c>
      <c r="K1666" t="s">
        <v>67</v>
      </c>
      <c r="L1666" t="s">
        <v>9</v>
      </c>
      <c r="M1666" t="s">
        <v>2878</v>
      </c>
      <c r="O1666">
        <v>0</v>
      </c>
      <c r="S1666" t="str">
        <f>TEXT(Table1[[#This Row],[Date]],"MMM-YY")</f>
        <v>Jun-25</v>
      </c>
      <c r="T1666">
        <f>_xlfn.ISOWEEKNUM(Table1[[#This Row],[Date]])</f>
        <v>24</v>
      </c>
      <c r="U1666" t="str">
        <f>TEXT(Table1[[#This Row],[Expected Business Month]],"YYYY")</f>
        <v>2025</v>
      </c>
    </row>
    <row r="1667" spans="1:21" hidden="1">
      <c r="A1667" s="1">
        <v>45820</v>
      </c>
      <c r="B1667" t="s">
        <v>3764</v>
      </c>
      <c r="C1667" t="s">
        <v>96</v>
      </c>
      <c r="D1667" t="s">
        <v>64</v>
      </c>
      <c r="E1667" t="s">
        <v>28</v>
      </c>
      <c r="F1667" t="s">
        <v>233</v>
      </c>
      <c r="G1667" s="9" t="s">
        <v>3765</v>
      </c>
      <c r="H1667">
        <v>12835</v>
      </c>
      <c r="I1667">
        <v>12835</v>
      </c>
      <c r="J1667" s="21">
        <v>45809</v>
      </c>
      <c r="K1667" t="s">
        <v>67</v>
      </c>
      <c r="L1667" t="s">
        <v>68</v>
      </c>
      <c r="M1667" t="s">
        <v>69</v>
      </c>
      <c r="O1667">
        <v>0</v>
      </c>
      <c r="S1667" t="str">
        <f>TEXT(Table1[[#This Row],[Date]],"MMM-YY")</f>
        <v>Jun-25</v>
      </c>
      <c r="T1667">
        <f>_xlfn.ISOWEEKNUM(Table1[[#This Row],[Date]])</f>
        <v>24</v>
      </c>
      <c r="U1667" t="str">
        <f>TEXT(Table1[[#This Row],[Expected Business Month]],"YYYY")</f>
        <v>2025</v>
      </c>
    </row>
    <row r="1668" spans="1:21" hidden="1">
      <c r="A1668" s="1">
        <v>45820</v>
      </c>
      <c r="B1668" t="s">
        <v>3766</v>
      </c>
      <c r="C1668" t="s">
        <v>63</v>
      </c>
      <c r="D1668" t="s">
        <v>64</v>
      </c>
      <c r="E1668" t="s">
        <v>38</v>
      </c>
      <c r="F1668" t="s">
        <v>169</v>
      </c>
      <c r="G1668" s="9" t="s">
        <v>3767</v>
      </c>
      <c r="H1668">
        <v>50000</v>
      </c>
      <c r="I1668">
        <v>0</v>
      </c>
      <c r="J1668" s="21">
        <v>45809</v>
      </c>
      <c r="K1668" t="s">
        <v>67</v>
      </c>
      <c r="L1668" t="s">
        <v>9</v>
      </c>
      <c r="M1668" t="s">
        <v>9</v>
      </c>
      <c r="N1668" t="s">
        <v>3768</v>
      </c>
      <c r="O1668">
        <v>0</v>
      </c>
      <c r="S1668" t="str">
        <f>TEXT(Table1[[#This Row],[Date]],"MMM-YY")</f>
        <v>Jun-25</v>
      </c>
      <c r="T1668">
        <f>_xlfn.ISOWEEKNUM(Table1[[#This Row],[Date]])</f>
        <v>24</v>
      </c>
      <c r="U1668" t="str">
        <f>TEXT(Table1[[#This Row],[Expected Business Month]],"YYYY")</f>
        <v>2025</v>
      </c>
    </row>
    <row r="1669" spans="1:21" hidden="1">
      <c r="A1669" s="1">
        <v>45820</v>
      </c>
      <c r="B1669" t="s">
        <v>3694</v>
      </c>
      <c r="C1669" t="s">
        <v>96</v>
      </c>
      <c r="D1669" t="s">
        <v>64</v>
      </c>
      <c r="E1669" t="s">
        <v>28</v>
      </c>
      <c r="F1669" t="s">
        <v>1048</v>
      </c>
      <c r="G1669" s="9" t="s">
        <v>3624</v>
      </c>
      <c r="H1669">
        <v>0</v>
      </c>
      <c r="J1669" s="21">
        <v>45901</v>
      </c>
      <c r="K1669" t="s">
        <v>67</v>
      </c>
      <c r="L1669" t="s">
        <v>9</v>
      </c>
      <c r="M1669" t="s">
        <v>9</v>
      </c>
      <c r="O1669">
        <v>0</v>
      </c>
      <c r="P1669" t="s">
        <v>108</v>
      </c>
      <c r="S1669" t="str">
        <f>TEXT(Table1[[#This Row],[Date]],"MMM-YY")</f>
        <v>Jun-25</v>
      </c>
      <c r="T1669">
        <f>_xlfn.ISOWEEKNUM(Table1[[#This Row],[Date]])</f>
        <v>24</v>
      </c>
      <c r="U1669" t="str">
        <f>TEXT(Table1[[#This Row],[Expected Business Month]],"YYYY")</f>
        <v>2025</v>
      </c>
    </row>
    <row r="1670" spans="1:21" hidden="1">
      <c r="A1670" s="1">
        <v>45820</v>
      </c>
      <c r="B1670" t="s">
        <v>875</v>
      </c>
      <c r="C1670" t="s">
        <v>63</v>
      </c>
      <c r="D1670" t="s">
        <v>64</v>
      </c>
      <c r="E1670" t="s">
        <v>26</v>
      </c>
      <c r="F1670" t="s">
        <v>901</v>
      </c>
      <c r="G1670" s="9" t="s">
        <v>1860</v>
      </c>
      <c r="H1670">
        <v>0</v>
      </c>
      <c r="J1670" s="21">
        <v>45870</v>
      </c>
      <c r="K1670" t="s">
        <v>67</v>
      </c>
      <c r="L1670" t="s">
        <v>9</v>
      </c>
      <c r="M1670" t="s">
        <v>296</v>
      </c>
      <c r="O1670">
        <v>0</v>
      </c>
      <c r="S1670" t="str">
        <f>TEXT(Table1[[#This Row],[Date]],"MMM-YY")</f>
        <v>Jun-25</v>
      </c>
      <c r="T1670">
        <f>_xlfn.ISOWEEKNUM(Table1[[#This Row],[Date]])</f>
        <v>24</v>
      </c>
      <c r="U1670" t="str">
        <f>TEXT(Table1[[#This Row],[Expected Business Month]],"YYYY")</f>
        <v>2025</v>
      </c>
    </row>
    <row r="1671" spans="1:21" hidden="1">
      <c r="A1671" s="1">
        <v>45821</v>
      </c>
      <c r="B1671" t="s">
        <v>3029</v>
      </c>
      <c r="C1671" t="s">
        <v>63</v>
      </c>
      <c r="D1671" t="s">
        <v>64</v>
      </c>
      <c r="E1671" t="s">
        <v>10</v>
      </c>
      <c r="F1671" t="s">
        <v>3769</v>
      </c>
      <c r="G1671" s="9" t="s">
        <v>3770</v>
      </c>
      <c r="H1671">
        <v>0</v>
      </c>
      <c r="J1671" s="21">
        <v>45901</v>
      </c>
      <c r="K1671" t="s">
        <v>67</v>
      </c>
      <c r="L1671" t="s">
        <v>9</v>
      </c>
      <c r="M1671" t="s">
        <v>9</v>
      </c>
      <c r="O1671">
        <v>0</v>
      </c>
      <c r="P1671" t="s">
        <v>108</v>
      </c>
      <c r="S1671" t="str">
        <f>TEXT(Table1[[#This Row],[Date]],"MMM-YY")</f>
        <v>Jun-25</v>
      </c>
      <c r="T1671">
        <f>_xlfn.ISOWEEKNUM(Table1[[#This Row],[Date]])</f>
        <v>24</v>
      </c>
      <c r="U1671" t="str">
        <f>TEXT(Table1[[#This Row],[Expected Business Month]],"YYYY")</f>
        <v>2025</v>
      </c>
    </row>
    <row r="1672" spans="1:21" hidden="1">
      <c r="A1672" s="1">
        <v>45821</v>
      </c>
      <c r="B1672" t="s">
        <v>3636</v>
      </c>
      <c r="C1672" t="s">
        <v>96</v>
      </c>
      <c r="D1672" t="s">
        <v>20</v>
      </c>
      <c r="E1672" t="s">
        <v>23</v>
      </c>
      <c r="F1672" t="s">
        <v>371</v>
      </c>
      <c r="G1672" s="9" t="s">
        <v>3771</v>
      </c>
      <c r="H1672">
        <v>5636</v>
      </c>
      <c r="I1672">
        <v>5636</v>
      </c>
      <c r="J1672" s="21">
        <v>45809</v>
      </c>
      <c r="K1672" t="s">
        <v>67</v>
      </c>
      <c r="L1672" t="s">
        <v>68</v>
      </c>
      <c r="M1672" t="s">
        <v>69</v>
      </c>
      <c r="O1672">
        <v>0</v>
      </c>
      <c r="S1672" t="str">
        <f>TEXT(Table1[[#This Row],[Date]],"MMM-YY")</f>
        <v>Jun-25</v>
      </c>
      <c r="T1672">
        <f>_xlfn.ISOWEEKNUM(Table1[[#This Row],[Date]])</f>
        <v>24</v>
      </c>
      <c r="U1672" t="str">
        <f>TEXT(Table1[[#This Row],[Expected Business Month]],"YYYY")</f>
        <v>2025</v>
      </c>
    </row>
    <row r="1673" spans="1:21" hidden="1">
      <c r="A1673" s="1">
        <v>45822</v>
      </c>
      <c r="B1673" t="s">
        <v>213</v>
      </c>
      <c r="C1673" t="s">
        <v>63</v>
      </c>
      <c r="D1673" t="s">
        <v>64</v>
      </c>
      <c r="E1673" t="s">
        <v>32</v>
      </c>
      <c r="F1673" t="s">
        <v>133</v>
      </c>
      <c r="G1673" s="9" t="s">
        <v>3771</v>
      </c>
      <c r="H1673">
        <v>5900</v>
      </c>
      <c r="I1673">
        <v>5900</v>
      </c>
      <c r="J1673" s="21">
        <v>45809</v>
      </c>
      <c r="K1673" t="s">
        <v>67</v>
      </c>
      <c r="L1673" t="s">
        <v>68</v>
      </c>
      <c r="M1673" t="s">
        <v>69</v>
      </c>
      <c r="O1673">
        <v>0</v>
      </c>
      <c r="S1673" t="str">
        <f>TEXT(Table1[[#This Row],[Date]],"MMM-YY")</f>
        <v>Jun-25</v>
      </c>
      <c r="T1673">
        <f>_xlfn.ISOWEEKNUM(Table1[[#This Row],[Date]])</f>
        <v>24</v>
      </c>
      <c r="U1673" t="str">
        <f>TEXT(Table1[[#This Row],[Expected Business Month]],"YYYY")</f>
        <v>2025</v>
      </c>
    </row>
    <row r="1674" spans="1:21" hidden="1">
      <c r="A1674" s="1">
        <v>45824</v>
      </c>
      <c r="B1674" t="s">
        <v>3772</v>
      </c>
      <c r="C1674" t="s">
        <v>96</v>
      </c>
      <c r="D1674" t="s">
        <v>64</v>
      </c>
      <c r="E1674" t="s">
        <v>32</v>
      </c>
      <c r="F1674" t="s">
        <v>1782</v>
      </c>
      <c r="G1674" s="9" t="s">
        <v>3773</v>
      </c>
      <c r="H1674">
        <v>18000</v>
      </c>
      <c r="J1674" s="21">
        <v>45962</v>
      </c>
      <c r="K1674" t="s">
        <v>67</v>
      </c>
      <c r="L1674" t="s">
        <v>9</v>
      </c>
      <c r="M1674" t="s">
        <v>9</v>
      </c>
      <c r="O1674">
        <v>0</v>
      </c>
      <c r="P1674" t="s">
        <v>108</v>
      </c>
      <c r="S1674" t="str">
        <f>TEXT(Table1[[#This Row],[Date]],"MMM-YY")</f>
        <v>Jun-25</v>
      </c>
      <c r="T1674">
        <f>_xlfn.ISOWEEKNUM(Table1[[#This Row],[Date]])</f>
        <v>25</v>
      </c>
      <c r="U1674" t="str">
        <f>TEXT(Table1[[#This Row],[Expected Business Month]],"YYYY")</f>
        <v>2025</v>
      </c>
    </row>
    <row r="1675" spans="1:21" ht="29.1" hidden="1">
      <c r="A1675" s="1">
        <v>45824</v>
      </c>
      <c r="B1675" t="s">
        <v>3774</v>
      </c>
      <c r="C1675" t="s">
        <v>63</v>
      </c>
      <c r="D1675" t="s">
        <v>64</v>
      </c>
      <c r="E1675" t="s">
        <v>32</v>
      </c>
      <c r="F1675" t="s">
        <v>2216</v>
      </c>
      <c r="G1675" s="9" t="s">
        <v>3775</v>
      </c>
      <c r="H1675">
        <v>8000</v>
      </c>
      <c r="I1675">
        <v>8000</v>
      </c>
      <c r="J1675" s="21">
        <v>45839</v>
      </c>
      <c r="K1675" t="s">
        <v>67</v>
      </c>
      <c r="L1675" t="s">
        <v>68</v>
      </c>
      <c r="M1675" t="s">
        <v>69</v>
      </c>
      <c r="O1675">
        <v>0</v>
      </c>
      <c r="S1675" t="str">
        <f>TEXT(Table1[[#This Row],[Date]],"MMM-YY")</f>
        <v>Jun-25</v>
      </c>
      <c r="T1675">
        <f>_xlfn.ISOWEEKNUM(Table1[[#This Row],[Date]])</f>
        <v>25</v>
      </c>
      <c r="U1675" t="str">
        <f>TEXT(Table1[[#This Row],[Expected Business Month]],"YYYY")</f>
        <v>2025</v>
      </c>
    </row>
    <row r="1676" spans="1:21" hidden="1">
      <c r="A1676" s="1">
        <v>45824</v>
      </c>
      <c r="B1676" t="s">
        <v>288</v>
      </c>
      <c r="C1676" t="s">
        <v>63</v>
      </c>
      <c r="D1676" t="s">
        <v>64</v>
      </c>
      <c r="E1676" t="s">
        <v>26</v>
      </c>
      <c r="F1676" t="s">
        <v>80</v>
      </c>
      <c r="G1676" s="9" t="s">
        <v>289</v>
      </c>
      <c r="H1676">
        <v>0</v>
      </c>
      <c r="I1676">
        <v>0</v>
      </c>
      <c r="J1676" s="21">
        <v>45901</v>
      </c>
      <c r="K1676" t="s">
        <v>67</v>
      </c>
      <c r="L1676" t="s">
        <v>68</v>
      </c>
      <c r="M1676" t="s">
        <v>69</v>
      </c>
      <c r="O1676">
        <v>0</v>
      </c>
      <c r="P1676" t="s">
        <v>108</v>
      </c>
      <c r="S1676" t="str">
        <f>TEXT(Table1[[#This Row],[Date]],"MMM-YY")</f>
        <v>Jun-25</v>
      </c>
      <c r="T1676">
        <f>_xlfn.ISOWEEKNUM(Table1[[#This Row],[Date]])</f>
        <v>25</v>
      </c>
      <c r="U1676" t="str">
        <f>TEXT(Table1[[#This Row],[Expected Business Month]],"YYYY")</f>
        <v>2025</v>
      </c>
    </row>
    <row r="1677" spans="1:21" hidden="1">
      <c r="A1677" s="1">
        <v>45824</v>
      </c>
      <c r="B1677" t="s">
        <v>374</v>
      </c>
      <c r="C1677" t="s">
        <v>63</v>
      </c>
      <c r="D1677" t="s">
        <v>64</v>
      </c>
      <c r="E1677" t="s">
        <v>28</v>
      </c>
      <c r="F1677" t="s">
        <v>3688</v>
      </c>
      <c r="G1677" s="9" t="s">
        <v>3776</v>
      </c>
      <c r="H1677">
        <v>100000</v>
      </c>
      <c r="J1677" s="21">
        <v>46023</v>
      </c>
      <c r="K1677" t="s">
        <v>67</v>
      </c>
      <c r="L1677" t="s">
        <v>9</v>
      </c>
      <c r="M1677" t="s">
        <v>9</v>
      </c>
      <c r="O1677">
        <v>0</v>
      </c>
      <c r="P1677" t="s">
        <v>298</v>
      </c>
      <c r="S1677" t="str">
        <f>TEXT(Table1[[#This Row],[Date]],"MMM-YY")</f>
        <v>Jun-25</v>
      </c>
      <c r="T1677">
        <f>_xlfn.ISOWEEKNUM(Table1[[#This Row],[Date]])</f>
        <v>25</v>
      </c>
      <c r="U1677" t="str">
        <f>TEXT(Table1[[#This Row],[Expected Business Month]],"YYYY")</f>
        <v>2026</v>
      </c>
    </row>
    <row r="1678" spans="1:21" hidden="1">
      <c r="A1678" s="1">
        <v>45824</v>
      </c>
      <c r="B1678" t="s">
        <v>1921</v>
      </c>
      <c r="C1678" t="s">
        <v>96</v>
      </c>
      <c r="D1678" t="s">
        <v>64</v>
      </c>
      <c r="E1678" t="s">
        <v>26</v>
      </c>
      <c r="F1678" t="s">
        <v>73</v>
      </c>
      <c r="G1678" s="9" t="s">
        <v>3624</v>
      </c>
      <c r="H1678">
        <v>18000</v>
      </c>
      <c r="J1678" s="21">
        <v>45870</v>
      </c>
      <c r="K1678" t="s">
        <v>67</v>
      </c>
      <c r="L1678" t="s">
        <v>9</v>
      </c>
      <c r="M1678" t="s">
        <v>2878</v>
      </c>
      <c r="O1678">
        <v>0</v>
      </c>
      <c r="S1678" t="str">
        <f>TEXT(Table1[[#This Row],[Date]],"MMM-YY")</f>
        <v>Jun-25</v>
      </c>
      <c r="T1678">
        <f>_xlfn.ISOWEEKNUM(Table1[[#This Row],[Date]])</f>
        <v>25</v>
      </c>
      <c r="U1678" t="str">
        <f>TEXT(Table1[[#This Row],[Expected Business Month]],"YYYY")</f>
        <v>2025</v>
      </c>
    </row>
    <row r="1679" spans="1:21" hidden="1">
      <c r="A1679" s="1">
        <v>45824</v>
      </c>
      <c r="B1679" t="s">
        <v>3777</v>
      </c>
      <c r="C1679" t="s">
        <v>96</v>
      </c>
      <c r="D1679" t="s">
        <v>618</v>
      </c>
      <c r="E1679" t="s">
        <v>18</v>
      </c>
      <c r="F1679" t="s">
        <v>545</v>
      </c>
      <c r="G1679" s="9" t="s">
        <v>3778</v>
      </c>
      <c r="H1679">
        <v>400000</v>
      </c>
      <c r="J1679" s="21">
        <v>45870</v>
      </c>
      <c r="K1679" t="s">
        <v>67</v>
      </c>
      <c r="L1679" t="s">
        <v>9</v>
      </c>
      <c r="M1679" t="s">
        <v>9</v>
      </c>
      <c r="O1679">
        <v>0</v>
      </c>
      <c r="S1679" t="str">
        <f>TEXT(Table1[[#This Row],[Date]],"MMM-YY")</f>
        <v>Jun-25</v>
      </c>
      <c r="T1679">
        <f>_xlfn.ISOWEEKNUM(Table1[[#This Row],[Date]])</f>
        <v>25</v>
      </c>
      <c r="U1679" t="str">
        <f>TEXT(Table1[[#This Row],[Expected Business Month]],"YYYY")</f>
        <v>2025</v>
      </c>
    </row>
    <row r="1680" spans="1:21" hidden="1">
      <c r="A1680" s="1">
        <v>45825</v>
      </c>
      <c r="B1680" t="s">
        <v>2795</v>
      </c>
      <c r="C1680" t="s">
        <v>96</v>
      </c>
      <c r="D1680" t="s">
        <v>20</v>
      </c>
      <c r="E1680" t="s">
        <v>23</v>
      </c>
      <c r="F1680" t="s">
        <v>3779</v>
      </c>
      <c r="G1680" s="9" t="s">
        <v>3780</v>
      </c>
      <c r="H1680">
        <v>15200</v>
      </c>
      <c r="I1680">
        <v>15200</v>
      </c>
      <c r="J1680" s="21">
        <v>45809</v>
      </c>
      <c r="K1680" t="s">
        <v>67</v>
      </c>
      <c r="L1680" t="s">
        <v>68</v>
      </c>
      <c r="M1680" t="s">
        <v>69</v>
      </c>
      <c r="O1680">
        <v>0</v>
      </c>
      <c r="S1680" t="str">
        <f>TEXT(Table1[[#This Row],[Date]],"MMM-YY")</f>
        <v>Jun-25</v>
      </c>
      <c r="T1680">
        <f>_xlfn.ISOWEEKNUM(Table1[[#This Row],[Date]])</f>
        <v>25</v>
      </c>
      <c r="U1680" t="str">
        <f>TEXT(Table1[[#This Row],[Expected Business Month]],"YYYY")</f>
        <v>2025</v>
      </c>
    </row>
    <row r="1681" spans="1:21" hidden="1">
      <c r="A1681" s="1">
        <v>45825</v>
      </c>
      <c r="B1681" t="s">
        <v>82</v>
      </c>
      <c r="C1681" t="s">
        <v>63</v>
      </c>
      <c r="D1681" t="s">
        <v>64</v>
      </c>
      <c r="E1681" t="s">
        <v>38</v>
      </c>
      <c r="F1681" t="s">
        <v>83</v>
      </c>
      <c r="G1681" s="9" t="s">
        <v>3781</v>
      </c>
      <c r="H1681">
        <v>0</v>
      </c>
      <c r="I1681">
        <v>0</v>
      </c>
      <c r="J1681" s="21">
        <v>45901</v>
      </c>
      <c r="K1681" t="s">
        <v>67</v>
      </c>
      <c r="L1681" t="s">
        <v>9</v>
      </c>
      <c r="M1681" t="s">
        <v>9</v>
      </c>
      <c r="N1681" t="s">
        <v>3782</v>
      </c>
      <c r="O1681">
        <v>0</v>
      </c>
      <c r="P1681" t="s">
        <v>108</v>
      </c>
      <c r="S1681" t="str">
        <f>TEXT(Table1[[#This Row],[Date]],"MMM-YY")</f>
        <v>Jun-25</v>
      </c>
      <c r="T1681">
        <f>_xlfn.ISOWEEKNUM(Table1[[#This Row],[Date]])</f>
        <v>25</v>
      </c>
      <c r="U1681" t="str">
        <f>TEXT(Table1[[#This Row],[Expected Business Month]],"YYYY")</f>
        <v>2025</v>
      </c>
    </row>
    <row r="1682" spans="1:21" hidden="1">
      <c r="A1682" s="1">
        <v>45825</v>
      </c>
      <c r="B1682" t="s">
        <v>249</v>
      </c>
      <c r="C1682" t="s">
        <v>63</v>
      </c>
      <c r="D1682" t="s">
        <v>64</v>
      </c>
      <c r="E1682" t="s">
        <v>26</v>
      </c>
      <c r="F1682" t="s">
        <v>3783</v>
      </c>
      <c r="G1682" s="9" t="s">
        <v>3784</v>
      </c>
      <c r="H1682">
        <v>200000</v>
      </c>
      <c r="J1682" s="21">
        <v>45870</v>
      </c>
      <c r="K1682" t="s">
        <v>67</v>
      </c>
      <c r="L1682" t="s">
        <v>9</v>
      </c>
      <c r="M1682" t="s">
        <v>2878</v>
      </c>
      <c r="O1682">
        <v>0</v>
      </c>
      <c r="S1682" t="str">
        <f>TEXT(Table1[[#This Row],[Date]],"MMM-YY")</f>
        <v>Jun-25</v>
      </c>
      <c r="T1682">
        <f>_xlfn.ISOWEEKNUM(Table1[[#This Row],[Date]])</f>
        <v>25</v>
      </c>
      <c r="U1682" t="str">
        <f>TEXT(Table1[[#This Row],[Expected Business Month]],"YYYY")</f>
        <v>2025</v>
      </c>
    </row>
    <row r="1683" spans="1:21">
      <c r="A1683" s="1">
        <v>45825</v>
      </c>
      <c r="B1683" t="s">
        <v>95</v>
      </c>
      <c r="C1683" t="s">
        <v>96</v>
      </c>
      <c r="D1683" t="s">
        <v>64</v>
      </c>
      <c r="E1683" t="s">
        <v>38</v>
      </c>
      <c r="F1683" t="s">
        <v>97</v>
      </c>
      <c r="G1683" s="9" t="s">
        <v>3785</v>
      </c>
      <c r="H1683">
        <v>42975</v>
      </c>
      <c r="I1683">
        <v>42975</v>
      </c>
      <c r="J1683" s="21">
        <v>45809</v>
      </c>
      <c r="K1683" t="s">
        <v>99</v>
      </c>
      <c r="L1683" t="s">
        <v>68</v>
      </c>
      <c r="M1683" t="s">
        <v>69</v>
      </c>
      <c r="O1683">
        <v>0</v>
      </c>
      <c r="S1683" t="str">
        <f>TEXT(Table1[[#This Row],[Date]],"MMM-YY")</f>
        <v>Jun-25</v>
      </c>
      <c r="T1683">
        <f>_xlfn.ISOWEEKNUM(Table1[[#This Row],[Date]])</f>
        <v>25</v>
      </c>
      <c r="U1683" t="str">
        <f>TEXT(Table1[[#This Row],[Expected Business Month]],"YYYY")</f>
        <v>2025</v>
      </c>
    </row>
    <row r="1684" spans="1:21" hidden="1">
      <c r="A1684" s="1">
        <v>45825</v>
      </c>
      <c r="B1684" t="s">
        <v>3786</v>
      </c>
      <c r="C1684" t="s">
        <v>63</v>
      </c>
      <c r="D1684" t="s">
        <v>64</v>
      </c>
      <c r="E1684" t="s">
        <v>14</v>
      </c>
      <c r="F1684" t="s">
        <v>371</v>
      </c>
      <c r="G1684" s="9" t="s">
        <v>2655</v>
      </c>
      <c r="H1684">
        <v>90000</v>
      </c>
      <c r="J1684" s="21">
        <v>45870</v>
      </c>
      <c r="K1684" t="s">
        <v>67</v>
      </c>
      <c r="L1684" t="s">
        <v>9</v>
      </c>
      <c r="M1684" t="s">
        <v>2878</v>
      </c>
      <c r="O1684">
        <v>0</v>
      </c>
      <c r="S1684" t="str">
        <f>TEXT(Table1[[#This Row],[Date]],"MMM-YY")</f>
        <v>Jun-25</v>
      </c>
      <c r="T1684">
        <f>_xlfn.ISOWEEKNUM(Table1[[#This Row],[Date]])</f>
        <v>25</v>
      </c>
      <c r="U1684" t="str">
        <f>TEXT(Table1[[#This Row],[Expected Business Month]],"YYYY")</f>
        <v>2025</v>
      </c>
    </row>
    <row r="1685" spans="1:21" hidden="1">
      <c r="A1685" s="1">
        <v>45826</v>
      </c>
      <c r="B1685" t="s">
        <v>3787</v>
      </c>
      <c r="C1685" t="s">
        <v>63</v>
      </c>
      <c r="D1685" t="s">
        <v>64</v>
      </c>
      <c r="E1685" t="s">
        <v>26</v>
      </c>
      <c r="F1685" t="s">
        <v>2484</v>
      </c>
      <c r="G1685" s="9" t="s">
        <v>3788</v>
      </c>
      <c r="H1685">
        <v>10075</v>
      </c>
      <c r="I1685">
        <v>10075</v>
      </c>
      <c r="J1685" s="21">
        <v>45809</v>
      </c>
      <c r="K1685" t="s">
        <v>67</v>
      </c>
      <c r="L1685" t="s">
        <v>68</v>
      </c>
      <c r="M1685" t="s">
        <v>69</v>
      </c>
      <c r="O1685">
        <v>0</v>
      </c>
      <c r="S1685" t="str">
        <f>TEXT(Table1[[#This Row],[Date]],"MMM-YY")</f>
        <v>Jun-25</v>
      </c>
      <c r="T1685">
        <f>_xlfn.ISOWEEKNUM(Table1[[#This Row],[Date]])</f>
        <v>25</v>
      </c>
      <c r="U1685" t="str">
        <f>TEXT(Table1[[#This Row],[Expected Business Month]],"YYYY")</f>
        <v>2025</v>
      </c>
    </row>
    <row r="1686" spans="1:21" hidden="1">
      <c r="A1686" s="1">
        <v>45826</v>
      </c>
      <c r="B1686" t="s">
        <v>2948</v>
      </c>
      <c r="C1686" t="s">
        <v>96</v>
      </c>
      <c r="D1686" t="s">
        <v>64</v>
      </c>
      <c r="E1686" t="s">
        <v>28</v>
      </c>
      <c r="F1686" t="s">
        <v>2949</v>
      </c>
      <c r="G1686" s="9" t="s">
        <v>3789</v>
      </c>
      <c r="H1686">
        <v>20000</v>
      </c>
      <c r="J1686" s="21">
        <v>45962</v>
      </c>
      <c r="K1686" t="s">
        <v>67</v>
      </c>
      <c r="L1686" t="s">
        <v>9</v>
      </c>
      <c r="M1686" t="s">
        <v>9</v>
      </c>
      <c r="N1686" t="s">
        <v>3790</v>
      </c>
      <c r="O1686">
        <v>0</v>
      </c>
      <c r="P1686" t="s">
        <v>108</v>
      </c>
      <c r="S1686" t="str">
        <f>TEXT(Table1[[#This Row],[Date]],"MMM-YY")</f>
        <v>Jun-25</v>
      </c>
      <c r="T1686">
        <f>_xlfn.ISOWEEKNUM(Table1[[#This Row],[Date]])</f>
        <v>25</v>
      </c>
      <c r="U1686" t="str">
        <f>TEXT(Table1[[#This Row],[Expected Business Month]],"YYYY")</f>
        <v>2025</v>
      </c>
    </row>
    <row r="1687" spans="1:21" hidden="1">
      <c r="A1687" s="1">
        <v>45826</v>
      </c>
      <c r="B1687" t="s">
        <v>3791</v>
      </c>
      <c r="C1687" t="s">
        <v>96</v>
      </c>
      <c r="D1687" t="s">
        <v>64</v>
      </c>
      <c r="E1687" t="s">
        <v>25</v>
      </c>
      <c r="F1687" t="s">
        <v>1026</v>
      </c>
      <c r="G1687" s="9" t="s">
        <v>3792</v>
      </c>
      <c r="H1687">
        <v>17000</v>
      </c>
      <c r="I1687">
        <v>17000</v>
      </c>
      <c r="J1687" s="21">
        <v>45839</v>
      </c>
      <c r="K1687" t="s">
        <v>67</v>
      </c>
      <c r="L1687" t="s">
        <v>68</v>
      </c>
      <c r="M1687" t="s">
        <v>69</v>
      </c>
      <c r="O1687">
        <v>0</v>
      </c>
      <c r="S1687" t="str">
        <f>TEXT(Table1[[#This Row],[Date]],"MMM-YY")</f>
        <v>Jun-25</v>
      </c>
      <c r="T1687">
        <f>_xlfn.ISOWEEKNUM(Table1[[#This Row],[Date]])</f>
        <v>25</v>
      </c>
      <c r="U1687" t="str">
        <f>TEXT(Table1[[#This Row],[Expected Business Month]],"YYYY")</f>
        <v>2025</v>
      </c>
    </row>
    <row r="1688" spans="1:21" hidden="1">
      <c r="A1688" s="1">
        <v>45826</v>
      </c>
      <c r="B1688" t="s">
        <v>3793</v>
      </c>
      <c r="C1688" t="s">
        <v>63</v>
      </c>
      <c r="D1688" t="s">
        <v>64</v>
      </c>
      <c r="E1688" t="s">
        <v>25</v>
      </c>
      <c r="F1688" t="s">
        <v>233</v>
      </c>
      <c r="G1688" s="9" t="s">
        <v>3794</v>
      </c>
      <c r="H1688">
        <v>17800</v>
      </c>
      <c r="I1688">
        <v>17800</v>
      </c>
      <c r="J1688" s="21">
        <v>45839</v>
      </c>
      <c r="K1688" t="s">
        <v>67</v>
      </c>
      <c r="L1688" t="s">
        <v>68</v>
      </c>
      <c r="M1688" t="s">
        <v>69</v>
      </c>
      <c r="O1688">
        <v>0</v>
      </c>
      <c r="S1688" t="str">
        <f>TEXT(Table1[[#This Row],[Date]],"MMM-YY")</f>
        <v>Jun-25</v>
      </c>
      <c r="T1688">
        <f>_xlfn.ISOWEEKNUM(Table1[[#This Row],[Date]])</f>
        <v>25</v>
      </c>
      <c r="U1688" t="str">
        <f>TEXT(Table1[[#This Row],[Expected Business Month]],"YYYY")</f>
        <v>2025</v>
      </c>
    </row>
    <row r="1689" spans="1:21" hidden="1">
      <c r="A1689" s="1">
        <v>45826</v>
      </c>
      <c r="B1689" t="s">
        <v>3795</v>
      </c>
      <c r="C1689" t="s">
        <v>63</v>
      </c>
      <c r="D1689" t="s">
        <v>64</v>
      </c>
      <c r="E1689" t="s">
        <v>25</v>
      </c>
      <c r="F1689" t="s">
        <v>133</v>
      </c>
      <c r="G1689" s="9" t="s">
        <v>3796</v>
      </c>
      <c r="H1689">
        <v>30090</v>
      </c>
      <c r="I1689">
        <v>30090</v>
      </c>
      <c r="J1689" s="21">
        <v>45839</v>
      </c>
      <c r="K1689" t="s">
        <v>67</v>
      </c>
      <c r="L1689" t="s">
        <v>68</v>
      </c>
      <c r="M1689" t="s">
        <v>69</v>
      </c>
      <c r="O1689">
        <v>0</v>
      </c>
      <c r="S1689" t="str">
        <f>TEXT(Table1[[#This Row],[Date]],"MMM-YY")</f>
        <v>Jun-25</v>
      </c>
      <c r="T1689">
        <f>_xlfn.ISOWEEKNUM(Table1[[#This Row],[Date]])</f>
        <v>25</v>
      </c>
      <c r="U1689" t="str">
        <f>TEXT(Table1[[#This Row],[Expected Business Month]],"YYYY")</f>
        <v>2025</v>
      </c>
    </row>
    <row r="1690" spans="1:21" ht="29.1" hidden="1">
      <c r="A1690" s="1">
        <v>45827</v>
      </c>
      <c r="B1690" t="s">
        <v>3797</v>
      </c>
      <c r="C1690" t="s">
        <v>63</v>
      </c>
      <c r="D1690" t="s">
        <v>64</v>
      </c>
      <c r="E1690" t="s">
        <v>30</v>
      </c>
      <c r="F1690" t="s">
        <v>3798</v>
      </c>
      <c r="G1690" s="9" t="s">
        <v>3799</v>
      </c>
      <c r="H1690">
        <v>12500</v>
      </c>
      <c r="I1690">
        <v>12500</v>
      </c>
      <c r="J1690" s="21">
        <v>45809</v>
      </c>
      <c r="K1690" t="s">
        <v>67</v>
      </c>
      <c r="L1690" t="s">
        <v>68</v>
      </c>
      <c r="M1690" t="s">
        <v>69</v>
      </c>
      <c r="O1690">
        <v>0</v>
      </c>
      <c r="S1690" t="str">
        <f>TEXT(Table1[[#This Row],[Date]],"MMM-YY")</f>
        <v>Jun-25</v>
      </c>
      <c r="T1690">
        <f>_xlfn.ISOWEEKNUM(Table1[[#This Row],[Date]])</f>
        <v>25</v>
      </c>
      <c r="U1690" t="str">
        <f>TEXT(Table1[[#This Row],[Expected Business Month]],"YYYY")</f>
        <v>2025</v>
      </c>
    </row>
    <row r="1691" spans="1:21" ht="29.1" hidden="1">
      <c r="A1691" s="1">
        <v>45827</v>
      </c>
      <c r="B1691" t="s">
        <v>3777</v>
      </c>
      <c r="C1691" t="s">
        <v>63</v>
      </c>
      <c r="D1691" t="s">
        <v>618</v>
      </c>
      <c r="E1691" t="s">
        <v>18</v>
      </c>
      <c r="F1691" t="s">
        <v>3800</v>
      </c>
      <c r="G1691" s="9" t="s">
        <v>3801</v>
      </c>
      <c r="H1691">
        <v>0</v>
      </c>
      <c r="J1691" s="21">
        <v>45901</v>
      </c>
      <c r="K1691" t="s">
        <v>67</v>
      </c>
      <c r="L1691" t="s">
        <v>9</v>
      </c>
      <c r="M1691" t="s">
        <v>9</v>
      </c>
      <c r="N1691" t="s">
        <v>1428</v>
      </c>
      <c r="O1691">
        <v>0</v>
      </c>
      <c r="P1691" t="s">
        <v>108</v>
      </c>
      <c r="S1691" t="str">
        <f>TEXT(Table1[[#This Row],[Date]],"MMM-YY")</f>
        <v>Jun-25</v>
      </c>
      <c r="T1691">
        <f>_xlfn.ISOWEEKNUM(Table1[[#This Row],[Date]])</f>
        <v>25</v>
      </c>
      <c r="U1691" t="str">
        <f>TEXT(Table1[[#This Row],[Expected Business Month]],"YYYY")</f>
        <v>2025</v>
      </c>
    </row>
    <row r="1692" spans="1:21" hidden="1">
      <c r="A1692" s="1">
        <v>45827</v>
      </c>
      <c r="B1692" t="s">
        <v>3802</v>
      </c>
      <c r="C1692" t="s">
        <v>96</v>
      </c>
      <c r="D1692" t="s">
        <v>64</v>
      </c>
      <c r="E1692" t="s">
        <v>26</v>
      </c>
      <c r="F1692" t="s">
        <v>106</v>
      </c>
      <c r="G1692" s="9" t="s">
        <v>3803</v>
      </c>
      <c r="H1692">
        <v>22052</v>
      </c>
      <c r="I1692">
        <v>22052</v>
      </c>
      <c r="J1692" s="21">
        <v>45809</v>
      </c>
      <c r="K1692" t="s">
        <v>67</v>
      </c>
      <c r="L1692" t="s">
        <v>68</v>
      </c>
      <c r="M1692" t="s">
        <v>69</v>
      </c>
      <c r="O1692">
        <v>0</v>
      </c>
      <c r="S1692" t="str">
        <f>TEXT(Table1[[#This Row],[Date]],"MMM-YY")</f>
        <v>Jun-25</v>
      </c>
      <c r="T1692">
        <f>_xlfn.ISOWEEKNUM(Table1[[#This Row],[Date]])</f>
        <v>25</v>
      </c>
      <c r="U1692" t="str">
        <f>TEXT(Table1[[#This Row],[Expected Business Month]],"YYYY")</f>
        <v>2025</v>
      </c>
    </row>
    <row r="1693" spans="1:21" ht="29.1" hidden="1">
      <c r="A1693" s="1">
        <v>45827</v>
      </c>
      <c r="B1693" t="s">
        <v>3804</v>
      </c>
      <c r="C1693" t="s">
        <v>63</v>
      </c>
      <c r="D1693" t="s">
        <v>64</v>
      </c>
      <c r="E1693" t="s">
        <v>38</v>
      </c>
      <c r="F1693" t="s">
        <v>169</v>
      </c>
      <c r="G1693" s="9" t="s">
        <v>3805</v>
      </c>
      <c r="H1693">
        <v>0</v>
      </c>
      <c r="I1693">
        <v>0</v>
      </c>
      <c r="J1693" s="21">
        <v>45839</v>
      </c>
      <c r="K1693" t="s">
        <v>67</v>
      </c>
      <c r="L1693" t="s">
        <v>68</v>
      </c>
      <c r="M1693" t="s">
        <v>69</v>
      </c>
      <c r="O1693">
        <v>0</v>
      </c>
      <c r="S1693" t="str">
        <f>TEXT(Table1[[#This Row],[Date]],"MMM-YY")</f>
        <v>Jun-25</v>
      </c>
      <c r="T1693">
        <f>_xlfn.ISOWEEKNUM(Table1[[#This Row],[Date]])</f>
        <v>25</v>
      </c>
      <c r="U1693" t="str">
        <f>TEXT(Table1[[#This Row],[Expected Business Month]],"YYYY")</f>
        <v>2025</v>
      </c>
    </row>
    <row r="1694" spans="1:21" ht="29.1" hidden="1">
      <c r="A1694" s="1">
        <v>45827</v>
      </c>
      <c r="B1694" t="s">
        <v>2312</v>
      </c>
      <c r="C1694" t="s">
        <v>96</v>
      </c>
      <c r="D1694" t="s">
        <v>64</v>
      </c>
      <c r="E1694" t="s">
        <v>26</v>
      </c>
      <c r="F1694" t="s">
        <v>3758</v>
      </c>
      <c r="G1694" s="9" t="s">
        <v>3806</v>
      </c>
      <c r="H1694">
        <v>0</v>
      </c>
      <c r="J1694" s="21">
        <v>45901</v>
      </c>
      <c r="K1694" t="s">
        <v>67</v>
      </c>
      <c r="L1694" t="s">
        <v>9</v>
      </c>
      <c r="M1694" t="s">
        <v>9</v>
      </c>
      <c r="O1694">
        <v>0</v>
      </c>
      <c r="P1694" t="s">
        <v>108</v>
      </c>
      <c r="S1694" t="str">
        <f>TEXT(Table1[[#This Row],[Date]],"MMM-YY")</f>
        <v>Jun-25</v>
      </c>
      <c r="T1694">
        <f>_xlfn.ISOWEEKNUM(Table1[[#This Row],[Date]])</f>
        <v>25</v>
      </c>
      <c r="U1694" t="str">
        <f>TEXT(Table1[[#This Row],[Expected Business Month]],"YYYY")</f>
        <v>2025</v>
      </c>
    </row>
    <row r="1695" spans="1:21" hidden="1">
      <c r="A1695" s="1">
        <v>45830</v>
      </c>
      <c r="B1695" t="s">
        <v>3807</v>
      </c>
      <c r="C1695" t="s">
        <v>63</v>
      </c>
      <c r="D1695" t="s">
        <v>20</v>
      </c>
      <c r="E1695" t="s">
        <v>23</v>
      </c>
      <c r="F1695" t="s">
        <v>196</v>
      </c>
      <c r="G1695" s="9" t="s">
        <v>3808</v>
      </c>
      <c r="H1695">
        <v>27540</v>
      </c>
      <c r="I1695">
        <v>27540</v>
      </c>
      <c r="J1695" s="21">
        <v>45809</v>
      </c>
      <c r="K1695" t="s">
        <v>67</v>
      </c>
      <c r="L1695" t="s">
        <v>68</v>
      </c>
      <c r="M1695" t="s">
        <v>69</v>
      </c>
      <c r="O1695">
        <v>0</v>
      </c>
      <c r="S1695" t="str">
        <f>TEXT(Table1[[#This Row],[Date]],"MMM-YY")</f>
        <v>Jun-25</v>
      </c>
      <c r="T1695">
        <f>_xlfn.ISOWEEKNUM(Table1[[#This Row],[Date]])</f>
        <v>25</v>
      </c>
      <c r="U1695" t="str">
        <f>TEXT(Table1[[#This Row],[Expected Business Month]],"YYYY")</f>
        <v>2025</v>
      </c>
    </row>
    <row r="1696" spans="1:21" hidden="1">
      <c r="A1696" s="1">
        <v>45831</v>
      </c>
      <c r="B1696" t="s">
        <v>3809</v>
      </c>
      <c r="C1696" t="s">
        <v>63</v>
      </c>
      <c r="D1696" t="s">
        <v>64</v>
      </c>
      <c r="E1696" t="s">
        <v>26</v>
      </c>
      <c r="F1696" t="s">
        <v>371</v>
      </c>
      <c r="G1696" s="9" t="s">
        <v>3810</v>
      </c>
      <c r="H1696">
        <v>12000</v>
      </c>
      <c r="I1696">
        <v>12000</v>
      </c>
      <c r="J1696" s="21">
        <v>45809</v>
      </c>
      <c r="K1696" t="s">
        <v>67</v>
      </c>
      <c r="L1696" t="s">
        <v>68</v>
      </c>
      <c r="M1696" t="s">
        <v>69</v>
      </c>
      <c r="O1696">
        <v>0</v>
      </c>
      <c r="S1696" t="str">
        <f>TEXT(Table1[[#This Row],[Date]],"MMM-YY")</f>
        <v>Jun-25</v>
      </c>
      <c r="T1696">
        <f>_xlfn.ISOWEEKNUM(Table1[[#This Row],[Date]])</f>
        <v>26</v>
      </c>
      <c r="U1696" t="str">
        <f>TEXT(Table1[[#This Row],[Expected Business Month]],"YYYY")</f>
        <v>2025</v>
      </c>
    </row>
    <row r="1697" spans="1:21" hidden="1">
      <c r="A1697" s="1">
        <v>45831</v>
      </c>
      <c r="B1697" t="s">
        <v>3811</v>
      </c>
      <c r="C1697" t="s">
        <v>63</v>
      </c>
      <c r="D1697" t="s">
        <v>64</v>
      </c>
      <c r="E1697" t="s">
        <v>38</v>
      </c>
      <c r="F1697" t="s">
        <v>83</v>
      </c>
      <c r="G1697" s="9" t="s">
        <v>3812</v>
      </c>
      <c r="H1697">
        <v>200000</v>
      </c>
      <c r="J1697" s="21">
        <v>45962</v>
      </c>
      <c r="K1697" t="s">
        <v>67</v>
      </c>
      <c r="L1697" t="s">
        <v>9</v>
      </c>
      <c r="M1697" t="s">
        <v>9</v>
      </c>
      <c r="N1697" t="s">
        <v>3813</v>
      </c>
      <c r="O1697">
        <v>0</v>
      </c>
      <c r="P1697" t="s">
        <v>108</v>
      </c>
      <c r="S1697" t="str">
        <f>TEXT(Table1[[#This Row],[Date]],"MMM-YY")</f>
        <v>Jun-25</v>
      </c>
      <c r="T1697">
        <f>_xlfn.ISOWEEKNUM(Table1[[#This Row],[Date]])</f>
        <v>26</v>
      </c>
      <c r="U1697" t="str">
        <f>TEXT(Table1[[#This Row],[Expected Business Month]],"YYYY")</f>
        <v>2025</v>
      </c>
    </row>
    <row r="1698" spans="1:21" hidden="1">
      <c r="A1698" s="1">
        <v>45831</v>
      </c>
      <c r="B1698" t="s">
        <v>3814</v>
      </c>
      <c r="C1698" t="s">
        <v>63</v>
      </c>
      <c r="D1698" t="s">
        <v>64</v>
      </c>
      <c r="E1698" t="s">
        <v>26</v>
      </c>
      <c r="F1698" t="s">
        <v>1105</v>
      </c>
      <c r="G1698" s="9" t="s">
        <v>3723</v>
      </c>
      <c r="H1698">
        <v>20000</v>
      </c>
      <c r="J1698" s="21">
        <v>45870</v>
      </c>
      <c r="K1698" t="s">
        <v>67</v>
      </c>
      <c r="L1698" t="s">
        <v>9</v>
      </c>
      <c r="M1698" t="s">
        <v>2878</v>
      </c>
      <c r="O1698">
        <v>0</v>
      </c>
      <c r="S1698" t="str">
        <f>TEXT(Table1[[#This Row],[Date]],"MMM-YY")</f>
        <v>Jun-25</v>
      </c>
      <c r="T1698">
        <f>_xlfn.ISOWEEKNUM(Table1[[#This Row],[Date]])</f>
        <v>26</v>
      </c>
      <c r="U1698" t="str">
        <f>TEXT(Table1[[#This Row],[Expected Business Month]],"YYYY")</f>
        <v>2025</v>
      </c>
    </row>
    <row r="1699" spans="1:21" hidden="1">
      <c r="A1699" s="1">
        <v>45831</v>
      </c>
      <c r="B1699" t="s">
        <v>3815</v>
      </c>
      <c r="C1699" t="s">
        <v>96</v>
      </c>
      <c r="D1699" t="s">
        <v>64</v>
      </c>
      <c r="E1699" t="s">
        <v>26</v>
      </c>
      <c r="F1699" t="s">
        <v>3816</v>
      </c>
      <c r="G1699" s="9" t="s">
        <v>2114</v>
      </c>
      <c r="H1699">
        <v>0</v>
      </c>
      <c r="J1699" s="21">
        <v>45870</v>
      </c>
      <c r="K1699" t="s">
        <v>67</v>
      </c>
      <c r="L1699" t="s">
        <v>9</v>
      </c>
      <c r="M1699" t="s">
        <v>2878</v>
      </c>
      <c r="O1699">
        <v>0</v>
      </c>
      <c r="S1699" t="str">
        <f>TEXT(Table1[[#This Row],[Date]],"MMM-YY")</f>
        <v>Jun-25</v>
      </c>
      <c r="T1699">
        <f>_xlfn.ISOWEEKNUM(Table1[[#This Row],[Date]])</f>
        <v>26</v>
      </c>
      <c r="U1699" t="str">
        <f>TEXT(Table1[[#This Row],[Expected Business Month]],"YYYY")</f>
        <v>2025</v>
      </c>
    </row>
    <row r="1700" spans="1:21" ht="29.1" hidden="1">
      <c r="A1700" s="1">
        <v>45832</v>
      </c>
      <c r="B1700" t="s">
        <v>2871</v>
      </c>
      <c r="C1700" t="s">
        <v>63</v>
      </c>
      <c r="D1700" t="s">
        <v>64</v>
      </c>
      <c r="E1700" t="s">
        <v>14</v>
      </c>
      <c r="F1700" t="s">
        <v>219</v>
      </c>
      <c r="G1700" s="9" t="s">
        <v>3817</v>
      </c>
      <c r="H1700">
        <v>0</v>
      </c>
      <c r="I1700">
        <v>0</v>
      </c>
      <c r="J1700" s="21">
        <v>45809</v>
      </c>
      <c r="K1700" t="s">
        <v>67</v>
      </c>
      <c r="L1700" t="s">
        <v>68</v>
      </c>
      <c r="M1700" t="s">
        <v>69</v>
      </c>
      <c r="O1700">
        <v>0</v>
      </c>
      <c r="S1700" t="str">
        <f>TEXT(Table1[[#This Row],[Date]],"MMM-YY")</f>
        <v>Jun-25</v>
      </c>
      <c r="T1700">
        <f>_xlfn.ISOWEEKNUM(Table1[[#This Row],[Date]])</f>
        <v>26</v>
      </c>
      <c r="U1700" t="str">
        <f>TEXT(Table1[[#This Row],[Expected Business Month]],"YYYY")</f>
        <v>2025</v>
      </c>
    </row>
    <row r="1701" spans="1:21" hidden="1">
      <c r="A1701" s="1">
        <v>45832</v>
      </c>
      <c r="B1701" t="s">
        <v>3818</v>
      </c>
      <c r="C1701" t="s">
        <v>63</v>
      </c>
      <c r="D1701" t="s">
        <v>64</v>
      </c>
      <c r="E1701" t="s">
        <v>14</v>
      </c>
      <c r="F1701" t="s">
        <v>3819</v>
      </c>
      <c r="G1701" s="9" t="s">
        <v>3820</v>
      </c>
      <c r="H1701">
        <v>90000</v>
      </c>
      <c r="J1701" s="21">
        <v>45870</v>
      </c>
      <c r="K1701" t="s">
        <v>67</v>
      </c>
      <c r="L1701" t="s">
        <v>9</v>
      </c>
      <c r="M1701" t="s">
        <v>2878</v>
      </c>
      <c r="O1701">
        <v>0</v>
      </c>
      <c r="S1701" t="str">
        <f>TEXT(Table1[[#This Row],[Date]],"MMM-YY")</f>
        <v>Jun-25</v>
      </c>
      <c r="T1701">
        <f>_xlfn.ISOWEEKNUM(Table1[[#This Row],[Date]])</f>
        <v>26</v>
      </c>
      <c r="U1701" t="str">
        <f>TEXT(Table1[[#This Row],[Expected Business Month]],"YYYY")</f>
        <v>2025</v>
      </c>
    </row>
    <row r="1702" spans="1:21" hidden="1">
      <c r="A1702" s="1">
        <v>45832</v>
      </c>
      <c r="B1702" t="s">
        <v>1578</v>
      </c>
      <c r="C1702" t="s">
        <v>63</v>
      </c>
      <c r="D1702" t="s">
        <v>64</v>
      </c>
      <c r="E1702" t="s">
        <v>14</v>
      </c>
      <c r="F1702" t="s">
        <v>2433</v>
      </c>
      <c r="G1702" s="9" t="s">
        <v>3821</v>
      </c>
      <c r="H1702">
        <v>0</v>
      </c>
      <c r="J1702" s="21">
        <v>45870</v>
      </c>
      <c r="K1702" t="s">
        <v>67</v>
      </c>
      <c r="L1702" t="s">
        <v>9</v>
      </c>
      <c r="M1702" t="s">
        <v>2878</v>
      </c>
      <c r="O1702">
        <v>0</v>
      </c>
      <c r="S1702" t="str">
        <f>TEXT(Table1[[#This Row],[Date]],"MMM-YY")</f>
        <v>Jun-25</v>
      </c>
      <c r="T1702">
        <f>_xlfn.ISOWEEKNUM(Table1[[#This Row],[Date]])</f>
        <v>26</v>
      </c>
      <c r="U1702" t="str">
        <f>TEXT(Table1[[#This Row],[Expected Business Month]],"YYYY")</f>
        <v>2025</v>
      </c>
    </row>
    <row r="1703" spans="1:21" hidden="1">
      <c r="A1703" s="1">
        <v>45832</v>
      </c>
      <c r="B1703" t="s">
        <v>3029</v>
      </c>
      <c r="C1703" t="s">
        <v>63</v>
      </c>
      <c r="D1703" t="s">
        <v>64</v>
      </c>
      <c r="E1703" t="s">
        <v>10</v>
      </c>
      <c r="F1703" t="s">
        <v>3822</v>
      </c>
      <c r="G1703" s="9" t="s">
        <v>3823</v>
      </c>
      <c r="H1703">
        <v>0</v>
      </c>
      <c r="J1703" s="21">
        <v>45870</v>
      </c>
      <c r="K1703" t="s">
        <v>67</v>
      </c>
      <c r="L1703" t="s">
        <v>9</v>
      </c>
      <c r="M1703" t="s">
        <v>2878</v>
      </c>
      <c r="O1703">
        <v>0</v>
      </c>
      <c r="S1703" t="str">
        <f>TEXT(Table1[[#This Row],[Date]],"MMM-YY")</f>
        <v>Jun-25</v>
      </c>
      <c r="T1703">
        <f>_xlfn.ISOWEEKNUM(Table1[[#This Row],[Date]])</f>
        <v>26</v>
      </c>
      <c r="U1703" t="str">
        <f>TEXT(Table1[[#This Row],[Expected Business Month]],"YYYY")</f>
        <v>2025</v>
      </c>
    </row>
    <row r="1704" spans="1:21" hidden="1">
      <c r="A1704" s="1">
        <v>45832</v>
      </c>
      <c r="B1704" t="s">
        <v>3824</v>
      </c>
      <c r="C1704" t="s">
        <v>63</v>
      </c>
      <c r="D1704" t="s">
        <v>64</v>
      </c>
      <c r="E1704" t="s">
        <v>25</v>
      </c>
      <c r="F1704" t="s">
        <v>608</v>
      </c>
      <c r="G1704" s="9" t="s">
        <v>2114</v>
      </c>
      <c r="H1704">
        <v>0</v>
      </c>
      <c r="J1704" s="21">
        <v>45901</v>
      </c>
      <c r="K1704" t="s">
        <v>67</v>
      </c>
      <c r="L1704" t="s">
        <v>9</v>
      </c>
      <c r="M1704" t="s">
        <v>9</v>
      </c>
      <c r="O1704">
        <v>0</v>
      </c>
      <c r="P1704" t="s">
        <v>108</v>
      </c>
      <c r="S1704" t="str">
        <f>TEXT(Table1[[#This Row],[Date]],"MMM-YY")</f>
        <v>Jun-25</v>
      </c>
      <c r="T1704">
        <f>_xlfn.ISOWEEKNUM(Table1[[#This Row],[Date]])</f>
        <v>26</v>
      </c>
      <c r="U1704" t="str">
        <f>TEXT(Table1[[#This Row],[Expected Business Month]],"YYYY")</f>
        <v>2025</v>
      </c>
    </row>
    <row r="1705" spans="1:21" hidden="1">
      <c r="A1705" s="1">
        <v>45833</v>
      </c>
      <c r="B1705" t="s">
        <v>2871</v>
      </c>
      <c r="C1705" t="s">
        <v>63</v>
      </c>
      <c r="D1705" t="s">
        <v>64</v>
      </c>
      <c r="E1705" t="s">
        <v>14</v>
      </c>
      <c r="F1705" t="s">
        <v>1186</v>
      </c>
      <c r="G1705" s="9" t="s">
        <v>3825</v>
      </c>
      <c r="H1705">
        <v>100000</v>
      </c>
      <c r="I1705">
        <v>100000</v>
      </c>
      <c r="J1705" s="21">
        <v>45809</v>
      </c>
      <c r="K1705" t="s">
        <v>67</v>
      </c>
      <c r="L1705" t="s">
        <v>68</v>
      </c>
      <c r="M1705" t="s">
        <v>69</v>
      </c>
      <c r="O1705">
        <v>0</v>
      </c>
      <c r="S1705" t="str">
        <f>TEXT(Table1[[#This Row],[Date]],"MMM-YY")</f>
        <v>Jun-25</v>
      </c>
      <c r="T1705">
        <f>_xlfn.ISOWEEKNUM(Table1[[#This Row],[Date]])</f>
        <v>26</v>
      </c>
      <c r="U1705" t="str">
        <f>TEXT(Table1[[#This Row],[Expected Business Month]],"YYYY")</f>
        <v>2025</v>
      </c>
    </row>
    <row r="1706" spans="1:21" hidden="1">
      <c r="A1706" s="1">
        <v>45833</v>
      </c>
      <c r="B1706" t="s">
        <v>3070</v>
      </c>
      <c r="C1706" t="s">
        <v>63</v>
      </c>
      <c r="D1706" t="s">
        <v>64</v>
      </c>
      <c r="E1706" t="s">
        <v>26</v>
      </c>
      <c r="F1706" t="s">
        <v>3826</v>
      </c>
      <c r="G1706" s="9" t="s">
        <v>3821</v>
      </c>
      <c r="H1706">
        <v>16000</v>
      </c>
      <c r="I1706">
        <v>16000</v>
      </c>
      <c r="J1706" s="21">
        <v>45809</v>
      </c>
      <c r="K1706" t="s">
        <v>67</v>
      </c>
      <c r="L1706" t="s">
        <v>68</v>
      </c>
      <c r="M1706" t="s">
        <v>69</v>
      </c>
      <c r="O1706">
        <v>0</v>
      </c>
      <c r="S1706" t="str">
        <f>TEXT(Table1[[#This Row],[Date]],"MMM-YY")</f>
        <v>Jun-25</v>
      </c>
      <c r="T1706">
        <f>_xlfn.ISOWEEKNUM(Table1[[#This Row],[Date]])</f>
        <v>26</v>
      </c>
      <c r="U1706" t="str">
        <f>TEXT(Table1[[#This Row],[Expected Business Month]],"YYYY")</f>
        <v>2025</v>
      </c>
    </row>
    <row r="1707" spans="1:21" hidden="1">
      <c r="A1707" s="1">
        <v>45833</v>
      </c>
      <c r="B1707" t="s">
        <v>2016</v>
      </c>
      <c r="C1707" t="s">
        <v>96</v>
      </c>
      <c r="D1707" t="s">
        <v>64</v>
      </c>
      <c r="E1707" t="s">
        <v>26</v>
      </c>
      <c r="F1707" t="s">
        <v>472</v>
      </c>
      <c r="G1707" s="9" t="s">
        <v>3754</v>
      </c>
      <c r="H1707">
        <v>40000</v>
      </c>
      <c r="J1707" s="21">
        <v>45901</v>
      </c>
      <c r="K1707" t="s">
        <v>67</v>
      </c>
      <c r="L1707" t="s">
        <v>9</v>
      </c>
      <c r="M1707" t="s">
        <v>9</v>
      </c>
      <c r="O1707">
        <v>0</v>
      </c>
      <c r="P1707" t="s">
        <v>108</v>
      </c>
      <c r="S1707" t="str">
        <f>TEXT(Table1[[#This Row],[Date]],"MMM-YY")</f>
        <v>Jun-25</v>
      </c>
      <c r="T1707">
        <f>_xlfn.ISOWEEKNUM(Table1[[#This Row],[Date]])</f>
        <v>26</v>
      </c>
      <c r="U1707" t="str">
        <f>TEXT(Table1[[#This Row],[Expected Business Month]],"YYYY")</f>
        <v>2025</v>
      </c>
    </row>
    <row r="1708" spans="1:21" hidden="1">
      <c r="A1708" s="1">
        <v>45834</v>
      </c>
      <c r="B1708" t="s">
        <v>3797</v>
      </c>
      <c r="C1708" t="s">
        <v>63</v>
      </c>
      <c r="D1708" t="s">
        <v>64</v>
      </c>
      <c r="E1708" t="s">
        <v>38</v>
      </c>
      <c r="F1708" t="s">
        <v>214</v>
      </c>
      <c r="G1708" s="9" t="s">
        <v>3827</v>
      </c>
      <c r="H1708">
        <v>18000</v>
      </c>
      <c r="J1708" s="21">
        <v>45992</v>
      </c>
      <c r="K1708" t="s">
        <v>67</v>
      </c>
      <c r="L1708" t="s">
        <v>9</v>
      </c>
      <c r="M1708" t="s">
        <v>9</v>
      </c>
      <c r="O1708">
        <v>0</v>
      </c>
      <c r="P1708" t="s">
        <v>108</v>
      </c>
      <c r="S1708" t="str">
        <f>TEXT(Table1[[#This Row],[Date]],"MMM-YY")</f>
        <v>Jun-25</v>
      </c>
      <c r="T1708">
        <f>_xlfn.ISOWEEKNUM(Table1[[#This Row],[Date]])</f>
        <v>26</v>
      </c>
      <c r="U1708" t="str">
        <f>TEXT(Table1[[#This Row],[Expected Business Month]],"YYYY")</f>
        <v>2025</v>
      </c>
    </row>
    <row r="1709" spans="1:21" hidden="1">
      <c r="A1709" s="1">
        <v>45834</v>
      </c>
      <c r="B1709" t="s">
        <v>3774</v>
      </c>
      <c r="C1709" t="s">
        <v>63</v>
      </c>
      <c r="D1709" t="s">
        <v>64</v>
      </c>
      <c r="E1709" t="s">
        <v>38</v>
      </c>
      <c r="F1709" t="s">
        <v>2216</v>
      </c>
      <c r="G1709" s="9" t="s">
        <v>3828</v>
      </c>
      <c r="H1709">
        <v>500000</v>
      </c>
      <c r="J1709" s="21">
        <v>45901</v>
      </c>
      <c r="K1709" t="s">
        <v>67</v>
      </c>
      <c r="L1709" t="s">
        <v>9</v>
      </c>
      <c r="M1709" t="s">
        <v>9</v>
      </c>
      <c r="O1709">
        <v>0</v>
      </c>
      <c r="P1709" t="s">
        <v>108</v>
      </c>
      <c r="S1709" t="str">
        <f>TEXT(Table1[[#This Row],[Date]],"MMM-YY")</f>
        <v>Jun-25</v>
      </c>
      <c r="T1709">
        <f>_xlfn.ISOWEEKNUM(Table1[[#This Row],[Date]])</f>
        <v>26</v>
      </c>
      <c r="U1709" t="str">
        <f>TEXT(Table1[[#This Row],[Expected Business Month]],"YYYY")</f>
        <v>2025</v>
      </c>
    </row>
    <row r="1710" spans="1:21">
      <c r="A1710" s="1">
        <v>45834</v>
      </c>
      <c r="B1710" t="s">
        <v>3660</v>
      </c>
      <c r="C1710" t="s">
        <v>96</v>
      </c>
      <c r="D1710" t="s">
        <v>64</v>
      </c>
      <c r="E1710" t="s">
        <v>38</v>
      </c>
      <c r="F1710" t="s">
        <v>325</v>
      </c>
      <c r="G1710" s="9" t="s">
        <v>3829</v>
      </c>
      <c r="H1710">
        <v>0</v>
      </c>
      <c r="J1710" s="21">
        <v>45901</v>
      </c>
      <c r="K1710" t="s">
        <v>67</v>
      </c>
      <c r="L1710" t="s">
        <v>9</v>
      </c>
      <c r="M1710" t="s">
        <v>9</v>
      </c>
      <c r="O1710">
        <v>0</v>
      </c>
      <c r="P1710" t="s">
        <v>70</v>
      </c>
      <c r="S1710" t="str">
        <f>TEXT(Table1[[#This Row],[Date]],"MMM-YY")</f>
        <v>Jun-25</v>
      </c>
      <c r="T1710">
        <f>_xlfn.ISOWEEKNUM(Table1[[#This Row],[Date]])</f>
        <v>26</v>
      </c>
      <c r="U1710" t="str">
        <f>TEXT(Table1[[#This Row],[Expected Business Month]],"YYYY")</f>
        <v>2025</v>
      </c>
    </row>
    <row r="1711" spans="1:21" ht="29.1" hidden="1">
      <c r="A1711" s="1">
        <v>45834</v>
      </c>
      <c r="B1711" t="s">
        <v>2312</v>
      </c>
      <c r="C1711" t="s">
        <v>96</v>
      </c>
      <c r="D1711" t="s">
        <v>64</v>
      </c>
      <c r="E1711" t="s">
        <v>26</v>
      </c>
      <c r="F1711" t="s">
        <v>3758</v>
      </c>
      <c r="G1711" s="9" t="s">
        <v>3830</v>
      </c>
      <c r="H1711">
        <v>0</v>
      </c>
      <c r="J1711" s="21">
        <v>45901</v>
      </c>
      <c r="K1711" t="s">
        <v>67</v>
      </c>
      <c r="L1711" t="s">
        <v>9</v>
      </c>
      <c r="M1711" t="s">
        <v>9</v>
      </c>
      <c r="O1711">
        <v>0</v>
      </c>
      <c r="P1711" t="s">
        <v>108</v>
      </c>
      <c r="S1711" t="str">
        <f>TEXT(Table1[[#This Row],[Date]],"MMM-YY")</f>
        <v>Jun-25</v>
      </c>
      <c r="T1711">
        <f>_xlfn.ISOWEEKNUM(Table1[[#This Row],[Date]])</f>
        <v>26</v>
      </c>
      <c r="U1711" t="str">
        <f>TEXT(Table1[[#This Row],[Expected Business Month]],"YYYY")</f>
        <v>2025</v>
      </c>
    </row>
    <row r="1712" spans="1:21" hidden="1">
      <c r="A1712" s="1">
        <v>45834</v>
      </c>
      <c r="B1712" t="s">
        <v>749</v>
      </c>
      <c r="C1712" t="s">
        <v>63</v>
      </c>
      <c r="D1712" t="s">
        <v>64</v>
      </c>
      <c r="E1712" t="s">
        <v>26</v>
      </c>
      <c r="F1712" t="s">
        <v>1040</v>
      </c>
      <c r="G1712" s="9" t="s">
        <v>3831</v>
      </c>
      <c r="H1712">
        <v>0</v>
      </c>
      <c r="J1712" s="21">
        <v>45901</v>
      </c>
      <c r="K1712" t="s">
        <v>67</v>
      </c>
      <c r="L1712" t="s">
        <v>9</v>
      </c>
      <c r="M1712" t="s">
        <v>9</v>
      </c>
      <c r="O1712">
        <v>0</v>
      </c>
      <c r="P1712" t="s">
        <v>108</v>
      </c>
      <c r="S1712" t="str">
        <f>TEXT(Table1[[#This Row],[Date]],"MMM-YY")</f>
        <v>Jun-25</v>
      </c>
      <c r="T1712">
        <f>_xlfn.ISOWEEKNUM(Table1[[#This Row],[Date]])</f>
        <v>26</v>
      </c>
      <c r="U1712" t="str">
        <f>TEXT(Table1[[#This Row],[Expected Business Month]],"YYYY")</f>
        <v>2025</v>
      </c>
    </row>
    <row r="1713" spans="1:21" hidden="1">
      <c r="A1713" s="1">
        <v>45836</v>
      </c>
      <c r="B1713" t="s">
        <v>3832</v>
      </c>
      <c r="C1713" t="s">
        <v>96</v>
      </c>
      <c r="D1713" t="s">
        <v>20</v>
      </c>
      <c r="E1713" t="s">
        <v>23</v>
      </c>
      <c r="F1713" t="s">
        <v>3833</v>
      </c>
      <c r="G1713" s="9" t="s">
        <v>3834</v>
      </c>
      <c r="H1713">
        <v>7937</v>
      </c>
      <c r="I1713">
        <v>7937</v>
      </c>
      <c r="J1713" s="21">
        <v>45809</v>
      </c>
      <c r="K1713" t="s">
        <v>67</v>
      </c>
      <c r="L1713" t="s">
        <v>68</v>
      </c>
      <c r="M1713" t="s">
        <v>69</v>
      </c>
      <c r="O1713">
        <v>0</v>
      </c>
      <c r="S1713" t="str">
        <f>TEXT(Table1[[#This Row],[Date]],"MMM-YY")</f>
        <v>Jun-25</v>
      </c>
      <c r="T1713">
        <f>_xlfn.ISOWEEKNUM(Table1[[#This Row],[Date]])</f>
        <v>26</v>
      </c>
      <c r="U1713" t="str">
        <f>TEXT(Table1[[#This Row],[Expected Business Month]],"YYYY")</f>
        <v>2025</v>
      </c>
    </row>
    <row r="1714" spans="1:21" hidden="1">
      <c r="A1714" s="1">
        <v>45837</v>
      </c>
      <c r="B1714" t="s">
        <v>3636</v>
      </c>
      <c r="C1714" t="s">
        <v>96</v>
      </c>
      <c r="D1714" t="s">
        <v>20</v>
      </c>
      <c r="E1714" t="s">
        <v>23</v>
      </c>
      <c r="F1714" t="s">
        <v>238</v>
      </c>
      <c r="G1714" s="9" t="s">
        <v>3835</v>
      </c>
      <c r="H1714">
        <v>6279</v>
      </c>
      <c r="I1714">
        <v>6279</v>
      </c>
      <c r="J1714" s="21">
        <v>45809</v>
      </c>
      <c r="K1714" t="s">
        <v>67</v>
      </c>
      <c r="L1714" t="s">
        <v>68</v>
      </c>
      <c r="M1714" t="s">
        <v>69</v>
      </c>
      <c r="O1714">
        <v>0</v>
      </c>
      <c r="S1714" t="str">
        <f>TEXT(Table1[[#This Row],[Date]],"MMM-YY")</f>
        <v>Jun-25</v>
      </c>
      <c r="T1714">
        <f>_xlfn.ISOWEEKNUM(Table1[[#This Row],[Date]])</f>
        <v>26</v>
      </c>
      <c r="U1714" t="str">
        <f>TEXT(Table1[[#This Row],[Expected Business Month]],"YYYY")</f>
        <v>2025</v>
      </c>
    </row>
    <row r="1715" spans="1:21" hidden="1">
      <c r="A1715" s="1">
        <v>45838</v>
      </c>
      <c r="B1715" t="s">
        <v>3774</v>
      </c>
      <c r="C1715" t="s">
        <v>63</v>
      </c>
      <c r="D1715" t="s">
        <v>64</v>
      </c>
      <c r="E1715" t="s">
        <v>38</v>
      </c>
      <c r="F1715" t="s">
        <v>2216</v>
      </c>
      <c r="G1715" s="9" t="s">
        <v>3836</v>
      </c>
      <c r="H1715">
        <v>5000000</v>
      </c>
      <c r="J1715" s="21">
        <v>45901</v>
      </c>
      <c r="K1715" t="s">
        <v>67</v>
      </c>
      <c r="L1715" t="s">
        <v>9</v>
      </c>
      <c r="M1715" t="s">
        <v>9</v>
      </c>
      <c r="O1715">
        <v>0</v>
      </c>
      <c r="P1715" t="s">
        <v>70</v>
      </c>
      <c r="S1715" t="str">
        <f>TEXT(Table1[[#This Row],[Date]],"MMM-YY")</f>
        <v>Jun-25</v>
      </c>
      <c r="T1715">
        <f>_xlfn.ISOWEEKNUM(Table1[[#This Row],[Date]])</f>
        <v>27</v>
      </c>
      <c r="U1715" t="str">
        <f>TEXT(Table1[[#This Row],[Expected Business Month]],"YYYY")</f>
        <v>2025</v>
      </c>
    </row>
    <row r="1716" spans="1:21">
      <c r="A1716" s="1">
        <v>45838</v>
      </c>
      <c r="B1716" t="s">
        <v>3837</v>
      </c>
      <c r="C1716" t="s">
        <v>96</v>
      </c>
      <c r="D1716" t="s">
        <v>64</v>
      </c>
      <c r="E1716" t="s">
        <v>38</v>
      </c>
      <c r="F1716" t="s">
        <v>3838</v>
      </c>
      <c r="G1716" s="9" t="s">
        <v>3839</v>
      </c>
      <c r="H1716">
        <v>1200000</v>
      </c>
      <c r="J1716" s="21">
        <v>45870</v>
      </c>
      <c r="K1716" t="s">
        <v>67</v>
      </c>
      <c r="L1716" t="s">
        <v>9</v>
      </c>
      <c r="M1716" t="s">
        <v>9</v>
      </c>
      <c r="O1716">
        <v>0</v>
      </c>
      <c r="S1716" t="str">
        <f>TEXT(Table1[[#This Row],[Date]],"MMM-YY")</f>
        <v>Jun-25</v>
      </c>
      <c r="T1716">
        <f>_xlfn.ISOWEEKNUM(Table1[[#This Row],[Date]])</f>
        <v>27</v>
      </c>
      <c r="U1716" t="str">
        <f>TEXT(Table1[[#This Row],[Expected Business Month]],"YYYY")</f>
        <v>2025</v>
      </c>
    </row>
    <row r="1717" spans="1:21" hidden="1">
      <c r="A1717" s="1">
        <v>45838</v>
      </c>
      <c r="B1717" t="s">
        <v>3636</v>
      </c>
      <c r="C1717" t="s">
        <v>96</v>
      </c>
      <c r="D1717" t="s">
        <v>20</v>
      </c>
      <c r="E1717" t="s">
        <v>23</v>
      </c>
      <c r="F1717" t="s">
        <v>377</v>
      </c>
      <c r="G1717" s="9" t="s">
        <v>3840</v>
      </c>
      <c r="H1717">
        <v>9500</v>
      </c>
      <c r="I1717">
        <v>9500</v>
      </c>
      <c r="J1717" s="21">
        <v>45809</v>
      </c>
      <c r="K1717" t="s">
        <v>67</v>
      </c>
      <c r="L1717" t="s">
        <v>68</v>
      </c>
      <c r="M1717" t="s">
        <v>69</v>
      </c>
      <c r="O1717">
        <v>0</v>
      </c>
      <c r="S1717" t="str">
        <f>TEXT(Table1[[#This Row],[Date]],"MMM-YY")</f>
        <v>Jun-25</v>
      </c>
      <c r="T1717">
        <f>_xlfn.ISOWEEKNUM(Table1[[#This Row],[Date]])</f>
        <v>27</v>
      </c>
      <c r="U1717" t="str">
        <f>TEXT(Table1[[#This Row],[Expected Business Month]],"YYYY")</f>
        <v>2025</v>
      </c>
    </row>
    <row r="1718" spans="1:21" hidden="1">
      <c r="A1718" s="1">
        <v>45838</v>
      </c>
      <c r="B1718" t="s">
        <v>152</v>
      </c>
      <c r="C1718" t="s">
        <v>96</v>
      </c>
      <c r="D1718" t="s">
        <v>20</v>
      </c>
      <c r="E1718" t="s">
        <v>23</v>
      </c>
      <c r="F1718" t="s">
        <v>169</v>
      </c>
      <c r="G1718" s="9" t="s">
        <v>3841</v>
      </c>
      <c r="H1718">
        <v>15160</v>
      </c>
      <c r="I1718">
        <v>15160</v>
      </c>
      <c r="J1718" s="21">
        <v>45809</v>
      </c>
      <c r="K1718" t="s">
        <v>67</v>
      </c>
      <c r="L1718" t="s">
        <v>68</v>
      </c>
      <c r="M1718" t="s">
        <v>69</v>
      </c>
      <c r="O1718">
        <v>0</v>
      </c>
      <c r="S1718" t="str">
        <f>TEXT(Table1[[#This Row],[Date]],"MMM-YY")</f>
        <v>Jun-25</v>
      </c>
      <c r="T1718">
        <f>_xlfn.ISOWEEKNUM(Table1[[#This Row],[Date]])</f>
        <v>27</v>
      </c>
      <c r="U1718" t="str">
        <f>TEXT(Table1[[#This Row],[Expected Business Month]],"YYYY")</f>
        <v>2025</v>
      </c>
    </row>
    <row r="1719" spans="1:21" hidden="1">
      <c r="A1719" s="1">
        <v>45839</v>
      </c>
      <c r="B1719" t="s">
        <v>3842</v>
      </c>
      <c r="C1719" t="s">
        <v>63</v>
      </c>
      <c r="D1719" t="s">
        <v>20</v>
      </c>
      <c r="E1719" t="s">
        <v>23</v>
      </c>
      <c r="F1719" t="s">
        <v>3843</v>
      </c>
      <c r="G1719" s="9" t="s">
        <v>3844</v>
      </c>
      <c r="H1719">
        <v>0</v>
      </c>
      <c r="J1719" s="21">
        <v>45901</v>
      </c>
      <c r="K1719" t="s">
        <v>67</v>
      </c>
      <c r="L1719" t="s">
        <v>9</v>
      </c>
      <c r="M1719" t="s">
        <v>9</v>
      </c>
      <c r="N1719" t="s">
        <v>831</v>
      </c>
      <c r="O1719">
        <v>0</v>
      </c>
      <c r="P1719" t="s">
        <v>108</v>
      </c>
      <c r="S1719" t="str">
        <f>TEXT(Table1[[#This Row],[Date]],"MMM-YY")</f>
        <v>Jul-25</v>
      </c>
      <c r="T1719">
        <f>_xlfn.ISOWEEKNUM(Table1[[#This Row],[Date]])</f>
        <v>27</v>
      </c>
      <c r="U1719" t="str">
        <f>TEXT(Table1[[#This Row],[Expected Business Month]],"YYYY")</f>
        <v>2025</v>
      </c>
    </row>
    <row r="1720" spans="1:21" hidden="1">
      <c r="A1720" s="1">
        <v>45839</v>
      </c>
      <c r="B1720" t="s">
        <v>3845</v>
      </c>
      <c r="C1720" t="s">
        <v>63</v>
      </c>
      <c r="D1720" t="s">
        <v>64</v>
      </c>
      <c r="E1720" t="s">
        <v>39</v>
      </c>
      <c r="F1720" t="s">
        <v>3846</v>
      </c>
      <c r="G1720" s="9" t="s">
        <v>3847</v>
      </c>
      <c r="H1720">
        <v>0</v>
      </c>
      <c r="J1720" s="21">
        <v>45901</v>
      </c>
      <c r="K1720" t="s">
        <v>67</v>
      </c>
      <c r="L1720" t="s">
        <v>9</v>
      </c>
      <c r="M1720" t="s">
        <v>9</v>
      </c>
      <c r="O1720">
        <v>0</v>
      </c>
      <c r="P1720" t="s">
        <v>70</v>
      </c>
      <c r="S1720" t="str">
        <f>TEXT(Table1[[#This Row],[Date]],"MMM-YY")</f>
        <v>Jul-25</v>
      </c>
      <c r="T1720">
        <f>_xlfn.ISOWEEKNUM(Table1[[#This Row],[Date]])</f>
        <v>27</v>
      </c>
      <c r="U1720" t="str">
        <f>TEXT(Table1[[#This Row],[Expected Business Month]],"YYYY")</f>
        <v>2025</v>
      </c>
    </row>
    <row r="1721" spans="1:21" hidden="1">
      <c r="A1721" s="1">
        <v>45839</v>
      </c>
      <c r="B1721" t="s">
        <v>3774</v>
      </c>
      <c r="C1721" t="s">
        <v>63</v>
      </c>
      <c r="D1721" t="s">
        <v>64</v>
      </c>
      <c r="E1721" t="s">
        <v>38</v>
      </c>
      <c r="F1721" t="s">
        <v>2390</v>
      </c>
      <c r="G1721" s="9" t="s">
        <v>3754</v>
      </c>
      <c r="H1721">
        <v>0</v>
      </c>
      <c r="J1721" s="21">
        <v>45901</v>
      </c>
      <c r="K1721" t="s">
        <v>67</v>
      </c>
      <c r="L1721" t="s">
        <v>9</v>
      </c>
      <c r="M1721" t="s">
        <v>9</v>
      </c>
      <c r="O1721">
        <v>0</v>
      </c>
      <c r="P1721" t="s">
        <v>108</v>
      </c>
      <c r="S1721" t="str">
        <f>TEXT(Table1[[#This Row],[Date]],"MMM-YY")</f>
        <v>Jul-25</v>
      </c>
      <c r="T1721">
        <f>_xlfn.ISOWEEKNUM(Table1[[#This Row],[Date]])</f>
        <v>27</v>
      </c>
      <c r="U1721" t="str">
        <f>TEXT(Table1[[#This Row],[Expected Business Month]],"YYYY")</f>
        <v>2025</v>
      </c>
    </row>
    <row r="1722" spans="1:21" ht="29.1" hidden="1">
      <c r="A1722" s="1">
        <v>45839</v>
      </c>
      <c r="B1722" t="s">
        <v>805</v>
      </c>
      <c r="C1722" t="s">
        <v>63</v>
      </c>
      <c r="D1722" t="s">
        <v>64</v>
      </c>
      <c r="E1722" t="s">
        <v>26</v>
      </c>
      <c r="F1722" t="s">
        <v>233</v>
      </c>
      <c r="G1722" s="9" t="s">
        <v>3848</v>
      </c>
      <c r="H1722">
        <v>11799</v>
      </c>
      <c r="I1722">
        <v>11799</v>
      </c>
      <c r="J1722" s="21">
        <v>45839</v>
      </c>
      <c r="K1722" t="s">
        <v>67</v>
      </c>
      <c r="L1722" t="s">
        <v>68</v>
      </c>
      <c r="M1722" t="s">
        <v>69</v>
      </c>
      <c r="O1722">
        <v>0</v>
      </c>
      <c r="S1722" t="str">
        <f>TEXT(Table1[[#This Row],[Date]],"MMM-YY")</f>
        <v>Jul-25</v>
      </c>
      <c r="T1722">
        <f>_xlfn.ISOWEEKNUM(Table1[[#This Row],[Date]])</f>
        <v>27</v>
      </c>
      <c r="U1722" t="str">
        <f>TEXT(Table1[[#This Row],[Expected Business Month]],"YYYY")</f>
        <v>2025</v>
      </c>
    </row>
    <row r="1723" spans="1:21" hidden="1">
      <c r="A1723" s="1">
        <v>45840</v>
      </c>
      <c r="B1723" t="s">
        <v>1400</v>
      </c>
      <c r="C1723" t="s">
        <v>96</v>
      </c>
      <c r="D1723" t="s">
        <v>20</v>
      </c>
      <c r="E1723" t="s">
        <v>23</v>
      </c>
      <c r="F1723" t="s">
        <v>3849</v>
      </c>
      <c r="G1723" s="9" t="s">
        <v>3850</v>
      </c>
      <c r="H1723">
        <v>24275</v>
      </c>
      <c r="I1723">
        <v>24275</v>
      </c>
      <c r="J1723" s="21">
        <v>45839</v>
      </c>
      <c r="K1723" t="s">
        <v>67</v>
      </c>
      <c r="L1723" t="s">
        <v>68</v>
      </c>
      <c r="M1723" t="s">
        <v>69</v>
      </c>
      <c r="O1723">
        <v>0</v>
      </c>
      <c r="S1723" t="str">
        <f>TEXT(Table1[[#This Row],[Date]],"MMM-YY")</f>
        <v>Jul-25</v>
      </c>
      <c r="T1723">
        <f>_xlfn.ISOWEEKNUM(Table1[[#This Row],[Date]])</f>
        <v>27</v>
      </c>
      <c r="U1723" t="str">
        <f>TEXT(Table1[[#This Row],[Expected Business Month]],"YYYY")</f>
        <v>2025</v>
      </c>
    </row>
    <row r="1724" spans="1:21" hidden="1">
      <c r="A1724" s="1">
        <v>45840</v>
      </c>
      <c r="B1724" t="s">
        <v>3851</v>
      </c>
      <c r="C1724" t="s">
        <v>63</v>
      </c>
      <c r="D1724" t="s">
        <v>36</v>
      </c>
      <c r="E1724" t="s">
        <v>15</v>
      </c>
      <c r="F1724" t="s">
        <v>3852</v>
      </c>
      <c r="G1724" s="9" t="s">
        <v>3853</v>
      </c>
      <c r="H1724">
        <v>38000</v>
      </c>
      <c r="I1724">
        <v>38000</v>
      </c>
      <c r="J1724" s="21">
        <v>45839</v>
      </c>
      <c r="K1724" t="s">
        <v>67</v>
      </c>
      <c r="L1724" t="s">
        <v>68</v>
      </c>
      <c r="M1724" t="s">
        <v>69</v>
      </c>
      <c r="O1724">
        <v>0</v>
      </c>
      <c r="S1724" t="str">
        <f>TEXT(Table1[[#This Row],[Date]],"MMM-YY")</f>
        <v>Jul-25</v>
      </c>
      <c r="T1724">
        <f>_xlfn.ISOWEEKNUM(Table1[[#This Row],[Date]])</f>
        <v>27</v>
      </c>
      <c r="U1724" t="str">
        <f>TEXT(Table1[[#This Row],[Expected Business Month]],"YYYY")</f>
        <v>2025</v>
      </c>
    </row>
    <row r="1725" spans="1:21" hidden="1">
      <c r="A1725" s="1">
        <v>45840</v>
      </c>
      <c r="B1725" t="s">
        <v>3149</v>
      </c>
      <c r="C1725" t="s">
        <v>96</v>
      </c>
      <c r="D1725" t="s">
        <v>20</v>
      </c>
      <c r="E1725" t="s">
        <v>23</v>
      </c>
      <c r="F1725" t="s">
        <v>1015</v>
      </c>
      <c r="G1725" s="9" t="s">
        <v>3854</v>
      </c>
      <c r="H1725">
        <v>8126</v>
      </c>
      <c r="I1725">
        <v>8126</v>
      </c>
      <c r="J1725" s="21">
        <v>45839</v>
      </c>
      <c r="K1725" t="s">
        <v>67</v>
      </c>
      <c r="L1725" t="s">
        <v>68</v>
      </c>
      <c r="M1725" t="s">
        <v>69</v>
      </c>
      <c r="O1725">
        <v>0</v>
      </c>
      <c r="S1725" t="str">
        <f>TEXT(Table1[[#This Row],[Date]],"MMM-YY")</f>
        <v>Jul-25</v>
      </c>
      <c r="T1725">
        <f>_xlfn.ISOWEEKNUM(Table1[[#This Row],[Date]])</f>
        <v>27</v>
      </c>
      <c r="U1725" t="str">
        <f>TEXT(Table1[[#This Row],[Expected Business Month]],"YYYY")</f>
        <v>2025</v>
      </c>
    </row>
    <row r="1726" spans="1:21" hidden="1">
      <c r="A1726" s="1">
        <v>45840</v>
      </c>
      <c r="B1726" t="s">
        <v>3855</v>
      </c>
      <c r="C1726" t="s">
        <v>63</v>
      </c>
      <c r="D1726" t="s">
        <v>64</v>
      </c>
      <c r="E1726" t="s">
        <v>25</v>
      </c>
      <c r="F1726" t="s">
        <v>1613</v>
      </c>
      <c r="G1726" s="9" t="s">
        <v>1493</v>
      </c>
      <c r="H1726">
        <v>20000</v>
      </c>
      <c r="J1726" s="21">
        <v>45992</v>
      </c>
      <c r="K1726" t="s">
        <v>67</v>
      </c>
      <c r="L1726" t="s">
        <v>9</v>
      </c>
      <c r="M1726" t="s">
        <v>9</v>
      </c>
      <c r="O1726">
        <v>0</v>
      </c>
      <c r="P1726" t="s">
        <v>108</v>
      </c>
      <c r="S1726" t="str">
        <f>TEXT(Table1[[#This Row],[Date]],"MMM-YY")</f>
        <v>Jul-25</v>
      </c>
      <c r="T1726">
        <f>_xlfn.ISOWEEKNUM(Table1[[#This Row],[Date]])</f>
        <v>27</v>
      </c>
      <c r="U1726" t="str">
        <f>TEXT(Table1[[#This Row],[Expected Business Month]],"YYYY")</f>
        <v>2025</v>
      </c>
    </row>
    <row r="1727" spans="1:21" hidden="1">
      <c r="A1727" s="1">
        <v>45841</v>
      </c>
      <c r="B1727" t="s">
        <v>3856</v>
      </c>
      <c r="C1727" t="s">
        <v>63</v>
      </c>
      <c r="D1727" t="s">
        <v>64</v>
      </c>
      <c r="E1727" t="s">
        <v>27</v>
      </c>
      <c r="F1727" t="s">
        <v>1853</v>
      </c>
      <c r="G1727" s="9" t="s">
        <v>298</v>
      </c>
      <c r="H1727">
        <v>98000</v>
      </c>
      <c r="J1727" s="21">
        <v>45992</v>
      </c>
      <c r="K1727" t="s">
        <v>67</v>
      </c>
      <c r="L1727" t="s">
        <v>9</v>
      </c>
      <c r="M1727" t="s">
        <v>9</v>
      </c>
      <c r="O1727">
        <v>0</v>
      </c>
      <c r="P1727" t="s">
        <v>298</v>
      </c>
      <c r="S1727" t="str">
        <f>TEXT(Table1[[#This Row],[Date]],"MMM-YY")</f>
        <v>Jul-25</v>
      </c>
      <c r="T1727">
        <f>_xlfn.ISOWEEKNUM(Table1[[#This Row],[Date]])</f>
        <v>27</v>
      </c>
      <c r="U1727" t="str">
        <f>TEXT(Table1[[#This Row],[Expected Business Month]],"YYYY")</f>
        <v>2025</v>
      </c>
    </row>
    <row r="1728" spans="1:21" hidden="1">
      <c r="A1728" s="1">
        <v>45841</v>
      </c>
      <c r="B1728" t="s">
        <v>872</v>
      </c>
      <c r="C1728" t="s">
        <v>63</v>
      </c>
      <c r="D1728" t="s">
        <v>64</v>
      </c>
      <c r="E1728" t="s">
        <v>26</v>
      </c>
      <c r="F1728" t="s">
        <v>106</v>
      </c>
      <c r="G1728" s="9" t="s">
        <v>3857</v>
      </c>
      <c r="H1728">
        <v>0</v>
      </c>
      <c r="J1728" s="21">
        <v>45901</v>
      </c>
      <c r="K1728" t="s">
        <v>67</v>
      </c>
      <c r="L1728" t="s">
        <v>9</v>
      </c>
      <c r="M1728" t="s">
        <v>9</v>
      </c>
      <c r="O1728">
        <v>0</v>
      </c>
      <c r="P1728" t="s">
        <v>108</v>
      </c>
      <c r="S1728" t="str">
        <f>TEXT(Table1[[#This Row],[Date]],"MMM-YY")</f>
        <v>Jul-25</v>
      </c>
      <c r="T1728">
        <f>_xlfn.ISOWEEKNUM(Table1[[#This Row],[Date]])</f>
        <v>27</v>
      </c>
      <c r="U1728" t="str">
        <f>TEXT(Table1[[#This Row],[Expected Business Month]],"YYYY")</f>
        <v>2025</v>
      </c>
    </row>
    <row r="1729" spans="1:21" hidden="1">
      <c r="A1729" s="1">
        <v>45841</v>
      </c>
      <c r="B1729" t="s">
        <v>1214</v>
      </c>
      <c r="C1729" t="s">
        <v>63</v>
      </c>
      <c r="D1729" t="s">
        <v>64</v>
      </c>
      <c r="E1729" t="s">
        <v>30</v>
      </c>
      <c r="F1729" t="s">
        <v>1015</v>
      </c>
      <c r="G1729" s="9" t="s">
        <v>3858</v>
      </c>
      <c r="H1729">
        <v>0</v>
      </c>
      <c r="J1729" s="21">
        <v>45901</v>
      </c>
      <c r="K1729" t="s">
        <v>67</v>
      </c>
      <c r="L1729" t="s">
        <v>9</v>
      </c>
      <c r="M1729" t="s">
        <v>9</v>
      </c>
      <c r="O1729">
        <v>0</v>
      </c>
      <c r="P1729" t="s">
        <v>108</v>
      </c>
      <c r="S1729" t="str">
        <f>TEXT(Table1[[#This Row],[Date]],"MMM-YY")</f>
        <v>Jul-25</v>
      </c>
      <c r="T1729">
        <f>_xlfn.ISOWEEKNUM(Table1[[#This Row],[Date]])</f>
        <v>27</v>
      </c>
      <c r="U1729" t="str">
        <f>TEXT(Table1[[#This Row],[Expected Business Month]],"YYYY")</f>
        <v>2025</v>
      </c>
    </row>
    <row r="1730" spans="1:21" hidden="1">
      <c r="A1730" s="1">
        <v>45842</v>
      </c>
      <c r="B1730" t="s">
        <v>2941</v>
      </c>
      <c r="C1730" t="s">
        <v>63</v>
      </c>
      <c r="D1730" t="s">
        <v>64</v>
      </c>
      <c r="E1730" t="s">
        <v>26</v>
      </c>
      <c r="F1730" t="s">
        <v>1174</v>
      </c>
      <c r="G1730" s="9" t="s">
        <v>3859</v>
      </c>
      <c r="H1730">
        <v>85000</v>
      </c>
      <c r="J1730" s="21">
        <v>45901</v>
      </c>
      <c r="K1730" t="s">
        <v>67</v>
      </c>
      <c r="L1730" t="s">
        <v>9</v>
      </c>
      <c r="M1730" t="s">
        <v>9</v>
      </c>
      <c r="O1730">
        <v>0</v>
      </c>
      <c r="P1730" t="s">
        <v>108</v>
      </c>
      <c r="S1730" t="str">
        <f>TEXT(Table1[[#This Row],[Date]],"MMM-YY")</f>
        <v>Jul-25</v>
      </c>
      <c r="T1730">
        <f>_xlfn.ISOWEEKNUM(Table1[[#This Row],[Date]])</f>
        <v>27</v>
      </c>
      <c r="U1730" t="str">
        <f>TEXT(Table1[[#This Row],[Expected Business Month]],"YYYY")</f>
        <v>2025</v>
      </c>
    </row>
    <row r="1731" spans="1:21" hidden="1">
      <c r="A1731" s="1">
        <v>45843</v>
      </c>
      <c r="B1731" t="s">
        <v>3511</v>
      </c>
      <c r="C1731" t="s">
        <v>96</v>
      </c>
      <c r="D1731" t="s">
        <v>20</v>
      </c>
      <c r="E1731" t="s">
        <v>23</v>
      </c>
      <c r="F1731" t="s">
        <v>3860</v>
      </c>
      <c r="G1731" s="9" t="s">
        <v>3861</v>
      </c>
      <c r="H1731">
        <v>8126</v>
      </c>
      <c r="I1731">
        <v>8126</v>
      </c>
      <c r="J1731" s="21">
        <v>45839</v>
      </c>
      <c r="K1731" t="s">
        <v>67</v>
      </c>
      <c r="L1731" t="s">
        <v>68</v>
      </c>
      <c r="M1731" t="s">
        <v>69</v>
      </c>
      <c r="O1731">
        <v>0</v>
      </c>
      <c r="S1731" t="str">
        <f>TEXT(Table1[[#This Row],[Date]],"MMM-YY")</f>
        <v>Jul-25</v>
      </c>
      <c r="T1731">
        <f>_xlfn.ISOWEEKNUM(Table1[[#This Row],[Date]])</f>
        <v>27</v>
      </c>
      <c r="U1731" t="str">
        <f>TEXT(Table1[[#This Row],[Expected Business Month]],"YYYY")</f>
        <v>2025</v>
      </c>
    </row>
    <row r="1732" spans="1:21" hidden="1">
      <c r="A1732" s="1">
        <v>45843</v>
      </c>
      <c r="B1732" t="s">
        <v>3511</v>
      </c>
      <c r="C1732" t="s">
        <v>96</v>
      </c>
      <c r="D1732" t="s">
        <v>20</v>
      </c>
      <c r="E1732" t="s">
        <v>23</v>
      </c>
      <c r="F1732" t="s">
        <v>625</v>
      </c>
      <c r="G1732" s="9" t="s">
        <v>3861</v>
      </c>
      <c r="H1732">
        <v>24257</v>
      </c>
      <c r="I1732">
        <v>24257</v>
      </c>
      <c r="J1732" s="21">
        <v>45839</v>
      </c>
      <c r="K1732" t="s">
        <v>67</v>
      </c>
      <c r="L1732" t="s">
        <v>68</v>
      </c>
      <c r="M1732" t="s">
        <v>69</v>
      </c>
      <c r="O1732">
        <v>0</v>
      </c>
      <c r="S1732" t="str">
        <f>TEXT(Table1[[#This Row],[Date]],"MMM-YY")</f>
        <v>Jul-25</v>
      </c>
      <c r="T1732">
        <f>_xlfn.ISOWEEKNUM(Table1[[#This Row],[Date]])</f>
        <v>27</v>
      </c>
      <c r="U1732" t="str">
        <f>TEXT(Table1[[#This Row],[Expected Business Month]],"YYYY")</f>
        <v>2025</v>
      </c>
    </row>
    <row r="1733" spans="1:21" hidden="1">
      <c r="A1733" s="1">
        <v>45845</v>
      </c>
      <c r="B1733" t="s">
        <v>382</v>
      </c>
      <c r="C1733" t="s">
        <v>63</v>
      </c>
      <c r="D1733" t="s">
        <v>64</v>
      </c>
      <c r="E1733" t="s">
        <v>28</v>
      </c>
      <c r="F1733" t="s">
        <v>196</v>
      </c>
      <c r="G1733" s="9" t="s">
        <v>383</v>
      </c>
      <c r="H1733">
        <v>0</v>
      </c>
      <c r="I1733">
        <v>0</v>
      </c>
      <c r="J1733" s="21">
        <v>45870</v>
      </c>
      <c r="K1733" t="s">
        <v>67</v>
      </c>
      <c r="L1733" t="s">
        <v>68</v>
      </c>
      <c r="M1733" t="s">
        <v>69</v>
      </c>
      <c r="O1733">
        <v>0</v>
      </c>
      <c r="S1733" t="str">
        <f>TEXT(Table1[[#This Row],[Date]],"MMM-YY")</f>
        <v>Jul-25</v>
      </c>
      <c r="T1733">
        <f>_xlfn.ISOWEEKNUM(Table1[[#This Row],[Date]])</f>
        <v>28</v>
      </c>
      <c r="U1733" t="str">
        <f>TEXT(Table1[[#This Row],[Expected Business Month]],"YYYY")</f>
        <v>2025</v>
      </c>
    </row>
    <row r="1734" spans="1:21" hidden="1">
      <c r="A1734" s="1">
        <v>45845</v>
      </c>
      <c r="B1734" t="s">
        <v>3862</v>
      </c>
      <c r="C1734" t="s">
        <v>96</v>
      </c>
      <c r="D1734" t="s">
        <v>20</v>
      </c>
      <c r="E1734" t="s">
        <v>23</v>
      </c>
      <c r="F1734" t="s">
        <v>1015</v>
      </c>
      <c r="G1734" s="9" t="s">
        <v>3863</v>
      </c>
      <c r="H1734">
        <v>9000</v>
      </c>
      <c r="I1734">
        <v>9000</v>
      </c>
      <c r="J1734" s="21">
        <v>45839</v>
      </c>
      <c r="K1734" t="s">
        <v>67</v>
      </c>
      <c r="L1734" t="s">
        <v>68</v>
      </c>
      <c r="M1734" t="s">
        <v>69</v>
      </c>
      <c r="O1734">
        <v>0</v>
      </c>
      <c r="S1734" t="str">
        <f>TEXT(Table1[[#This Row],[Date]],"MMM-YY")</f>
        <v>Jul-25</v>
      </c>
      <c r="T1734">
        <f>_xlfn.ISOWEEKNUM(Table1[[#This Row],[Date]])</f>
        <v>28</v>
      </c>
      <c r="U1734" t="str">
        <f>TEXT(Table1[[#This Row],[Expected Business Month]],"YYYY")</f>
        <v>2025</v>
      </c>
    </row>
    <row r="1735" spans="1:21" hidden="1">
      <c r="A1735" s="1">
        <v>45845</v>
      </c>
      <c r="B1735" t="s">
        <v>2939</v>
      </c>
      <c r="C1735" t="s">
        <v>63</v>
      </c>
      <c r="D1735" t="s">
        <v>64</v>
      </c>
      <c r="E1735" t="s">
        <v>38</v>
      </c>
      <c r="F1735" t="s">
        <v>1174</v>
      </c>
      <c r="G1735" s="9" t="s">
        <v>3864</v>
      </c>
      <c r="H1735">
        <v>100000</v>
      </c>
      <c r="J1735" s="21">
        <v>45992</v>
      </c>
      <c r="K1735" t="s">
        <v>67</v>
      </c>
      <c r="L1735" t="s">
        <v>9</v>
      </c>
      <c r="M1735" t="s">
        <v>9</v>
      </c>
      <c r="O1735">
        <v>0</v>
      </c>
      <c r="P1735" t="s">
        <v>70</v>
      </c>
      <c r="S1735" t="str">
        <f>TEXT(Table1[[#This Row],[Date]],"MMM-YY")</f>
        <v>Jul-25</v>
      </c>
      <c r="T1735">
        <f>_xlfn.ISOWEEKNUM(Table1[[#This Row],[Date]])</f>
        <v>28</v>
      </c>
      <c r="U1735" t="str">
        <f>TEXT(Table1[[#This Row],[Expected Business Month]],"YYYY")</f>
        <v>2025</v>
      </c>
    </row>
    <row r="1736" spans="1:21" hidden="1">
      <c r="A1736" s="1">
        <v>45846</v>
      </c>
      <c r="B1736" t="s">
        <v>3865</v>
      </c>
      <c r="C1736" t="s">
        <v>63</v>
      </c>
      <c r="D1736" t="s">
        <v>64</v>
      </c>
      <c r="E1736" t="s">
        <v>27</v>
      </c>
      <c r="F1736" t="s">
        <v>1853</v>
      </c>
      <c r="G1736" s="9" t="s">
        <v>3866</v>
      </c>
      <c r="H1736">
        <v>84784</v>
      </c>
      <c r="I1736">
        <v>84784</v>
      </c>
      <c r="J1736" s="21">
        <v>45839</v>
      </c>
      <c r="K1736" t="s">
        <v>67</v>
      </c>
      <c r="L1736" t="s">
        <v>68</v>
      </c>
      <c r="M1736" t="s">
        <v>69</v>
      </c>
      <c r="O1736">
        <v>0</v>
      </c>
      <c r="S1736" t="str">
        <f>TEXT(Table1[[#This Row],[Date]],"MMM-YY")</f>
        <v>Jul-25</v>
      </c>
      <c r="T1736">
        <f>_xlfn.ISOWEEKNUM(Table1[[#This Row],[Date]])</f>
        <v>28</v>
      </c>
      <c r="U1736" t="str">
        <f>TEXT(Table1[[#This Row],[Expected Business Month]],"YYYY")</f>
        <v>2025</v>
      </c>
    </row>
    <row r="1737" spans="1:21" hidden="1">
      <c r="A1737" s="1">
        <v>45846</v>
      </c>
      <c r="B1737" t="s">
        <v>3774</v>
      </c>
      <c r="C1737" t="s">
        <v>63</v>
      </c>
      <c r="D1737" t="s">
        <v>64</v>
      </c>
      <c r="E1737" t="s">
        <v>38</v>
      </c>
      <c r="F1737" t="s">
        <v>2390</v>
      </c>
      <c r="G1737" s="9" t="s">
        <v>3867</v>
      </c>
      <c r="H1737">
        <v>0</v>
      </c>
      <c r="J1737" s="21">
        <v>45901</v>
      </c>
      <c r="K1737" t="s">
        <v>67</v>
      </c>
      <c r="L1737" t="s">
        <v>9</v>
      </c>
      <c r="M1737" t="s">
        <v>9</v>
      </c>
      <c r="O1737">
        <v>0</v>
      </c>
      <c r="P1737" t="s">
        <v>108</v>
      </c>
      <c r="S1737" t="str">
        <f>TEXT(Table1[[#This Row],[Date]],"MMM-YY")</f>
        <v>Jul-25</v>
      </c>
      <c r="T1737">
        <f>_xlfn.ISOWEEKNUM(Table1[[#This Row],[Date]])</f>
        <v>28</v>
      </c>
      <c r="U1737" t="str">
        <f>TEXT(Table1[[#This Row],[Expected Business Month]],"YYYY")</f>
        <v>2025</v>
      </c>
    </row>
    <row r="1738" spans="1:21" hidden="1">
      <c r="A1738" s="1">
        <v>45846</v>
      </c>
      <c r="B1738" t="s">
        <v>3070</v>
      </c>
      <c r="C1738" t="s">
        <v>63</v>
      </c>
      <c r="D1738" t="s">
        <v>64</v>
      </c>
      <c r="E1738" t="s">
        <v>26</v>
      </c>
      <c r="F1738" t="s">
        <v>371</v>
      </c>
      <c r="G1738" s="9" t="s">
        <v>3624</v>
      </c>
      <c r="H1738">
        <v>0</v>
      </c>
      <c r="J1738" s="21">
        <v>45901</v>
      </c>
      <c r="K1738" t="s">
        <v>67</v>
      </c>
      <c r="L1738" t="s">
        <v>9</v>
      </c>
      <c r="M1738" t="s">
        <v>9</v>
      </c>
      <c r="O1738">
        <v>0</v>
      </c>
      <c r="P1738" t="s">
        <v>108</v>
      </c>
      <c r="S1738" t="str">
        <f>TEXT(Table1[[#This Row],[Date]],"MMM-YY")</f>
        <v>Jul-25</v>
      </c>
      <c r="T1738">
        <f>_xlfn.ISOWEEKNUM(Table1[[#This Row],[Date]])</f>
        <v>28</v>
      </c>
      <c r="U1738" t="str">
        <f>TEXT(Table1[[#This Row],[Expected Business Month]],"YYYY")</f>
        <v>2025</v>
      </c>
    </row>
    <row r="1739" spans="1:21" hidden="1">
      <c r="A1739" s="1">
        <v>45847</v>
      </c>
      <c r="B1739" t="s">
        <v>3868</v>
      </c>
      <c r="C1739" t="s">
        <v>63</v>
      </c>
      <c r="D1739" t="s">
        <v>20</v>
      </c>
      <c r="E1739" t="s">
        <v>23</v>
      </c>
      <c r="F1739" t="s">
        <v>3869</v>
      </c>
      <c r="G1739" s="9" t="s">
        <v>3870</v>
      </c>
      <c r="H1739">
        <v>8000</v>
      </c>
      <c r="I1739">
        <v>8000</v>
      </c>
      <c r="J1739" s="21">
        <v>45839</v>
      </c>
      <c r="K1739" t="s">
        <v>67</v>
      </c>
      <c r="L1739" t="s">
        <v>68</v>
      </c>
      <c r="M1739" t="s">
        <v>69</v>
      </c>
      <c r="O1739">
        <v>0</v>
      </c>
      <c r="S1739" t="str">
        <f>TEXT(Table1[[#This Row],[Date]],"MMM-YY")</f>
        <v>Jul-25</v>
      </c>
      <c r="T1739">
        <f>_xlfn.ISOWEEKNUM(Table1[[#This Row],[Date]])</f>
        <v>28</v>
      </c>
      <c r="U1739" t="str">
        <f>TEXT(Table1[[#This Row],[Expected Business Month]],"YYYY")</f>
        <v>2025</v>
      </c>
    </row>
    <row r="1740" spans="1:21" hidden="1">
      <c r="A1740" s="1">
        <v>45847</v>
      </c>
      <c r="B1740" t="s">
        <v>330</v>
      </c>
      <c r="C1740" t="s">
        <v>63</v>
      </c>
      <c r="D1740" t="s">
        <v>20</v>
      </c>
      <c r="E1740" t="s">
        <v>23</v>
      </c>
      <c r="F1740" t="s">
        <v>879</v>
      </c>
      <c r="G1740" s="9" t="s">
        <v>3870</v>
      </c>
      <c r="H1740">
        <v>10000</v>
      </c>
      <c r="I1740">
        <v>10000</v>
      </c>
      <c r="J1740" s="21">
        <v>45839</v>
      </c>
      <c r="K1740" t="s">
        <v>67</v>
      </c>
      <c r="L1740" t="s">
        <v>68</v>
      </c>
      <c r="M1740" t="s">
        <v>69</v>
      </c>
      <c r="O1740">
        <v>0</v>
      </c>
      <c r="S1740" t="str">
        <f>TEXT(Table1[[#This Row],[Date]],"MMM-YY")</f>
        <v>Jul-25</v>
      </c>
      <c r="T1740">
        <f>_xlfn.ISOWEEKNUM(Table1[[#This Row],[Date]])</f>
        <v>28</v>
      </c>
      <c r="U1740" t="str">
        <f>TEXT(Table1[[#This Row],[Expected Business Month]],"YYYY")</f>
        <v>2025</v>
      </c>
    </row>
    <row r="1741" spans="1:21" hidden="1">
      <c r="A1741" s="1">
        <v>45847</v>
      </c>
      <c r="B1741" t="s">
        <v>374</v>
      </c>
      <c r="C1741" t="s">
        <v>63</v>
      </c>
      <c r="D1741" t="s">
        <v>64</v>
      </c>
      <c r="E1741" t="s">
        <v>28</v>
      </c>
      <c r="F1741" t="s">
        <v>375</v>
      </c>
      <c r="G1741" s="9" t="s">
        <v>3871</v>
      </c>
      <c r="H1741">
        <v>0</v>
      </c>
      <c r="J1741" s="21">
        <v>45901</v>
      </c>
      <c r="K1741" t="s">
        <v>67</v>
      </c>
      <c r="L1741" t="s">
        <v>9</v>
      </c>
      <c r="M1741" t="s">
        <v>9</v>
      </c>
      <c r="O1741">
        <v>0</v>
      </c>
      <c r="P1741" t="s">
        <v>108</v>
      </c>
      <c r="S1741" t="str">
        <f>TEXT(Table1[[#This Row],[Date]],"MMM-YY")</f>
        <v>Jul-25</v>
      </c>
      <c r="T1741">
        <f>_xlfn.ISOWEEKNUM(Table1[[#This Row],[Date]])</f>
        <v>28</v>
      </c>
      <c r="U1741" t="str">
        <f>TEXT(Table1[[#This Row],[Expected Business Month]],"YYYY")</f>
        <v>2025</v>
      </c>
    </row>
    <row r="1742" spans="1:21">
      <c r="A1742" s="1">
        <v>45847</v>
      </c>
      <c r="B1742" t="s">
        <v>95</v>
      </c>
      <c r="C1742" t="s">
        <v>96</v>
      </c>
      <c r="D1742" t="s">
        <v>64</v>
      </c>
      <c r="E1742" t="s">
        <v>38</v>
      </c>
      <c r="F1742" t="s">
        <v>97</v>
      </c>
      <c r="G1742" s="9" t="s">
        <v>3872</v>
      </c>
      <c r="H1742">
        <v>73167</v>
      </c>
      <c r="I1742">
        <v>73167</v>
      </c>
      <c r="J1742" s="21">
        <v>45839</v>
      </c>
      <c r="K1742" t="s">
        <v>99</v>
      </c>
      <c r="L1742" t="s">
        <v>68</v>
      </c>
      <c r="M1742" t="s">
        <v>69</v>
      </c>
      <c r="O1742">
        <v>0</v>
      </c>
      <c r="S1742" t="str">
        <f>TEXT(Table1[[#This Row],[Date]],"MMM-YY")</f>
        <v>Jul-25</v>
      </c>
      <c r="T1742">
        <f>_xlfn.ISOWEEKNUM(Table1[[#This Row],[Date]])</f>
        <v>28</v>
      </c>
      <c r="U1742" t="str">
        <f>TEXT(Table1[[#This Row],[Expected Business Month]],"YYYY")</f>
        <v>2025</v>
      </c>
    </row>
    <row r="1743" spans="1:21" hidden="1">
      <c r="A1743" s="1">
        <v>45848</v>
      </c>
      <c r="B1743" s="67" t="s">
        <v>2318</v>
      </c>
      <c r="C1743" s="67" t="s">
        <v>63</v>
      </c>
      <c r="D1743" s="67" t="s">
        <v>64</v>
      </c>
      <c r="E1743" s="67" t="s">
        <v>26</v>
      </c>
      <c r="F1743" s="67" t="s">
        <v>73</v>
      </c>
      <c r="G1743" s="69" t="s">
        <v>293</v>
      </c>
      <c r="H1743" s="67">
        <v>0</v>
      </c>
      <c r="I1743" s="67">
        <v>0</v>
      </c>
      <c r="J1743" s="21">
        <v>45901</v>
      </c>
      <c r="K1743" s="67" t="s">
        <v>67</v>
      </c>
      <c r="L1743" t="s">
        <v>9</v>
      </c>
      <c r="M1743" t="s">
        <v>9</v>
      </c>
      <c r="O1743">
        <v>0</v>
      </c>
      <c r="P1743" t="s">
        <v>108</v>
      </c>
      <c r="S1743" t="str">
        <f>TEXT(Table1[[#This Row],[Date]],"MMM-YY")</f>
        <v>Jul-25</v>
      </c>
      <c r="T1743">
        <f>_xlfn.ISOWEEKNUM(Table1[[#This Row],[Date]])</f>
        <v>28</v>
      </c>
      <c r="U1743" t="str">
        <f>TEXT(Table1[[#This Row],[Expected Business Month]],"YYYY")</f>
        <v>2025</v>
      </c>
    </row>
    <row r="1744" spans="1:21" ht="29.1" hidden="1">
      <c r="A1744" s="1">
        <v>45848</v>
      </c>
      <c r="B1744" s="68" t="s">
        <v>3873</v>
      </c>
      <c r="C1744" s="68" t="s">
        <v>63</v>
      </c>
      <c r="D1744" s="68" t="s">
        <v>64</v>
      </c>
      <c r="E1744" s="68" t="s">
        <v>32</v>
      </c>
      <c r="F1744" s="68" t="s">
        <v>1600</v>
      </c>
      <c r="G1744" s="70" t="s">
        <v>3874</v>
      </c>
      <c r="H1744" s="68">
        <v>0</v>
      </c>
      <c r="I1744" s="68">
        <v>0</v>
      </c>
      <c r="J1744" s="21">
        <v>45901</v>
      </c>
      <c r="K1744" s="68" t="s">
        <v>67</v>
      </c>
      <c r="L1744" t="s">
        <v>9</v>
      </c>
      <c r="M1744" t="s">
        <v>9</v>
      </c>
      <c r="O1744">
        <v>0</v>
      </c>
      <c r="P1744" t="s">
        <v>108</v>
      </c>
      <c r="S1744" t="str">
        <f>TEXT(Table1[[#This Row],[Date]],"MMM-YY")</f>
        <v>Jul-25</v>
      </c>
      <c r="T1744">
        <f>_xlfn.ISOWEEKNUM(Table1[[#This Row],[Date]])</f>
        <v>28</v>
      </c>
      <c r="U1744" t="str">
        <f>TEXT(Table1[[#This Row],[Expected Business Month]],"YYYY")</f>
        <v>2025</v>
      </c>
    </row>
    <row r="1745" spans="1:21" hidden="1">
      <c r="A1745" s="1">
        <v>45849</v>
      </c>
      <c r="B1745" t="s">
        <v>3875</v>
      </c>
      <c r="C1745" t="s">
        <v>96</v>
      </c>
      <c r="D1745" t="s">
        <v>64</v>
      </c>
      <c r="E1745" t="s">
        <v>27</v>
      </c>
      <c r="F1745" t="s">
        <v>3876</v>
      </c>
      <c r="G1745" s="9" t="s">
        <v>3877</v>
      </c>
      <c r="H1745">
        <v>9666</v>
      </c>
      <c r="I1745">
        <v>9666</v>
      </c>
      <c r="J1745" s="21">
        <v>45839</v>
      </c>
      <c r="K1745" t="s">
        <v>67</v>
      </c>
      <c r="L1745" t="s">
        <v>68</v>
      </c>
      <c r="M1745" t="s">
        <v>69</v>
      </c>
      <c r="O1745">
        <v>0</v>
      </c>
      <c r="S1745" t="str">
        <f>TEXT(Table1[[#This Row],[Date]],"MMM-YY")</f>
        <v>Jul-25</v>
      </c>
      <c r="T1745">
        <f>_xlfn.ISOWEEKNUM(Table1[[#This Row],[Date]])</f>
        <v>28</v>
      </c>
      <c r="U1745" t="str">
        <f>TEXT(Table1[[#This Row],[Expected Business Month]],"YYYY")</f>
        <v>2025</v>
      </c>
    </row>
    <row r="1746" spans="1:21" hidden="1">
      <c r="A1746" s="1">
        <v>45849</v>
      </c>
      <c r="B1746" t="s">
        <v>3878</v>
      </c>
      <c r="C1746" t="s">
        <v>63</v>
      </c>
      <c r="D1746" t="s">
        <v>20</v>
      </c>
      <c r="E1746" t="s">
        <v>23</v>
      </c>
      <c r="F1746" t="s">
        <v>1227</v>
      </c>
      <c r="G1746" s="9" t="s">
        <v>3879</v>
      </c>
      <c r="H1746">
        <v>12100</v>
      </c>
      <c r="I1746">
        <v>12100</v>
      </c>
      <c r="J1746" s="21">
        <v>45839</v>
      </c>
      <c r="K1746" t="s">
        <v>67</v>
      </c>
      <c r="L1746" t="s">
        <v>68</v>
      </c>
      <c r="M1746" t="s">
        <v>69</v>
      </c>
      <c r="O1746">
        <v>0</v>
      </c>
      <c r="S1746" t="str">
        <f>TEXT(Table1[[#This Row],[Date]],"MMM-YY")</f>
        <v>Jul-25</v>
      </c>
      <c r="T1746">
        <f>_xlfn.ISOWEEKNUM(Table1[[#This Row],[Date]])</f>
        <v>28</v>
      </c>
      <c r="U1746" t="str">
        <f>TEXT(Table1[[#This Row],[Expected Business Month]],"YYYY")</f>
        <v>2025</v>
      </c>
    </row>
    <row r="1747" spans="1:21">
      <c r="A1747" s="1">
        <v>45849</v>
      </c>
      <c r="B1747" t="s">
        <v>95</v>
      </c>
      <c r="C1747" t="s">
        <v>96</v>
      </c>
      <c r="D1747" t="s">
        <v>64</v>
      </c>
      <c r="E1747" t="s">
        <v>38</v>
      </c>
      <c r="F1747" t="s">
        <v>97</v>
      </c>
      <c r="G1747" s="9" t="s">
        <v>3880</v>
      </c>
      <c r="H1747">
        <v>53085</v>
      </c>
      <c r="I1747">
        <v>53085</v>
      </c>
      <c r="J1747" s="21">
        <v>45839</v>
      </c>
      <c r="K1747" t="s">
        <v>99</v>
      </c>
      <c r="L1747" t="s">
        <v>68</v>
      </c>
      <c r="M1747" t="s">
        <v>69</v>
      </c>
      <c r="O1747">
        <v>0</v>
      </c>
      <c r="S1747" t="str">
        <f>TEXT(Table1[[#This Row],[Date]],"MMM-YY")</f>
        <v>Jul-25</v>
      </c>
      <c r="T1747">
        <f>_xlfn.ISOWEEKNUM(Table1[[#This Row],[Date]])</f>
        <v>28</v>
      </c>
      <c r="U1747" t="str">
        <f>TEXT(Table1[[#This Row],[Expected Business Month]],"YYYY")</f>
        <v>2025</v>
      </c>
    </row>
    <row r="1748" spans="1:21" ht="29.1" hidden="1">
      <c r="A1748" s="1">
        <v>45852</v>
      </c>
      <c r="B1748" t="s">
        <v>3881</v>
      </c>
      <c r="C1748" t="s">
        <v>63</v>
      </c>
      <c r="D1748" t="s">
        <v>64</v>
      </c>
      <c r="E1748" t="s">
        <v>29</v>
      </c>
      <c r="F1748" t="s">
        <v>3882</v>
      </c>
      <c r="G1748" s="9" t="s">
        <v>3883</v>
      </c>
      <c r="H1748">
        <v>0</v>
      </c>
      <c r="I1748">
        <v>0</v>
      </c>
      <c r="J1748" s="21">
        <v>45901</v>
      </c>
      <c r="K1748" t="s">
        <v>67</v>
      </c>
      <c r="L1748" t="s">
        <v>9</v>
      </c>
      <c r="M1748" t="s">
        <v>9</v>
      </c>
      <c r="O1748">
        <v>0</v>
      </c>
      <c r="P1748" t="s">
        <v>108</v>
      </c>
      <c r="S1748" t="str">
        <f>TEXT(Table1[[#This Row],[Date]],"MMM-YY")</f>
        <v>Jul-25</v>
      </c>
      <c r="T1748">
        <f>_xlfn.ISOWEEKNUM(Table1[[#This Row],[Date]])</f>
        <v>29</v>
      </c>
      <c r="U1748" t="str">
        <f>TEXT(Table1[[#This Row],[Expected Business Month]],"YYYY")</f>
        <v>2025</v>
      </c>
    </row>
    <row r="1749" spans="1:21" hidden="1">
      <c r="A1749" s="1">
        <v>45852</v>
      </c>
      <c r="B1749" t="s">
        <v>2184</v>
      </c>
      <c r="C1749" t="s">
        <v>63</v>
      </c>
      <c r="D1749" t="s">
        <v>105</v>
      </c>
      <c r="E1749" t="s">
        <v>18</v>
      </c>
      <c r="F1749" t="s">
        <v>3884</v>
      </c>
      <c r="G1749" s="9" t="s">
        <v>3885</v>
      </c>
      <c r="H1749">
        <v>15000</v>
      </c>
      <c r="I1749">
        <v>15000</v>
      </c>
      <c r="J1749" s="21">
        <v>45839</v>
      </c>
      <c r="K1749" t="s">
        <v>67</v>
      </c>
      <c r="L1749" t="s">
        <v>68</v>
      </c>
      <c r="M1749" t="s">
        <v>69</v>
      </c>
      <c r="O1749">
        <v>0</v>
      </c>
      <c r="S1749" t="str">
        <f>TEXT(Table1[[#This Row],[Date]],"MMM-YY")</f>
        <v>Jul-25</v>
      </c>
      <c r="T1749">
        <f>_xlfn.ISOWEEKNUM(Table1[[#This Row],[Date]])</f>
        <v>29</v>
      </c>
      <c r="U1749" t="str">
        <f>TEXT(Table1[[#This Row],[Expected Business Month]],"YYYY")</f>
        <v>2025</v>
      </c>
    </row>
    <row r="1750" spans="1:21" hidden="1">
      <c r="A1750" s="1">
        <v>45852</v>
      </c>
      <c r="B1750" t="s">
        <v>3886</v>
      </c>
      <c r="C1750" t="s">
        <v>63</v>
      </c>
      <c r="D1750" t="s">
        <v>64</v>
      </c>
      <c r="E1750" t="s">
        <v>32</v>
      </c>
      <c r="F1750" t="s">
        <v>3887</v>
      </c>
      <c r="G1750" s="9" t="s">
        <v>3888</v>
      </c>
      <c r="H1750">
        <v>30000</v>
      </c>
      <c r="I1750">
        <v>0</v>
      </c>
      <c r="J1750" s="21">
        <v>45901</v>
      </c>
      <c r="K1750" t="s">
        <v>67</v>
      </c>
      <c r="L1750" t="s">
        <v>9</v>
      </c>
      <c r="M1750" t="s">
        <v>9</v>
      </c>
      <c r="O1750">
        <v>0</v>
      </c>
      <c r="P1750" t="s">
        <v>108</v>
      </c>
      <c r="S1750" t="str">
        <f>TEXT(Table1[[#This Row],[Date]],"MMM-YY")</f>
        <v>Jul-25</v>
      </c>
      <c r="T1750">
        <f>_xlfn.ISOWEEKNUM(Table1[[#This Row],[Date]])</f>
        <v>29</v>
      </c>
      <c r="U1750" t="str">
        <f>TEXT(Table1[[#This Row],[Expected Business Month]],"YYYY")</f>
        <v>2025</v>
      </c>
    </row>
    <row r="1751" spans="1:21" ht="29.1" hidden="1">
      <c r="A1751" s="1">
        <v>45853</v>
      </c>
      <c r="B1751" t="s">
        <v>3889</v>
      </c>
      <c r="C1751" t="s">
        <v>63</v>
      </c>
      <c r="D1751" t="s">
        <v>64</v>
      </c>
      <c r="E1751" t="s">
        <v>27</v>
      </c>
      <c r="F1751" t="s">
        <v>3890</v>
      </c>
      <c r="G1751" s="9" t="s">
        <v>1521</v>
      </c>
      <c r="H1751">
        <v>0</v>
      </c>
      <c r="I1751">
        <v>0</v>
      </c>
      <c r="J1751" s="21">
        <v>45901</v>
      </c>
      <c r="K1751" t="s">
        <v>67</v>
      </c>
      <c r="L1751" t="s">
        <v>9</v>
      </c>
      <c r="M1751" t="s">
        <v>9</v>
      </c>
      <c r="O1751">
        <v>0</v>
      </c>
      <c r="P1751" t="s">
        <v>108</v>
      </c>
      <c r="S1751" t="str">
        <f>TEXT(Table1[[#This Row],[Date]],"MMM-YY")</f>
        <v>Jul-25</v>
      </c>
      <c r="T1751">
        <f>_xlfn.ISOWEEKNUM(Table1[[#This Row],[Date]])</f>
        <v>29</v>
      </c>
      <c r="U1751" t="str">
        <f>TEXT(Table1[[#This Row],[Expected Business Month]],"YYYY")</f>
        <v>2025</v>
      </c>
    </row>
    <row r="1752" spans="1:21" ht="29.1" hidden="1">
      <c r="A1752" s="1">
        <v>45853</v>
      </c>
      <c r="B1752" t="s">
        <v>3891</v>
      </c>
      <c r="C1752" t="s">
        <v>63</v>
      </c>
      <c r="D1752" t="s">
        <v>64</v>
      </c>
      <c r="E1752" t="s">
        <v>32</v>
      </c>
      <c r="F1752" t="s">
        <v>1707</v>
      </c>
      <c r="G1752" s="9" t="s">
        <v>3892</v>
      </c>
      <c r="H1752">
        <v>0</v>
      </c>
      <c r="I1752">
        <v>0</v>
      </c>
      <c r="J1752" s="21">
        <v>45901</v>
      </c>
      <c r="K1752" t="s">
        <v>67</v>
      </c>
      <c r="L1752" t="s">
        <v>9</v>
      </c>
      <c r="M1752" t="s">
        <v>9</v>
      </c>
      <c r="O1752">
        <v>0</v>
      </c>
      <c r="P1752" t="s">
        <v>108</v>
      </c>
      <c r="S1752" t="str">
        <f>TEXT(Table1[[#This Row],[Date]],"MMM-YY")</f>
        <v>Jul-25</v>
      </c>
      <c r="T1752">
        <f>_xlfn.ISOWEEKNUM(Table1[[#This Row],[Date]])</f>
        <v>29</v>
      </c>
      <c r="U1752" t="str">
        <f>TEXT(Table1[[#This Row],[Expected Business Month]],"YYYY")</f>
        <v>2025</v>
      </c>
    </row>
    <row r="1753" spans="1:21" hidden="1">
      <c r="A1753" s="1">
        <v>45853</v>
      </c>
      <c r="B1753" t="s">
        <v>3893</v>
      </c>
      <c r="C1753" t="s">
        <v>63</v>
      </c>
      <c r="D1753" t="s">
        <v>64</v>
      </c>
      <c r="E1753" t="s">
        <v>32</v>
      </c>
      <c r="F1753" t="s">
        <v>444</v>
      </c>
      <c r="G1753" s="9" t="s">
        <v>3894</v>
      </c>
      <c r="H1753">
        <v>0</v>
      </c>
      <c r="I1753">
        <v>0</v>
      </c>
      <c r="J1753" s="21">
        <v>45901</v>
      </c>
      <c r="K1753" t="s">
        <v>67</v>
      </c>
      <c r="L1753" t="s">
        <v>9</v>
      </c>
      <c r="M1753" t="s">
        <v>9</v>
      </c>
      <c r="O1753">
        <v>0</v>
      </c>
      <c r="P1753" t="s">
        <v>108</v>
      </c>
      <c r="S1753" t="str">
        <f>TEXT(Table1[[#This Row],[Date]],"MMM-YY")</f>
        <v>Jul-25</v>
      </c>
      <c r="T1753">
        <f>_xlfn.ISOWEEKNUM(Table1[[#This Row],[Date]])</f>
        <v>29</v>
      </c>
      <c r="U1753" t="str">
        <f>TEXT(Table1[[#This Row],[Expected Business Month]],"YYYY")</f>
        <v>2025</v>
      </c>
    </row>
    <row r="1754" spans="1:21">
      <c r="A1754" s="1">
        <v>45854</v>
      </c>
      <c r="B1754" t="s">
        <v>324</v>
      </c>
      <c r="C1754" t="s">
        <v>96</v>
      </c>
      <c r="D1754" t="s">
        <v>64</v>
      </c>
      <c r="E1754" t="s">
        <v>38</v>
      </c>
      <c r="F1754" t="s">
        <v>325</v>
      </c>
      <c r="G1754" s="9" t="s">
        <v>3895</v>
      </c>
      <c r="H1754">
        <v>70568</v>
      </c>
      <c r="I1754">
        <v>70568</v>
      </c>
      <c r="J1754" s="21">
        <v>45839</v>
      </c>
      <c r="K1754" t="s">
        <v>99</v>
      </c>
      <c r="L1754" t="s">
        <v>68</v>
      </c>
      <c r="M1754" t="s">
        <v>69</v>
      </c>
      <c r="O1754">
        <v>0</v>
      </c>
      <c r="S1754" t="str">
        <f>TEXT(Table1[[#This Row],[Date]],"MMM-YY")</f>
        <v>Jul-25</v>
      </c>
      <c r="T1754">
        <f>_xlfn.ISOWEEKNUM(Table1[[#This Row],[Date]])</f>
        <v>29</v>
      </c>
      <c r="U1754" t="str">
        <f>TEXT(Table1[[#This Row],[Expected Business Month]],"YYYY")</f>
        <v>2025</v>
      </c>
    </row>
    <row r="1755" spans="1:21" ht="15" customHeight="1">
      <c r="A1755" s="1">
        <v>45854</v>
      </c>
      <c r="B1755" t="s">
        <v>95</v>
      </c>
      <c r="C1755" t="s">
        <v>96</v>
      </c>
      <c r="D1755" t="s">
        <v>64</v>
      </c>
      <c r="E1755" t="s">
        <v>38</v>
      </c>
      <c r="F1755" t="s">
        <v>97</v>
      </c>
      <c r="G1755" s="9" t="s">
        <v>3896</v>
      </c>
      <c r="H1755">
        <v>46007</v>
      </c>
      <c r="I1755">
        <v>46007</v>
      </c>
      <c r="J1755" s="21">
        <v>45839</v>
      </c>
      <c r="K1755" t="s">
        <v>99</v>
      </c>
      <c r="L1755" t="s">
        <v>68</v>
      </c>
      <c r="M1755" t="s">
        <v>69</v>
      </c>
      <c r="O1755">
        <v>0</v>
      </c>
      <c r="S1755" t="str">
        <f>TEXT(Table1[[#This Row],[Date]],"MMM-YY")</f>
        <v>Jul-25</v>
      </c>
      <c r="T1755">
        <f>_xlfn.ISOWEEKNUM(Table1[[#This Row],[Date]])</f>
        <v>29</v>
      </c>
      <c r="U1755" t="str">
        <f>TEXT(Table1[[#This Row],[Expected Business Month]],"YYYY")</f>
        <v>2025</v>
      </c>
    </row>
    <row r="1756" spans="1:21" hidden="1">
      <c r="A1756" s="1">
        <v>45854</v>
      </c>
      <c r="B1756" t="s">
        <v>3897</v>
      </c>
      <c r="C1756" t="s">
        <v>63</v>
      </c>
      <c r="D1756" t="s">
        <v>64</v>
      </c>
      <c r="E1756" t="s">
        <v>38</v>
      </c>
      <c r="F1756" t="s">
        <v>3121</v>
      </c>
      <c r="G1756" s="9" t="s">
        <v>3898</v>
      </c>
      <c r="H1756">
        <v>40000</v>
      </c>
      <c r="J1756" s="21">
        <v>45901</v>
      </c>
      <c r="K1756" t="s">
        <v>67</v>
      </c>
      <c r="L1756" t="s">
        <v>9</v>
      </c>
      <c r="M1756" t="s">
        <v>9</v>
      </c>
      <c r="O1756">
        <v>0</v>
      </c>
      <c r="P1756" t="s">
        <v>108</v>
      </c>
      <c r="S1756" t="str">
        <f>TEXT(Table1[[#This Row],[Date]],"MMM-YY")</f>
        <v>Jul-25</v>
      </c>
      <c r="T1756">
        <f>_xlfn.ISOWEEKNUM(Table1[[#This Row],[Date]])</f>
        <v>29</v>
      </c>
      <c r="U1756" t="str">
        <f>TEXT(Table1[[#This Row],[Expected Business Month]],"YYYY")</f>
        <v>2025</v>
      </c>
    </row>
    <row r="1757" spans="1:21" hidden="1">
      <c r="A1757" s="1">
        <v>45854</v>
      </c>
      <c r="B1757" t="s">
        <v>3899</v>
      </c>
      <c r="C1757" t="s">
        <v>63</v>
      </c>
      <c r="D1757" t="s">
        <v>64</v>
      </c>
      <c r="E1757" t="s">
        <v>29</v>
      </c>
      <c r="F1757" t="s">
        <v>3753</v>
      </c>
      <c r="G1757" s="9" t="s">
        <v>3900</v>
      </c>
      <c r="H1757">
        <v>0</v>
      </c>
      <c r="I1757">
        <v>0</v>
      </c>
      <c r="J1757" s="21">
        <v>45901</v>
      </c>
      <c r="K1757" t="s">
        <v>67</v>
      </c>
      <c r="L1757" t="s">
        <v>9</v>
      </c>
      <c r="M1757" t="s">
        <v>9</v>
      </c>
      <c r="O1757">
        <v>0</v>
      </c>
      <c r="P1757" t="s">
        <v>108</v>
      </c>
      <c r="S1757" t="str">
        <f>TEXT(Table1[[#This Row],[Date]],"MMM-YY")</f>
        <v>Jul-25</v>
      </c>
      <c r="T1757">
        <f>_xlfn.ISOWEEKNUM(Table1[[#This Row],[Date]])</f>
        <v>29</v>
      </c>
      <c r="U1757" t="str">
        <f>TEXT(Table1[[#This Row],[Expected Business Month]],"YYYY")</f>
        <v>2025</v>
      </c>
    </row>
    <row r="1758" spans="1:21" hidden="1">
      <c r="A1758" s="1">
        <v>45854</v>
      </c>
      <c r="B1758" s="68" t="s">
        <v>3901</v>
      </c>
      <c r="C1758" s="68" t="s">
        <v>63</v>
      </c>
      <c r="D1758" s="68" t="s">
        <v>618</v>
      </c>
      <c r="E1758" s="68" t="s">
        <v>18</v>
      </c>
      <c r="F1758" s="68" t="s">
        <v>545</v>
      </c>
      <c r="G1758" s="70" t="s">
        <v>3902</v>
      </c>
      <c r="H1758" s="68">
        <v>0</v>
      </c>
      <c r="I1758" s="68">
        <v>0</v>
      </c>
      <c r="J1758" s="21">
        <v>45901</v>
      </c>
      <c r="K1758" s="68" t="s">
        <v>67</v>
      </c>
      <c r="L1758" t="s">
        <v>9</v>
      </c>
      <c r="M1758" s="68" t="s">
        <v>9</v>
      </c>
      <c r="O1758">
        <v>0</v>
      </c>
      <c r="P1758" t="s">
        <v>108</v>
      </c>
      <c r="S1758" t="str">
        <f>TEXT(Table1[[#This Row],[Date]],"MMM-YY")</f>
        <v>Jul-25</v>
      </c>
      <c r="T1758">
        <f>_xlfn.ISOWEEKNUM(Table1[[#This Row],[Date]])</f>
        <v>29</v>
      </c>
      <c r="U1758" t="str">
        <f>TEXT(Table1[[#This Row],[Expected Business Month]],"YYYY")</f>
        <v>2025</v>
      </c>
    </row>
    <row r="1759" spans="1:21" ht="29.1" hidden="1">
      <c r="A1759" s="1">
        <v>45855</v>
      </c>
      <c r="B1759" s="67" t="s">
        <v>3903</v>
      </c>
      <c r="C1759" s="67" t="s">
        <v>63</v>
      </c>
      <c r="D1759" s="67" t="s">
        <v>64</v>
      </c>
      <c r="E1759" s="67" t="s">
        <v>26</v>
      </c>
      <c r="F1759" s="67" t="s">
        <v>3838</v>
      </c>
      <c r="G1759" s="69" t="s">
        <v>3904</v>
      </c>
      <c r="H1759" s="67">
        <v>700000</v>
      </c>
      <c r="I1759" s="67">
        <v>0</v>
      </c>
      <c r="J1759" s="21">
        <v>45992</v>
      </c>
      <c r="K1759" s="67" t="s">
        <v>67</v>
      </c>
      <c r="L1759" t="s">
        <v>9</v>
      </c>
      <c r="M1759" t="s">
        <v>9</v>
      </c>
      <c r="O1759">
        <v>0</v>
      </c>
      <c r="P1759" t="s">
        <v>108</v>
      </c>
      <c r="S1759" t="str">
        <f>TEXT(Table1[[#This Row],[Date]],"MMM-YY")</f>
        <v>Jul-25</v>
      </c>
      <c r="T1759">
        <f>_xlfn.ISOWEEKNUM(Table1[[#This Row],[Date]])</f>
        <v>29</v>
      </c>
    </row>
    <row r="1760" spans="1:21" hidden="1">
      <c r="A1760" s="1">
        <v>45855</v>
      </c>
      <c r="B1760" s="68" t="s">
        <v>3845</v>
      </c>
      <c r="C1760" s="68" t="s">
        <v>63</v>
      </c>
      <c r="D1760" s="68" t="s">
        <v>64</v>
      </c>
      <c r="E1760" s="68" t="s">
        <v>39</v>
      </c>
      <c r="F1760" s="68" t="s">
        <v>1130</v>
      </c>
      <c r="G1760" s="70" t="s">
        <v>3905</v>
      </c>
      <c r="H1760" s="68">
        <v>0</v>
      </c>
      <c r="I1760" s="68">
        <v>0</v>
      </c>
      <c r="J1760" s="21">
        <v>45901</v>
      </c>
      <c r="K1760" s="68" t="s">
        <v>67</v>
      </c>
      <c r="L1760" s="68" t="s">
        <v>9</v>
      </c>
      <c r="M1760" s="68" t="s">
        <v>9</v>
      </c>
      <c r="O1760">
        <v>0</v>
      </c>
      <c r="P1760" t="s">
        <v>108</v>
      </c>
      <c r="S1760" t="str">
        <f>TEXT(Table1[[#This Row],[Date]],"MMM-YY")</f>
        <v>Jul-25</v>
      </c>
      <c r="T1760">
        <f>_xlfn.ISOWEEKNUM(Table1[[#This Row],[Date]])</f>
        <v>29</v>
      </c>
    </row>
    <row r="1761" spans="1:20" hidden="1">
      <c r="A1761" s="1">
        <v>45855</v>
      </c>
      <c r="B1761" s="67" t="s">
        <v>3906</v>
      </c>
      <c r="C1761" s="67" t="s">
        <v>63</v>
      </c>
      <c r="D1761" s="67" t="s">
        <v>64</v>
      </c>
      <c r="E1761" s="67" t="s">
        <v>27</v>
      </c>
      <c r="F1761" s="67" t="s">
        <v>1853</v>
      </c>
      <c r="G1761" s="69" t="s">
        <v>3907</v>
      </c>
      <c r="H1761" s="67">
        <v>0</v>
      </c>
      <c r="I1761" s="67">
        <v>0</v>
      </c>
      <c r="J1761" s="21">
        <v>45839</v>
      </c>
      <c r="K1761" s="67" t="s">
        <v>67</v>
      </c>
      <c r="L1761" s="67" t="s">
        <v>68</v>
      </c>
      <c r="M1761" s="67" t="s">
        <v>69</v>
      </c>
      <c r="O1761">
        <v>0</v>
      </c>
      <c r="S1761" t="str">
        <f>TEXT(Table1[[#This Row],[Date]],"MMM-YY")</f>
        <v>Jul-25</v>
      </c>
      <c r="T1761">
        <f>_xlfn.ISOWEEKNUM(Table1[[#This Row],[Date]])</f>
        <v>29</v>
      </c>
    </row>
    <row r="1762" spans="1:20" hidden="1">
      <c r="A1762" s="1">
        <v>45856</v>
      </c>
      <c r="B1762" s="68" t="s">
        <v>3908</v>
      </c>
      <c r="C1762" s="68" t="s">
        <v>63</v>
      </c>
      <c r="D1762" s="68" t="s">
        <v>64</v>
      </c>
      <c r="E1762" s="68" t="s">
        <v>27</v>
      </c>
      <c r="F1762" s="68" t="s">
        <v>3909</v>
      </c>
      <c r="G1762" s="70" t="s">
        <v>3910</v>
      </c>
      <c r="H1762" s="68">
        <v>34000</v>
      </c>
      <c r="I1762" s="68">
        <v>34000</v>
      </c>
      <c r="J1762" s="21">
        <v>45839</v>
      </c>
      <c r="K1762" s="68" t="s">
        <v>67</v>
      </c>
      <c r="L1762" s="68" t="s">
        <v>68</v>
      </c>
      <c r="M1762" s="68" t="s">
        <v>69</v>
      </c>
      <c r="O1762">
        <v>0</v>
      </c>
      <c r="S1762" t="str">
        <f>TEXT(Table1[[#This Row],[Date]],"MMM-YY")</f>
        <v>Jul-25</v>
      </c>
      <c r="T1762">
        <f>_xlfn.ISOWEEKNUM(Table1[[#This Row],[Date]])</f>
        <v>29</v>
      </c>
    </row>
    <row r="1763" spans="1:20" hidden="1">
      <c r="A1763" s="1">
        <v>45859</v>
      </c>
      <c r="B1763" s="67" t="s">
        <v>3911</v>
      </c>
      <c r="C1763" s="67" t="s">
        <v>63</v>
      </c>
      <c r="D1763" s="67" t="s">
        <v>64</v>
      </c>
      <c r="E1763" s="67" t="s">
        <v>27</v>
      </c>
      <c r="F1763" s="67" t="s">
        <v>998</v>
      </c>
      <c r="G1763" s="69" t="s">
        <v>3912</v>
      </c>
      <c r="H1763" s="67">
        <v>200000</v>
      </c>
      <c r="I1763" s="67"/>
      <c r="J1763" s="21">
        <v>45992</v>
      </c>
      <c r="K1763" s="67" t="s">
        <v>67</v>
      </c>
      <c r="L1763" t="s">
        <v>9</v>
      </c>
      <c r="M1763" t="s">
        <v>9</v>
      </c>
      <c r="O1763">
        <v>0</v>
      </c>
      <c r="P1763" t="s">
        <v>108</v>
      </c>
      <c r="S1763" t="str">
        <f>TEXT(Table1[[#This Row],[Date]],"MMM-YY")</f>
        <v>Jul-25</v>
      </c>
      <c r="T1763">
        <f>_xlfn.ISOWEEKNUM(Table1[[#This Row],[Date]])</f>
        <v>30</v>
      </c>
    </row>
    <row r="1764" spans="1:20" hidden="1">
      <c r="A1764" s="1">
        <v>45859</v>
      </c>
      <c r="B1764" s="68" t="s">
        <v>3913</v>
      </c>
      <c r="C1764" s="68" t="s">
        <v>63</v>
      </c>
      <c r="D1764" s="68" t="s">
        <v>64</v>
      </c>
      <c r="E1764" s="68" t="s">
        <v>32</v>
      </c>
      <c r="F1764" s="68" t="s">
        <v>646</v>
      </c>
      <c r="G1764" s="70" t="s">
        <v>3914</v>
      </c>
      <c r="H1764" s="68">
        <v>0</v>
      </c>
      <c r="I1764" s="68">
        <v>0</v>
      </c>
      <c r="J1764" s="21">
        <v>45839</v>
      </c>
      <c r="K1764" s="68" t="s">
        <v>67</v>
      </c>
      <c r="L1764" s="68" t="s">
        <v>68</v>
      </c>
      <c r="M1764" s="68" t="s">
        <v>69</v>
      </c>
      <c r="O1764">
        <v>0</v>
      </c>
      <c r="S1764" t="str">
        <f>TEXT(Table1[[#This Row],[Date]],"MMM-YY")</f>
        <v>Jul-25</v>
      </c>
      <c r="T1764">
        <f>_xlfn.ISOWEEKNUM(Table1[[#This Row],[Date]])</f>
        <v>30</v>
      </c>
    </row>
    <row r="1765" spans="1:20" hidden="1">
      <c r="A1765" s="1">
        <v>45860</v>
      </c>
      <c r="B1765" s="67" t="s">
        <v>3915</v>
      </c>
      <c r="C1765" s="67" t="s">
        <v>63</v>
      </c>
      <c r="D1765" s="67" t="s">
        <v>64</v>
      </c>
      <c r="E1765" s="67" t="s">
        <v>32</v>
      </c>
      <c r="F1765" s="67" t="s">
        <v>3916</v>
      </c>
      <c r="G1765" s="69" t="s">
        <v>3917</v>
      </c>
      <c r="H1765" s="67">
        <v>0</v>
      </c>
      <c r="I1765" s="67">
        <v>0</v>
      </c>
      <c r="J1765" s="21">
        <v>45901</v>
      </c>
      <c r="K1765" s="67" t="s">
        <v>67</v>
      </c>
      <c r="L1765" t="s">
        <v>9</v>
      </c>
      <c r="M1765" t="s">
        <v>9</v>
      </c>
      <c r="O1765">
        <v>0</v>
      </c>
      <c r="P1765" t="s">
        <v>108</v>
      </c>
      <c r="S1765" t="str">
        <f>TEXT(Table1[[#This Row],[Date]],"MMM-YY")</f>
        <v>Jul-25</v>
      </c>
      <c r="T1765">
        <f>_xlfn.ISOWEEKNUM(Table1[[#This Row],[Date]])</f>
        <v>30</v>
      </c>
    </row>
    <row r="1766" spans="1:20" hidden="1">
      <c r="A1766" s="1">
        <v>45860</v>
      </c>
      <c r="B1766" s="68" t="s">
        <v>3918</v>
      </c>
      <c r="C1766" s="68" t="s">
        <v>63</v>
      </c>
      <c r="D1766" s="68" t="s">
        <v>64</v>
      </c>
      <c r="E1766" s="68" t="s">
        <v>32</v>
      </c>
      <c r="F1766" s="68" t="s">
        <v>143</v>
      </c>
      <c r="G1766" s="70" t="s">
        <v>3917</v>
      </c>
      <c r="H1766" s="68">
        <v>0</v>
      </c>
      <c r="I1766" s="68">
        <v>0</v>
      </c>
      <c r="J1766" s="21">
        <v>45901</v>
      </c>
      <c r="K1766" s="68" t="s">
        <v>67</v>
      </c>
      <c r="L1766" t="s">
        <v>9</v>
      </c>
      <c r="M1766" t="s">
        <v>9</v>
      </c>
      <c r="O1766">
        <v>0</v>
      </c>
      <c r="P1766" t="s">
        <v>108</v>
      </c>
      <c r="S1766" t="str">
        <f>TEXT(Table1[[#This Row],[Date]],"MMM-YY")</f>
        <v>Jul-25</v>
      </c>
      <c r="T1766">
        <f>_xlfn.ISOWEEKNUM(Table1[[#This Row],[Date]])</f>
        <v>30</v>
      </c>
    </row>
    <row r="1767" spans="1:20" ht="29.1" hidden="1">
      <c r="A1767" s="1">
        <v>45860</v>
      </c>
      <c r="B1767" s="67" t="s">
        <v>3919</v>
      </c>
      <c r="C1767" s="67" t="s">
        <v>63</v>
      </c>
      <c r="D1767" s="67" t="s">
        <v>64</v>
      </c>
      <c r="E1767" s="67" t="s">
        <v>32</v>
      </c>
      <c r="F1767" s="67" t="s">
        <v>770</v>
      </c>
      <c r="G1767" s="69" t="s">
        <v>3920</v>
      </c>
      <c r="H1767" s="67">
        <v>0</v>
      </c>
      <c r="I1767" s="67">
        <v>0</v>
      </c>
      <c r="J1767" s="21">
        <v>45901</v>
      </c>
      <c r="K1767" s="67" t="s">
        <v>67</v>
      </c>
      <c r="L1767" t="s">
        <v>9</v>
      </c>
      <c r="M1767" t="s">
        <v>9</v>
      </c>
      <c r="O1767">
        <v>0</v>
      </c>
      <c r="P1767" t="s">
        <v>108</v>
      </c>
      <c r="S1767" t="str">
        <f>TEXT(Table1[[#This Row],[Date]],"MMM-YY")</f>
        <v>Jul-25</v>
      </c>
      <c r="T1767">
        <f>_xlfn.ISOWEEKNUM(Table1[[#This Row],[Date]])</f>
        <v>30</v>
      </c>
    </row>
    <row r="1768" spans="1:20" ht="29.1" hidden="1">
      <c r="A1768" s="1">
        <v>45861</v>
      </c>
      <c r="B1768" s="68" t="s">
        <v>3921</v>
      </c>
      <c r="C1768" s="68" t="s">
        <v>63</v>
      </c>
      <c r="D1768" s="68" t="s">
        <v>64</v>
      </c>
      <c r="E1768" s="68" t="s">
        <v>32</v>
      </c>
      <c r="F1768" s="68" t="s">
        <v>3922</v>
      </c>
      <c r="G1768" s="70" t="s">
        <v>3923</v>
      </c>
      <c r="H1768" s="68">
        <v>0</v>
      </c>
      <c r="I1768" s="68">
        <v>0</v>
      </c>
      <c r="J1768" s="21">
        <v>45901</v>
      </c>
      <c r="K1768" s="68" t="s">
        <v>67</v>
      </c>
      <c r="L1768" t="s">
        <v>9</v>
      </c>
      <c r="M1768" t="s">
        <v>9</v>
      </c>
      <c r="O1768">
        <v>0</v>
      </c>
      <c r="P1768" t="s">
        <v>108</v>
      </c>
      <c r="S1768" t="str">
        <f>TEXT(Table1[[#This Row],[Date]],"MMM-YY")</f>
        <v>Jul-25</v>
      </c>
      <c r="T1768">
        <f>_xlfn.ISOWEEKNUM(Table1[[#This Row],[Date]])</f>
        <v>30</v>
      </c>
    </row>
    <row r="1769" spans="1:20" ht="29.1" hidden="1">
      <c r="A1769" s="1">
        <v>45861</v>
      </c>
      <c r="B1769" s="67" t="s">
        <v>3924</v>
      </c>
      <c r="C1769" s="67" t="s">
        <v>63</v>
      </c>
      <c r="D1769" s="67" t="s">
        <v>64</v>
      </c>
      <c r="E1769" s="67" t="s">
        <v>32</v>
      </c>
      <c r="F1769" s="67" t="s">
        <v>3925</v>
      </c>
      <c r="G1769" s="69" t="s">
        <v>3926</v>
      </c>
      <c r="H1769" s="67">
        <v>0</v>
      </c>
      <c r="I1769" s="67">
        <v>0</v>
      </c>
      <c r="J1769" s="21">
        <v>45901</v>
      </c>
      <c r="K1769" s="67" t="s">
        <v>67</v>
      </c>
      <c r="L1769" t="s">
        <v>9</v>
      </c>
      <c r="M1769" t="s">
        <v>9</v>
      </c>
      <c r="O1769">
        <v>0</v>
      </c>
      <c r="P1769" t="s">
        <v>108</v>
      </c>
      <c r="S1769" t="str">
        <f>TEXT(Table1[[#This Row],[Date]],"MMM-YY")</f>
        <v>Jul-25</v>
      </c>
      <c r="T1769">
        <f>_xlfn.ISOWEEKNUM(Table1[[#This Row],[Date]])</f>
        <v>30</v>
      </c>
    </row>
    <row r="1770" spans="1:20" hidden="1">
      <c r="A1770" s="1">
        <v>45861</v>
      </c>
      <c r="B1770" s="68" t="s">
        <v>3927</v>
      </c>
      <c r="C1770" s="68" t="s">
        <v>63</v>
      </c>
      <c r="D1770" s="68" t="s">
        <v>64</v>
      </c>
      <c r="E1770" s="68" t="s">
        <v>32</v>
      </c>
      <c r="F1770" s="68" t="s">
        <v>3928</v>
      </c>
      <c r="G1770" s="70" t="s">
        <v>3929</v>
      </c>
      <c r="H1770" s="68">
        <v>0</v>
      </c>
      <c r="I1770" s="68">
        <v>0</v>
      </c>
      <c r="J1770" s="21">
        <v>45901</v>
      </c>
      <c r="K1770" s="68" t="s">
        <v>67</v>
      </c>
      <c r="L1770" t="s">
        <v>9</v>
      </c>
      <c r="M1770" t="s">
        <v>9</v>
      </c>
      <c r="O1770">
        <v>0</v>
      </c>
      <c r="P1770" t="s">
        <v>108</v>
      </c>
      <c r="S1770" t="str">
        <f>TEXT(Table1[[#This Row],[Date]],"MMM-YY")</f>
        <v>Jul-25</v>
      </c>
      <c r="T1770">
        <f>_xlfn.ISOWEEKNUM(Table1[[#This Row],[Date]])</f>
        <v>30</v>
      </c>
    </row>
    <row r="1771" spans="1:20" ht="29.1" hidden="1">
      <c r="A1771" s="1">
        <v>45861</v>
      </c>
      <c r="B1771" s="67" t="s">
        <v>3930</v>
      </c>
      <c r="C1771" s="67" t="s">
        <v>63</v>
      </c>
      <c r="D1771" s="67" t="s">
        <v>64</v>
      </c>
      <c r="E1771" s="67" t="s">
        <v>32</v>
      </c>
      <c r="F1771" s="67" t="s">
        <v>3931</v>
      </c>
      <c r="G1771" s="69" t="s">
        <v>3932</v>
      </c>
      <c r="H1771" s="67">
        <v>0</v>
      </c>
      <c r="I1771" s="67">
        <v>0</v>
      </c>
      <c r="J1771" s="21">
        <v>46113</v>
      </c>
      <c r="K1771" s="67" t="s">
        <v>67</v>
      </c>
      <c r="L1771" s="67" t="s">
        <v>568</v>
      </c>
      <c r="M1771" s="67" t="s">
        <v>3933</v>
      </c>
      <c r="O1771">
        <v>0</v>
      </c>
      <c r="P1771" t="s">
        <v>108</v>
      </c>
      <c r="S1771" t="str">
        <f>TEXT(Table1[[#This Row],[Date]],"MMM-YY")</f>
        <v>Jul-25</v>
      </c>
      <c r="T1771">
        <f>_xlfn.ISOWEEKNUM(Table1[[#This Row],[Date]])</f>
        <v>30</v>
      </c>
    </row>
    <row r="1772" spans="1:20">
      <c r="A1772" s="1">
        <v>45861</v>
      </c>
      <c r="B1772" s="68" t="s">
        <v>324</v>
      </c>
      <c r="C1772" s="68" t="s">
        <v>96</v>
      </c>
      <c r="D1772" s="68" t="s">
        <v>64</v>
      </c>
      <c r="E1772" s="68" t="s">
        <v>38</v>
      </c>
      <c r="F1772" s="68" t="s">
        <v>325</v>
      </c>
      <c r="G1772" s="70" t="s">
        <v>3934</v>
      </c>
      <c r="H1772" s="68">
        <v>68111</v>
      </c>
      <c r="I1772" s="68">
        <v>68111</v>
      </c>
      <c r="J1772" s="21">
        <v>45839</v>
      </c>
      <c r="K1772" s="68" t="s">
        <v>99</v>
      </c>
      <c r="L1772" s="68" t="s">
        <v>68</v>
      </c>
      <c r="M1772" s="68" t="s">
        <v>69</v>
      </c>
      <c r="O1772">
        <v>0</v>
      </c>
      <c r="S1772" t="str">
        <f>TEXT(Table1[[#This Row],[Date]],"MMM-YY")</f>
        <v>Jul-25</v>
      </c>
      <c r="T1772">
        <f>_xlfn.ISOWEEKNUM(Table1[[#This Row],[Date]])</f>
        <v>30</v>
      </c>
    </row>
    <row r="1773" spans="1:20" hidden="1">
      <c r="A1773" s="1">
        <v>45861</v>
      </c>
      <c r="B1773" s="67" t="s">
        <v>3935</v>
      </c>
      <c r="C1773" s="67" t="s">
        <v>63</v>
      </c>
      <c r="D1773" s="67" t="s">
        <v>64</v>
      </c>
      <c r="E1773" s="67" t="s">
        <v>38</v>
      </c>
      <c r="F1773" s="67" t="s">
        <v>269</v>
      </c>
      <c r="G1773" s="69" t="s">
        <v>3936</v>
      </c>
      <c r="H1773" s="67">
        <v>8000</v>
      </c>
      <c r="I1773" s="67">
        <v>8000</v>
      </c>
      <c r="J1773" s="21">
        <v>45839</v>
      </c>
      <c r="K1773" s="67" t="s">
        <v>67</v>
      </c>
      <c r="L1773" s="67" t="s">
        <v>68</v>
      </c>
      <c r="M1773" s="67" t="s">
        <v>69</v>
      </c>
      <c r="O1773">
        <v>0</v>
      </c>
      <c r="S1773" t="str">
        <f>TEXT(Table1[[#This Row],[Date]],"MMM-YY")</f>
        <v>Jul-25</v>
      </c>
      <c r="T1773">
        <f>_xlfn.ISOWEEKNUM(Table1[[#This Row],[Date]])</f>
        <v>30</v>
      </c>
    </row>
    <row r="1774" spans="1:20" ht="29.1" hidden="1">
      <c r="A1774" s="1">
        <v>45862</v>
      </c>
      <c r="B1774" s="68" t="s">
        <v>2941</v>
      </c>
      <c r="C1774" s="68" t="s">
        <v>63</v>
      </c>
      <c r="D1774" s="68" t="s">
        <v>64</v>
      </c>
      <c r="E1774" s="68" t="s">
        <v>26</v>
      </c>
      <c r="F1774" s="68" t="s">
        <v>2945</v>
      </c>
      <c r="G1774" s="70" t="s">
        <v>3937</v>
      </c>
      <c r="H1774" s="68">
        <v>7000</v>
      </c>
      <c r="I1774" s="68">
        <v>7000</v>
      </c>
      <c r="J1774" s="21">
        <v>45839</v>
      </c>
      <c r="K1774" s="68" t="s">
        <v>67</v>
      </c>
      <c r="L1774" t="s">
        <v>68</v>
      </c>
      <c r="M1774" s="68" t="s">
        <v>69</v>
      </c>
      <c r="O1774">
        <v>0</v>
      </c>
      <c r="S1774" t="str">
        <f>TEXT(Table1[[#This Row],[Date]],"MMM-YY")</f>
        <v>Jul-25</v>
      </c>
      <c r="T1774">
        <f>_xlfn.ISOWEEKNUM(Table1[[#This Row],[Date]])</f>
        <v>30</v>
      </c>
    </row>
    <row r="1775" spans="1:20" hidden="1">
      <c r="A1775" s="1">
        <v>45863</v>
      </c>
      <c r="B1775" s="67" t="s">
        <v>82</v>
      </c>
      <c r="C1775" s="67" t="s">
        <v>63</v>
      </c>
      <c r="D1775" s="67" t="s">
        <v>64</v>
      </c>
      <c r="E1775" s="67" t="s">
        <v>38</v>
      </c>
      <c r="F1775" s="67" t="s">
        <v>83</v>
      </c>
      <c r="G1775" s="69" t="s">
        <v>3938</v>
      </c>
      <c r="H1775" s="67">
        <v>0</v>
      </c>
      <c r="I1775" s="67">
        <v>0</v>
      </c>
      <c r="J1775" s="21">
        <v>46113</v>
      </c>
      <c r="K1775" s="67" t="s">
        <v>67</v>
      </c>
      <c r="L1775" t="s">
        <v>567</v>
      </c>
      <c r="M1775" s="67" t="s">
        <v>296</v>
      </c>
      <c r="O1775">
        <v>0</v>
      </c>
      <c r="P1775" t="s">
        <v>108</v>
      </c>
      <c r="S1775" t="str">
        <f>TEXT(Table1[[#This Row],[Date]],"MMM-YY")</f>
        <v>Jul-25</v>
      </c>
      <c r="T1775">
        <f>_xlfn.ISOWEEKNUM(Table1[[#This Row],[Date]])</f>
        <v>30</v>
      </c>
    </row>
    <row r="1776" spans="1:20" hidden="1">
      <c r="A1776" s="1">
        <v>45863</v>
      </c>
      <c r="B1776" s="68" t="s">
        <v>3889</v>
      </c>
      <c r="C1776" s="68" t="s">
        <v>63</v>
      </c>
      <c r="D1776" s="68" t="s">
        <v>64</v>
      </c>
      <c r="E1776" s="68" t="s">
        <v>27</v>
      </c>
      <c r="F1776" s="68" t="s">
        <v>3939</v>
      </c>
      <c r="G1776" s="70" t="s">
        <v>3940</v>
      </c>
      <c r="H1776" s="68">
        <v>0</v>
      </c>
      <c r="I1776" s="68">
        <v>0</v>
      </c>
      <c r="J1776" s="21">
        <v>46113</v>
      </c>
      <c r="K1776" s="68" t="s">
        <v>67</v>
      </c>
      <c r="L1776" t="s">
        <v>567</v>
      </c>
      <c r="M1776" s="68" t="s">
        <v>296</v>
      </c>
      <c r="O1776">
        <v>0</v>
      </c>
      <c r="P1776" t="s">
        <v>108</v>
      </c>
      <c r="S1776" t="str">
        <f>TEXT(Table1[[#This Row],[Date]],"MMM-YY")</f>
        <v>Jul-25</v>
      </c>
      <c r="T1776">
        <f>_xlfn.ISOWEEKNUM(Table1[[#This Row],[Date]])</f>
        <v>30</v>
      </c>
    </row>
    <row r="1777" spans="1:20" hidden="1">
      <c r="A1777" s="1">
        <v>45865</v>
      </c>
      <c r="B1777" s="67" t="s">
        <v>355</v>
      </c>
      <c r="C1777" s="67" t="s">
        <v>96</v>
      </c>
      <c r="D1777" s="67" t="s">
        <v>64</v>
      </c>
      <c r="E1777" s="67" t="s">
        <v>23</v>
      </c>
      <c r="F1777" s="67" t="s">
        <v>214</v>
      </c>
      <c r="G1777" s="69" t="s">
        <v>3941</v>
      </c>
      <c r="H1777" s="67">
        <v>5445</v>
      </c>
      <c r="I1777" s="67">
        <v>5445</v>
      </c>
      <c r="J1777" s="21">
        <v>45839</v>
      </c>
      <c r="K1777" s="67" t="s">
        <v>67</v>
      </c>
      <c r="L1777" t="s">
        <v>68</v>
      </c>
      <c r="M1777" s="67" t="s">
        <v>69</v>
      </c>
      <c r="O1777">
        <v>0</v>
      </c>
      <c r="S1777" t="str">
        <f>TEXT(Table1[[#This Row],[Date]],"MMM-YY")</f>
        <v>Jul-25</v>
      </c>
      <c r="T1777">
        <f>_xlfn.ISOWEEKNUM(Table1[[#This Row],[Date]])</f>
        <v>30</v>
      </c>
    </row>
    <row r="1778" spans="1:20" hidden="1">
      <c r="A1778" s="1">
        <v>45866</v>
      </c>
      <c r="B1778" s="68" t="s">
        <v>3942</v>
      </c>
      <c r="C1778" s="68" t="s">
        <v>63</v>
      </c>
      <c r="D1778" s="68" t="s">
        <v>64</v>
      </c>
      <c r="E1778" s="68" t="s">
        <v>32</v>
      </c>
      <c r="F1778" s="68" t="s">
        <v>3943</v>
      </c>
      <c r="G1778" s="70" t="s">
        <v>3944</v>
      </c>
      <c r="H1778" s="68">
        <v>0</v>
      </c>
      <c r="I1778" s="68">
        <v>0</v>
      </c>
      <c r="J1778" s="21">
        <v>46113</v>
      </c>
      <c r="K1778" s="68" t="s">
        <v>67</v>
      </c>
      <c r="L1778" t="s">
        <v>568</v>
      </c>
      <c r="M1778" s="68" t="s">
        <v>2878</v>
      </c>
      <c r="O1778">
        <v>0</v>
      </c>
      <c r="P1778" t="s">
        <v>108</v>
      </c>
      <c r="S1778" t="str">
        <f>TEXT(Table1[[#This Row],[Date]],"MMM-YY")</f>
        <v>Jul-25</v>
      </c>
      <c r="T1778">
        <f>_xlfn.ISOWEEKNUM(Table1[[#This Row],[Date]])</f>
        <v>31</v>
      </c>
    </row>
    <row r="1779" spans="1:20" hidden="1">
      <c r="A1779" s="1">
        <v>45866</v>
      </c>
      <c r="B1779" s="67" t="s">
        <v>2179</v>
      </c>
      <c r="C1779" s="67" t="s">
        <v>63</v>
      </c>
      <c r="D1779" s="67" t="s">
        <v>64</v>
      </c>
      <c r="E1779" s="67" t="s">
        <v>32</v>
      </c>
      <c r="F1779" s="67" t="s">
        <v>3945</v>
      </c>
      <c r="G1779" s="69" t="s">
        <v>3944</v>
      </c>
      <c r="H1779" s="67">
        <v>0</v>
      </c>
      <c r="I1779" s="67">
        <v>0</v>
      </c>
      <c r="J1779" s="21">
        <v>46113</v>
      </c>
      <c r="K1779" s="67" t="s">
        <v>67</v>
      </c>
      <c r="L1779" t="s">
        <v>568</v>
      </c>
      <c r="M1779" s="67" t="s">
        <v>2878</v>
      </c>
      <c r="O1779">
        <v>0</v>
      </c>
      <c r="P1779" t="s">
        <v>108</v>
      </c>
      <c r="S1779" t="str">
        <f>TEXT(Table1[[#This Row],[Date]],"MMM-YY")</f>
        <v>Jul-25</v>
      </c>
      <c r="T1779">
        <f>_xlfn.ISOWEEKNUM(Table1[[#This Row],[Date]])</f>
        <v>31</v>
      </c>
    </row>
    <row r="1780" spans="1:20" hidden="1">
      <c r="A1780" s="1">
        <v>45866</v>
      </c>
      <c r="B1780" s="68" t="s">
        <v>3946</v>
      </c>
      <c r="C1780" s="68" t="s">
        <v>63</v>
      </c>
      <c r="D1780" s="68" t="s">
        <v>64</v>
      </c>
      <c r="E1780" s="68" t="s">
        <v>28</v>
      </c>
      <c r="F1780" s="68" t="s">
        <v>1707</v>
      </c>
      <c r="G1780" s="70" t="s">
        <v>3947</v>
      </c>
      <c r="H1780" s="68">
        <v>0</v>
      </c>
      <c r="I1780" s="68">
        <v>0</v>
      </c>
      <c r="J1780" s="21">
        <v>45839</v>
      </c>
      <c r="K1780" s="68" t="s">
        <v>67</v>
      </c>
      <c r="L1780" t="s">
        <v>68</v>
      </c>
      <c r="M1780" s="68" t="s">
        <v>69</v>
      </c>
      <c r="O1780">
        <v>0</v>
      </c>
      <c r="S1780" t="str">
        <f>TEXT(Table1[[#This Row],[Date]],"MMM-YY")</f>
        <v>Jul-25</v>
      </c>
      <c r="T1780">
        <f>_xlfn.ISOWEEKNUM(Table1[[#This Row],[Date]])</f>
        <v>31</v>
      </c>
    </row>
    <row r="1781" spans="1:20" hidden="1">
      <c r="A1781" s="1">
        <v>45866</v>
      </c>
      <c r="B1781" s="67" t="s">
        <v>3845</v>
      </c>
      <c r="C1781" s="67" t="s">
        <v>63</v>
      </c>
      <c r="D1781" s="67" t="s">
        <v>64</v>
      </c>
      <c r="E1781" s="67" t="s">
        <v>39</v>
      </c>
      <c r="F1781" s="67" t="s">
        <v>39</v>
      </c>
      <c r="G1781" s="69" t="s">
        <v>2880</v>
      </c>
      <c r="H1781" s="67">
        <v>0</v>
      </c>
      <c r="I1781" s="67">
        <v>0</v>
      </c>
      <c r="J1781" s="21">
        <v>46113</v>
      </c>
      <c r="K1781" s="67" t="s">
        <v>67</v>
      </c>
      <c r="L1781" t="s">
        <v>567</v>
      </c>
      <c r="M1781" s="67" t="s">
        <v>2878</v>
      </c>
      <c r="O1781">
        <v>0</v>
      </c>
      <c r="P1781" t="s">
        <v>108</v>
      </c>
      <c r="S1781" t="str">
        <f>TEXT(Table1[[#This Row],[Date]],"MMM-YY")</f>
        <v>Jul-25</v>
      </c>
      <c r="T1781">
        <f>_xlfn.ISOWEEKNUM(Table1[[#This Row],[Date]])</f>
        <v>31</v>
      </c>
    </row>
    <row r="1782" spans="1:20" ht="29.1" hidden="1">
      <c r="A1782" s="1">
        <v>45867</v>
      </c>
      <c r="B1782" s="68" t="s">
        <v>346</v>
      </c>
      <c r="C1782" s="68" t="s">
        <v>63</v>
      </c>
      <c r="D1782" s="68" t="s">
        <v>20</v>
      </c>
      <c r="E1782" s="68" t="s">
        <v>23</v>
      </c>
      <c r="F1782" s="68" t="s">
        <v>347</v>
      </c>
      <c r="G1782" s="70" t="s">
        <v>381</v>
      </c>
      <c r="H1782" s="68">
        <v>28000</v>
      </c>
      <c r="I1782" s="68">
        <v>28000</v>
      </c>
      <c r="J1782" s="21">
        <v>45870</v>
      </c>
      <c r="K1782" s="68" t="s">
        <v>67</v>
      </c>
      <c r="L1782" t="s">
        <v>68</v>
      </c>
      <c r="M1782" s="68" t="s">
        <v>69</v>
      </c>
      <c r="O1782">
        <v>0</v>
      </c>
      <c r="S1782" t="str">
        <f>TEXT(Table1[[#This Row],[Date]],"MMM-YY")</f>
        <v>Jul-25</v>
      </c>
      <c r="T1782">
        <f>_xlfn.ISOWEEKNUM(Table1[[#This Row],[Date]])</f>
        <v>31</v>
      </c>
    </row>
    <row r="1783" spans="1:20" ht="29.1" hidden="1">
      <c r="A1783" s="1">
        <v>45867</v>
      </c>
      <c r="B1783" s="67" t="s">
        <v>3948</v>
      </c>
      <c r="C1783" s="67" t="s">
        <v>63</v>
      </c>
      <c r="D1783" s="67" t="s">
        <v>64</v>
      </c>
      <c r="E1783" s="67" t="s">
        <v>38</v>
      </c>
      <c r="F1783" s="67" t="s">
        <v>269</v>
      </c>
      <c r="G1783" s="69" t="s">
        <v>3949</v>
      </c>
      <c r="H1783" s="67">
        <v>350000</v>
      </c>
      <c r="I1783" s="67"/>
      <c r="J1783" s="21">
        <v>45992</v>
      </c>
      <c r="K1783" s="67" t="s">
        <v>67</v>
      </c>
      <c r="L1783" t="s">
        <v>9</v>
      </c>
      <c r="M1783" t="s">
        <v>9</v>
      </c>
      <c r="N1783" t="s">
        <v>3950</v>
      </c>
      <c r="O1783">
        <v>0</v>
      </c>
      <c r="P1783" t="s">
        <v>108</v>
      </c>
      <c r="S1783" t="str">
        <f>TEXT(Table1[[#This Row],[Date]],"MMM-YY")</f>
        <v>Jul-25</v>
      </c>
      <c r="T1783">
        <f>_xlfn.ISOWEEKNUM(Table1[[#This Row],[Date]])</f>
        <v>31</v>
      </c>
    </row>
    <row r="1784" spans="1:20" hidden="1">
      <c r="A1784" s="1">
        <v>45867</v>
      </c>
      <c r="B1784" s="68" t="s">
        <v>297</v>
      </c>
      <c r="C1784" s="68" t="s">
        <v>96</v>
      </c>
      <c r="D1784" s="68" t="s">
        <v>64</v>
      </c>
      <c r="E1784" s="68" t="s">
        <v>298</v>
      </c>
      <c r="F1784" s="68" t="s">
        <v>299</v>
      </c>
      <c r="G1784" s="70" t="s">
        <v>300</v>
      </c>
      <c r="H1784" s="68"/>
      <c r="I1784" s="68"/>
      <c r="J1784" s="21">
        <v>45901</v>
      </c>
      <c r="K1784" s="68" t="s">
        <v>67</v>
      </c>
      <c r="L1784" t="s">
        <v>295</v>
      </c>
      <c r="M1784" s="68" t="s">
        <v>296</v>
      </c>
      <c r="O1784">
        <v>0</v>
      </c>
      <c r="P1784" t="s">
        <v>108</v>
      </c>
      <c r="S1784" t="str">
        <f>TEXT(Table1[[#This Row],[Date]],"MMM-YY")</f>
        <v>Jul-25</v>
      </c>
      <c r="T1784">
        <f>_xlfn.ISOWEEKNUM(Table1[[#This Row],[Date]])</f>
        <v>31</v>
      </c>
    </row>
    <row r="1785" spans="1:20" hidden="1">
      <c r="A1785" s="1">
        <v>45867</v>
      </c>
      <c r="B1785" s="67" t="s">
        <v>3951</v>
      </c>
      <c r="C1785" s="67" t="s">
        <v>96</v>
      </c>
      <c r="D1785" s="67" t="s">
        <v>64</v>
      </c>
      <c r="E1785" s="67" t="s">
        <v>38</v>
      </c>
      <c r="F1785" s="67" t="s">
        <v>3952</v>
      </c>
      <c r="G1785" s="69" t="s">
        <v>2880</v>
      </c>
      <c r="H1785" s="67"/>
      <c r="I1785" s="67"/>
      <c r="J1785" s="21">
        <v>46113</v>
      </c>
      <c r="K1785" s="67" t="s">
        <v>67</v>
      </c>
      <c r="L1785" t="s">
        <v>567</v>
      </c>
      <c r="M1785" s="67" t="s">
        <v>296</v>
      </c>
      <c r="O1785">
        <v>0</v>
      </c>
      <c r="P1785" t="s">
        <v>108</v>
      </c>
      <c r="S1785" t="str">
        <f>TEXT(Table1[[#This Row],[Date]],"MMM-YY")</f>
        <v>Jul-25</v>
      </c>
      <c r="T1785">
        <f>_xlfn.ISOWEEKNUM(Table1[[#This Row],[Date]])</f>
        <v>31</v>
      </c>
    </row>
    <row r="1786" spans="1:20">
      <c r="A1786" s="1">
        <v>45868</v>
      </c>
      <c r="B1786" s="68" t="s">
        <v>324</v>
      </c>
      <c r="C1786" s="68" t="s">
        <v>96</v>
      </c>
      <c r="D1786" s="68" t="s">
        <v>64</v>
      </c>
      <c r="E1786" s="68" t="s">
        <v>38</v>
      </c>
      <c r="F1786" s="68" t="s">
        <v>325</v>
      </c>
      <c r="G1786" s="70" t="s">
        <v>3953</v>
      </c>
      <c r="H1786" s="68">
        <v>70568</v>
      </c>
      <c r="I1786" s="68">
        <v>70568</v>
      </c>
      <c r="J1786" s="21">
        <v>45839</v>
      </c>
      <c r="K1786" s="68" t="s">
        <v>99</v>
      </c>
      <c r="L1786" s="68" t="s">
        <v>68</v>
      </c>
      <c r="M1786" s="68" t="s">
        <v>69</v>
      </c>
      <c r="O1786">
        <v>0</v>
      </c>
      <c r="S1786" t="str">
        <f>TEXT(Table1[[#This Row],[Date]],"MMM-YY")</f>
        <v>Jul-25</v>
      </c>
      <c r="T1786">
        <f>_xlfn.ISOWEEKNUM(Table1[[#This Row],[Date]])</f>
        <v>31</v>
      </c>
    </row>
    <row r="1787" spans="1:20" hidden="1">
      <c r="A1787" s="1">
        <v>45868</v>
      </c>
      <c r="B1787" t="s">
        <v>379</v>
      </c>
      <c r="C1787" t="s">
        <v>96</v>
      </c>
      <c r="D1787" t="s">
        <v>20</v>
      </c>
      <c r="E1787" t="s">
        <v>23</v>
      </c>
      <c r="F1787" t="s">
        <v>153</v>
      </c>
      <c r="G1787" s="9" t="s">
        <v>380</v>
      </c>
      <c r="H1787">
        <v>9000</v>
      </c>
      <c r="J1787" s="21">
        <v>45870</v>
      </c>
      <c r="K1787" t="s">
        <v>67</v>
      </c>
      <c r="L1787" t="s">
        <v>68</v>
      </c>
      <c r="M1787" t="s">
        <v>296</v>
      </c>
      <c r="O1787">
        <v>0</v>
      </c>
      <c r="S1787" t="str">
        <f>TEXT(Table1[[#This Row],[Date]],"MMM-YY")</f>
        <v>Jul-25</v>
      </c>
      <c r="T1787">
        <f>_xlfn.ISOWEEKNUM(Table1[[#This Row],[Date]])</f>
        <v>31</v>
      </c>
    </row>
    <row r="1788" spans="1:20" hidden="1">
      <c r="A1788" s="1">
        <v>45870</v>
      </c>
      <c r="B1788" s="68" t="s">
        <v>152</v>
      </c>
      <c r="C1788" s="68" t="s">
        <v>96</v>
      </c>
      <c r="D1788" s="68" t="s">
        <v>20</v>
      </c>
      <c r="E1788" s="68" t="s">
        <v>23</v>
      </c>
      <c r="F1788" s="68" t="s">
        <v>377</v>
      </c>
      <c r="G1788" s="70" t="s">
        <v>378</v>
      </c>
      <c r="H1788" s="68">
        <v>8119</v>
      </c>
      <c r="I1788" s="68">
        <v>8119</v>
      </c>
      <c r="J1788" s="21">
        <v>45870</v>
      </c>
      <c r="K1788" s="68" t="s">
        <v>67</v>
      </c>
      <c r="L1788" t="s">
        <v>68</v>
      </c>
      <c r="M1788" s="68" t="s">
        <v>69</v>
      </c>
      <c r="O1788">
        <v>0</v>
      </c>
      <c r="S1788" t="str">
        <f>TEXT(Table1[[#This Row],[Date]],"MMM-YY")</f>
        <v>Aug-25</v>
      </c>
      <c r="T1788">
        <f>_xlfn.ISOWEEKNUM(Table1[[#This Row],[Date]])</f>
        <v>31</v>
      </c>
    </row>
    <row r="1789" spans="1:20" hidden="1">
      <c r="A1789" s="1">
        <v>45873</v>
      </c>
      <c r="B1789" s="67" t="s">
        <v>374</v>
      </c>
      <c r="C1789" s="67" t="s">
        <v>63</v>
      </c>
      <c r="D1789" s="67" t="s">
        <v>64</v>
      </c>
      <c r="E1789" s="67" t="s">
        <v>28</v>
      </c>
      <c r="F1789" s="67" t="s">
        <v>375</v>
      </c>
      <c r="G1789" s="69" t="s">
        <v>376</v>
      </c>
      <c r="H1789" s="67">
        <v>9782</v>
      </c>
      <c r="I1789" s="67">
        <v>9782</v>
      </c>
      <c r="J1789" s="21">
        <v>45870</v>
      </c>
      <c r="K1789" s="67" t="s">
        <v>67</v>
      </c>
      <c r="L1789" t="s">
        <v>68</v>
      </c>
      <c r="M1789" s="67" t="s">
        <v>69</v>
      </c>
      <c r="O1789">
        <v>0</v>
      </c>
      <c r="S1789" t="str">
        <f>TEXT(Table1[[#This Row],[Date]],"MMM-YY")</f>
        <v>Aug-25</v>
      </c>
      <c r="T1789">
        <f>_xlfn.ISOWEEKNUM(Table1[[#This Row],[Date]])</f>
        <v>32</v>
      </c>
    </row>
    <row r="1790" spans="1:20" hidden="1">
      <c r="A1790" s="1">
        <v>45873</v>
      </c>
      <c r="B1790" s="68" t="s">
        <v>112</v>
      </c>
      <c r="C1790" s="68" t="s">
        <v>63</v>
      </c>
      <c r="D1790" s="68" t="s">
        <v>64</v>
      </c>
      <c r="E1790" s="68" t="s">
        <v>38</v>
      </c>
      <c r="F1790" s="68" t="s">
        <v>349</v>
      </c>
      <c r="G1790" s="70" t="s">
        <v>373</v>
      </c>
      <c r="H1790" s="68">
        <v>13000</v>
      </c>
      <c r="I1790" s="68">
        <v>13000</v>
      </c>
      <c r="J1790" s="21">
        <v>45870</v>
      </c>
      <c r="K1790" s="68" t="s">
        <v>67</v>
      </c>
      <c r="L1790" t="s">
        <v>68</v>
      </c>
      <c r="M1790" s="68" t="s">
        <v>69</v>
      </c>
      <c r="O1790">
        <v>0</v>
      </c>
      <c r="S1790" t="str">
        <f>TEXT(Table1[[#This Row],[Date]],"MMM-YY")</f>
        <v>Aug-25</v>
      </c>
      <c r="T1790">
        <f>_xlfn.ISOWEEKNUM(Table1[[#This Row],[Date]])</f>
        <v>32</v>
      </c>
    </row>
    <row r="1791" spans="1:20" ht="29.1" hidden="1">
      <c r="A1791" s="1">
        <v>45873</v>
      </c>
      <c r="B1791" s="67" t="s">
        <v>370</v>
      </c>
      <c r="C1791" s="67" t="s">
        <v>96</v>
      </c>
      <c r="D1791" s="67" t="s">
        <v>64</v>
      </c>
      <c r="E1791" s="67" t="s">
        <v>26</v>
      </c>
      <c r="F1791" s="67" t="s">
        <v>371</v>
      </c>
      <c r="G1791" s="69" t="s">
        <v>372</v>
      </c>
      <c r="H1791" s="67">
        <v>0</v>
      </c>
      <c r="I1791" s="67">
        <v>0</v>
      </c>
      <c r="J1791" s="21">
        <v>45870</v>
      </c>
      <c r="K1791" s="67" t="s">
        <v>67</v>
      </c>
      <c r="L1791" t="s">
        <v>68</v>
      </c>
      <c r="M1791" s="67" t="s">
        <v>69</v>
      </c>
      <c r="O1791">
        <v>0</v>
      </c>
      <c r="S1791" t="str">
        <f>TEXT(Table1[[#This Row],[Date]],"MMM-YY")</f>
        <v>Aug-25</v>
      </c>
      <c r="T1791">
        <f>_xlfn.ISOWEEKNUM(Table1[[#This Row],[Date]])</f>
        <v>32</v>
      </c>
    </row>
    <row r="1792" spans="1:20" hidden="1">
      <c r="A1792" s="1">
        <v>45873</v>
      </c>
      <c r="B1792" s="68" t="s">
        <v>3954</v>
      </c>
      <c r="C1792" s="68" t="s">
        <v>63</v>
      </c>
      <c r="D1792" s="68" t="s">
        <v>64</v>
      </c>
      <c r="E1792" s="68" t="s">
        <v>28</v>
      </c>
      <c r="F1792" s="68" t="s">
        <v>153</v>
      </c>
      <c r="G1792" s="70" t="s">
        <v>3955</v>
      </c>
      <c r="H1792" s="68">
        <v>0</v>
      </c>
      <c r="I1792" s="68">
        <v>0</v>
      </c>
      <c r="J1792" s="21">
        <v>46113</v>
      </c>
      <c r="K1792" s="68" t="s">
        <v>67</v>
      </c>
      <c r="L1792" t="s">
        <v>568</v>
      </c>
      <c r="M1792" s="68" t="s">
        <v>2878</v>
      </c>
      <c r="O1792">
        <v>0</v>
      </c>
      <c r="P1792" t="s">
        <v>108</v>
      </c>
      <c r="S1792" t="str">
        <f>TEXT(Table1[[#This Row],[Date]],"MMM-YY")</f>
        <v>Aug-25</v>
      </c>
      <c r="T1792">
        <f>_xlfn.ISOWEEKNUM(Table1[[#This Row],[Date]])</f>
        <v>32</v>
      </c>
    </row>
    <row r="1793" spans="1:20" hidden="1">
      <c r="A1793" s="1">
        <v>45874</v>
      </c>
      <c r="B1793" s="67" t="s">
        <v>112</v>
      </c>
      <c r="C1793" s="67" t="s">
        <v>63</v>
      </c>
      <c r="D1793" s="67" t="s">
        <v>64</v>
      </c>
      <c r="E1793" s="67" t="s">
        <v>38</v>
      </c>
      <c r="F1793" s="67" t="s">
        <v>349</v>
      </c>
      <c r="G1793" s="69" t="s">
        <v>369</v>
      </c>
      <c r="H1793" s="67">
        <v>17800</v>
      </c>
      <c r="I1793" s="67">
        <v>17800</v>
      </c>
      <c r="J1793" s="21">
        <v>45870</v>
      </c>
      <c r="K1793" s="67" t="s">
        <v>67</v>
      </c>
      <c r="L1793" t="s">
        <v>68</v>
      </c>
      <c r="M1793" s="67" t="s">
        <v>69</v>
      </c>
      <c r="O1793">
        <v>0</v>
      </c>
      <c r="S1793" t="str">
        <f>TEXT(Table1[[#This Row],[Date]],"MMM-YY")</f>
        <v>Aug-25</v>
      </c>
      <c r="T1793">
        <f>_xlfn.ISOWEEKNUM(Table1[[#This Row],[Date]])</f>
        <v>32</v>
      </c>
    </row>
    <row r="1794" spans="1:20" hidden="1">
      <c r="A1794" s="1">
        <v>45874</v>
      </c>
      <c r="B1794" s="68" t="s">
        <v>364</v>
      </c>
      <c r="C1794" s="68" t="s">
        <v>96</v>
      </c>
      <c r="D1794" s="68" t="s">
        <v>64</v>
      </c>
      <c r="E1794" s="68" t="s">
        <v>26</v>
      </c>
      <c r="F1794" s="68" t="s">
        <v>365</v>
      </c>
      <c r="G1794" s="70" t="s">
        <v>368</v>
      </c>
      <c r="H1794" s="68">
        <v>11551</v>
      </c>
      <c r="I1794" s="68">
        <v>11551</v>
      </c>
      <c r="J1794" s="21">
        <v>45870</v>
      </c>
      <c r="K1794" s="68" t="s">
        <v>67</v>
      </c>
      <c r="L1794" t="s">
        <v>68</v>
      </c>
      <c r="M1794" s="68" t="s">
        <v>69</v>
      </c>
      <c r="O1794">
        <v>0</v>
      </c>
      <c r="S1794" t="str">
        <f>TEXT(Table1[[#This Row],[Date]],"MMM-YY")</f>
        <v>Aug-25</v>
      </c>
      <c r="T1794">
        <f>_xlfn.ISOWEEKNUM(Table1[[#This Row],[Date]])</f>
        <v>32</v>
      </c>
    </row>
    <row r="1795" spans="1:20" hidden="1">
      <c r="A1795" s="1">
        <v>45874</v>
      </c>
      <c r="B1795" s="67" t="s">
        <v>3956</v>
      </c>
      <c r="C1795" s="67" t="s">
        <v>63</v>
      </c>
      <c r="D1795" s="67" t="s">
        <v>64</v>
      </c>
      <c r="E1795" s="67" t="s">
        <v>26</v>
      </c>
      <c r="F1795" s="67" t="s">
        <v>73</v>
      </c>
      <c r="G1795" s="69" t="s">
        <v>3957</v>
      </c>
      <c r="H1795" s="67">
        <v>0</v>
      </c>
      <c r="I1795" s="67">
        <v>0</v>
      </c>
      <c r="J1795" s="21">
        <v>45901</v>
      </c>
      <c r="K1795" s="67" t="s">
        <v>67</v>
      </c>
      <c r="L1795" t="s">
        <v>9</v>
      </c>
      <c r="M1795" s="67" t="s">
        <v>9</v>
      </c>
      <c r="O1795">
        <v>0</v>
      </c>
      <c r="P1795" t="s">
        <v>108</v>
      </c>
      <c r="S1795" t="str">
        <f>TEXT(Table1[[#This Row],[Date]],"MMM-YY")</f>
        <v>Aug-25</v>
      </c>
      <c r="T1795">
        <f>_xlfn.ISOWEEKNUM(Table1[[#This Row],[Date]])</f>
        <v>32</v>
      </c>
    </row>
    <row r="1796" spans="1:20" hidden="1">
      <c r="A1796" s="1">
        <v>45875</v>
      </c>
      <c r="B1796" s="68" t="s">
        <v>112</v>
      </c>
      <c r="C1796" s="68" t="s">
        <v>63</v>
      </c>
      <c r="D1796" s="68" t="s">
        <v>64</v>
      </c>
      <c r="E1796" s="68" t="s">
        <v>38</v>
      </c>
      <c r="F1796" s="68" t="s">
        <v>349</v>
      </c>
      <c r="G1796" s="70" t="s">
        <v>367</v>
      </c>
      <c r="H1796" s="68">
        <v>29751</v>
      </c>
      <c r="I1796" s="68">
        <v>29751</v>
      </c>
      <c r="J1796" s="21">
        <v>45870</v>
      </c>
      <c r="K1796" s="68" t="s">
        <v>67</v>
      </c>
      <c r="L1796" t="s">
        <v>68</v>
      </c>
      <c r="M1796" s="68" t="s">
        <v>69</v>
      </c>
      <c r="O1796">
        <v>0</v>
      </c>
      <c r="S1796" t="str">
        <f>TEXT(Table1[[#This Row],[Date]],"MMM-YY")</f>
        <v>Aug-25</v>
      </c>
      <c r="T1796">
        <f>_xlfn.ISOWEEKNUM(Table1[[#This Row],[Date]])</f>
        <v>32</v>
      </c>
    </row>
    <row r="1797" spans="1:20" hidden="1">
      <c r="A1797" s="1">
        <v>45875</v>
      </c>
      <c r="B1797" s="67" t="s">
        <v>364</v>
      </c>
      <c r="C1797" s="67" t="s">
        <v>96</v>
      </c>
      <c r="D1797" s="67" t="s">
        <v>64</v>
      </c>
      <c r="E1797" s="67" t="s">
        <v>26</v>
      </c>
      <c r="F1797" s="67" t="s">
        <v>365</v>
      </c>
      <c r="G1797" s="69" t="s">
        <v>366</v>
      </c>
      <c r="H1797" s="67">
        <v>13500</v>
      </c>
      <c r="I1797" s="67">
        <v>13500</v>
      </c>
      <c r="J1797" s="21">
        <v>45870</v>
      </c>
      <c r="K1797" s="67" t="s">
        <v>67</v>
      </c>
      <c r="L1797" t="s">
        <v>68</v>
      </c>
      <c r="M1797" s="67" t="s">
        <v>69</v>
      </c>
      <c r="O1797">
        <v>0</v>
      </c>
      <c r="S1797" t="str">
        <f>TEXT(Table1[[#This Row],[Date]],"MMM-YY")</f>
        <v>Aug-25</v>
      </c>
      <c r="T1797">
        <f>_xlfn.ISOWEEKNUM(Table1[[#This Row],[Date]])</f>
        <v>32</v>
      </c>
    </row>
    <row r="1798" spans="1:20" hidden="1">
      <c r="A1798" s="1">
        <v>45875</v>
      </c>
      <c r="B1798" s="67" t="s">
        <v>3889</v>
      </c>
      <c r="C1798" s="67" t="s">
        <v>63</v>
      </c>
      <c r="D1798" s="67" t="s">
        <v>64</v>
      </c>
      <c r="E1798" s="67" t="s">
        <v>27</v>
      </c>
      <c r="F1798" s="67" t="s">
        <v>3939</v>
      </c>
      <c r="G1798" s="69" t="s">
        <v>1493</v>
      </c>
      <c r="H1798" s="67">
        <v>0</v>
      </c>
      <c r="I1798" s="67">
        <v>0</v>
      </c>
      <c r="J1798" s="21">
        <v>46113</v>
      </c>
      <c r="K1798" s="67" t="s">
        <v>67</v>
      </c>
      <c r="L1798" t="s">
        <v>567</v>
      </c>
      <c r="M1798" s="67" t="s">
        <v>2878</v>
      </c>
      <c r="O1798">
        <v>0</v>
      </c>
      <c r="P1798" t="s">
        <v>108</v>
      </c>
      <c r="S1798" t="str">
        <f>TEXT(Table1[[#This Row],[Date]],"MMM-YY")</f>
        <v>Aug-25</v>
      </c>
      <c r="T1798">
        <f>_xlfn.ISOWEEKNUM(Table1[[#This Row],[Date]])</f>
        <v>32</v>
      </c>
    </row>
    <row r="1799" spans="1:20" ht="29.1">
      <c r="A1799" s="1">
        <v>45875</v>
      </c>
      <c r="B1799" s="67" t="s">
        <v>324</v>
      </c>
      <c r="C1799" s="67" t="s">
        <v>96</v>
      </c>
      <c r="D1799" s="67" t="s">
        <v>64</v>
      </c>
      <c r="E1799" s="67" t="s">
        <v>38</v>
      </c>
      <c r="F1799" s="67" t="s">
        <v>325</v>
      </c>
      <c r="G1799" s="69" t="s">
        <v>363</v>
      </c>
      <c r="H1799" s="67">
        <v>70568</v>
      </c>
      <c r="I1799" s="67">
        <v>70568</v>
      </c>
      <c r="J1799" s="21">
        <v>45870</v>
      </c>
      <c r="K1799" s="67" t="s">
        <v>99</v>
      </c>
      <c r="L1799" t="s">
        <v>68</v>
      </c>
      <c r="M1799" s="67" t="s">
        <v>69</v>
      </c>
      <c r="O1799">
        <v>0</v>
      </c>
      <c r="S1799" t="str">
        <f>TEXT(Table1[[#This Row],[Date]],"MMM-YY")</f>
        <v>Aug-25</v>
      </c>
      <c r="T1799">
        <f>_xlfn.ISOWEEKNUM(Table1[[#This Row],[Date]])</f>
        <v>32</v>
      </c>
    </row>
    <row r="1800" spans="1:20">
      <c r="A1800" s="1">
        <v>45875</v>
      </c>
      <c r="B1800" s="68" t="s">
        <v>95</v>
      </c>
      <c r="C1800" s="68" t="s">
        <v>96</v>
      </c>
      <c r="D1800" s="68" t="s">
        <v>64</v>
      </c>
      <c r="E1800" s="68" t="s">
        <v>38</v>
      </c>
      <c r="F1800" s="68" t="s">
        <v>97</v>
      </c>
      <c r="G1800" s="70" t="s">
        <v>362</v>
      </c>
      <c r="H1800">
        <v>49546</v>
      </c>
      <c r="I1800">
        <v>49546</v>
      </c>
      <c r="J1800" s="21">
        <v>45870</v>
      </c>
      <c r="K1800" t="s">
        <v>99</v>
      </c>
      <c r="L1800" t="s">
        <v>68</v>
      </c>
      <c r="M1800" t="s">
        <v>69</v>
      </c>
      <c r="O1800">
        <v>0</v>
      </c>
      <c r="S1800" t="str">
        <f>TEXT(Table1[[#This Row],[Date]],"MMM-YY")</f>
        <v>Aug-25</v>
      </c>
      <c r="T1800">
        <f>_xlfn.ISOWEEKNUM(Table1[[#This Row],[Date]])</f>
        <v>32</v>
      </c>
    </row>
    <row r="1801" spans="1:20" hidden="1">
      <c r="A1801" s="1">
        <v>45876</v>
      </c>
      <c r="B1801" s="67" t="s">
        <v>112</v>
      </c>
      <c r="C1801" s="67" t="s">
        <v>96</v>
      </c>
      <c r="D1801" s="67" t="s">
        <v>64</v>
      </c>
      <c r="E1801" s="67" t="s">
        <v>38</v>
      </c>
      <c r="F1801" s="67" t="s">
        <v>349</v>
      </c>
      <c r="G1801" s="69" t="s">
        <v>361</v>
      </c>
      <c r="H1801" s="67">
        <v>26050</v>
      </c>
      <c r="I1801" s="67">
        <v>26050</v>
      </c>
      <c r="J1801" s="21">
        <v>45870</v>
      </c>
      <c r="K1801" s="67" t="s">
        <v>67</v>
      </c>
      <c r="L1801" t="s">
        <v>68</v>
      </c>
      <c r="M1801" s="67" t="s">
        <v>69</v>
      </c>
      <c r="O1801">
        <v>0</v>
      </c>
      <c r="S1801" t="str">
        <f>TEXT(Table1[[#This Row],[Date]],"MMM-YY")</f>
        <v>Aug-25</v>
      </c>
      <c r="T1801">
        <f>_xlfn.ISOWEEKNUM(Table1[[#This Row],[Date]])</f>
        <v>32</v>
      </c>
    </row>
    <row r="1802" spans="1:20" hidden="1">
      <c r="A1802" s="1">
        <v>45876</v>
      </c>
      <c r="B1802" t="s">
        <v>359</v>
      </c>
      <c r="C1802" t="s">
        <v>96</v>
      </c>
      <c r="D1802" t="s">
        <v>64</v>
      </c>
      <c r="E1802" t="s">
        <v>328</v>
      </c>
      <c r="F1802" t="s">
        <v>269</v>
      </c>
      <c r="G1802" s="9" t="s">
        <v>360</v>
      </c>
      <c r="H1802">
        <v>58809</v>
      </c>
      <c r="I1802">
        <v>58809</v>
      </c>
      <c r="J1802" s="21">
        <v>45870</v>
      </c>
      <c r="K1802" t="s">
        <v>67</v>
      </c>
      <c r="L1802" t="s">
        <v>68</v>
      </c>
      <c r="M1802" t="s">
        <v>69</v>
      </c>
      <c r="O1802">
        <v>0</v>
      </c>
      <c r="S1802" t="str">
        <f>TEXT(Table1[[#This Row],[Date]],"MMM-YY")</f>
        <v>Aug-25</v>
      </c>
      <c r="T1802">
        <f>_xlfn.ISOWEEKNUM(Table1[[#This Row],[Date]])</f>
        <v>32</v>
      </c>
    </row>
    <row r="1803" spans="1:20" hidden="1">
      <c r="A1803" s="1">
        <v>45876</v>
      </c>
      <c r="B1803" t="s">
        <v>3958</v>
      </c>
      <c r="C1803" t="s">
        <v>63</v>
      </c>
      <c r="D1803" t="s">
        <v>64</v>
      </c>
      <c r="E1803" t="s">
        <v>39</v>
      </c>
      <c r="F1803" t="s">
        <v>2523</v>
      </c>
      <c r="G1803" s="9" t="s">
        <v>3959</v>
      </c>
      <c r="H1803">
        <v>0</v>
      </c>
      <c r="J1803" s="21">
        <v>46113</v>
      </c>
      <c r="K1803" t="s">
        <v>67</v>
      </c>
      <c r="L1803" t="s">
        <v>567</v>
      </c>
      <c r="M1803" t="s">
        <v>296</v>
      </c>
      <c r="O1803">
        <v>0</v>
      </c>
      <c r="P1803" t="s">
        <v>108</v>
      </c>
      <c r="S1803" t="str">
        <f>TEXT(Table1[[#This Row],[Date]],"MMM-YY")</f>
        <v>Aug-25</v>
      </c>
      <c r="T1803">
        <f>_xlfn.ISOWEEKNUM(Table1[[#This Row],[Date]])</f>
        <v>32</v>
      </c>
    </row>
    <row r="1804" spans="1:20" hidden="1">
      <c r="A1804" s="1">
        <v>45877</v>
      </c>
      <c r="B1804" s="67" t="s">
        <v>112</v>
      </c>
      <c r="C1804" s="67" t="s">
        <v>96</v>
      </c>
      <c r="D1804" s="67" t="s">
        <v>64</v>
      </c>
      <c r="E1804" s="67" t="s">
        <v>38</v>
      </c>
      <c r="F1804" s="67" t="s">
        <v>349</v>
      </c>
      <c r="G1804" s="69" t="s">
        <v>358</v>
      </c>
      <c r="H1804" s="67">
        <v>11495</v>
      </c>
      <c r="I1804" s="67">
        <v>11495</v>
      </c>
      <c r="J1804" s="21">
        <v>45870</v>
      </c>
      <c r="K1804" s="67" t="s">
        <v>67</v>
      </c>
      <c r="L1804" t="s">
        <v>68</v>
      </c>
      <c r="M1804" s="67" t="s">
        <v>69</v>
      </c>
      <c r="O1804">
        <v>0</v>
      </c>
      <c r="S1804" t="str">
        <f>TEXT(Table1[[#This Row],[Date]],"MMM-YY")</f>
        <v>Aug-25</v>
      </c>
      <c r="T1804">
        <f>_xlfn.ISOWEEKNUM(Table1[[#This Row],[Date]])</f>
        <v>32</v>
      </c>
    </row>
    <row r="1805" spans="1:20" hidden="1">
      <c r="A1805" s="1">
        <v>45877</v>
      </c>
      <c r="B1805" t="s">
        <v>355</v>
      </c>
      <c r="C1805" t="s">
        <v>63</v>
      </c>
      <c r="D1805" t="s">
        <v>20</v>
      </c>
      <c r="E1805" t="s">
        <v>23</v>
      </c>
      <c r="F1805" t="s">
        <v>356</v>
      </c>
      <c r="G1805" s="9" t="s">
        <v>357</v>
      </c>
      <c r="H1805">
        <v>12500</v>
      </c>
      <c r="I1805">
        <v>12500</v>
      </c>
      <c r="J1805" s="21">
        <v>45870</v>
      </c>
      <c r="K1805" s="67" t="s">
        <v>67</v>
      </c>
      <c r="L1805" t="s">
        <v>68</v>
      </c>
      <c r="M1805" t="s">
        <v>69</v>
      </c>
      <c r="O1805">
        <v>0</v>
      </c>
      <c r="S1805" t="str">
        <f>TEXT(Table1[[#This Row],[Date]],"MMM-YY")</f>
        <v>Aug-25</v>
      </c>
      <c r="T1805">
        <f>_xlfn.ISOWEEKNUM(Table1[[#This Row],[Date]])</f>
        <v>32</v>
      </c>
    </row>
    <row r="1806" spans="1:20" hidden="1">
      <c r="A1806" s="1">
        <v>45880</v>
      </c>
      <c r="B1806" s="67" t="s">
        <v>112</v>
      </c>
      <c r="C1806" s="67" t="s">
        <v>96</v>
      </c>
      <c r="D1806" s="67" t="s">
        <v>64</v>
      </c>
      <c r="E1806" s="67" t="s">
        <v>38</v>
      </c>
      <c r="F1806" s="67" t="s">
        <v>349</v>
      </c>
      <c r="G1806" s="69" t="s">
        <v>354</v>
      </c>
      <c r="H1806">
        <v>13405</v>
      </c>
      <c r="I1806">
        <v>13405</v>
      </c>
      <c r="J1806" s="21">
        <v>45870</v>
      </c>
      <c r="K1806" s="67" t="s">
        <v>67</v>
      </c>
      <c r="L1806" t="s">
        <v>68</v>
      </c>
      <c r="M1806" t="s">
        <v>69</v>
      </c>
      <c r="O1806">
        <v>0</v>
      </c>
      <c r="S1806" t="str">
        <f>TEXT(Table1[[#This Row],[Date]],"MMM-YY")</f>
        <v>Aug-25</v>
      </c>
      <c r="T1806">
        <f>_xlfn.ISOWEEKNUM(Table1[[#This Row],[Date]])</f>
        <v>33</v>
      </c>
    </row>
    <row r="1807" spans="1:20" hidden="1">
      <c r="A1807" s="1">
        <v>45881</v>
      </c>
      <c r="B1807" s="67" t="s">
        <v>112</v>
      </c>
      <c r="C1807" s="67" t="s">
        <v>96</v>
      </c>
      <c r="D1807" s="67" t="s">
        <v>64</v>
      </c>
      <c r="E1807" s="67" t="s">
        <v>38</v>
      </c>
      <c r="F1807" s="67" t="s">
        <v>349</v>
      </c>
      <c r="G1807" s="69" t="s">
        <v>353</v>
      </c>
      <c r="H1807">
        <v>20800</v>
      </c>
      <c r="I1807">
        <v>20800</v>
      </c>
      <c r="J1807" s="21">
        <v>45870</v>
      </c>
      <c r="K1807" t="s">
        <v>67</v>
      </c>
      <c r="L1807" t="s">
        <v>68</v>
      </c>
      <c r="M1807" t="s">
        <v>69</v>
      </c>
      <c r="O1807">
        <v>0</v>
      </c>
      <c r="S1807" t="str">
        <f>TEXT(Table1[[#This Row],[Date]],"MMM-YY")</f>
        <v>Aug-25</v>
      </c>
      <c r="T1807">
        <f>_xlfn.ISOWEEKNUM(Table1[[#This Row],[Date]])</f>
        <v>33</v>
      </c>
    </row>
    <row r="1808" spans="1:20" hidden="1">
      <c r="A1808" s="1">
        <v>45882</v>
      </c>
      <c r="B1808" t="s">
        <v>3960</v>
      </c>
      <c r="C1808" t="s">
        <v>96</v>
      </c>
      <c r="D1808" t="s">
        <v>64</v>
      </c>
      <c r="E1808" t="s">
        <v>26</v>
      </c>
      <c r="F1808" t="s">
        <v>3961</v>
      </c>
      <c r="G1808" s="9" t="s">
        <v>3962</v>
      </c>
      <c r="H1808">
        <v>0</v>
      </c>
      <c r="J1808" s="21">
        <v>46113</v>
      </c>
      <c r="K1808" t="s">
        <v>67</v>
      </c>
      <c r="L1808" t="s">
        <v>567</v>
      </c>
      <c r="M1808" t="s">
        <v>2878</v>
      </c>
      <c r="O1808">
        <v>0</v>
      </c>
      <c r="P1808" t="s">
        <v>108</v>
      </c>
      <c r="S1808" t="str">
        <f>TEXT(Table1[[#This Row],[Date]],"MMM-YY")</f>
        <v>Aug-25</v>
      </c>
      <c r="T1808">
        <f>_xlfn.ISOWEEKNUM(Table1[[#This Row],[Date]])</f>
        <v>33</v>
      </c>
    </row>
    <row r="1809" spans="1:20" ht="29.1">
      <c r="A1809" s="1">
        <v>45882</v>
      </c>
      <c r="B1809" s="67" t="s">
        <v>324</v>
      </c>
      <c r="C1809" s="67" t="s">
        <v>96</v>
      </c>
      <c r="D1809" s="67" t="s">
        <v>64</v>
      </c>
      <c r="E1809" s="67" t="s">
        <v>38</v>
      </c>
      <c r="F1809" s="67" t="s">
        <v>325</v>
      </c>
      <c r="G1809" s="69" t="s">
        <v>352</v>
      </c>
      <c r="H1809">
        <v>67549</v>
      </c>
      <c r="I1809">
        <v>67549</v>
      </c>
      <c r="J1809" s="21">
        <v>45870</v>
      </c>
      <c r="K1809" t="s">
        <v>99</v>
      </c>
      <c r="L1809" t="s">
        <v>68</v>
      </c>
      <c r="M1809" t="s">
        <v>69</v>
      </c>
      <c r="O1809">
        <v>0</v>
      </c>
      <c r="S1809" t="str">
        <f>TEXT(Table1[[#This Row],[Date]],"MMM-YY")</f>
        <v>Aug-25</v>
      </c>
      <c r="T1809">
        <f>_xlfn.ISOWEEKNUM(Table1[[#This Row],[Date]])</f>
        <v>33</v>
      </c>
    </row>
    <row r="1810" spans="1:20">
      <c r="A1810" s="1">
        <v>45882</v>
      </c>
      <c r="B1810" s="68" t="s">
        <v>95</v>
      </c>
      <c r="C1810" s="68" t="s">
        <v>96</v>
      </c>
      <c r="D1810" s="68" t="s">
        <v>64</v>
      </c>
      <c r="E1810" s="68" t="s">
        <v>38</v>
      </c>
      <c r="F1810" s="68" t="s">
        <v>97</v>
      </c>
      <c r="G1810" s="70" t="s">
        <v>351</v>
      </c>
      <c r="H1810">
        <v>65725</v>
      </c>
      <c r="I1810">
        <v>65725</v>
      </c>
      <c r="J1810" s="21">
        <v>45870</v>
      </c>
      <c r="K1810" t="s">
        <v>99</v>
      </c>
      <c r="L1810" t="s">
        <v>68</v>
      </c>
      <c r="M1810" t="s">
        <v>69</v>
      </c>
      <c r="O1810">
        <v>0</v>
      </c>
      <c r="S1810" t="str">
        <f>TEXT(Table1[[#This Row],[Date]],"MMM-YY")</f>
        <v>Aug-25</v>
      </c>
      <c r="T1810">
        <f>_xlfn.ISOWEEKNUM(Table1[[#This Row],[Date]])</f>
        <v>33</v>
      </c>
    </row>
    <row r="1811" spans="1:20" hidden="1">
      <c r="A1811" s="1">
        <v>45882</v>
      </c>
      <c r="B1811" s="67" t="s">
        <v>112</v>
      </c>
      <c r="C1811" s="67" t="s">
        <v>96</v>
      </c>
      <c r="D1811" s="67" t="s">
        <v>64</v>
      </c>
      <c r="E1811" s="67" t="s">
        <v>38</v>
      </c>
      <c r="F1811" s="67" t="s">
        <v>349</v>
      </c>
      <c r="G1811" s="69" t="s">
        <v>350</v>
      </c>
      <c r="H1811">
        <v>19058</v>
      </c>
      <c r="I1811">
        <v>19058</v>
      </c>
      <c r="J1811" s="21">
        <v>45870</v>
      </c>
      <c r="K1811" t="s">
        <v>67</v>
      </c>
      <c r="L1811" t="s">
        <v>68</v>
      </c>
      <c r="M1811" t="s">
        <v>69</v>
      </c>
      <c r="O1811">
        <v>0</v>
      </c>
      <c r="S1811" t="str">
        <f>TEXT(Table1[[#This Row],[Date]],"MMM-YY")</f>
        <v>Aug-25</v>
      </c>
      <c r="T1811">
        <f>_xlfn.ISOWEEKNUM(Table1[[#This Row],[Date]])</f>
        <v>33</v>
      </c>
    </row>
    <row r="1812" spans="1:20" hidden="1">
      <c r="A1812" s="1">
        <v>45882</v>
      </c>
      <c r="B1812" t="s">
        <v>346</v>
      </c>
      <c r="C1812" t="s">
        <v>63</v>
      </c>
      <c r="D1812" t="s">
        <v>20</v>
      </c>
      <c r="E1812" t="s">
        <v>23</v>
      </c>
      <c r="F1812" t="s">
        <v>347</v>
      </c>
      <c r="G1812" s="9" t="s">
        <v>348</v>
      </c>
      <c r="H1812">
        <v>0</v>
      </c>
      <c r="I1812">
        <v>0</v>
      </c>
      <c r="J1812" s="21">
        <v>45870</v>
      </c>
      <c r="K1812" t="s">
        <v>67</v>
      </c>
      <c r="L1812" t="s">
        <v>68</v>
      </c>
      <c r="M1812" t="s">
        <v>69</v>
      </c>
      <c r="O1812">
        <v>0</v>
      </c>
      <c r="S1812" t="str">
        <f>TEXT(Table1[[#This Row],[Date]],"MMM-YY")</f>
        <v>Aug-25</v>
      </c>
      <c r="T1812">
        <f>_xlfn.ISOWEEKNUM(Table1[[#This Row],[Date]])</f>
        <v>33</v>
      </c>
    </row>
    <row r="1813" spans="1:20" hidden="1">
      <c r="A1813" s="1">
        <v>45882</v>
      </c>
      <c r="B1813" t="s">
        <v>344</v>
      </c>
      <c r="C1813" t="s">
        <v>96</v>
      </c>
      <c r="D1813" t="s">
        <v>64</v>
      </c>
      <c r="E1813" t="s">
        <v>26</v>
      </c>
      <c r="F1813" t="s">
        <v>133</v>
      </c>
      <c r="G1813" s="9" t="s">
        <v>345</v>
      </c>
      <c r="H1813">
        <v>4800</v>
      </c>
      <c r="I1813">
        <v>4800</v>
      </c>
      <c r="J1813" s="21">
        <v>45870</v>
      </c>
      <c r="K1813" t="s">
        <v>67</v>
      </c>
      <c r="L1813" t="s">
        <v>68</v>
      </c>
      <c r="M1813" t="s">
        <v>69</v>
      </c>
      <c r="O1813">
        <v>0</v>
      </c>
      <c r="S1813" t="str">
        <f>TEXT(Table1[[#This Row],[Date]],"MMM-YY")</f>
        <v>Aug-25</v>
      </c>
      <c r="T1813">
        <f>_xlfn.ISOWEEKNUM(Table1[[#This Row],[Date]])</f>
        <v>33</v>
      </c>
    </row>
    <row r="1814" spans="1:20" hidden="1">
      <c r="A1814" s="1">
        <v>45882</v>
      </c>
      <c r="B1814" t="s">
        <v>341</v>
      </c>
      <c r="C1814" t="s">
        <v>63</v>
      </c>
      <c r="D1814" t="s">
        <v>20</v>
      </c>
      <c r="E1814" t="s">
        <v>23</v>
      </c>
      <c r="F1814" t="s">
        <v>342</v>
      </c>
      <c r="G1814" s="9" t="s">
        <v>343</v>
      </c>
      <c r="H1814">
        <v>12000</v>
      </c>
      <c r="I1814">
        <v>12000</v>
      </c>
      <c r="J1814" s="21">
        <v>45870</v>
      </c>
      <c r="K1814" t="s">
        <v>67</v>
      </c>
      <c r="L1814" t="s">
        <v>68</v>
      </c>
      <c r="M1814" t="s">
        <v>69</v>
      </c>
      <c r="O1814">
        <v>0</v>
      </c>
      <c r="S1814" t="str">
        <f>TEXT(Table1[[#This Row],[Date]],"MMM-YY")</f>
        <v>Aug-25</v>
      </c>
      <c r="T1814">
        <f>_xlfn.ISOWEEKNUM(Table1[[#This Row],[Date]])</f>
        <v>33</v>
      </c>
    </row>
    <row r="1815" spans="1:20" hidden="1">
      <c r="A1815" s="1">
        <v>45883</v>
      </c>
      <c r="B1815" s="67" t="s">
        <v>112</v>
      </c>
      <c r="C1815" t="s">
        <v>96</v>
      </c>
      <c r="D1815" t="s">
        <v>64</v>
      </c>
      <c r="E1815" t="s">
        <v>38</v>
      </c>
      <c r="F1815" t="s">
        <v>113</v>
      </c>
      <c r="G1815" s="69" t="s">
        <v>340</v>
      </c>
      <c r="H1815">
        <v>22000</v>
      </c>
      <c r="I1815">
        <v>22000</v>
      </c>
      <c r="J1815" s="21">
        <v>45870</v>
      </c>
      <c r="K1815" t="s">
        <v>67</v>
      </c>
      <c r="L1815" t="s">
        <v>68</v>
      </c>
      <c r="M1815" t="s">
        <v>69</v>
      </c>
      <c r="O1815">
        <v>0</v>
      </c>
      <c r="S1815" t="str">
        <f>TEXT(Table1[[#This Row],[Date]],"MMM-YY")</f>
        <v>Aug-25</v>
      </c>
      <c r="T1815">
        <f>_xlfn.ISOWEEKNUM(Table1[[#This Row],[Date]])</f>
        <v>33</v>
      </c>
    </row>
    <row r="1816" spans="1:20" hidden="1">
      <c r="A1816" s="1">
        <v>45883</v>
      </c>
      <c r="B1816" s="72" t="s">
        <v>337</v>
      </c>
      <c r="C1816" t="s">
        <v>63</v>
      </c>
      <c r="D1816" t="s">
        <v>64</v>
      </c>
      <c r="E1816" t="s">
        <v>32</v>
      </c>
      <c r="F1816" t="s">
        <v>338</v>
      </c>
      <c r="G1816" s="73" t="s">
        <v>339</v>
      </c>
      <c r="H1816">
        <v>12000</v>
      </c>
      <c r="I1816">
        <v>12000</v>
      </c>
      <c r="J1816" s="21">
        <v>45870</v>
      </c>
      <c r="K1816" t="s">
        <v>67</v>
      </c>
      <c r="L1816" t="s">
        <v>68</v>
      </c>
      <c r="M1816" t="s">
        <v>69</v>
      </c>
      <c r="O1816">
        <v>0</v>
      </c>
      <c r="S1816" t="str">
        <f>TEXT(Table1[[#This Row],[Date]],"MMM-YY")</f>
        <v>Aug-25</v>
      </c>
      <c r="T1816">
        <f>_xlfn.ISOWEEKNUM(Table1[[#This Row],[Date]])</f>
        <v>33</v>
      </c>
    </row>
    <row r="1817" spans="1:20" hidden="1">
      <c r="A1817" s="1">
        <v>45884</v>
      </c>
      <c r="B1817" t="s">
        <v>152</v>
      </c>
      <c r="C1817" t="s">
        <v>96</v>
      </c>
      <c r="D1817" t="s">
        <v>64</v>
      </c>
      <c r="E1817" t="s">
        <v>27</v>
      </c>
      <c r="F1817" t="s">
        <v>238</v>
      </c>
      <c r="G1817" s="9" t="s">
        <v>336</v>
      </c>
      <c r="H1817">
        <v>21795</v>
      </c>
      <c r="I1817">
        <v>21795</v>
      </c>
      <c r="J1817" s="21">
        <v>45870</v>
      </c>
      <c r="K1817" t="s">
        <v>67</v>
      </c>
      <c r="L1817" t="s">
        <v>68</v>
      </c>
      <c r="M1817" t="s">
        <v>69</v>
      </c>
      <c r="O1817">
        <v>0</v>
      </c>
      <c r="S1817" t="str">
        <f>TEXT(Table1[[#This Row],[Date]],"MMM-YY")</f>
        <v>Aug-25</v>
      </c>
      <c r="T1817">
        <f>_xlfn.ISOWEEKNUM(Table1[[#This Row],[Date]])</f>
        <v>33</v>
      </c>
    </row>
    <row r="1818" spans="1:20" hidden="1">
      <c r="A1818" s="1">
        <v>45886</v>
      </c>
      <c r="B1818" t="s">
        <v>333</v>
      </c>
      <c r="C1818" t="s">
        <v>96</v>
      </c>
      <c r="D1818" t="s">
        <v>20</v>
      </c>
      <c r="E1818" t="s">
        <v>23</v>
      </c>
      <c r="F1818" t="s">
        <v>334</v>
      </c>
      <c r="G1818" s="9" t="s">
        <v>335</v>
      </c>
      <c r="H1818">
        <v>4344</v>
      </c>
      <c r="I1818">
        <v>4344</v>
      </c>
      <c r="J1818" s="21">
        <v>45870</v>
      </c>
      <c r="K1818" t="s">
        <v>67</v>
      </c>
      <c r="L1818" t="s">
        <v>68</v>
      </c>
      <c r="M1818" t="s">
        <v>69</v>
      </c>
      <c r="O1818">
        <v>0</v>
      </c>
      <c r="S1818" t="str">
        <f>TEXT(Table1[[#This Row],[Date]],"MMM-YY")</f>
        <v>Aug-25</v>
      </c>
      <c r="T1818">
        <f>_xlfn.ISOWEEKNUM(Table1[[#This Row],[Date]])</f>
        <v>33</v>
      </c>
    </row>
    <row r="1819" spans="1:20" hidden="1">
      <c r="A1819" s="1">
        <v>45886</v>
      </c>
      <c r="B1819" t="s">
        <v>330</v>
      </c>
      <c r="C1819" t="s">
        <v>96</v>
      </c>
      <c r="D1819" t="s">
        <v>20</v>
      </c>
      <c r="E1819" t="s">
        <v>23</v>
      </c>
      <c r="F1819" t="s">
        <v>331</v>
      </c>
      <c r="G1819" s="9" t="s">
        <v>332</v>
      </c>
      <c r="H1819">
        <v>9500</v>
      </c>
      <c r="I1819">
        <v>9500</v>
      </c>
      <c r="J1819" s="21">
        <v>45870</v>
      </c>
      <c r="K1819" t="s">
        <v>67</v>
      </c>
      <c r="L1819" t="s">
        <v>68</v>
      </c>
      <c r="M1819" t="s">
        <v>69</v>
      </c>
      <c r="O1819">
        <v>0</v>
      </c>
      <c r="S1819" t="str">
        <f>TEXT(Table1[[#This Row],[Date]],"MMM-YY")</f>
        <v>Aug-25</v>
      </c>
      <c r="T1819">
        <f>_xlfn.ISOWEEKNUM(Table1[[#This Row],[Date]])</f>
        <v>33</v>
      </c>
    </row>
    <row r="1820" spans="1:20" hidden="1">
      <c r="A1820" s="1">
        <v>45887</v>
      </c>
      <c r="B1820" t="s">
        <v>3963</v>
      </c>
      <c r="C1820" t="s">
        <v>63</v>
      </c>
      <c r="D1820" t="s">
        <v>64</v>
      </c>
      <c r="E1820" t="s">
        <v>26</v>
      </c>
      <c r="F1820" t="s">
        <v>784</v>
      </c>
      <c r="G1820" s="69" t="s">
        <v>1493</v>
      </c>
      <c r="H1820">
        <v>0</v>
      </c>
      <c r="J1820" s="21">
        <v>46113</v>
      </c>
      <c r="K1820" t="s">
        <v>67</v>
      </c>
      <c r="L1820" t="s">
        <v>567</v>
      </c>
      <c r="M1820" t="s">
        <v>2878</v>
      </c>
      <c r="O1820">
        <v>0</v>
      </c>
      <c r="P1820" t="s">
        <v>108</v>
      </c>
      <c r="S1820" t="str">
        <f>TEXT(Table1[[#This Row],[Date]],"MMM-YY")</f>
        <v>Aug-25</v>
      </c>
      <c r="T1820">
        <f>_xlfn.ISOWEEKNUM(Table1[[#This Row],[Date]])</f>
        <v>34</v>
      </c>
    </row>
    <row r="1821" spans="1:20" hidden="1">
      <c r="A1821" s="1">
        <v>45887</v>
      </c>
      <c r="B1821" t="s">
        <v>778</v>
      </c>
      <c r="C1821" t="s">
        <v>63</v>
      </c>
      <c r="D1821" t="s">
        <v>64</v>
      </c>
      <c r="E1821" t="s">
        <v>26</v>
      </c>
      <c r="F1821" t="s">
        <v>3964</v>
      </c>
      <c r="G1821" s="69" t="s">
        <v>1493</v>
      </c>
      <c r="H1821">
        <v>0</v>
      </c>
      <c r="J1821" s="21">
        <v>46113</v>
      </c>
      <c r="K1821" t="s">
        <v>67</v>
      </c>
      <c r="L1821" t="s">
        <v>567</v>
      </c>
      <c r="M1821" t="s">
        <v>2878</v>
      </c>
      <c r="O1821">
        <v>0</v>
      </c>
      <c r="P1821" t="s">
        <v>108</v>
      </c>
      <c r="S1821" t="str">
        <f>TEXT(Table1[[#This Row],[Date]],"MMM-YY")</f>
        <v>Aug-25</v>
      </c>
      <c r="T1821">
        <f>_xlfn.ISOWEEKNUM(Table1[[#This Row],[Date]])</f>
        <v>34</v>
      </c>
    </row>
    <row r="1822" spans="1:20" hidden="1">
      <c r="A1822" s="1">
        <v>45887</v>
      </c>
      <c r="B1822" t="s">
        <v>3965</v>
      </c>
      <c r="C1822" t="s">
        <v>63</v>
      </c>
      <c r="D1822" t="s">
        <v>64</v>
      </c>
      <c r="E1822" t="s">
        <v>26</v>
      </c>
      <c r="F1822" t="s">
        <v>698</v>
      </c>
      <c r="G1822" s="69" t="s">
        <v>1860</v>
      </c>
      <c r="H1822">
        <v>0</v>
      </c>
      <c r="J1822" s="21">
        <v>46113</v>
      </c>
      <c r="K1822" t="s">
        <v>67</v>
      </c>
      <c r="L1822" t="s">
        <v>568</v>
      </c>
      <c r="M1822" t="s">
        <v>2878</v>
      </c>
      <c r="O1822">
        <v>0</v>
      </c>
      <c r="P1822" t="s">
        <v>108</v>
      </c>
      <c r="S1822" t="str">
        <f>TEXT(Table1[[#This Row],[Date]],"MMM-YY")</f>
        <v>Aug-25</v>
      </c>
      <c r="T1822">
        <f>_xlfn.ISOWEEKNUM(Table1[[#This Row],[Date]])</f>
        <v>34</v>
      </c>
    </row>
    <row r="1823" spans="1:20" hidden="1">
      <c r="A1823" s="1">
        <v>45888</v>
      </c>
      <c r="B1823" t="s">
        <v>3966</v>
      </c>
      <c r="C1823" t="s">
        <v>63</v>
      </c>
      <c r="D1823" t="s">
        <v>105</v>
      </c>
      <c r="E1823" t="s">
        <v>18</v>
      </c>
      <c r="F1823" t="s">
        <v>169</v>
      </c>
      <c r="G1823" s="9" t="s">
        <v>3967</v>
      </c>
      <c r="H1823">
        <v>0</v>
      </c>
      <c r="J1823" s="21">
        <v>45901</v>
      </c>
      <c r="K1823" t="s">
        <v>67</v>
      </c>
      <c r="L1823" t="s">
        <v>9</v>
      </c>
      <c r="M1823" t="s">
        <v>296</v>
      </c>
      <c r="N1823" t="s">
        <v>1428</v>
      </c>
      <c r="O1823">
        <v>0</v>
      </c>
      <c r="P1823" t="s">
        <v>108</v>
      </c>
      <c r="S1823" t="str">
        <f>TEXT(Table1[[#This Row],[Date]],"MMM-YY")</f>
        <v>Aug-25</v>
      </c>
      <c r="T1823">
        <f>_xlfn.ISOWEEKNUM(Table1[[#This Row],[Date]])</f>
        <v>34</v>
      </c>
    </row>
    <row r="1824" spans="1:20" hidden="1">
      <c r="A1824" s="1">
        <v>45888</v>
      </c>
      <c r="B1824" t="s">
        <v>2985</v>
      </c>
      <c r="C1824" t="s">
        <v>63</v>
      </c>
      <c r="D1824" t="s">
        <v>105</v>
      </c>
      <c r="E1824" t="s">
        <v>18</v>
      </c>
      <c r="F1824" t="s">
        <v>3968</v>
      </c>
      <c r="G1824" s="74" t="s">
        <v>3969</v>
      </c>
      <c r="H1824">
        <v>80000</v>
      </c>
      <c r="J1824" s="21">
        <v>45901</v>
      </c>
      <c r="K1824" t="s">
        <v>67</v>
      </c>
      <c r="L1824" t="s">
        <v>9</v>
      </c>
      <c r="M1824" t="s">
        <v>296</v>
      </c>
      <c r="N1824" t="s">
        <v>1428</v>
      </c>
      <c r="O1824">
        <v>0</v>
      </c>
      <c r="P1824" t="s">
        <v>108</v>
      </c>
      <c r="S1824" t="str">
        <f>TEXT(Table1[[#This Row],[Date]],"MMM-YY")</f>
        <v>Aug-25</v>
      </c>
      <c r="T1824">
        <f>_xlfn.ISOWEEKNUM(Table1[[#This Row],[Date]])</f>
        <v>34</v>
      </c>
    </row>
    <row r="1825" spans="1:20" hidden="1">
      <c r="A1825" s="1">
        <v>45888</v>
      </c>
      <c r="B1825" t="s">
        <v>3970</v>
      </c>
      <c r="C1825" t="s">
        <v>63</v>
      </c>
      <c r="D1825" t="s">
        <v>36</v>
      </c>
      <c r="E1825" t="s">
        <v>15</v>
      </c>
      <c r="F1825" t="s">
        <v>2481</v>
      </c>
      <c r="G1825" s="9" t="s">
        <v>3971</v>
      </c>
      <c r="H1825">
        <v>40000</v>
      </c>
      <c r="J1825" s="21">
        <v>45992</v>
      </c>
      <c r="K1825" t="s">
        <v>67</v>
      </c>
      <c r="L1825" t="s">
        <v>9</v>
      </c>
      <c r="M1825" t="s">
        <v>9</v>
      </c>
      <c r="O1825">
        <v>0</v>
      </c>
      <c r="P1825" t="s">
        <v>108</v>
      </c>
      <c r="S1825" t="str">
        <f>TEXT(Table1[[#This Row],[Date]],"MMM-YY")</f>
        <v>Aug-25</v>
      </c>
      <c r="T1825">
        <f>_xlfn.ISOWEEKNUM(Table1[[#This Row],[Date]])</f>
        <v>34</v>
      </c>
    </row>
    <row r="1826" spans="1:20" hidden="1">
      <c r="A1826" s="1">
        <v>45889</v>
      </c>
      <c r="B1826" t="s">
        <v>327</v>
      </c>
      <c r="C1826" t="s">
        <v>63</v>
      </c>
      <c r="D1826" t="s">
        <v>64</v>
      </c>
      <c r="E1826" t="s">
        <v>328</v>
      </c>
      <c r="F1826" t="s">
        <v>269</v>
      </c>
      <c r="G1826" s="9" t="s">
        <v>329</v>
      </c>
      <c r="H1826">
        <v>0</v>
      </c>
      <c r="I1826">
        <v>0</v>
      </c>
      <c r="J1826" s="21">
        <v>45870</v>
      </c>
      <c r="K1826" t="s">
        <v>67</v>
      </c>
      <c r="L1826" t="s">
        <v>68</v>
      </c>
      <c r="M1826" t="s">
        <v>69</v>
      </c>
      <c r="O1826">
        <v>0</v>
      </c>
      <c r="S1826" t="str">
        <f>TEXT(Table1[[#This Row],[Date]],"MMM-YY")</f>
        <v>Aug-25</v>
      </c>
      <c r="T1826">
        <f>_xlfn.ISOWEEKNUM(Table1[[#This Row],[Date]])</f>
        <v>34</v>
      </c>
    </row>
    <row r="1827" spans="1:20" ht="29.1">
      <c r="A1827" s="1">
        <v>45889</v>
      </c>
      <c r="B1827" s="67" t="s">
        <v>324</v>
      </c>
      <c r="C1827" s="67" t="s">
        <v>96</v>
      </c>
      <c r="D1827" s="67" t="s">
        <v>64</v>
      </c>
      <c r="E1827" s="67" t="s">
        <v>38</v>
      </c>
      <c r="F1827" s="67" t="s">
        <v>325</v>
      </c>
      <c r="G1827" s="69" t="s">
        <v>326</v>
      </c>
      <c r="H1827">
        <v>59544</v>
      </c>
      <c r="I1827">
        <v>59544</v>
      </c>
      <c r="J1827" s="21">
        <v>45870</v>
      </c>
      <c r="K1827" t="s">
        <v>99</v>
      </c>
      <c r="L1827" t="s">
        <v>68</v>
      </c>
      <c r="M1827" t="s">
        <v>69</v>
      </c>
      <c r="O1827">
        <v>0</v>
      </c>
      <c r="S1827" t="str">
        <f>TEXT(Table1[[#This Row],[Date]],"MMM-YY")</f>
        <v>Aug-25</v>
      </c>
      <c r="T1827">
        <f>_xlfn.ISOWEEKNUM(Table1[[#This Row],[Date]])</f>
        <v>34</v>
      </c>
    </row>
    <row r="1828" spans="1:20">
      <c r="A1828" s="1">
        <v>45889</v>
      </c>
      <c r="B1828" s="68" t="s">
        <v>95</v>
      </c>
      <c r="C1828" s="68" t="s">
        <v>96</v>
      </c>
      <c r="D1828" s="68" t="s">
        <v>64</v>
      </c>
      <c r="E1828" s="68" t="s">
        <v>38</v>
      </c>
      <c r="F1828" s="68" t="s">
        <v>97</v>
      </c>
      <c r="G1828" s="70" t="s">
        <v>323</v>
      </c>
      <c r="H1828">
        <v>65725</v>
      </c>
      <c r="I1828">
        <v>65725</v>
      </c>
      <c r="J1828" s="21">
        <v>45870</v>
      </c>
      <c r="K1828" t="s">
        <v>99</v>
      </c>
      <c r="L1828" t="s">
        <v>68</v>
      </c>
      <c r="M1828" t="s">
        <v>69</v>
      </c>
      <c r="O1828">
        <v>0</v>
      </c>
      <c r="S1828" t="str">
        <f>TEXT(Table1[[#This Row],[Date]],"MMM-YY")</f>
        <v>Aug-25</v>
      </c>
      <c r="T1828">
        <f>_xlfn.ISOWEEKNUM(Table1[[#This Row],[Date]])</f>
        <v>34</v>
      </c>
    </row>
    <row r="1829" spans="1:20" hidden="1">
      <c r="A1829" s="1">
        <v>45889</v>
      </c>
      <c r="B1829" t="s">
        <v>3972</v>
      </c>
      <c r="C1829" t="s">
        <v>63</v>
      </c>
      <c r="D1829" t="s">
        <v>64</v>
      </c>
      <c r="E1829" t="s">
        <v>32</v>
      </c>
      <c r="F1829" t="s">
        <v>3973</v>
      </c>
      <c r="G1829" s="9" t="s">
        <v>3974</v>
      </c>
      <c r="H1829">
        <v>0</v>
      </c>
      <c r="J1829" s="21">
        <v>46113</v>
      </c>
      <c r="K1829" t="s">
        <v>67</v>
      </c>
      <c r="L1829" t="s">
        <v>568</v>
      </c>
      <c r="M1829" t="s">
        <v>2878</v>
      </c>
      <c r="O1829">
        <v>0</v>
      </c>
      <c r="P1829" t="s">
        <v>108</v>
      </c>
      <c r="S1829" t="str">
        <f>TEXT(Table1[[#This Row],[Date]],"MMM-YY")</f>
        <v>Aug-25</v>
      </c>
      <c r="T1829">
        <f>_xlfn.ISOWEEKNUM(Table1[[#This Row],[Date]])</f>
        <v>34</v>
      </c>
    </row>
    <row r="1830" spans="1:20" hidden="1">
      <c r="A1830" s="1">
        <v>45889</v>
      </c>
      <c r="B1830" t="s">
        <v>3975</v>
      </c>
      <c r="C1830" t="s">
        <v>63</v>
      </c>
      <c r="D1830" t="s">
        <v>64</v>
      </c>
      <c r="E1830" t="s">
        <v>32</v>
      </c>
      <c r="F1830" t="s">
        <v>646</v>
      </c>
      <c r="G1830" s="9" t="s">
        <v>3976</v>
      </c>
      <c r="H1830">
        <v>30000</v>
      </c>
      <c r="J1830" s="21">
        <v>45992</v>
      </c>
      <c r="K1830" t="s">
        <v>67</v>
      </c>
      <c r="L1830" t="s">
        <v>9</v>
      </c>
      <c r="M1830" t="s">
        <v>9</v>
      </c>
      <c r="O1830">
        <v>0</v>
      </c>
      <c r="P1830" t="s">
        <v>108</v>
      </c>
      <c r="S1830" t="str">
        <f>TEXT(Table1[[#This Row],[Date]],"MMM-YY")</f>
        <v>Aug-25</v>
      </c>
      <c r="T1830">
        <f>_xlfn.ISOWEEKNUM(Table1[[#This Row],[Date]])</f>
        <v>34</v>
      </c>
    </row>
    <row r="1831" spans="1:20" hidden="1">
      <c r="A1831" s="1">
        <v>45889</v>
      </c>
      <c r="B1831" t="s">
        <v>319</v>
      </c>
      <c r="C1831" t="s">
        <v>96</v>
      </c>
      <c r="D1831" t="s">
        <v>320</v>
      </c>
      <c r="E1831" t="s">
        <v>39</v>
      </c>
      <c r="F1831" t="s">
        <v>321</v>
      </c>
      <c r="G1831" s="9" t="s">
        <v>322</v>
      </c>
      <c r="H1831">
        <v>22352</v>
      </c>
      <c r="I1831">
        <v>22352</v>
      </c>
      <c r="J1831" s="21">
        <v>45870</v>
      </c>
      <c r="K1831" t="s">
        <v>67</v>
      </c>
      <c r="L1831" t="s">
        <v>68</v>
      </c>
      <c r="M1831" t="s">
        <v>69</v>
      </c>
      <c r="O1831">
        <v>0</v>
      </c>
      <c r="S1831" t="str">
        <f>TEXT(Table1[[#This Row],[Date]],"MMM-YY")</f>
        <v>Aug-25</v>
      </c>
      <c r="T1831">
        <f>_xlfn.ISOWEEKNUM(Table1[[#This Row],[Date]])</f>
        <v>34</v>
      </c>
    </row>
    <row r="1832" spans="1:20" hidden="1">
      <c r="A1832" s="1">
        <v>45890</v>
      </c>
      <c r="B1832" s="67" t="s">
        <v>112</v>
      </c>
      <c r="C1832" t="s">
        <v>96</v>
      </c>
      <c r="D1832" t="s">
        <v>64</v>
      </c>
      <c r="E1832" t="s">
        <v>38</v>
      </c>
      <c r="F1832" t="s">
        <v>113</v>
      </c>
      <c r="G1832" s="69" t="s">
        <v>318</v>
      </c>
      <c r="H1832">
        <v>20650</v>
      </c>
      <c r="I1832">
        <v>20650</v>
      </c>
      <c r="J1832" s="21">
        <v>45870</v>
      </c>
      <c r="K1832" t="s">
        <v>67</v>
      </c>
      <c r="L1832" t="s">
        <v>68</v>
      </c>
      <c r="M1832" t="s">
        <v>69</v>
      </c>
      <c r="O1832">
        <v>0</v>
      </c>
      <c r="S1832" t="str">
        <f>TEXT(Table1[[#This Row],[Date]],"MMM-YY")</f>
        <v>Aug-25</v>
      </c>
      <c r="T1832">
        <f>_xlfn.ISOWEEKNUM(Table1[[#This Row],[Date]])</f>
        <v>34</v>
      </c>
    </row>
    <row r="1833" spans="1:20" hidden="1">
      <c r="A1833" s="1">
        <v>45891</v>
      </c>
      <c r="B1833" s="67" t="s">
        <v>112</v>
      </c>
      <c r="C1833" t="s">
        <v>96</v>
      </c>
      <c r="D1833" t="s">
        <v>64</v>
      </c>
      <c r="E1833" t="s">
        <v>38</v>
      </c>
      <c r="F1833" t="s">
        <v>113</v>
      </c>
      <c r="G1833" s="69" t="s">
        <v>317</v>
      </c>
      <c r="H1833">
        <v>13546</v>
      </c>
      <c r="I1833">
        <v>13546</v>
      </c>
      <c r="J1833" s="21">
        <v>45870</v>
      </c>
      <c r="K1833" t="s">
        <v>67</v>
      </c>
      <c r="L1833" t="s">
        <v>68</v>
      </c>
      <c r="M1833" t="s">
        <v>69</v>
      </c>
      <c r="O1833">
        <v>0</v>
      </c>
      <c r="S1833" t="str">
        <f>TEXT(Table1[[#This Row],[Date]],"MMM-YY")</f>
        <v>Aug-25</v>
      </c>
      <c r="T1833">
        <f>_xlfn.ISOWEEKNUM(Table1[[#This Row],[Date]])</f>
        <v>34</v>
      </c>
    </row>
    <row r="1834" spans="1:20" hidden="1">
      <c r="A1834" s="1">
        <v>45891</v>
      </c>
      <c r="B1834" t="s">
        <v>314</v>
      </c>
      <c r="C1834" t="s">
        <v>63</v>
      </c>
      <c r="D1834" t="s">
        <v>64</v>
      </c>
      <c r="E1834" t="s">
        <v>32</v>
      </c>
      <c r="F1834" t="s">
        <v>315</v>
      </c>
      <c r="G1834" s="9" t="s">
        <v>316</v>
      </c>
      <c r="H1834">
        <v>35000</v>
      </c>
      <c r="I1834">
        <v>35000</v>
      </c>
      <c r="J1834" s="21">
        <v>45870</v>
      </c>
      <c r="K1834" t="s">
        <v>67</v>
      </c>
      <c r="L1834" t="s">
        <v>68</v>
      </c>
      <c r="M1834" t="s">
        <v>69</v>
      </c>
      <c r="O1834">
        <v>0</v>
      </c>
      <c r="S1834" t="str">
        <f>TEXT(Table1[[#This Row],[Date]],"MMM-YY")</f>
        <v>Aug-25</v>
      </c>
      <c r="T1834">
        <f>_xlfn.ISOWEEKNUM(Table1[[#This Row],[Date]])</f>
        <v>34</v>
      </c>
    </row>
    <row r="1835" spans="1:20" hidden="1">
      <c r="A1835" s="1">
        <v>45894</v>
      </c>
      <c r="B1835" s="67" t="s">
        <v>112</v>
      </c>
      <c r="C1835" t="s">
        <v>96</v>
      </c>
      <c r="D1835" t="s">
        <v>64</v>
      </c>
      <c r="E1835" t="s">
        <v>38</v>
      </c>
      <c r="F1835" t="s">
        <v>113</v>
      </c>
      <c r="G1835" s="69" t="s">
        <v>313</v>
      </c>
      <c r="H1835">
        <v>17487</v>
      </c>
      <c r="I1835">
        <v>17487</v>
      </c>
      <c r="J1835" s="21">
        <v>45870</v>
      </c>
      <c r="K1835" t="s">
        <v>67</v>
      </c>
      <c r="L1835" t="s">
        <v>68</v>
      </c>
      <c r="M1835" t="s">
        <v>69</v>
      </c>
      <c r="O1835">
        <v>0</v>
      </c>
      <c r="S1835" t="str">
        <f>TEXT(Table1[[#This Row],[Date]],"MMM-YY")</f>
        <v>Aug-25</v>
      </c>
      <c r="T1835">
        <f>_xlfn.ISOWEEKNUM(Table1[[#This Row],[Date]])</f>
        <v>35</v>
      </c>
    </row>
    <row r="1836" spans="1:20" hidden="1">
      <c r="A1836" s="1">
        <v>45894</v>
      </c>
      <c r="B1836" t="s">
        <v>88</v>
      </c>
      <c r="C1836" t="s">
        <v>63</v>
      </c>
      <c r="D1836" t="s">
        <v>64</v>
      </c>
      <c r="E1836" t="s">
        <v>28</v>
      </c>
      <c r="F1836" t="s">
        <v>89</v>
      </c>
      <c r="G1836" s="9" t="s">
        <v>294</v>
      </c>
      <c r="H1836">
        <v>0</v>
      </c>
      <c r="I1836">
        <v>0</v>
      </c>
      <c r="J1836" s="21">
        <v>45901</v>
      </c>
      <c r="K1836" t="s">
        <v>67</v>
      </c>
      <c r="L1836" t="s">
        <v>295</v>
      </c>
      <c r="M1836" t="s">
        <v>296</v>
      </c>
      <c r="O1836">
        <v>0</v>
      </c>
      <c r="P1836" t="s">
        <v>108</v>
      </c>
      <c r="S1836" t="str">
        <f>TEXT(Table1[[#This Row],[Date]],"MMM-YY")</f>
        <v>Aug-25</v>
      </c>
      <c r="T1836">
        <f>_xlfn.ISOWEEKNUM(Table1[[#This Row],[Date]])</f>
        <v>35</v>
      </c>
    </row>
    <row r="1837" spans="1:20">
      <c r="A1837" s="1">
        <v>45894</v>
      </c>
      <c r="B1837" s="68" t="s">
        <v>95</v>
      </c>
      <c r="C1837" s="68" t="s">
        <v>96</v>
      </c>
      <c r="D1837" s="68" t="s">
        <v>64</v>
      </c>
      <c r="E1837" s="68" t="s">
        <v>38</v>
      </c>
      <c r="F1837" s="68" t="s">
        <v>97</v>
      </c>
      <c r="G1837" s="70" t="s">
        <v>312</v>
      </c>
      <c r="H1837">
        <v>51569</v>
      </c>
      <c r="I1837">
        <v>51569</v>
      </c>
      <c r="J1837" s="21">
        <v>45870</v>
      </c>
      <c r="K1837" t="s">
        <v>99</v>
      </c>
      <c r="L1837" t="s">
        <v>68</v>
      </c>
      <c r="M1837" t="s">
        <v>69</v>
      </c>
      <c r="O1837">
        <v>0</v>
      </c>
      <c r="S1837" t="str">
        <f>TEXT(Table1[[#This Row],[Date]],"MMM-YY")</f>
        <v>Aug-25</v>
      </c>
      <c r="T1837">
        <f>_xlfn.ISOWEEKNUM(Table1[[#This Row],[Date]])</f>
        <v>35</v>
      </c>
    </row>
    <row r="1838" spans="1:20" ht="29.1" hidden="1">
      <c r="A1838" s="1">
        <v>45894</v>
      </c>
      <c r="B1838" t="s">
        <v>309</v>
      </c>
      <c r="C1838" t="s">
        <v>63</v>
      </c>
      <c r="D1838" t="s">
        <v>64</v>
      </c>
      <c r="E1838" t="s">
        <v>28</v>
      </c>
      <c r="F1838" t="s">
        <v>310</v>
      </c>
      <c r="G1838" s="9" t="s">
        <v>311</v>
      </c>
      <c r="H1838">
        <v>30000</v>
      </c>
      <c r="J1838" s="21">
        <v>45870</v>
      </c>
      <c r="K1838" t="s">
        <v>67</v>
      </c>
      <c r="L1838" t="s">
        <v>68</v>
      </c>
      <c r="M1838" t="s">
        <v>69</v>
      </c>
      <c r="O1838">
        <v>0</v>
      </c>
      <c r="S1838" t="str">
        <f>TEXT(Table1[[#This Row],[Date]],"MMM-YY")</f>
        <v>Aug-25</v>
      </c>
      <c r="T1838">
        <f>_xlfn.ISOWEEKNUM(Table1[[#This Row],[Date]])</f>
        <v>35</v>
      </c>
    </row>
    <row r="1839" spans="1:20" hidden="1">
      <c r="A1839" s="1">
        <v>45895</v>
      </c>
      <c r="B1839" t="s">
        <v>285</v>
      </c>
      <c r="C1839" t="s">
        <v>96</v>
      </c>
      <c r="D1839" t="s">
        <v>64</v>
      </c>
      <c r="E1839" t="s">
        <v>27</v>
      </c>
      <c r="F1839" t="s">
        <v>255</v>
      </c>
      <c r="G1839" s="9" t="s">
        <v>286</v>
      </c>
      <c r="H1839">
        <v>0</v>
      </c>
      <c r="I1839">
        <v>0</v>
      </c>
      <c r="J1839" s="21">
        <v>45901</v>
      </c>
      <c r="K1839" t="s">
        <v>67</v>
      </c>
      <c r="L1839" t="s">
        <v>68</v>
      </c>
      <c r="M1839" t="s">
        <v>69</v>
      </c>
      <c r="O1839">
        <v>0</v>
      </c>
      <c r="P1839" t="s">
        <v>108</v>
      </c>
      <c r="S1839" t="str">
        <f>TEXT(Table1[[#This Row],[Date]],"MMM-YY")</f>
        <v>Aug-25</v>
      </c>
      <c r="T1839">
        <f>_xlfn.ISOWEEKNUM(Table1[[#This Row],[Date]])</f>
        <v>35</v>
      </c>
    </row>
    <row r="1840" spans="1:20" hidden="1">
      <c r="A1840" s="1">
        <v>45895</v>
      </c>
      <c r="B1840" s="67" t="s">
        <v>112</v>
      </c>
      <c r="C1840" t="s">
        <v>96</v>
      </c>
      <c r="D1840" t="s">
        <v>64</v>
      </c>
      <c r="E1840" t="s">
        <v>38</v>
      </c>
      <c r="F1840" t="s">
        <v>113</v>
      </c>
      <c r="G1840" s="69" t="s">
        <v>308</v>
      </c>
      <c r="H1840">
        <v>19461</v>
      </c>
      <c r="I1840">
        <v>19461</v>
      </c>
      <c r="J1840" s="21">
        <v>45870</v>
      </c>
      <c r="K1840" t="s">
        <v>67</v>
      </c>
      <c r="L1840" t="s">
        <v>68</v>
      </c>
      <c r="M1840" t="s">
        <v>69</v>
      </c>
      <c r="O1840">
        <v>0</v>
      </c>
      <c r="S1840" t="str">
        <f>TEXT(Table1[[#This Row],[Date]],"MMM-YY")</f>
        <v>Aug-25</v>
      </c>
      <c r="T1840">
        <f>_xlfn.ISOWEEKNUM(Table1[[#This Row],[Date]])</f>
        <v>35</v>
      </c>
    </row>
    <row r="1841" spans="1:20" hidden="1">
      <c r="A1841" s="1">
        <v>45897</v>
      </c>
      <c r="B1841" s="67" t="s">
        <v>112</v>
      </c>
      <c r="C1841" t="s">
        <v>96</v>
      </c>
      <c r="D1841" t="s">
        <v>64</v>
      </c>
      <c r="E1841" t="s">
        <v>38</v>
      </c>
      <c r="F1841" t="s">
        <v>113</v>
      </c>
      <c r="G1841" s="69" t="s">
        <v>307</v>
      </c>
      <c r="H1841">
        <v>18552</v>
      </c>
      <c r="I1841">
        <v>18552</v>
      </c>
      <c r="J1841" s="21">
        <v>45870</v>
      </c>
      <c r="K1841" t="s">
        <v>67</v>
      </c>
      <c r="L1841" t="s">
        <v>68</v>
      </c>
      <c r="M1841" t="s">
        <v>69</v>
      </c>
      <c r="O1841">
        <v>0</v>
      </c>
      <c r="S1841" t="str">
        <f>TEXT(Table1[[#This Row],[Date]],"MMM-YY")</f>
        <v>Aug-25</v>
      </c>
      <c r="T1841">
        <f>_xlfn.ISOWEEKNUM(Table1[[#This Row],[Date]])</f>
        <v>35</v>
      </c>
    </row>
    <row r="1842" spans="1:20" hidden="1">
      <c r="A1842" s="1">
        <v>45897</v>
      </c>
      <c r="B1842" t="s">
        <v>304</v>
      </c>
      <c r="C1842" t="s">
        <v>63</v>
      </c>
      <c r="D1842" t="s">
        <v>230</v>
      </c>
      <c r="E1842" t="s">
        <v>23</v>
      </c>
      <c r="F1842" t="s">
        <v>305</v>
      </c>
      <c r="G1842" s="9" t="s">
        <v>306</v>
      </c>
      <c r="H1842">
        <v>12000</v>
      </c>
      <c r="J1842" s="21">
        <v>45870</v>
      </c>
      <c r="K1842" t="s">
        <v>67</v>
      </c>
      <c r="L1842" t="s">
        <v>68</v>
      </c>
      <c r="M1842" t="s">
        <v>69</v>
      </c>
      <c r="O1842">
        <v>0</v>
      </c>
      <c r="S1842" t="str">
        <f>TEXT(Table1[[#This Row],[Date]],"MMM-YY")</f>
        <v>Aug-25</v>
      </c>
      <c r="T1842">
        <f>_xlfn.ISOWEEKNUM(Table1[[#This Row],[Date]])</f>
        <v>35</v>
      </c>
    </row>
    <row r="1843" spans="1:20" hidden="1">
      <c r="A1843" s="1">
        <v>45897</v>
      </c>
      <c r="B1843" t="s">
        <v>1644</v>
      </c>
      <c r="C1843" t="s">
        <v>63</v>
      </c>
      <c r="D1843" t="s">
        <v>64</v>
      </c>
      <c r="E1843" t="s">
        <v>28</v>
      </c>
      <c r="F1843" t="s">
        <v>1645</v>
      </c>
      <c r="G1843" s="9" t="s">
        <v>2150</v>
      </c>
      <c r="H1843">
        <v>0</v>
      </c>
      <c r="J1843" s="21">
        <v>46113</v>
      </c>
      <c r="K1843" t="s">
        <v>67</v>
      </c>
      <c r="L1843" t="s">
        <v>568</v>
      </c>
      <c r="M1843" t="s">
        <v>2878</v>
      </c>
      <c r="O1843">
        <v>0</v>
      </c>
      <c r="P1843" t="s">
        <v>108</v>
      </c>
      <c r="S1843" t="str">
        <f>TEXT(Table1[[#This Row],[Date]],"MMM-YY")</f>
        <v>Aug-25</v>
      </c>
      <c r="T1843">
        <f>_xlfn.ISOWEEKNUM(Table1[[#This Row],[Date]])</f>
        <v>35</v>
      </c>
    </row>
    <row r="1844" spans="1:20" hidden="1">
      <c r="A1844" s="1">
        <v>45898</v>
      </c>
      <c r="B1844" s="67" t="s">
        <v>112</v>
      </c>
      <c r="C1844" t="s">
        <v>96</v>
      </c>
      <c r="D1844" t="s">
        <v>64</v>
      </c>
      <c r="E1844" t="s">
        <v>38</v>
      </c>
      <c r="F1844" t="s">
        <v>113</v>
      </c>
      <c r="G1844" s="69" t="s">
        <v>303</v>
      </c>
      <c r="H1844">
        <v>19200</v>
      </c>
      <c r="I1844">
        <v>19200</v>
      </c>
      <c r="J1844" s="21">
        <v>45870</v>
      </c>
      <c r="K1844" t="s">
        <v>67</v>
      </c>
      <c r="L1844" t="s">
        <v>68</v>
      </c>
      <c r="M1844" t="s">
        <v>69</v>
      </c>
      <c r="O1844">
        <v>0</v>
      </c>
      <c r="S1844" t="str">
        <f>TEXT(Table1[[#This Row],[Date]],"MMM-YY")</f>
        <v>Aug-25</v>
      </c>
      <c r="T1844">
        <f>_xlfn.ISOWEEKNUM(Table1[[#This Row],[Date]])</f>
        <v>35</v>
      </c>
    </row>
    <row r="1845" spans="1:20" hidden="1">
      <c r="A1845" s="1">
        <v>45901</v>
      </c>
      <c r="B1845" s="67" t="s">
        <v>112</v>
      </c>
      <c r="C1845" t="s">
        <v>96</v>
      </c>
      <c r="D1845" t="s">
        <v>64</v>
      </c>
      <c r="E1845" t="s">
        <v>38</v>
      </c>
      <c r="F1845" t="s">
        <v>113</v>
      </c>
      <c r="G1845" s="69" t="s">
        <v>284</v>
      </c>
      <c r="H1845">
        <v>16200</v>
      </c>
      <c r="I1845">
        <v>16200</v>
      </c>
      <c r="J1845" s="21">
        <v>45901</v>
      </c>
      <c r="K1845" t="s">
        <v>67</v>
      </c>
      <c r="L1845" t="s">
        <v>68</v>
      </c>
      <c r="M1845" t="s">
        <v>69</v>
      </c>
      <c r="O1845">
        <v>0</v>
      </c>
      <c r="P1845" t="s">
        <v>108</v>
      </c>
      <c r="S1845" t="str">
        <f>TEXT(Table1[[#This Row],[Date]],"MMM-YY")</f>
        <v>Sep-25</v>
      </c>
      <c r="T1845">
        <f>_xlfn.ISOWEEKNUM(Table1[[#This Row],[Date]])</f>
        <v>36</v>
      </c>
    </row>
    <row r="1846" spans="1:20" hidden="1">
      <c r="A1846" s="1">
        <v>45901</v>
      </c>
      <c r="B1846" t="s">
        <v>1999</v>
      </c>
      <c r="C1846" t="s">
        <v>63</v>
      </c>
      <c r="D1846" t="s">
        <v>64</v>
      </c>
      <c r="E1846" t="s">
        <v>30</v>
      </c>
      <c r="F1846" t="s">
        <v>3977</v>
      </c>
      <c r="G1846" s="9" t="s">
        <v>3978</v>
      </c>
      <c r="H1846">
        <v>0</v>
      </c>
      <c r="J1846" s="21">
        <v>46113</v>
      </c>
      <c r="K1846" t="s">
        <v>67</v>
      </c>
      <c r="L1846" t="s">
        <v>568</v>
      </c>
      <c r="M1846" t="s">
        <v>2878</v>
      </c>
      <c r="O1846">
        <v>0</v>
      </c>
      <c r="P1846" t="s">
        <v>108</v>
      </c>
      <c r="S1846" t="str">
        <f>TEXT(Table1[[#This Row],[Date]],"MMM-YY")</f>
        <v>Sep-25</v>
      </c>
      <c r="T1846">
        <f>_xlfn.ISOWEEKNUM(Table1[[#This Row],[Date]])</f>
        <v>36</v>
      </c>
    </row>
    <row r="1847" spans="1:20" hidden="1">
      <c r="A1847" s="1">
        <v>45901</v>
      </c>
      <c r="B1847" t="s">
        <v>281</v>
      </c>
      <c r="C1847" t="s">
        <v>63</v>
      </c>
      <c r="D1847" t="s">
        <v>64</v>
      </c>
      <c r="E1847" t="s">
        <v>26</v>
      </c>
      <c r="F1847" t="s">
        <v>282</v>
      </c>
      <c r="G1847" s="9" t="s">
        <v>283</v>
      </c>
      <c r="H1847">
        <v>14500</v>
      </c>
      <c r="I1847">
        <v>14500</v>
      </c>
      <c r="J1847" s="21">
        <v>45901</v>
      </c>
      <c r="K1847" t="s">
        <v>67</v>
      </c>
      <c r="L1847" t="s">
        <v>68</v>
      </c>
      <c r="M1847" t="s">
        <v>69</v>
      </c>
      <c r="O1847">
        <v>0</v>
      </c>
      <c r="P1847" t="s">
        <v>108</v>
      </c>
      <c r="S1847" t="str">
        <f>TEXT(Table1[[#This Row],[Date]],"MMM-YY")</f>
        <v>Sep-25</v>
      </c>
      <c r="T1847">
        <f>_xlfn.ISOWEEKNUM(Table1[[#This Row],[Date]])</f>
        <v>36</v>
      </c>
    </row>
    <row r="1848" spans="1:20" hidden="1">
      <c r="A1848" s="1">
        <v>45902</v>
      </c>
      <c r="B1848" s="67" t="s">
        <v>112</v>
      </c>
      <c r="C1848" t="s">
        <v>96</v>
      </c>
      <c r="D1848" t="s">
        <v>64</v>
      </c>
      <c r="E1848" t="s">
        <v>38</v>
      </c>
      <c r="F1848" t="s">
        <v>113</v>
      </c>
      <c r="G1848" s="69" t="s">
        <v>280</v>
      </c>
      <c r="H1848">
        <v>18211</v>
      </c>
      <c r="I1848">
        <v>18211</v>
      </c>
      <c r="J1848" s="21">
        <v>45901</v>
      </c>
      <c r="K1848" t="s">
        <v>67</v>
      </c>
      <c r="L1848" t="s">
        <v>68</v>
      </c>
      <c r="M1848" t="s">
        <v>69</v>
      </c>
      <c r="O1848">
        <v>0</v>
      </c>
      <c r="P1848" t="s">
        <v>108</v>
      </c>
      <c r="S1848" t="str">
        <f>TEXT(Table1[[#This Row],[Date]],"MMM-YY")</f>
        <v>Sep-25</v>
      </c>
      <c r="T1848">
        <f>_xlfn.ISOWEEKNUM(Table1[[#This Row],[Date]])</f>
        <v>36</v>
      </c>
    </row>
    <row r="1849" spans="1:20" hidden="1">
      <c r="A1849" s="1">
        <v>45902</v>
      </c>
      <c r="B1849" t="s">
        <v>3979</v>
      </c>
      <c r="C1849" t="s">
        <v>63</v>
      </c>
      <c r="D1849" t="s">
        <v>105</v>
      </c>
      <c r="E1849" t="s">
        <v>18</v>
      </c>
      <c r="F1849" t="s">
        <v>3980</v>
      </c>
      <c r="G1849" s="9" t="s">
        <v>3981</v>
      </c>
      <c r="H1849">
        <v>0</v>
      </c>
      <c r="I1849">
        <v>0</v>
      </c>
      <c r="J1849" s="21">
        <v>45901</v>
      </c>
      <c r="K1849" t="s">
        <v>67</v>
      </c>
      <c r="L1849" t="s">
        <v>9</v>
      </c>
      <c r="M1849" t="s">
        <v>9</v>
      </c>
      <c r="O1849">
        <v>0</v>
      </c>
      <c r="P1849" t="s">
        <v>108</v>
      </c>
      <c r="S1849" t="str">
        <f>TEXT(Table1[[#This Row],[Date]],"MMM-YY")</f>
        <v>Sep-25</v>
      </c>
      <c r="T1849">
        <f>_xlfn.ISOWEEKNUM(Table1[[#This Row],[Date]])</f>
        <v>36</v>
      </c>
    </row>
    <row r="1850" spans="1:20" hidden="1">
      <c r="A1850" s="1">
        <v>45902</v>
      </c>
      <c r="B1850" t="s">
        <v>3982</v>
      </c>
      <c r="C1850" t="s">
        <v>63</v>
      </c>
      <c r="D1850" t="s">
        <v>64</v>
      </c>
      <c r="E1850" t="s">
        <v>328</v>
      </c>
      <c r="F1850" t="s">
        <v>73</v>
      </c>
      <c r="G1850" s="9" t="s">
        <v>3983</v>
      </c>
      <c r="H1850">
        <v>500000</v>
      </c>
      <c r="J1850" s="21">
        <v>45962</v>
      </c>
      <c r="K1850" t="s">
        <v>67</v>
      </c>
      <c r="L1850" t="s">
        <v>9</v>
      </c>
      <c r="M1850" t="s">
        <v>9</v>
      </c>
      <c r="N1850" t="s">
        <v>3984</v>
      </c>
      <c r="O1850">
        <v>0</v>
      </c>
      <c r="P1850" t="s">
        <v>108</v>
      </c>
      <c r="S1850" t="str">
        <f>TEXT(Table1[[#This Row],[Date]],"MMM-YY")</f>
        <v>Sep-25</v>
      </c>
      <c r="T1850">
        <f>_xlfn.ISOWEEKNUM(Table1[[#This Row],[Date]])</f>
        <v>36</v>
      </c>
    </row>
    <row r="1851" spans="1:20" ht="29.1" hidden="1">
      <c r="A1851" s="1">
        <v>45902</v>
      </c>
      <c r="B1851" t="s">
        <v>3985</v>
      </c>
      <c r="C1851" t="s">
        <v>63</v>
      </c>
      <c r="D1851" t="s">
        <v>64</v>
      </c>
      <c r="E1851" t="s">
        <v>328</v>
      </c>
      <c r="F1851" t="s">
        <v>169</v>
      </c>
      <c r="G1851" s="9" t="s">
        <v>3986</v>
      </c>
      <c r="H1851">
        <v>0</v>
      </c>
      <c r="I1851">
        <v>0</v>
      </c>
      <c r="J1851" s="21">
        <v>45901</v>
      </c>
      <c r="K1851" t="s">
        <v>67</v>
      </c>
      <c r="L1851" t="s">
        <v>9</v>
      </c>
      <c r="M1851" t="s">
        <v>9</v>
      </c>
      <c r="N1851" t="s">
        <v>1428</v>
      </c>
      <c r="O1851">
        <v>0</v>
      </c>
      <c r="P1851" t="s">
        <v>108</v>
      </c>
      <c r="S1851" t="str">
        <f>TEXT(Table1[[#This Row],[Date]],"MMM-YY")</f>
        <v>Sep-25</v>
      </c>
      <c r="T1851">
        <f>_xlfn.ISOWEEKNUM(Table1[[#This Row],[Date]])</f>
        <v>36</v>
      </c>
    </row>
    <row r="1852" spans="1:20" hidden="1">
      <c r="A1852" s="1">
        <v>45903</v>
      </c>
      <c r="B1852" s="67" t="s">
        <v>112</v>
      </c>
      <c r="C1852" t="s">
        <v>96</v>
      </c>
      <c r="D1852" t="s">
        <v>64</v>
      </c>
      <c r="E1852" t="s">
        <v>38</v>
      </c>
      <c r="F1852" t="s">
        <v>113</v>
      </c>
      <c r="G1852" s="69" t="s">
        <v>279</v>
      </c>
      <c r="H1852">
        <v>24398</v>
      </c>
      <c r="I1852">
        <v>24398</v>
      </c>
      <c r="J1852" s="21">
        <v>45901</v>
      </c>
      <c r="K1852" t="s">
        <v>67</v>
      </c>
      <c r="L1852" t="s">
        <v>68</v>
      </c>
      <c r="M1852" t="s">
        <v>69</v>
      </c>
      <c r="O1852">
        <v>0</v>
      </c>
      <c r="P1852" t="s">
        <v>108</v>
      </c>
      <c r="S1852" t="str">
        <f>TEXT(Table1[[#This Row],[Date]],"MMM-YY")</f>
        <v>Sep-25</v>
      </c>
      <c r="T1852">
        <f>_xlfn.ISOWEEKNUM(Table1[[#This Row],[Date]])</f>
        <v>36</v>
      </c>
    </row>
    <row r="1853" spans="1:20" hidden="1">
      <c r="A1853" s="1">
        <v>45904</v>
      </c>
      <c r="B1853" s="67" t="s">
        <v>112</v>
      </c>
      <c r="C1853" t="s">
        <v>96</v>
      </c>
      <c r="D1853" t="s">
        <v>64</v>
      </c>
      <c r="E1853" t="s">
        <v>38</v>
      </c>
      <c r="F1853" t="s">
        <v>113</v>
      </c>
      <c r="G1853" s="69" t="s">
        <v>278</v>
      </c>
      <c r="H1853">
        <v>15200</v>
      </c>
      <c r="I1853">
        <v>15200</v>
      </c>
      <c r="J1853" s="21">
        <v>45901</v>
      </c>
      <c r="K1853" t="s">
        <v>67</v>
      </c>
      <c r="L1853" t="s">
        <v>68</v>
      </c>
      <c r="M1853" t="s">
        <v>69</v>
      </c>
      <c r="O1853">
        <v>0</v>
      </c>
      <c r="P1853" t="s">
        <v>108</v>
      </c>
      <c r="S1853" t="str">
        <f>TEXT(Table1[[#This Row],[Date]],"MMM-YY")</f>
        <v>Sep-25</v>
      </c>
      <c r="T1853">
        <f>_xlfn.ISOWEEKNUM(Table1[[#This Row],[Date]])</f>
        <v>36</v>
      </c>
    </row>
    <row r="1854" spans="1:20" hidden="1">
      <c r="A1854" s="1">
        <v>45905</v>
      </c>
      <c r="B1854" s="67" t="s">
        <v>112</v>
      </c>
      <c r="C1854" t="s">
        <v>96</v>
      </c>
      <c r="D1854" t="s">
        <v>64</v>
      </c>
      <c r="E1854" t="s">
        <v>38</v>
      </c>
      <c r="F1854" t="s">
        <v>113</v>
      </c>
      <c r="G1854" s="69" t="s">
        <v>277</v>
      </c>
      <c r="H1854">
        <v>10500</v>
      </c>
      <c r="I1854">
        <v>10500</v>
      </c>
      <c r="J1854" s="21">
        <v>45901</v>
      </c>
      <c r="K1854" t="s">
        <v>67</v>
      </c>
      <c r="L1854" t="s">
        <v>68</v>
      </c>
      <c r="M1854" t="s">
        <v>69</v>
      </c>
      <c r="O1854">
        <v>0</v>
      </c>
      <c r="P1854" t="s">
        <v>108</v>
      </c>
      <c r="S1854" t="str">
        <f>TEXT(Table1[[#This Row],[Date]],"MMM-YY")</f>
        <v>Sep-25</v>
      </c>
      <c r="T1854">
        <f>_xlfn.ISOWEEKNUM(Table1[[#This Row],[Date]])</f>
        <v>36</v>
      </c>
    </row>
    <row r="1855" spans="1:20" hidden="1">
      <c r="A1855" s="1">
        <v>45906</v>
      </c>
      <c r="B1855" t="s">
        <v>274</v>
      </c>
      <c r="C1855" t="s">
        <v>96</v>
      </c>
      <c r="D1855" t="s">
        <v>20</v>
      </c>
      <c r="E1855" t="s">
        <v>23</v>
      </c>
      <c r="F1855" t="s">
        <v>275</v>
      </c>
      <c r="G1855" s="9" t="s">
        <v>276</v>
      </c>
      <c r="H1855">
        <v>9500</v>
      </c>
      <c r="I1855">
        <v>9500</v>
      </c>
      <c r="J1855" s="21">
        <v>45901</v>
      </c>
      <c r="K1855" t="s">
        <v>67</v>
      </c>
      <c r="L1855" t="s">
        <v>68</v>
      </c>
      <c r="M1855" t="s">
        <v>69</v>
      </c>
      <c r="O1855">
        <v>0</v>
      </c>
      <c r="P1855" t="s">
        <v>108</v>
      </c>
      <c r="S1855" t="str">
        <f>TEXT(Table1[[#This Row],[Date]],"MMM-YY")</f>
        <v>Sep-25</v>
      </c>
      <c r="T1855">
        <f>_xlfn.ISOWEEKNUM(Table1[[#This Row],[Date]])</f>
        <v>36</v>
      </c>
    </row>
    <row r="1856" spans="1:20" hidden="1">
      <c r="A1856" s="1">
        <v>45906</v>
      </c>
      <c r="B1856" t="s">
        <v>271</v>
      </c>
      <c r="C1856" t="s">
        <v>96</v>
      </c>
      <c r="D1856" t="s">
        <v>64</v>
      </c>
      <c r="E1856" t="s">
        <v>39</v>
      </c>
      <c r="F1856" t="s">
        <v>272</v>
      </c>
      <c r="G1856" s="9" t="s">
        <v>273</v>
      </c>
      <c r="H1856">
        <v>29500</v>
      </c>
      <c r="I1856">
        <v>29500</v>
      </c>
      <c r="J1856" s="21">
        <v>45901</v>
      </c>
      <c r="K1856" t="s">
        <v>67</v>
      </c>
      <c r="L1856" t="s">
        <v>68</v>
      </c>
      <c r="M1856" t="s">
        <v>69</v>
      </c>
      <c r="O1856">
        <v>0</v>
      </c>
      <c r="P1856" t="s">
        <v>108</v>
      </c>
      <c r="S1856" t="str">
        <f>TEXT(Table1[[#This Row],[Date]],"MMM-YY")</f>
        <v>Sep-25</v>
      </c>
      <c r="T1856">
        <f>_xlfn.ISOWEEKNUM(Table1[[#This Row],[Date]])</f>
        <v>36</v>
      </c>
    </row>
    <row r="1857" spans="1:20" hidden="1">
      <c r="A1857" s="1">
        <v>45907</v>
      </c>
      <c r="B1857" t="s">
        <v>268</v>
      </c>
      <c r="C1857" t="s">
        <v>96</v>
      </c>
      <c r="D1857" t="s">
        <v>64</v>
      </c>
      <c r="E1857" t="s">
        <v>38</v>
      </c>
      <c r="F1857" t="s">
        <v>269</v>
      </c>
      <c r="G1857" s="9" t="s">
        <v>270</v>
      </c>
      <c r="H1857">
        <v>32500</v>
      </c>
      <c r="I1857">
        <v>32500</v>
      </c>
      <c r="J1857" s="21">
        <v>45901</v>
      </c>
      <c r="K1857" t="s">
        <v>67</v>
      </c>
      <c r="L1857" t="s">
        <v>68</v>
      </c>
      <c r="M1857" t="s">
        <v>69</v>
      </c>
      <c r="O1857">
        <v>0</v>
      </c>
      <c r="P1857" t="s">
        <v>108</v>
      </c>
      <c r="S1857" t="str">
        <f>TEXT(Table1[[#This Row],[Date]],"MMM-YY")</f>
        <v>Sep-25</v>
      </c>
      <c r="T1857">
        <f>_xlfn.ISOWEEKNUM(Table1[[#This Row],[Date]])</f>
        <v>36</v>
      </c>
    </row>
    <row r="1858" spans="1:20" hidden="1">
      <c r="A1858" s="1">
        <v>45908</v>
      </c>
      <c r="B1858" s="67" t="s">
        <v>112</v>
      </c>
      <c r="C1858" t="s">
        <v>96</v>
      </c>
      <c r="D1858" t="s">
        <v>64</v>
      </c>
      <c r="E1858" t="s">
        <v>38</v>
      </c>
      <c r="F1858" t="s">
        <v>113</v>
      </c>
      <c r="G1858" s="69" t="s">
        <v>267</v>
      </c>
      <c r="H1858">
        <v>18500</v>
      </c>
      <c r="I1858">
        <v>18500</v>
      </c>
      <c r="J1858" s="21">
        <v>45901</v>
      </c>
      <c r="K1858" t="s">
        <v>67</v>
      </c>
      <c r="L1858" t="s">
        <v>68</v>
      </c>
      <c r="M1858" t="s">
        <v>69</v>
      </c>
      <c r="O1858">
        <v>0</v>
      </c>
      <c r="P1858" t="s">
        <v>108</v>
      </c>
      <c r="S1858" t="str">
        <f>TEXT(Table1[[#This Row],[Date]],"MMM-YY")</f>
        <v>Sep-25</v>
      </c>
      <c r="T1858">
        <f>_xlfn.ISOWEEKNUM(Table1[[#This Row],[Date]])</f>
        <v>37</v>
      </c>
    </row>
    <row r="1859" spans="1:20" ht="29.1" hidden="1">
      <c r="A1859" s="1">
        <v>45908</v>
      </c>
      <c r="B1859" s="67" t="s">
        <v>3982</v>
      </c>
      <c r="C1859" t="s">
        <v>63</v>
      </c>
      <c r="D1859" t="s">
        <v>64</v>
      </c>
      <c r="E1859" t="s">
        <v>38</v>
      </c>
      <c r="F1859" t="s">
        <v>73</v>
      </c>
      <c r="G1859" s="69" t="s">
        <v>3987</v>
      </c>
      <c r="J1859" s="21">
        <v>46113</v>
      </c>
      <c r="K1859" t="s">
        <v>67</v>
      </c>
      <c r="L1859" t="s">
        <v>567</v>
      </c>
      <c r="M1859" t="s">
        <v>2878</v>
      </c>
      <c r="O1859">
        <v>0</v>
      </c>
      <c r="P1859" t="s">
        <v>108</v>
      </c>
      <c r="S1859" t="str">
        <f>TEXT(Table1[[#This Row],[Date]],"MMM-YY")</f>
        <v>Sep-25</v>
      </c>
      <c r="T1859">
        <f>_xlfn.ISOWEEKNUM(Table1[[#This Row],[Date]])</f>
        <v>37</v>
      </c>
    </row>
    <row r="1860" spans="1:20" ht="16.5" hidden="1" customHeight="1">
      <c r="A1860" s="1">
        <v>45908</v>
      </c>
      <c r="B1860" t="s">
        <v>249</v>
      </c>
      <c r="C1860" t="s">
        <v>63</v>
      </c>
      <c r="D1860" t="s">
        <v>64</v>
      </c>
      <c r="E1860" t="s">
        <v>26</v>
      </c>
      <c r="F1860" t="s">
        <v>250</v>
      </c>
      <c r="G1860" s="9" t="s">
        <v>266</v>
      </c>
      <c r="H1860">
        <v>34500</v>
      </c>
      <c r="I1860">
        <v>34500</v>
      </c>
      <c r="J1860" s="21">
        <v>45901</v>
      </c>
      <c r="K1860" t="s">
        <v>67</v>
      </c>
      <c r="L1860" t="s">
        <v>68</v>
      </c>
      <c r="M1860" t="s">
        <v>69</v>
      </c>
      <c r="O1860">
        <v>0</v>
      </c>
      <c r="P1860" t="s">
        <v>108</v>
      </c>
      <c r="S1860" t="str">
        <f>TEXT(Table1[[#This Row],[Date]],"MMM-YY")</f>
        <v>Sep-25</v>
      </c>
      <c r="T1860">
        <f>_xlfn.ISOWEEKNUM(Table1[[#This Row],[Date]])</f>
        <v>37</v>
      </c>
    </row>
    <row r="1861" spans="1:20" ht="13.5" hidden="1" customHeight="1">
      <c r="A1861" s="1">
        <v>45909</v>
      </c>
      <c r="B1861" t="s">
        <v>119</v>
      </c>
      <c r="C1861" t="s">
        <v>63</v>
      </c>
      <c r="D1861" t="s">
        <v>105</v>
      </c>
      <c r="E1861" t="s">
        <v>18</v>
      </c>
      <c r="F1861" t="s">
        <v>264</v>
      </c>
      <c r="G1861" s="9" t="s">
        <v>265</v>
      </c>
      <c r="H1861">
        <v>0</v>
      </c>
      <c r="I1861">
        <v>0</v>
      </c>
      <c r="J1861" s="21">
        <v>45901</v>
      </c>
      <c r="K1861" t="s">
        <v>67</v>
      </c>
      <c r="L1861" t="s">
        <v>68</v>
      </c>
      <c r="M1861" t="s">
        <v>69</v>
      </c>
      <c r="O1861">
        <v>0</v>
      </c>
      <c r="P1861" t="s">
        <v>108</v>
      </c>
      <c r="S1861" t="str">
        <f>TEXT(Table1[[#This Row],[Date]],"MMM-YY")</f>
        <v>Sep-25</v>
      </c>
      <c r="T1861">
        <f>_xlfn.ISOWEEKNUM(Table1[[#This Row],[Date]])</f>
        <v>37</v>
      </c>
    </row>
    <row r="1862" spans="1:20" ht="29.1" hidden="1">
      <c r="A1862" s="1">
        <v>45909</v>
      </c>
      <c r="B1862" t="s">
        <v>85</v>
      </c>
      <c r="C1862" t="s">
        <v>63</v>
      </c>
      <c r="D1862" t="s">
        <v>64</v>
      </c>
      <c r="E1862" t="s">
        <v>26</v>
      </c>
      <c r="F1862" t="s">
        <v>233</v>
      </c>
      <c r="G1862" s="9" t="s">
        <v>263</v>
      </c>
      <c r="H1862">
        <v>0</v>
      </c>
      <c r="I1862">
        <v>0</v>
      </c>
      <c r="J1862" s="21">
        <v>45901</v>
      </c>
      <c r="K1862" t="s">
        <v>67</v>
      </c>
      <c r="L1862" t="s">
        <v>68</v>
      </c>
      <c r="M1862" t="s">
        <v>69</v>
      </c>
      <c r="O1862">
        <v>0</v>
      </c>
      <c r="P1862" t="s">
        <v>108</v>
      </c>
      <c r="S1862" t="str">
        <f>TEXT(Table1[[#This Row],[Date]],"MMM-YY")</f>
        <v>Sep-25</v>
      </c>
      <c r="T1862">
        <f>_xlfn.ISOWEEKNUM(Table1[[#This Row],[Date]])</f>
        <v>37</v>
      </c>
    </row>
    <row r="1863" spans="1:20" hidden="1">
      <c r="A1863" s="1">
        <v>45909</v>
      </c>
      <c r="B1863" t="s">
        <v>225</v>
      </c>
      <c r="C1863" t="s">
        <v>63</v>
      </c>
      <c r="D1863" t="s">
        <v>64</v>
      </c>
      <c r="E1863" t="s">
        <v>32</v>
      </c>
      <c r="F1863" t="s">
        <v>226</v>
      </c>
      <c r="G1863" s="9" t="s">
        <v>227</v>
      </c>
      <c r="H1863">
        <v>0</v>
      </c>
      <c r="I1863">
        <v>0</v>
      </c>
      <c r="J1863" s="21">
        <v>45901</v>
      </c>
      <c r="K1863" t="s">
        <v>67</v>
      </c>
      <c r="L1863" t="s">
        <v>68</v>
      </c>
      <c r="M1863" t="s">
        <v>69</v>
      </c>
      <c r="O1863">
        <v>0</v>
      </c>
      <c r="P1863" t="s">
        <v>108</v>
      </c>
      <c r="S1863" t="str">
        <f>TEXT(Table1[[#This Row],[Date]],"MMM-YY")</f>
        <v>Sep-25</v>
      </c>
      <c r="T1863">
        <f>_xlfn.ISOWEEKNUM(Table1[[#This Row],[Date]])</f>
        <v>37</v>
      </c>
    </row>
    <row r="1864" spans="1:20" hidden="1">
      <c r="A1864" s="1">
        <v>45909</v>
      </c>
      <c r="B1864" t="s">
        <v>262</v>
      </c>
      <c r="C1864" t="s">
        <v>63</v>
      </c>
      <c r="D1864" t="s">
        <v>105</v>
      </c>
      <c r="E1864" t="s">
        <v>18</v>
      </c>
      <c r="F1864" t="s">
        <v>206</v>
      </c>
      <c r="G1864" s="9" t="s">
        <v>207</v>
      </c>
      <c r="H1864">
        <v>0</v>
      </c>
      <c r="I1864">
        <v>0</v>
      </c>
      <c r="J1864" s="21">
        <v>45901</v>
      </c>
      <c r="K1864" t="s">
        <v>67</v>
      </c>
      <c r="L1864" t="s">
        <v>68</v>
      </c>
      <c r="M1864" t="s">
        <v>69</v>
      </c>
      <c r="O1864">
        <v>0</v>
      </c>
      <c r="P1864" t="s">
        <v>108</v>
      </c>
      <c r="S1864" t="str">
        <f>TEXT(Table1[[#This Row],[Date]],"MMM-YY")</f>
        <v>Sep-25</v>
      </c>
      <c r="T1864">
        <f>_xlfn.ISOWEEKNUM(Table1[[#This Row],[Date]])</f>
        <v>37</v>
      </c>
    </row>
    <row r="1865" spans="1:20" hidden="1">
      <c r="A1865" s="1">
        <v>45909</v>
      </c>
      <c r="B1865" s="67" t="s">
        <v>112</v>
      </c>
      <c r="C1865" t="s">
        <v>96</v>
      </c>
      <c r="D1865" t="s">
        <v>64</v>
      </c>
      <c r="E1865" t="s">
        <v>38</v>
      </c>
      <c r="F1865" t="s">
        <v>113</v>
      </c>
      <c r="G1865" s="69" t="s">
        <v>261</v>
      </c>
      <c r="H1865">
        <v>15200</v>
      </c>
      <c r="I1865">
        <v>15200</v>
      </c>
      <c r="J1865" s="21">
        <v>45901</v>
      </c>
      <c r="K1865" t="s">
        <v>67</v>
      </c>
      <c r="L1865" t="s">
        <v>68</v>
      </c>
      <c r="M1865" t="s">
        <v>69</v>
      </c>
      <c r="O1865">
        <v>0</v>
      </c>
      <c r="P1865" t="s">
        <v>108</v>
      </c>
      <c r="S1865" t="str">
        <f>TEXT(Table1[[#This Row],[Date]],"MMM-YY")</f>
        <v>Sep-25</v>
      </c>
      <c r="T1865">
        <f>_xlfn.ISOWEEKNUM(Table1[[#This Row],[Date]])</f>
        <v>37</v>
      </c>
    </row>
    <row r="1866" spans="1:20" hidden="1">
      <c r="A1866" s="1">
        <v>45910</v>
      </c>
      <c r="B1866" t="s">
        <v>258</v>
      </c>
      <c r="C1866" t="s">
        <v>63</v>
      </c>
      <c r="D1866" t="s">
        <v>64</v>
      </c>
      <c r="E1866" t="s">
        <v>26</v>
      </c>
      <c r="F1866" t="s">
        <v>259</v>
      </c>
      <c r="G1866" s="9" t="s">
        <v>260</v>
      </c>
      <c r="H1866">
        <v>5600</v>
      </c>
      <c r="I1866">
        <v>5600</v>
      </c>
      <c r="J1866" s="21">
        <v>45901</v>
      </c>
      <c r="K1866" t="s">
        <v>67</v>
      </c>
      <c r="L1866" t="s">
        <v>68</v>
      </c>
      <c r="M1866" t="s">
        <v>69</v>
      </c>
      <c r="O1866">
        <v>0</v>
      </c>
      <c r="P1866" t="s">
        <v>108</v>
      </c>
      <c r="S1866" t="str">
        <f>TEXT(Table1[[#This Row],[Date]],"MMM-YY")</f>
        <v>Sep-25</v>
      </c>
      <c r="T1866">
        <f>_xlfn.ISOWEEKNUM(Table1[[#This Row],[Date]])</f>
        <v>37</v>
      </c>
    </row>
    <row r="1867" spans="1:20">
      <c r="A1867" s="1">
        <v>45910</v>
      </c>
      <c r="B1867" s="67" t="s">
        <v>95</v>
      </c>
      <c r="C1867" t="s">
        <v>96</v>
      </c>
      <c r="D1867" t="s">
        <v>64</v>
      </c>
      <c r="E1867" t="s">
        <v>38</v>
      </c>
      <c r="F1867" t="s">
        <v>97</v>
      </c>
      <c r="G1867" s="69" t="s">
        <v>257</v>
      </c>
      <c r="H1867">
        <v>53085</v>
      </c>
      <c r="I1867">
        <v>53085</v>
      </c>
      <c r="J1867" s="21">
        <v>45901</v>
      </c>
      <c r="K1867" t="s">
        <v>99</v>
      </c>
      <c r="L1867" t="s">
        <v>68</v>
      </c>
      <c r="M1867" t="s">
        <v>69</v>
      </c>
      <c r="O1867">
        <v>0</v>
      </c>
      <c r="P1867" t="s">
        <v>108</v>
      </c>
      <c r="S1867" t="str">
        <f>TEXT(Table1[[#This Row],[Date]],"MMM-YY")</f>
        <v>Sep-25</v>
      </c>
      <c r="T1867">
        <f>_xlfn.ISOWEEKNUM(Table1[[#This Row],[Date]])</f>
        <v>37</v>
      </c>
    </row>
    <row r="1868" spans="1:20" hidden="1">
      <c r="A1868" s="1">
        <v>45910</v>
      </c>
      <c r="B1868" t="s">
        <v>254</v>
      </c>
      <c r="C1868" t="s">
        <v>96</v>
      </c>
      <c r="D1868" t="s">
        <v>64</v>
      </c>
      <c r="E1868" t="s">
        <v>32</v>
      </c>
      <c r="F1868" t="s">
        <v>255</v>
      </c>
      <c r="G1868" s="9" t="s">
        <v>256</v>
      </c>
      <c r="H1868">
        <v>12500</v>
      </c>
      <c r="I1868">
        <v>12500</v>
      </c>
      <c r="J1868" s="21">
        <v>45901</v>
      </c>
      <c r="K1868" t="s">
        <v>67</v>
      </c>
      <c r="L1868" t="s">
        <v>68</v>
      </c>
      <c r="M1868" t="s">
        <v>69</v>
      </c>
      <c r="O1868">
        <v>0</v>
      </c>
      <c r="P1868" t="s">
        <v>108</v>
      </c>
      <c r="S1868" t="str">
        <f>TEXT(Table1[[#This Row],[Date]],"MMM-YY")</f>
        <v>Sep-25</v>
      </c>
      <c r="T1868">
        <f>_xlfn.ISOWEEKNUM(Table1[[#This Row],[Date]])</f>
        <v>37</v>
      </c>
    </row>
    <row r="1869" spans="1:20" hidden="1">
      <c r="A1869" s="1">
        <v>45910</v>
      </c>
      <c r="B1869" s="67" t="s">
        <v>112</v>
      </c>
      <c r="C1869" t="s">
        <v>96</v>
      </c>
      <c r="D1869" t="s">
        <v>64</v>
      </c>
      <c r="E1869" t="s">
        <v>38</v>
      </c>
      <c r="F1869" t="s">
        <v>113</v>
      </c>
      <c r="G1869" s="69" t="s">
        <v>253</v>
      </c>
      <c r="H1869">
        <v>15500</v>
      </c>
      <c r="I1869">
        <v>15500</v>
      </c>
      <c r="J1869" s="21">
        <v>45901</v>
      </c>
      <c r="K1869" t="s">
        <v>67</v>
      </c>
      <c r="L1869" t="s">
        <v>68</v>
      </c>
      <c r="M1869" t="s">
        <v>69</v>
      </c>
      <c r="O1869">
        <v>0</v>
      </c>
      <c r="P1869" t="s">
        <v>108</v>
      </c>
      <c r="S1869" t="str">
        <f>TEXT(Table1[[#This Row],[Date]],"MMM-YY")</f>
        <v>Sep-25</v>
      </c>
      <c r="T1869">
        <f>_xlfn.ISOWEEKNUM(Table1[[#This Row],[Date]])</f>
        <v>37</v>
      </c>
    </row>
    <row r="1870" spans="1:20" ht="29.1" hidden="1">
      <c r="A1870" s="1">
        <v>45910</v>
      </c>
      <c r="B1870" t="s">
        <v>249</v>
      </c>
      <c r="C1870" t="s">
        <v>63</v>
      </c>
      <c r="D1870" t="s">
        <v>64</v>
      </c>
      <c r="E1870" t="s">
        <v>26</v>
      </c>
      <c r="F1870" t="s">
        <v>250</v>
      </c>
      <c r="G1870" s="9" t="s">
        <v>252</v>
      </c>
      <c r="H1870">
        <v>52210</v>
      </c>
      <c r="I1870">
        <v>52210</v>
      </c>
      <c r="J1870" s="21">
        <v>45901</v>
      </c>
      <c r="K1870" t="s">
        <v>67</v>
      </c>
      <c r="L1870" t="s">
        <v>68</v>
      </c>
      <c r="M1870" t="s">
        <v>69</v>
      </c>
      <c r="O1870">
        <v>0</v>
      </c>
      <c r="P1870" t="s">
        <v>108</v>
      </c>
      <c r="S1870" t="str">
        <f>TEXT(Table1[[#This Row],[Date]],"MMM-YY")</f>
        <v>Sep-25</v>
      </c>
      <c r="T1870">
        <f>_xlfn.ISOWEEKNUM(Table1[[#This Row],[Date]])</f>
        <v>37</v>
      </c>
    </row>
    <row r="1871" spans="1:20" ht="29.1" hidden="1">
      <c r="A1871" s="1">
        <v>45911</v>
      </c>
      <c r="B1871" t="s">
        <v>249</v>
      </c>
      <c r="C1871" t="s">
        <v>96</v>
      </c>
      <c r="D1871" t="s">
        <v>64</v>
      </c>
      <c r="E1871" t="s">
        <v>26</v>
      </c>
      <c r="F1871" t="s">
        <v>250</v>
      </c>
      <c r="G1871" s="9" t="s">
        <v>251</v>
      </c>
      <c r="H1871">
        <v>44050</v>
      </c>
      <c r="I1871">
        <v>44050</v>
      </c>
      <c r="J1871" s="21">
        <v>45901</v>
      </c>
      <c r="K1871" t="s">
        <v>67</v>
      </c>
      <c r="L1871" t="s">
        <v>68</v>
      </c>
      <c r="M1871" t="s">
        <v>69</v>
      </c>
      <c r="O1871">
        <v>0</v>
      </c>
      <c r="P1871" t="s">
        <v>108</v>
      </c>
      <c r="S1871" t="str">
        <f>TEXT(Table1[[#This Row],[Date]],"MMM-YY")</f>
        <v>Sep-25</v>
      </c>
      <c r="T1871">
        <f>_xlfn.ISOWEEKNUM(Table1[[#This Row],[Date]])</f>
        <v>37</v>
      </c>
    </row>
    <row r="1872" spans="1:20" ht="29.1" hidden="1">
      <c r="A1872" s="1">
        <v>45911</v>
      </c>
      <c r="B1872" t="s">
        <v>3672</v>
      </c>
      <c r="C1872" t="s">
        <v>63</v>
      </c>
      <c r="D1872" t="s">
        <v>64</v>
      </c>
      <c r="E1872" t="s">
        <v>328</v>
      </c>
      <c r="F1872" t="s">
        <v>169</v>
      </c>
      <c r="G1872" s="9" t="s">
        <v>3988</v>
      </c>
      <c r="H1872">
        <v>0</v>
      </c>
      <c r="I1872">
        <v>0</v>
      </c>
      <c r="J1872" s="21">
        <v>45901</v>
      </c>
      <c r="K1872" t="s">
        <v>67</v>
      </c>
      <c r="L1872" t="s">
        <v>9</v>
      </c>
      <c r="M1872" t="s">
        <v>9</v>
      </c>
      <c r="N1872" t="s">
        <v>1436</v>
      </c>
      <c r="O1872">
        <v>0</v>
      </c>
      <c r="P1872" t="s">
        <v>108</v>
      </c>
      <c r="S1872" t="str">
        <f>TEXT(Table1[[#This Row],[Date]],"MMM-YY")</f>
        <v>Sep-25</v>
      </c>
      <c r="T1872">
        <f>_xlfn.ISOWEEKNUM(Table1[[#This Row],[Date]])</f>
        <v>37</v>
      </c>
    </row>
    <row r="1873" spans="1:20" hidden="1">
      <c r="A1873" s="1">
        <v>45911</v>
      </c>
      <c r="B1873" t="s">
        <v>2215</v>
      </c>
      <c r="C1873" t="s">
        <v>63</v>
      </c>
      <c r="D1873" t="s">
        <v>64</v>
      </c>
      <c r="E1873" t="s">
        <v>32</v>
      </c>
      <c r="F1873" t="s">
        <v>3989</v>
      </c>
      <c r="G1873" s="9" t="s">
        <v>3990</v>
      </c>
      <c r="J1873" s="21">
        <v>46113</v>
      </c>
      <c r="K1873" t="s">
        <v>67</v>
      </c>
      <c r="L1873" t="s">
        <v>567</v>
      </c>
      <c r="M1873" t="s">
        <v>2878</v>
      </c>
      <c r="O1873">
        <v>0</v>
      </c>
      <c r="P1873" t="s">
        <v>108</v>
      </c>
      <c r="S1873" t="str">
        <f>TEXT(Table1[[#This Row],[Date]],"MMM-YY")</f>
        <v>Sep-25</v>
      </c>
      <c r="T1873">
        <f>_xlfn.ISOWEEKNUM(Table1[[#This Row],[Date]])</f>
        <v>37</v>
      </c>
    </row>
    <row r="1874" spans="1:20" hidden="1">
      <c r="A1874" s="1">
        <v>45912</v>
      </c>
      <c r="B1874" t="s">
        <v>232</v>
      </c>
      <c r="C1874" t="s">
        <v>63</v>
      </c>
      <c r="D1874" t="s">
        <v>64</v>
      </c>
      <c r="E1874" t="s">
        <v>26</v>
      </c>
      <c r="F1874" t="s">
        <v>233</v>
      </c>
      <c r="G1874" s="9" t="s">
        <v>248</v>
      </c>
      <c r="H1874">
        <v>74531</v>
      </c>
      <c r="I1874">
        <v>74531</v>
      </c>
      <c r="J1874" s="21">
        <v>45901</v>
      </c>
      <c r="K1874" t="s">
        <v>67</v>
      </c>
      <c r="L1874" t="s">
        <v>68</v>
      </c>
      <c r="M1874" t="s">
        <v>69</v>
      </c>
      <c r="O1874">
        <v>0</v>
      </c>
      <c r="P1874" t="s">
        <v>108</v>
      </c>
      <c r="S1874" t="str">
        <f>TEXT(Table1[[#This Row],[Date]],"MMM-YY")</f>
        <v>Sep-25</v>
      </c>
      <c r="T1874">
        <f>_xlfn.ISOWEEKNUM(Table1[[#This Row],[Date]])</f>
        <v>37</v>
      </c>
    </row>
    <row r="1875" spans="1:20" hidden="1">
      <c r="A1875" s="1">
        <v>45912</v>
      </c>
      <c r="B1875" t="s">
        <v>62</v>
      </c>
      <c r="C1875" t="s">
        <v>63</v>
      </c>
      <c r="D1875" t="s">
        <v>64</v>
      </c>
      <c r="E1875" t="s">
        <v>27</v>
      </c>
      <c r="F1875" t="s">
        <v>65</v>
      </c>
      <c r="G1875" s="9" t="s">
        <v>66</v>
      </c>
      <c r="H1875">
        <v>2150000</v>
      </c>
      <c r="I1875">
        <v>2150000</v>
      </c>
      <c r="J1875" s="21">
        <v>45931</v>
      </c>
      <c r="K1875" t="s">
        <v>67</v>
      </c>
      <c r="L1875" t="s">
        <v>68</v>
      </c>
      <c r="M1875" t="s">
        <v>69</v>
      </c>
      <c r="O1875">
        <v>0</v>
      </c>
      <c r="P1875" t="s">
        <v>70</v>
      </c>
      <c r="S1875" t="str">
        <f>TEXT(Table1[[#This Row],[Date]],"MMM-YY")</f>
        <v>Sep-25</v>
      </c>
      <c r="T1875">
        <f>_xlfn.ISOWEEKNUM(Table1[[#This Row],[Date]])</f>
        <v>37</v>
      </c>
    </row>
    <row r="1876" spans="1:20" hidden="1">
      <c r="A1876" s="1">
        <v>45912</v>
      </c>
      <c r="B1876" t="s">
        <v>245</v>
      </c>
      <c r="C1876" t="s">
        <v>96</v>
      </c>
      <c r="D1876" t="s">
        <v>20</v>
      </c>
      <c r="E1876" t="s">
        <v>23</v>
      </c>
      <c r="F1876" t="s">
        <v>246</v>
      </c>
      <c r="G1876" s="9" t="s">
        <v>247</v>
      </c>
      <c r="H1876">
        <v>10360</v>
      </c>
      <c r="I1876">
        <v>10360</v>
      </c>
      <c r="J1876" s="21">
        <v>45901</v>
      </c>
      <c r="K1876" t="s">
        <v>67</v>
      </c>
      <c r="L1876" t="s">
        <v>68</v>
      </c>
      <c r="M1876" t="s">
        <v>69</v>
      </c>
      <c r="O1876">
        <v>0</v>
      </c>
      <c r="P1876" t="s">
        <v>108</v>
      </c>
      <c r="S1876" t="str">
        <f>TEXT(Table1[[#This Row],[Date]],"MMM-YY")</f>
        <v>Sep-25</v>
      </c>
      <c r="T1876">
        <f>_xlfn.ISOWEEKNUM(Table1[[#This Row],[Date]])</f>
        <v>37</v>
      </c>
    </row>
    <row r="1877" spans="1:20" hidden="1">
      <c r="A1877" s="1">
        <v>45913</v>
      </c>
      <c r="B1877" t="s">
        <v>119</v>
      </c>
      <c r="C1877" t="s">
        <v>63</v>
      </c>
      <c r="D1877" t="s">
        <v>105</v>
      </c>
      <c r="E1877" t="s">
        <v>18</v>
      </c>
      <c r="F1877" t="s">
        <v>120</v>
      </c>
      <c r="G1877" s="9" t="s">
        <v>244</v>
      </c>
      <c r="H1877">
        <v>40456</v>
      </c>
      <c r="I1877">
        <v>40456</v>
      </c>
      <c r="J1877" s="21">
        <v>45901</v>
      </c>
      <c r="K1877" t="s">
        <v>67</v>
      </c>
      <c r="L1877" t="s">
        <v>68</v>
      </c>
      <c r="M1877" t="s">
        <v>69</v>
      </c>
      <c r="O1877">
        <v>0</v>
      </c>
      <c r="P1877" t="s">
        <v>108</v>
      </c>
      <c r="S1877" t="str">
        <f>TEXT(Table1[[#This Row],[Date]],"MMM-YY")</f>
        <v>Sep-25</v>
      </c>
      <c r="T1877">
        <f>_xlfn.ISOWEEKNUM(Table1[[#This Row],[Date]])</f>
        <v>37</v>
      </c>
    </row>
    <row r="1878" spans="1:20" hidden="1">
      <c r="A1878" s="1">
        <v>45913</v>
      </c>
      <c r="B1878" t="s">
        <v>241</v>
      </c>
      <c r="C1878" t="s">
        <v>96</v>
      </c>
      <c r="D1878" t="s">
        <v>230</v>
      </c>
      <c r="E1878" s="76" t="s">
        <v>23</v>
      </c>
      <c r="F1878" t="s">
        <v>242</v>
      </c>
      <c r="G1878" s="9" t="s">
        <v>243</v>
      </c>
      <c r="H1878">
        <v>65025</v>
      </c>
      <c r="I1878">
        <v>65025</v>
      </c>
      <c r="J1878" s="21">
        <v>45901</v>
      </c>
      <c r="K1878" t="s">
        <v>67</v>
      </c>
      <c r="L1878" t="s">
        <v>68</v>
      </c>
      <c r="M1878" t="s">
        <v>69</v>
      </c>
      <c r="O1878">
        <v>0</v>
      </c>
      <c r="P1878" t="s">
        <v>108</v>
      </c>
      <c r="S1878" t="str">
        <f>TEXT(Table1[[#This Row],[Date]],"MMM-YY")</f>
        <v>Sep-25</v>
      </c>
      <c r="T1878">
        <f>_xlfn.ISOWEEKNUM(Table1[[#This Row],[Date]])</f>
        <v>37</v>
      </c>
    </row>
    <row r="1879" spans="1:20" hidden="1">
      <c r="A1879" s="1">
        <v>45914</v>
      </c>
      <c r="B1879" t="s">
        <v>119</v>
      </c>
      <c r="C1879" t="s">
        <v>63</v>
      </c>
      <c r="D1879" t="s">
        <v>105</v>
      </c>
      <c r="E1879" t="s">
        <v>18</v>
      </c>
      <c r="F1879" t="s">
        <v>120</v>
      </c>
      <c r="G1879" s="9" t="s">
        <v>240</v>
      </c>
      <c r="H1879">
        <v>19700</v>
      </c>
      <c r="I1879">
        <v>19700</v>
      </c>
      <c r="J1879" s="21">
        <v>45901</v>
      </c>
      <c r="K1879" t="s">
        <v>67</v>
      </c>
      <c r="L1879" t="s">
        <v>68</v>
      </c>
      <c r="M1879" t="s">
        <v>69</v>
      </c>
      <c r="O1879">
        <v>0</v>
      </c>
      <c r="P1879" t="s">
        <v>108</v>
      </c>
      <c r="S1879" t="str">
        <f>TEXT(Table1[[#This Row],[Date]],"MMM-YY")</f>
        <v>Sep-25</v>
      </c>
      <c r="T1879">
        <f>_xlfn.ISOWEEKNUM(Table1[[#This Row],[Date]])</f>
        <v>37</v>
      </c>
    </row>
    <row r="1880" spans="1:20" hidden="1">
      <c r="A1880" s="1">
        <v>45914</v>
      </c>
      <c r="B1880" t="s">
        <v>236</v>
      </c>
      <c r="C1880" t="s">
        <v>96</v>
      </c>
      <c r="D1880" t="s">
        <v>64</v>
      </c>
      <c r="E1880" t="s">
        <v>237</v>
      </c>
      <c r="F1880" t="s">
        <v>238</v>
      </c>
      <c r="G1880" s="9" t="s">
        <v>239</v>
      </c>
      <c r="H1880">
        <v>50467</v>
      </c>
      <c r="I1880">
        <v>50467</v>
      </c>
      <c r="J1880" s="21">
        <v>45901</v>
      </c>
      <c r="K1880" t="s">
        <v>67</v>
      </c>
      <c r="L1880" t="s">
        <v>68</v>
      </c>
      <c r="M1880" t="s">
        <v>69</v>
      </c>
      <c r="O1880">
        <v>0</v>
      </c>
      <c r="P1880" t="s">
        <v>108</v>
      </c>
      <c r="S1880" t="str">
        <f>TEXT(Table1[[#This Row],[Date]],"MMM-YY")</f>
        <v>Sep-25</v>
      </c>
      <c r="T1880">
        <f>_xlfn.ISOWEEKNUM(Table1[[#This Row],[Date]])</f>
        <v>37</v>
      </c>
    </row>
    <row r="1881" spans="1:20" hidden="1">
      <c r="A1881" s="1">
        <v>45915</v>
      </c>
      <c r="B1881" t="s">
        <v>119</v>
      </c>
      <c r="C1881" t="s">
        <v>63</v>
      </c>
      <c r="D1881" t="s">
        <v>105</v>
      </c>
      <c r="E1881" t="s">
        <v>18</v>
      </c>
      <c r="F1881" t="s">
        <v>120</v>
      </c>
      <c r="G1881" s="9" t="s">
        <v>235</v>
      </c>
      <c r="H1881">
        <v>22500</v>
      </c>
      <c r="I1881">
        <v>22500</v>
      </c>
      <c r="J1881" s="21">
        <v>45901</v>
      </c>
      <c r="K1881" t="s">
        <v>67</v>
      </c>
      <c r="L1881" t="s">
        <v>68</v>
      </c>
      <c r="M1881" t="s">
        <v>69</v>
      </c>
      <c r="O1881">
        <v>0</v>
      </c>
      <c r="P1881" t="s">
        <v>108</v>
      </c>
      <c r="S1881" t="str">
        <f>TEXT(Table1[[#This Row],[Date]],"MMM-YY")</f>
        <v>Sep-25</v>
      </c>
      <c r="T1881">
        <f>_xlfn.ISOWEEKNUM(Table1[[#This Row],[Date]])</f>
        <v>38</v>
      </c>
    </row>
    <row r="1882" spans="1:20" hidden="1">
      <c r="A1882" s="1">
        <v>45915</v>
      </c>
      <c r="B1882" t="s">
        <v>232</v>
      </c>
      <c r="C1882" t="s">
        <v>63</v>
      </c>
      <c r="D1882" t="s">
        <v>64</v>
      </c>
      <c r="E1882" t="s">
        <v>26</v>
      </c>
      <c r="F1882" t="s">
        <v>233</v>
      </c>
      <c r="G1882" s="9" t="s">
        <v>234</v>
      </c>
      <c r="H1882">
        <v>34500</v>
      </c>
      <c r="I1882">
        <v>34500</v>
      </c>
      <c r="J1882" s="21">
        <v>45901</v>
      </c>
      <c r="K1882" t="s">
        <v>67</v>
      </c>
      <c r="L1882" t="s">
        <v>68</v>
      </c>
      <c r="M1882" t="s">
        <v>69</v>
      </c>
      <c r="O1882">
        <v>0</v>
      </c>
      <c r="P1882" t="s">
        <v>108</v>
      </c>
      <c r="S1882" t="str">
        <f>TEXT(Table1[[#This Row],[Date]],"MMM-YY")</f>
        <v>Sep-25</v>
      </c>
      <c r="T1882">
        <f>_xlfn.ISOWEEKNUM(Table1[[#This Row],[Date]])</f>
        <v>38</v>
      </c>
    </row>
    <row r="1883" spans="1:20" hidden="1">
      <c r="A1883" s="1">
        <v>45915</v>
      </c>
      <c r="B1883" t="s">
        <v>229</v>
      </c>
      <c r="C1883" t="s">
        <v>96</v>
      </c>
      <c r="D1883" t="s">
        <v>230</v>
      </c>
      <c r="E1883" t="s">
        <v>23</v>
      </c>
      <c r="F1883" t="s">
        <v>214</v>
      </c>
      <c r="G1883" s="9" t="s">
        <v>231</v>
      </c>
      <c r="H1883">
        <v>10099</v>
      </c>
      <c r="I1883">
        <v>10099</v>
      </c>
      <c r="J1883" s="21">
        <v>45901</v>
      </c>
      <c r="K1883" t="s">
        <v>67</v>
      </c>
      <c r="L1883" t="s">
        <v>68</v>
      </c>
      <c r="M1883" t="s">
        <v>69</v>
      </c>
      <c r="O1883">
        <v>0</v>
      </c>
      <c r="P1883" t="s">
        <v>108</v>
      </c>
      <c r="S1883" t="str">
        <f>TEXT(Table1[[#This Row],[Date]],"MMM-YY")</f>
        <v>Sep-25</v>
      </c>
      <c r="T1883">
        <f>_xlfn.ISOWEEKNUM(Table1[[#This Row],[Date]])</f>
        <v>38</v>
      </c>
    </row>
    <row r="1884" spans="1:20" hidden="1">
      <c r="A1884" s="1">
        <v>45916</v>
      </c>
      <c r="B1884" t="s">
        <v>119</v>
      </c>
      <c r="C1884" t="s">
        <v>63</v>
      </c>
      <c r="D1884" t="s">
        <v>105</v>
      </c>
      <c r="E1884" t="s">
        <v>18</v>
      </c>
      <c r="F1884" t="s">
        <v>120</v>
      </c>
      <c r="G1884" s="9" t="s">
        <v>228</v>
      </c>
      <c r="H1884">
        <v>18859</v>
      </c>
      <c r="I1884">
        <v>18859</v>
      </c>
      <c r="J1884" s="21">
        <v>45901</v>
      </c>
      <c r="K1884" t="s">
        <v>67</v>
      </c>
      <c r="L1884" t="s">
        <v>68</v>
      </c>
      <c r="M1884" t="s">
        <v>69</v>
      </c>
      <c r="O1884">
        <v>0</v>
      </c>
      <c r="P1884" t="s">
        <v>108</v>
      </c>
      <c r="S1884" t="str">
        <f>TEXT(Table1[[#This Row],[Date]],"MMM-YY")</f>
        <v>Sep-25</v>
      </c>
      <c r="T1884">
        <f>_xlfn.ISOWEEKNUM(Table1[[#This Row],[Date]])</f>
        <v>38</v>
      </c>
    </row>
    <row r="1885" spans="1:20" hidden="1">
      <c r="A1885" s="1">
        <v>45916</v>
      </c>
      <c r="B1885" t="s">
        <v>225</v>
      </c>
      <c r="C1885" t="s">
        <v>63</v>
      </c>
      <c r="D1885" t="s">
        <v>64</v>
      </c>
      <c r="E1885" t="s">
        <v>32</v>
      </c>
      <c r="F1885" t="s">
        <v>226</v>
      </c>
      <c r="G1885" s="9" t="s">
        <v>227</v>
      </c>
      <c r="H1885">
        <v>83500</v>
      </c>
      <c r="I1885">
        <v>83500</v>
      </c>
      <c r="J1885" s="21">
        <v>45901</v>
      </c>
      <c r="K1885" t="s">
        <v>67</v>
      </c>
      <c r="L1885" t="s">
        <v>68</v>
      </c>
      <c r="M1885" t="s">
        <v>69</v>
      </c>
      <c r="O1885">
        <v>0</v>
      </c>
      <c r="P1885" t="s">
        <v>70</v>
      </c>
      <c r="S1885" t="str">
        <f>TEXT(Table1[[#This Row],[Date]],"MMM-YY")</f>
        <v>Sep-25</v>
      </c>
      <c r="T1885">
        <f>_xlfn.ISOWEEKNUM(Table1[[#This Row],[Date]])</f>
        <v>38</v>
      </c>
    </row>
    <row r="1886" spans="1:20" hidden="1">
      <c r="A1886" s="1">
        <v>45916</v>
      </c>
      <c r="B1886" t="s">
        <v>223</v>
      </c>
      <c r="C1886" t="s">
        <v>96</v>
      </c>
      <c r="D1886" t="s">
        <v>64</v>
      </c>
      <c r="E1886" t="s">
        <v>26</v>
      </c>
      <c r="F1886" t="s">
        <v>219</v>
      </c>
      <c r="G1886" s="9" t="s">
        <v>224</v>
      </c>
      <c r="H1886">
        <v>43500</v>
      </c>
      <c r="I1886">
        <v>43500</v>
      </c>
      <c r="J1886" s="21">
        <v>45901</v>
      </c>
      <c r="K1886" t="s">
        <v>67</v>
      </c>
      <c r="L1886" t="s">
        <v>68</v>
      </c>
      <c r="M1886" t="s">
        <v>69</v>
      </c>
      <c r="O1886">
        <v>0</v>
      </c>
      <c r="P1886" t="s">
        <v>108</v>
      </c>
      <c r="S1886" t="str">
        <f>TEXT(Table1[[#This Row],[Date]],"MMM-YY")</f>
        <v>Sep-25</v>
      </c>
      <c r="T1886">
        <f>_xlfn.ISOWEEKNUM(Table1[[#This Row],[Date]])</f>
        <v>38</v>
      </c>
    </row>
    <row r="1887" spans="1:20">
      <c r="A1887" s="1">
        <v>45917</v>
      </c>
      <c r="B1887" s="67" t="s">
        <v>95</v>
      </c>
      <c r="C1887" t="s">
        <v>96</v>
      </c>
      <c r="D1887" t="s">
        <v>64</v>
      </c>
      <c r="E1887" t="s">
        <v>38</v>
      </c>
      <c r="F1887" t="s">
        <v>97</v>
      </c>
      <c r="G1887" s="69" t="s">
        <v>222</v>
      </c>
      <c r="H1887">
        <v>39940</v>
      </c>
      <c r="I1887">
        <v>39940</v>
      </c>
      <c r="J1887" s="21">
        <v>45901</v>
      </c>
      <c r="K1887" t="s">
        <v>99</v>
      </c>
      <c r="L1887" t="s">
        <v>68</v>
      </c>
      <c r="M1887" t="s">
        <v>69</v>
      </c>
      <c r="O1887">
        <v>0</v>
      </c>
      <c r="P1887" t="s">
        <v>108</v>
      </c>
      <c r="S1887" t="str">
        <f>TEXT(Table1[[#This Row],[Date]],"MMM-YY")</f>
        <v>Sep-25</v>
      </c>
      <c r="T1887">
        <f>_xlfn.ISOWEEKNUM(Table1[[#This Row],[Date]])</f>
        <v>38</v>
      </c>
    </row>
    <row r="1888" spans="1:20" hidden="1">
      <c r="A1888" s="1">
        <v>45917</v>
      </c>
      <c r="B1888" t="s">
        <v>119</v>
      </c>
      <c r="C1888" t="s">
        <v>63</v>
      </c>
      <c r="D1888" t="s">
        <v>105</v>
      </c>
      <c r="E1888" t="s">
        <v>18</v>
      </c>
      <c r="F1888" t="s">
        <v>120</v>
      </c>
      <c r="G1888" s="9" t="s">
        <v>221</v>
      </c>
      <c r="H1888">
        <v>19859</v>
      </c>
      <c r="I1888">
        <v>19859</v>
      </c>
      <c r="J1888" s="21">
        <v>45901</v>
      </c>
      <c r="K1888" t="s">
        <v>67</v>
      </c>
      <c r="L1888" t="s">
        <v>68</v>
      </c>
      <c r="M1888" t="s">
        <v>69</v>
      </c>
      <c r="O1888">
        <v>0</v>
      </c>
      <c r="P1888" t="s">
        <v>108</v>
      </c>
      <c r="S1888" t="str">
        <f>TEXT(Table1[[#This Row],[Date]],"MMM-YY")</f>
        <v>Sep-25</v>
      </c>
      <c r="T1888">
        <f>_xlfn.ISOWEEKNUM(Table1[[#This Row],[Date]])</f>
        <v>38</v>
      </c>
    </row>
    <row r="1889" spans="1:20" hidden="1">
      <c r="A1889" s="1">
        <v>45917</v>
      </c>
      <c r="B1889" t="s">
        <v>218</v>
      </c>
      <c r="C1889" t="s">
        <v>96</v>
      </c>
      <c r="D1889" t="s">
        <v>64</v>
      </c>
      <c r="E1889" t="s">
        <v>26</v>
      </c>
      <c r="F1889" t="s">
        <v>219</v>
      </c>
      <c r="G1889" s="9" t="s">
        <v>220</v>
      </c>
      <c r="H1889">
        <v>0</v>
      </c>
      <c r="I1889">
        <v>0</v>
      </c>
      <c r="J1889" s="21">
        <v>45901</v>
      </c>
      <c r="K1889" t="s">
        <v>67</v>
      </c>
      <c r="L1889" t="s">
        <v>68</v>
      </c>
      <c r="M1889" t="s">
        <v>69</v>
      </c>
      <c r="O1889">
        <v>0</v>
      </c>
      <c r="P1889" t="s">
        <v>108</v>
      </c>
      <c r="S1889" t="str">
        <f>TEXT(Table1[[#This Row],[Date]],"MMM-YY")</f>
        <v>Sep-25</v>
      </c>
      <c r="T1889">
        <f>_xlfn.ISOWEEKNUM(Table1[[#This Row],[Date]])</f>
        <v>38</v>
      </c>
    </row>
    <row r="1890" spans="1:20" hidden="1">
      <c r="A1890" s="1">
        <v>45917</v>
      </c>
      <c r="B1890" s="67" t="s">
        <v>112</v>
      </c>
      <c r="C1890" t="s">
        <v>96</v>
      </c>
      <c r="D1890" t="s">
        <v>64</v>
      </c>
      <c r="E1890" t="s">
        <v>38</v>
      </c>
      <c r="F1890" t="s">
        <v>113</v>
      </c>
      <c r="G1890" s="69" t="s">
        <v>217</v>
      </c>
      <c r="H1890">
        <v>22000</v>
      </c>
      <c r="I1890">
        <v>22000</v>
      </c>
      <c r="J1890" s="21">
        <v>45901</v>
      </c>
      <c r="K1890" t="s">
        <v>67</v>
      </c>
      <c r="L1890" t="s">
        <v>68</v>
      </c>
      <c r="M1890" t="s">
        <v>69</v>
      </c>
      <c r="O1890">
        <v>0</v>
      </c>
      <c r="P1890" t="s">
        <v>108</v>
      </c>
      <c r="S1890" t="str">
        <f>TEXT(Table1[[#This Row],[Date]],"MMM-YY")</f>
        <v>Sep-25</v>
      </c>
      <c r="T1890">
        <f>_xlfn.ISOWEEKNUM(Table1[[#This Row],[Date]])</f>
        <v>38</v>
      </c>
    </row>
    <row r="1891" spans="1:20" hidden="1">
      <c r="A1891" s="1">
        <v>45918</v>
      </c>
      <c r="B1891" t="s">
        <v>119</v>
      </c>
      <c r="C1891" t="s">
        <v>63</v>
      </c>
      <c r="D1891" t="s">
        <v>105</v>
      </c>
      <c r="E1891" t="s">
        <v>18</v>
      </c>
      <c r="F1891" t="s">
        <v>120</v>
      </c>
      <c r="G1891" s="9" t="s">
        <v>216</v>
      </c>
      <c r="H1891">
        <v>19859</v>
      </c>
      <c r="I1891">
        <v>19859</v>
      </c>
      <c r="J1891" s="21">
        <v>45901</v>
      </c>
      <c r="K1891" t="s">
        <v>67</v>
      </c>
      <c r="L1891" t="s">
        <v>68</v>
      </c>
      <c r="M1891" t="s">
        <v>69</v>
      </c>
      <c r="O1891">
        <v>0</v>
      </c>
      <c r="P1891" t="s">
        <v>108</v>
      </c>
      <c r="S1891" t="str">
        <f>TEXT(Table1[[#This Row],[Date]],"MMM-YY")</f>
        <v>Sep-25</v>
      </c>
      <c r="T1891">
        <f>_xlfn.ISOWEEKNUM(Table1[[#This Row],[Date]])</f>
        <v>38</v>
      </c>
    </row>
    <row r="1892" spans="1:20" hidden="1">
      <c r="A1892" s="1">
        <v>45918</v>
      </c>
      <c r="B1892" s="67" t="s">
        <v>112</v>
      </c>
      <c r="C1892" t="s">
        <v>96</v>
      </c>
      <c r="D1892" t="s">
        <v>64</v>
      </c>
      <c r="E1892" t="s">
        <v>38</v>
      </c>
      <c r="F1892" t="s">
        <v>113</v>
      </c>
      <c r="G1892" s="69" t="s">
        <v>211</v>
      </c>
      <c r="H1892">
        <v>14850</v>
      </c>
      <c r="I1892">
        <v>14850</v>
      </c>
      <c r="J1892" s="21">
        <v>45901</v>
      </c>
      <c r="K1892" t="s">
        <v>67</v>
      </c>
      <c r="L1892" t="s">
        <v>68</v>
      </c>
      <c r="M1892" t="s">
        <v>69</v>
      </c>
      <c r="O1892">
        <v>0</v>
      </c>
      <c r="P1892" t="s">
        <v>108</v>
      </c>
      <c r="S1892" t="str">
        <f>TEXT(Table1[[#This Row],[Date]],"MMM-YY")</f>
        <v>Sep-25</v>
      </c>
      <c r="T1892">
        <f>_xlfn.ISOWEEKNUM(Table1[[#This Row],[Date]])</f>
        <v>38</v>
      </c>
    </row>
    <row r="1893" spans="1:20" hidden="1">
      <c r="A1893" s="1">
        <v>45918</v>
      </c>
      <c r="B1893" t="s">
        <v>213</v>
      </c>
      <c r="C1893" t="s">
        <v>96</v>
      </c>
      <c r="D1893" t="s">
        <v>64</v>
      </c>
      <c r="E1893" t="s">
        <v>32</v>
      </c>
      <c r="F1893" t="s">
        <v>214</v>
      </c>
      <c r="G1893" s="9" t="s">
        <v>215</v>
      </c>
      <c r="H1893">
        <v>19248</v>
      </c>
      <c r="I1893">
        <v>19248</v>
      </c>
      <c r="J1893" s="21">
        <v>45901</v>
      </c>
      <c r="K1893" t="s">
        <v>67</v>
      </c>
      <c r="L1893" t="s">
        <v>68</v>
      </c>
      <c r="M1893" t="s">
        <v>69</v>
      </c>
      <c r="O1893">
        <v>0</v>
      </c>
      <c r="P1893" t="s">
        <v>108</v>
      </c>
      <c r="S1893" t="str">
        <f>TEXT(Table1[[#This Row],[Date]],"MMM-YY")</f>
        <v>Sep-25</v>
      </c>
      <c r="T1893">
        <f>_xlfn.ISOWEEKNUM(Table1[[#This Row],[Date]])</f>
        <v>38</v>
      </c>
    </row>
    <row r="1894" spans="1:20" hidden="1">
      <c r="A1894" s="1">
        <v>45919</v>
      </c>
      <c r="B1894" t="s">
        <v>119</v>
      </c>
      <c r="C1894" t="s">
        <v>63</v>
      </c>
      <c r="D1894" t="s">
        <v>105</v>
      </c>
      <c r="E1894" t="s">
        <v>18</v>
      </c>
      <c r="F1894" t="s">
        <v>120</v>
      </c>
      <c r="G1894" s="9" t="s">
        <v>212</v>
      </c>
      <c r="H1894">
        <v>20500</v>
      </c>
      <c r="I1894">
        <v>20500</v>
      </c>
      <c r="J1894" s="21">
        <v>45901</v>
      </c>
      <c r="K1894" t="s">
        <v>67</v>
      </c>
      <c r="L1894" t="s">
        <v>68</v>
      </c>
      <c r="M1894" t="s">
        <v>69</v>
      </c>
      <c r="O1894">
        <v>0</v>
      </c>
      <c r="P1894" t="s">
        <v>108</v>
      </c>
      <c r="S1894" t="str">
        <f>TEXT(Table1[[#This Row],[Date]],"MMM-YY")</f>
        <v>Sep-25</v>
      </c>
      <c r="T1894">
        <f>_xlfn.ISOWEEKNUM(Table1[[#This Row],[Date]])</f>
        <v>38</v>
      </c>
    </row>
    <row r="1895" spans="1:20" hidden="1">
      <c r="A1895" s="1">
        <v>45919</v>
      </c>
      <c r="B1895" s="67" t="s">
        <v>112</v>
      </c>
      <c r="C1895" t="s">
        <v>96</v>
      </c>
      <c r="D1895" t="s">
        <v>64</v>
      </c>
      <c r="E1895" t="s">
        <v>38</v>
      </c>
      <c r="F1895" t="s">
        <v>113</v>
      </c>
      <c r="G1895" s="69" t="s">
        <v>211</v>
      </c>
      <c r="H1895">
        <v>22000</v>
      </c>
      <c r="I1895">
        <v>22000</v>
      </c>
      <c r="J1895" s="21">
        <v>45901</v>
      </c>
      <c r="K1895" t="s">
        <v>67</v>
      </c>
      <c r="L1895" t="s">
        <v>68</v>
      </c>
      <c r="M1895" t="s">
        <v>69</v>
      </c>
      <c r="O1895">
        <v>0</v>
      </c>
      <c r="P1895" t="s">
        <v>108</v>
      </c>
      <c r="S1895" t="str">
        <f>TEXT(Table1[[#This Row],[Date]],"MMM-YY")</f>
        <v>Sep-25</v>
      </c>
      <c r="T1895">
        <f>_xlfn.ISOWEEKNUM(Table1[[#This Row],[Date]])</f>
        <v>38</v>
      </c>
    </row>
    <row r="1896" spans="1:20" ht="29.1" hidden="1">
      <c r="A1896" s="1">
        <v>45919</v>
      </c>
      <c r="B1896" s="72" t="s">
        <v>208</v>
      </c>
      <c r="C1896" t="s">
        <v>96</v>
      </c>
      <c r="D1896" t="s">
        <v>64</v>
      </c>
      <c r="E1896" t="s">
        <v>39</v>
      </c>
      <c r="F1896" t="s">
        <v>209</v>
      </c>
      <c r="G1896" s="73" t="s">
        <v>210</v>
      </c>
      <c r="H1896">
        <v>217000</v>
      </c>
      <c r="I1896">
        <v>217000</v>
      </c>
      <c r="J1896" s="21">
        <v>45901</v>
      </c>
      <c r="K1896" t="s">
        <v>67</v>
      </c>
      <c r="L1896" t="s">
        <v>68</v>
      </c>
      <c r="M1896" t="s">
        <v>69</v>
      </c>
      <c r="O1896">
        <v>0</v>
      </c>
      <c r="P1896" t="s">
        <v>108</v>
      </c>
      <c r="S1896" t="str">
        <f>TEXT(Table1[[#This Row],[Date]],"MMM-YY")</f>
        <v>Sep-25</v>
      </c>
      <c r="T1896">
        <f>_xlfn.ISOWEEKNUM(Table1[[#This Row],[Date]])</f>
        <v>38</v>
      </c>
    </row>
    <row r="1897" spans="1:20" hidden="1">
      <c r="A1897" s="1">
        <v>45920</v>
      </c>
      <c r="B1897" t="s">
        <v>205</v>
      </c>
      <c r="C1897" t="s">
        <v>63</v>
      </c>
      <c r="D1897" t="s">
        <v>105</v>
      </c>
      <c r="E1897" t="s">
        <v>18</v>
      </c>
      <c r="F1897" t="s">
        <v>206</v>
      </c>
      <c r="G1897" s="9" t="s">
        <v>207</v>
      </c>
      <c r="H1897">
        <v>180700</v>
      </c>
      <c r="I1897">
        <v>180700</v>
      </c>
      <c r="J1897" s="21">
        <v>45901</v>
      </c>
      <c r="K1897" t="s">
        <v>67</v>
      </c>
      <c r="L1897" t="s">
        <v>68</v>
      </c>
      <c r="M1897" t="s">
        <v>69</v>
      </c>
      <c r="O1897">
        <v>0</v>
      </c>
      <c r="P1897" t="s">
        <v>108</v>
      </c>
      <c r="S1897" t="str">
        <f>TEXT(Table1[[#This Row],[Date]],"MMM-YY")</f>
        <v>Sep-25</v>
      </c>
      <c r="T1897">
        <f>_xlfn.ISOWEEKNUM(Table1[[#This Row],[Date]])</f>
        <v>38</v>
      </c>
    </row>
    <row r="1898" spans="1:20" hidden="1">
      <c r="A1898" s="1">
        <v>45920</v>
      </c>
      <c r="B1898" t="s">
        <v>119</v>
      </c>
      <c r="C1898" t="s">
        <v>96</v>
      </c>
      <c r="D1898" t="s">
        <v>105</v>
      </c>
      <c r="E1898" t="s">
        <v>18</v>
      </c>
      <c r="F1898" t="s">
        <v>120</v>
      </c>
      <c r="G1898" s="9" t="s">
        <v>204</v>
      </c>
      <c r="H1898">
        <v>22500</v>
      </c>
      <c r="I1898">
        <v>22500</v>
      </c>
      <c r="J1898" s="21">
        <v>45901</v>
      </c>
      <c r="K1898" t="s">
        <v>67</v>
      </c>
      <c r="L1898" t="s">
        <v>68</v>
      </c>
      <c r="M1898" t="s">
        <v>69</v>
      </c>
      <c r="O1898">
        <v>0</v>
      </c>
      <c r="P1898" t="s">
        <v>108</v>
      </c>
      <c r="S1898" t="str">
        <f>TEXT(Table1[[#This Row],[Date]],"MMM-YY")</f>
        <v>Sep-25</v>
      </c>
      <c r="T1898">
        <f>_xlfn.ISOWEEKNUM(Table1[[#This Row],[Date]])</f>
        <v>38</v>
      </c>
    </row>
    <row r="1899" spans="1:20" hidden="1">
      <c r="A1899" s="1">
        <v>45921</v>
      </c>
      <c r="B1899" t="s">
        <v>119</v>
      </c>
      <c r="C1899" t="s">
        <v>96</v>
      </c>
      <c r="D1899" t="s">
        <v>105</v>
      </c>
      <c r="E1899" t="s">
        <v>18</v>
      </c>
      <c r="F1899" t="s">
        <v>120</v>
      </c>
      <c r="G1899" s="9" t="s">
        <v>203</v>
      </c>
      <c r="H1899">
        <v>23200</v>
      </c>
      <c r="I1899">
        <v>23200</v>
      </c>
      <c r="J1899" s="21">
        <v>45901</v>
      </c>
      <c r="K1899" t="s">
        <v>67</v>
      </c>
      <c r="L1899" t="s">
        <v>68</v>
      </c>
      <c r="M1899" t="s">
        <v>69</v>
      </c>
      <c r="O1899">
        <v>0</v>
      </c>
      <c r="P1899" t="s">
        <v>108</v>
      </c>
      <c r="S1899" t="str">
        <f>TEXT(Table1[[#This Row],[Date]],"MMM-YY")</f>
        <v>Sep-25</v>
      </c>
      <c r="T1899">
        <f>_xlfn.ISOWEEKNUM(Table1[[#This Row],[Date]])</f>
        <v>38</v>
      </c>
    </row>
    <row r="1900" spans="1:20" hidden="1">
      <c r="A1900" s="1">
        <v>45921</v>
      </c>
      <c r="B1900" t="s">
        <v>200</v>
      </c>
      <c r="C1900" t="s">
        <v>96</v>
      </c>
      <c r="D1900" t="s">
        <v>20</v>
      </c>
      <c r="E1900" t="s">
        <v>23</v>
      </c>
      <c r="F1900" t="s">
        <v>201</v>
      </c>
      <c r="G1900" s="9" t="s">
        <v>202</v>
      </c>
      <c r="H1900">
        <v>9500</v>
      </c>
      <c r="I1900">
        <v>9500</v>
      </c>
      <c r="J1900" s="21">
        <v>45901</v>
      </c>
      <c r="K1900" t="s">
        <v>67</v>
      </c>
      <c r="L1900" t="s">
        <v>68</v>
      </c>
      <c r="M1900" t="s">
        <v>69</v>
      </c>
      <c r="O1900">
        <v>0</v>
      </c>
      <c r="P1900" t="s">
        <v>108</v>
      </c>
      <c r="S1900" t="str">
        <f>TEXT(Table1[[#This Row],[Date]],"MMM-YY")</f>
        <v>Sep-25</v>
      </c>
      <c r="T1900">
        <f>_xlfn.ISOWEEKNUM(Table1[[#This Row],[Date]])</f>
        <v>38</v>
      </c>
    </row>
    <row r="1901" spans="1:20" hidden="1">
      <c r="A1901" s="1">
        <v>45922</v>
      </c>
      <c r="B1901" t="s">
        <v>119</v>
      </c>
      <c r="C1901" t="s">
        <v>63</v>
      </c>
      <c r="D1901" t="s">
        <v>105</v>
      </c>
      <c r="E1901" t="s">
        <v>18</v>
      </c>
      <c r="F1901" t="s">
        <v>120</v>
      </c>
      <c r="G1901" s="9" t="s">
        <v>199</v>
      </c>
      <c r="H1901">
        <v>18500</v>
      </c>
      <c r="I1901">
        <v>18500</v>
      </c>
      <c r="J1901" s="21">
        <v>45901</v>
      </c>
      <c r="K1901" t="s">
        <v>67</v>
      </c>
      <c r="L1901" t="s">
        <v>68</v>
      </c>
      <c r="M1901" t="s">
        <v>69</v>
      </c>
      <c r="O1901">
        <v>0</v>
      </c>
      <c r="P1901" t="s">
        <v>108</v>
      </c>
      <c r="S1901" t="str">
        <f>TEXT(Table1[[#This Row],[Date]],"MMM-YY")</f>
        <v>Sep-25</v>
      </c>
      <c r="T1901">
        <f>_xlfn.ISOWEEKNUM(Table1[[#This Row],[Date]])</f>
        <v>39</v>
      </c>
    </row>
    <row r="1902" spans="1:20" hidden="1">
      <c r="A1902" s="1">
        <v>45922</v>
      </c>
      <c r="B1902" s="67" t="s">
        <v>112</v>
      </c>
      <c r="C1902" t="s">
        <v>96</v>
      </c>
      <c r="D1902" t="s">
        <v>64</v>
      </c>
      <c r="E1902" t="s">
        <v>38</v>
      </c>
      <c r="F1902" t="s">
        <v>113</v>
      </c>
      <c r="G1902" s="69" t="s">
        <v>198</v>
      </c>
      <c r="H1902">
        <v>19200</v>
      </c>
      <c r="I1902">
        <v>19200</v>
      </c>
      <c r="J1902" s="21">
        <v>45901</v>
      </c>
      <c r="K1902" t="s">
        <v>67</v>
      </c>
      <c r="L1902" t="s">
        <v>68</v>
      </c>
      <c r="M1902" t="s">
        <v>69</v>
      </c>
      <c r="O1902">
        <v>0</v>
      </c>
      <c r="P1902" t="s">
        <v>108</v>
      </c>
      <c r="S1902" t="str">
        <f>TEXT(Table1[[#This Row],[Date]],"MMM-YY")</f>
        <v>Sep-25</v>
      </c>
      <c r="T1902">
        <f>_xlfn.ISOWEEKNUM(Table1[[#This Row],[Date]])</f>
        <v>39</v>
      </c>
    </row>
    <row r="1903" spans="1:20" hidden="1">
      <c r="A1903" s="1">
        <v>45922</v>
      </c>
      <c r="B1903" t="s">
        <v>195</v>
      </c>
      <c r="C1903" t="s">
        <v>96</v>
      </c>
      <c r="D1903" t="s">
        <v>64</v>
      </c>
      <c r="E1903" t="s">
        <v>28</v>
      </c>
      <c r="F1903" t="s">
        <v>196</v>
      </c>
      <c r="G1903" s="9" t="s">
        <v>197</v>
      </c>
      <c r="H1903">
        <v>12275</v>
      </c>
      <c r="I1903">
        <v>12275</v>
      </c>
      <c r="J1903" s="21">
        <v>45901</v>
      </c>
      <c r="K1903" t="s">
        <v>67</v>
      </c>
      <c r="L1903" t="s">
        <v>68</v>
      </c>
      <c r="M1903" t="s">
        <v>69</v>
      </c>
      <c r="O1903">
        <v>0</v>
      </c>
      <c r="P1903" t="s">
        <v>108</v>
      </c>
      <c r="S1903" t="str">
        <f>TEXT(Table1[[#This Row],[Date]],"MMM-YY")</f>
        <v>Sep-25</v>
      </c>
      <c r="T1903">
        <f>_xlfn.ISOWEEKNUM(Table1[[#This Row],[Date]])</f>
        <v>39</v>
      </c>
    </row>
    <row r="1904" spans="1:20" hidden="1">
      <c r="A1904" s="1">
        <v>45923</v>
      </c>
      <c r="B1904" t="s">
        <v>119</v>
      </c>
      <c r="C1904" t="s">
        <v>96</v>
      </c>
      <c r="D1904" t="s">
        <v>105</v>
      </c>
      <c r="E1904" t="s">
        <v>18</v>
      </c>
      <c r="F1904" t="s">
        <v>120</v>
      </c>
      <c r="G1904" s="9" t="s">
        <v>194</v>
      </c>
      <c r="H1904">
        <v>22500</v>
      </c>
      <c r="I1904">
        <v>22500</v>
      </c>
      <c r="J1904" s="21">
        <v>45901</v>
      </c>
      <c r="K1904" t="s">
        <v>67</v>
      </c>
      <c r="L1904" t="s">
        <v>68</v>
      </c>
      <c r="M1904" t="s">
        <v>69</v>
      </c>
      <c r="O1904">
        <v>0</v>
      </c>
      <c r="P1904" t="s">
        <v>108</v>
      </c>
      <c r="S1904" t="str">
        <f>TEXT(Table1[[#This Row],[Date]],"MMM-YY")</f>
        <v>Sep-25</v>
      </c>
      <c r="T1904">
        <f>_xlfn.ISOWEEKNUM(Table1[[#This Row],[Date]])</f>
        <v>39</v>
      </c>
    </row>
    <row r="1905" spans="1:20" hidden="1">
      <c r="A1905" s="1">
        <v>45923</v>
      </c>
      <c r="B1905" s="67" t="s">
        <v>112</v>
      </c>
      <c r="C1905" t="s">
        <v>63</v>
      </c>
      <c r="D1905" t="s">
        <v>64</v>
      </c>
      <c r="E1905" t="s">
        <v>38</v>
      </c>
      <c r="F1905" t="s">
        <v>113</v>
      </c>
      <c r="G1905" s="69" t="s">
        <v>193</v>
      </c>
      <c r="H1905">
        <v>16500</v>
      </c>
      <c r="I1905">
        <v>16500</v>
      </c>
      <c r="J1905" s="21">
        <v>45901</v>
      </c>
      <c r="K1905" t="s">
        <v>67</v>
      </c>
      <c r="L1905" t="s">
        <v>68</v>
      </c>
      <c r="M1905" t="s">
        <v>69</v>
      </c>
      <c r="O1905">
        <v>0</v>
      </c>
      <c r="P1905" t="s">
        <v>108</v>
      </c>
      <c r="S1905" t="str">
        <f>TEXT(Table1[[#This Row],[Date]],"MMM-YY")</f>
        <v>Sep-25</v>
      </c>
      <c r="T1905">
        <f>_xlfn.ISOWEEKNUM(Table1[[#This Row],[Date]])</f>
        <v>39</v>
      </c>
    </row>
    <row r="1906" spans="1:20" hidden="1">
      <c r="A1906" s="1">
        <v>45923</v>
      </c>
      <c r="B1906" t="s">
        <v>79</v>
      </c>
      <c r="C1906" t="s">
        <v>63</v>
      </c>
      <c r="D1906" t="s">
        <v>64</v>
      </c>
      <c r="E1906" t="s">
        <v>26</v>
      </c>
      <c r="F1906" t="s">
        <v>80</v>
      </c>
      <c r="G1906" s="9" t="s">
        <v>192</v>
      </c>
      <c r="H1906">
        <v>0</v>
      </c>
      <c r="I1906">
        <v>0</v>
      </c>
      <c r="J1906" s="21">
        <v>45901</v>
      </c>
      <c r="K1906" t="s">
        <v>67</v>
      </c>
      <c r="L1906" t="s">
        <v>68</v>
      </c>
      <c r="M1906" t="s">
        <v>69</v>
      </c>
      <c r="O1906">
        <v>0</v>
      </c>
      <c r="P1906" t="s">
        <v>70</v>
      </c>
      <c r="S1906" t="str">
        <f>TEXT(Table1[[#This Row],[Date]],"MMM-YY")</f>
        <v>Sep-25</v>
      </c>
      <c r="T1906">
        <f>_xlfn.ISOWEEKNUM(Table1[[#This Row],[Date]])</f>
        <v>39</v>
      </c>
    </row>
    <row r="1907" spans="1:20" hidden="1">
      <c r="A1907" s="1">
        <v>45923</v>
      </c>
      <c r="B1907" t="s">
        <v>3599</v>
      </c>
      <c r="C1907" t="s">
        <v>63</v>
      </c>
      <c r="D1907" t="s">
        <v>105</v>
      </c>
      <c r="E1907" t="s">
        <v>18</v>
      </c>
      <c r="F1907" t="s">
        <v>3991</v>
      </c>
      <c r="G1907" s="9" t="s">
        <v>197</v>
      </c>
      <c r="H1907">
        <v>60000</v>
      </c>
      <c r="J1907" s="21">
        <v>45901</v>
      </c>
      <c r="K1907" t="s">
        <v>67</v>
      </c>
      <c r="L1907" t="s">
        <v>9</v>
      </c>
      <c r="M1907" t="s">
        <v>9</v>
      </c>
      <c r="N1907" t="s">
        <v>707</v>
      </c>
      <c r="O1907">
        <v>0</v>
      </c>
      <c r="P1907" t="s">
        <v>70</v>
      </c>
      <c r="S1907" t="str">
        <f>TEXT(Table1[[#This Row],[Date]],"MMM-YY")</f>
        <v>Sep-25</v>
      </c>
      <c r="T1907">
        <f>_xlfn.ISOWEEKNUM(Table1[[#This Row],[Date]])</f>
        <v>39</v>
      </c>
    </row>
    <row r="1908" spans="1:20" hidden="1">
      <c r="A1908" s="1">
        <v>45924</v>
      </c>
      <c r="B1908" t="s">
        <v>119</v>
      </c>
      <c r="C1908" t="s">
        <v>96</v>
      </c>
      <c r="D1908" t="s">
        <v>105</v>
      </c>
      <c r="E1908" t="s">
        <v>18</v>
      </c>
      <c r="F1908" t="s">
        <v>120</v>
      </c>
      <c r="G1908" s="9" t="s">
        <v>189</v>
      </c>
      <c r="H1908">
        <v>19500</v>
      </c>
      <c r="I1908">
        <v>19500</v>
      </c>
      <c r="J1908" s="21">
        <v>45901</v>
      </c>
      <c r="K1908" t="s">
        <v>67</v>
      </c>
      <c r="L1908" t="s">
        <v>68</v>
      </c>
      <c r="M1908" t="s">
        <v>69</v>
      </c>
      <c r="O1908">
        <v>0</v>
      </c>
      <c r="P1908" t="s">
        <v>108</v>
      </c>
      <c r="S1908" t="str">
        <f>TEXT(Table1[[#This Row],[Date]],"MMM-YY")</f>
        <v>Sep-25</v>
      </c>
      <c r="T1908">
        <f>_xlfn.ISOWEEKNUM(Table1[[#This Row],[Date]])</f>
        <v>39</v>
      </c>
    </row>
    <row r="1909" spans="1:20" hidden="1">
      <c r="A1909" s="1">
        <v>45924</v>
      </c>
      <c r="B1909" s="67" t="s">
        <v>112</v>
      </c>
      <c r="C1909" t="s">
        <v>63</v>
      </c>
      <c r="D1909" t="s">
        <v>64</v>
      </c>
      <c r="E1909" t="s">
        <v>38</v>
      </c>
      <c r="F1909" t="s">
        <v>113</v>
      </c>
      <c r="G1909" s="69" t="s">
        <v>191</v>
      </c>
      <c r="H1909">
        <v>16330</v>
      </c>
      <c r="I1909">
        <v>16330</v>
      </c>
      <c r="J1909" s="21">
        <v>45901</v>
      </c>
      <c r="K1909" t="s">
        <v>67</v>
      </c>
      <c r="L1909" t="s">
        <v>68</v>
      </c>
      <c r="M1909" t="s">
        <v>69</v>
      </c>
      <c r="O1909">
        <v>0</v>
      </c>
      <c r="P1909" t="s">
        <v>108</v>
      </c>
      <c r="S1909" t="str">
        <f>TEXT(Table1[[#This Row],[Date]],"MMM-YY")</f>
        <v>Sep-25</v>
      </c>
      <c r="T1909">
        <f>_xlfn.ISOWEEKNUM(Table1[[#This Row],[Date]])</f>
        <v>39</v>
      </c>
    </row>
    <row r="1910" spans="1:20">
      <c r="A1910" s="1">
        <v>45924</v>
      </c>
      <c r="B1910" s="67" t="s">
        <v>95</v>
      </c>
      <c r="C1910" t="s">
        <v>96</v>
      </c>
      <c r="D1910" t="s">
        <v>64</v>
      </c>
      <c r="E1910" t="s">
        <v>38</v>
      </c>
      <c r="F1910" t="s">
        <v>97</v>
      </c>
      <c r="G1910" s="69" t="s">
        <v>190</v>
      </c>
      <c r="H1910">
        <v>39940</v>
      </c>
      <c r="I1910">
        <v>39940</v>
      </c>
      <c r="J1910" s="21">
        <v>45901</v>
      </c>
      <c r="K1910" t="s">
        <v>99</v>
      </c>
      <c r="L1910" t="s">
        <v>68</v>
      </c>
      <c r="M1910" t="s">
        <v>69</v>
      </c>
      <c r="O1910">
        <v>0</v>
      </c>
      <c r="P1910" t="s">
        <v>70</v>
      </c>
      <c r="S1910" t="str">
        <f>TEXT(Table1[[#This Row],[Date]],"MMM-YY")</f>
        <v>Sep-25</v>
      </c>
      <c r="T1910">
        <f>_xlfn.ISOWEEKNUM(Table1[[#This Row],[Date]])</f>
        <v>39</v>
      </c>
    </row>
    <row r="1911" spans="1:20" hidden="1">
      <c r="A1911" s="1">
        <v>45924</v>
      </c>
      <c r="B1911" t="s">
        <v>82</v>
      </c>
      <c r="C1911" t="s">
        <v>63</v>
      </c>
      <c r="D1911" t="s">
        <v>64</v>
      </c>
      <c r="E1911" t="s">
        <v>328</v>
      </c>
      <c r="F1911" t="s">
        <v>2656</v>
      </c>
      <c r="G1911" s="9" t="s">
        <v>3992</v>
      </c>
      <c r="H1911">
        <v>700000</v>
      </c>
      <c r="J1911" s="21">
        <v>45992</v>
      </c>
      <c r="K1911" t="s">
        <v>67</v>
      </c>
      <c r="L1911" t="s">
        <v>9</v>
      </c>
      <c r="M1911" t="s">
        <v>9</v>
      </c>
      <c r="O1911">
        <v>0</v>
      </c>
      <c r="P1911" t="s">
        <v>108</v>
      </c>
      <c r="S1911" t="str">
        <f>TEXT(Table1[[#This Row],[Date]],"MMM-YY")</f>
        <v>Sep-25</v>
      </c>
      <c r="T1911">
        <f>_xlfn.ISOWEEKNUM(Table1[[#This Row],[Date]])</f>
        <v>39</v>
      </c>
    </row>
    <row r="1912" spans="1:20" hidden="1">
      <c r="A1912" s="1">
        <v>45924</v>
      </c>
      <c r="B1912" t="s">
        <v>79</v>
      </c>
      <c r="C1912" t="s">
        <v>63</v>
      </c>
      <c r="D1912" t="s">
        <v>64</v>
      </c>
      <c r="E1912" t="s">
        <v>26</v>
      </c>
      <c r="F1912" t="s">
        <v>80</v>
      </c>
      <c r="G1912" s="9" t="s">
        <v>181</v>
      </c>
      <c r="H1912">
        <v>0</v>
      </c>
      <c r="I1912">
        <v>0</v>
      </c>
      <c r="J1912" s="21">
        <v>45901</v>
      </c>
      <c r="K1912" t="s">
        <v>67</v>
      </c>
      <c r="L1912" t="s">
        <v>68</v>
      </c>
      <c r="M1912" t="s">
        <v>69</v>
      </c>
      <c r="O1912">
        <v>0</v>
      </c>
      <c r="P1912" t="s">
        <v>70</v>
      </c>
      <c r="S1912" t="str">
        <f>TEXT(Table1[[#This Row],[Date]],"MMM-YY")</f>
        <v>Sep-25</v>
      </c>
      <c r="T1912">
        <f>_xlfn.ISOWEEKNUM(Table1[[#This Row],[Date]])</f>
        <v>39</v>
      </c>
    </row>
    <row r="1913" spans="1:20" hidden="1">
      <c r="A1913" s="1">
        <v>45925</v>
      </c>
      <c r="B1913" t="s">
        <v>119</v>
      </c>
      <c r="C1913" t="s">
        <v>96</v>
      </c>
      <c r="D1913" t="s">
        <v>105</v>
      </c>
      <c r="E1913" t="s">
        <v>18</v>
      </c>
      <c r="F1913" t="s">
        <v>120</v>
      </c>
      <c r="G1913" s="9" t="s">
        <v>189</v>
      </c>
      <c r="H1913">
        <v>19500</v>
      </c>
      <c r="I1913">
        <v>19500</v>
      </c>
      <c r="J1913" s="21">
        <v>45901</v>
      </c>
      <c r="K1913" t="s">
        <v>67</v>
      </c>
      <c r="L1913" t="s">
        <v>68</v>
      </c>
      <c r="M1913" t="s">
        <v>69</v>
      </c>
      <c r="O1913">
        <v>0</v>
      </c>
      <c r="P1913" t="s">
        <v>108</v>
      </c>
      <c r="S1913" t="str">
        <f>TEXT(Table1[[#This Row],[Date]],"MMM-YY")</f>
        <v>Sep-25</v>
      </c>
      <c r="T1913">
        <f>_xlfn.ISOWEEKNUM(Table1[[#This Row],[Date]])</f>
        <v>39</v>
      </c>
    </row>
    <row r="1914" spans="1:20" hidden="1">
      <c r="A1914" s="1">
        <v>45925</v>
      </c>
      <c r="B1914" s="67" t="s">
        <v>112</v>
      </c>
      <c r="C1914" t="s">
        <v>63</v>
      </c>
      <c r="D1914" t="s">
        <v>64</v>
      </c>
      <c r="E1914" t="s">
        <v>38</v>
      </c>
      <c r="F1914" t="s">
        <v>113</v>
      </c>
      <c r="G1914" s="69" t="s">
        <v>188</v>
      </c>
      <c r="H1914">
        <v>18330</v>
      </c>
      <c r="I1914">
        <v>18330</v>
      </c>
      <c r="J1914" s="21">
        <v>45901</v>
      </c>
      <c r="K1914" t="s">
        <v>67</v>
      </c>
      <c r="L1914" t="s">
        <v>68</v>
      </c>
      <c r="M1914" t="s">
        <v>69</v>
      </c>
      <c r="O1914">
        <v>0</v>
      </c>
      <c r="P1914" t="s">
        <v>108</v>
      </c>
      <c r="S1914" t="str">
        <f>TEXT(Table1[[#This Row],[Date]],"MMM-YY")</f>
        <v>Sep-25</v>
      </c>
      <c r="T1914">
        <f>_xlfn.ISOWEEKNUM(Table1[[#This Row],[Date]])</f>
        <v>39</v>
      </c>
    </row>
    <row r="1915" spans="1:20" hidden="1">
      <c r="A1915" s="1">
        <v>45925</v>
      </c>
      <c r="B1915" t="s">
        <v>85</v>
      </c>
      <c r="C1915" t="s">
        <v>63</v>
      </c>
      <c r="D1915" t="s">
        <v>64</v>
      </c>
      <c r="E1915" t="s">
        <v>26</v>
      </c>
      <c r="F1915" t="s">
        <v>174</v>
      </c>
      <c r="G1915" s="9" t="s">
        <v>175</v>
      </c>
      <c r="H1915">
        <v>0</v>
      </c>
      <c r="J1915" s="21">
        <v>45931</v>
      </c>
      <c r="K1915" t="s">
        <v>67</v>
      </c>
      <c r="L1915" t="s">
        <v>68</v>
      </c>
      <c r="M1915" t="s">
        <v>69</v>
      </c>
      <c r="O1915">
        <v>0</v>
      </c>
      <c r="P1915" t="s">
        <v>108</v>
      </c>
      <c r="S1915" t="str">
        <f>TEXT(Table1[[#This Row],[Date]],"MMM-YY")</f>
        <v>Sep-25</v>
      </c>
      <c r="T1915">
        <f>_xlfn.ISOWEEKNUM(Table1[[#This Row],[Date]])</f>
        <v>39</v>
      </c>
    </row>
    <row r="1916" spans="1:20" hidden="1">
      <c r="A1916" s="1">
        <v>45925</v>
      </c>
      <c r="B1916" t="s">
        <v>119</v>
      </c>
      <c r="C1916" t="s">
        <v>96</v>
      </c>
      <c r="D1916" t="s">
        <v>105</v>
      </c>
      <c r="E1916" t="s">
        <v>18</v>
      </c>
      <c r="F1916" t="s">
        <v>264</v>
      </c>
      <c r="G1916" s="9" t="s">
        <v>3993</v>
      </c>
      <c r="H1916">
        <v>0</v>
      </c>
      <c r="I1916">
        <v>0</v>
      </c>
      <c r="J1916" s="21">
        <v>45962</v>
      </c>
      <c r="K1916" t="s">
        <v>67</v>
      </c>
      <c r="L1916" t="s">
        <v>68</v>
      </c>
      <c r="M1916" t="s">
        <v>69</v>
      </c>
      <c r="N1916" t="s">
        <v>3994</v>
      </c>
      <c r="O1916">
        <v>0</v>
      </c>
      <c r="P1916" t="s">
        <v>108</v>
      </c>
      <c r="S1916" t="str">
        <f>TEXT(Table1[[#This Row],[Date]],"MMM-YY")</f>
        <v>Sep-25</v>
      </c>
      <c r="T1916">
        <f>_xlfn.ISOWEEKNUM(Table1[[#This Row],[Date]])</f>
        <v>39</v>
      </c>
    </row>
    <row r="1917" spans="1:20" hidden="1">
      <c r="A1917" s="1">
        <v>45925</v>
      </c>
      <c r="B1917" t="s">
        <v>3995</v>
      </c>
      <c r="C1917" t="s">
        <v>63</v>
      </c>
      <c r="D1917" t="s">
        <v>64</v>
      </c>
      <c r="E1917" t="s">
        <v>28</v>
      </c>
      <c r="F1917" t="s">
        <v>89</v>
      </c>
      <c r="G1917" s="9" t="s">
        <v>3996</v>
      </c>
      <c r="H1917">
        <v>0</v>
      </c>
      <c r="I1917">
        <v>0</v>
      </c>
      <c r="J1917" s="21">
        <v>45962</v>
      </c>
      <c r="K1917" t="s">
        <v>67</v>
      </c>
      <c r="L1917" t="s">
        <v>68</v>
      </c>
      <c r="M1917" t="s">
        <v>69</v>
      </c>
      <c r="O1917">
        <v>0</v>
      </c>
      <c r="P1917" t="s">
        <v>108</v>
      </c>
      <c r="S1917" t="str">
        <f>TEXT(Table1[[#This Row],[Date]],"MMM-YY")</f>
        <v>Sep-25</v>
      </c>
      <c r="T1917">
        <f>_xlfn.ISOWEEKNUM(Table1[[#This Row],[Date]])</f>
        <v>39</v>
      </c>
    </row>
    <row r="1918" spans="1:20" hidden="1">
      <c r="A1918" s="1">
        <v>45926</v>
      </c>
      <c r="B1918" t="s">
        <v>119</v>
      </c>
      <c r="C1918" t="s">
        <v>96</v>
      </c>
      <c r="D1918" t="s">
        <v>105</v>
      </c>
      <c r="E1918" t="s">
        <v>18</v>
      </c>
      <c r="F1918" t="s">
        <v>120</v>
      </c>
      <c r="G1918" s="9" t="s">
        <v>187</v>
      </c>
      <c r="H1918">
        <v>15000</v>
      </c>
      <c r="I1918">
        <v>15000</v>
      </c>
      <c r="J1918" s="21">
        <v>45901</v>
      </c>
      <c r="K1918" t="s">
        <v>67</v>
      </c>
      <c r="L1918" t="s">
        <v>68</v>
      </c>
      <c r="M1918" t="s">
        <v>69</v>
      </c>
      <c r="O1918">
        <v>0</v>
      </c>
      <c r="P1918" t="s">
        <v>108</v>
      </c>
      <c r="S1918" t="str">
        <f>TEXT(Table1[[#This Row],[Date]],"MMM-YY")</f>
        <v>Sep-25</v>
      </c>
      <c r="T1918">
        <f>_xlfn.ISOWEEKNUM(Table1[[#This Row],[Date]])</f>
        <v>39</v>
      </c>
    </row>
    <row r="1919" spans="1:20" hidden="1">
      <c r="A1919" s="1">
        <v>45926</v>
      </c>
      <c r="B1919" s="67" t="s">
        <v>112</v>
      </c>
      <c r="C1919" t="s">
        <v>63</v>
      </c>
      <c r="D1919" t="s">
        <v>64</v>
      </c>
      <c r="E1919" t="s">
        <v>38</v>
      </c>
      <c r="F1919" t="s">
        <v>113</v>
      </c>
      <c r="G1919" s="69" t="s">
        <v>186</v>
      </c>
      <c r="H1919">
        <v>18330</v>
      </c>
      <c r="I1919">
        <v>18330</v>
      </c>
      <c r="J1919" s="21">
        <v>45901</v>
      </c>
      <c r="K1919" t="s">
        <v>67</v>
      </c>
      <c r="L1919" t="s">
        <v>68</v>
      </c>
      <c r="M1919" t="s">
        <v>69</v>
      </c>
      <c r="O1919">
        <v>0</v>
      </c>
      <c r="P1919" t="s">
        <v>108</v>
      </c>
      <c r="S1919" t="str">
        <f>TEXT(Table1[[#This Row],[Date]],"MMM-YY")</f>
        <v>Sep-25</v>
      </c>
      <c r="T1919">
        <f>_xlfn.ISOWEEKNUM(Table1[[#This Row],[Date]])</f>
        <v>39</v>
      </c>
    </row>
    <row r="1920" spans="1:20" hidden="1">
      <c r="A1920" s="1">
        <v>45926</v>
      </c>
      <c r="B1920" s="72" t="s">
        <v>183</v>
      </c>
      <c r="C1920" t="s">
        <v>63</v>
      </c>
      <c r="D1920" t="s">
        <v>64</v>
      </c>
      <c r="E1920" t="s">
        <v>14</v>
      </c>
      <c r="F1920" t="s">
        <v>184</v>
      </c>
      <c r="G1920" s="73" t="s">
        <v>185</v>
      </c>
      <c r="H1920">
        <v>11200</v>
      </c>
      <c r="I1920">
        <v>11200</v>
      </c>
      <c r="J1920" s="21">
        <v>45901</v>
      </c>
      <c r="K1920" t="s">
        <v>67</v>
      </c>
      <c r="L1920" t="s">
        <v>68</v>
      </c>
      <c r="M1920" t="s">
        <v>69</v>
      </c>
      <c r="O1920">
        <v>0</v>
      </c>
      <c r="P1920" t="s">
        <v>108</v>
      </c>
      <c r="S1920" t="str">
        <f>TEXT(Table1[[#This Row],[Date]],"MMM-YY")</f>
        <v>Sep-25</v>
      </c>
      <c r="T1920">
        <f>_xlfn.ISOWEEKNUM(Table1[[#This Row],[Date]])</f>
        <v>39</v>
      </c>
    </row>
    <row r="1921" spans="1:20" hidden="1">
      <c r="A1921" s="1">
        <v>45927</v>
      </c>
      <c r="B1921" t="s">
        <v>119</v>
      </c>
      <c r="C1921" t="s">
        <v>96</v>
      </c>
      <c r="D1921" t="s">
        <v>105</v>
      </c>
      <c r="E1921" t="s">
        <v>18</v>
      </c>
      <c r="F1921" t="s">
        <v>120</v>
      </c>
      <c r="G1921" s="9" t="s">
        <v>182</v>
      </c>
      <c r="H1921">
        <v>14000</v>
      </c>
      <c r="I1921">
        <v>14000</v>
      </c>
      <c r="J1921" s="21">
        <v>45901</v>
      </c>
      <c r="K1921" t="s">
        <v>67</v>
      </c>
      <c r="L1921" t="s">
        <v>68</v>
      </c>
      <c r="M1921" t="s">
        <v>69</v>
      </c>
      <c r="O1921">
        <v>0</v>
      </c>
      <c r="P1921" t="s">
        <v>108</v>
      </c>
      <c r="S1921" t="str">
        <f>TEXT(Table1[[#This Row],[Date]],"MMM-YY")</f>
        <v>Sep-25</v>
      </c>
      <c r="T1921">
        <f>_xlfn.ISOWEEKNUM(Table1[[#This Row],[Date]])</f>
        <v>39</v>
      </c>
    </row>
    <row r="1922" spans="1:20" hidden="1">
      <c r="A1922" s="1">
        <v>45928</v>
      </c>
      <c r="B1922" t="s">
        <v>119</v>
      </c>
      <c r="C1922" t="s">
        <v>96</v>
      </c>
      <c r="D1922" t="s">
        <v>105</v>
      </c>
      <c r="E1922" t="s">
        <v>18</v>
      </c>
      <c r="F1922" t="s">
        <v>120</v>
      </c>
      <c r="G1922" s="9" t="s">
        <v>182</v>
      </c>
      <c r="H1922">
        <v>6500</v>
      </c>
      <c r="I1922">
        <v>6500</v>
      </c>
      <c r="J1922" s="21">
        <v>45901</v>
      </c>
      <c r="K1922" t="s">
        <v>67</v>
      </c>
      <c r="L1922" t="s">
        <v>68</v>
      </c>
      <c r="M1922" t="s">
        <v>69</v>
      </c>
      <c r="O1922">
        <v>0</v>
      </c>
      <c r="P1922" t="s">
        <v>108</v>
      </c>
      <c r="S1922" t="str">
        <f>TEXT(Table1[[#This Row],[Date]],"MMM-YY")</f>
        <v>Sep-25</v>
      </c>
      <c r="T1922">
        <f>_xlfn.ISOWEEKNUM(Table1[[#This Row],[Date]])</f>
        <v>39</v>
      </c>
    </row>
    <row r="1923" spans="1:20" hidden="1">
      <c r="A1923" s="1">
        <v>45928</v>
      </c>
      <c r="B1923" t="s">
        <v>79</v>
      </c>
      <c r="C1923" t="s">
        <v>63</v>
      </c>
      <c r="D1923" t="s">
        <v>64</v>
      </c>
      <c r="E1923" t="s">
        <v>26</v>
      </c>
      <c r="F1923" t="s">
        <v>80</v>
      </c>
      <c r="G1923" s="9" t="s">
        <v>181</v>
      </c>
      <c r="H1923">
        <v>199120</v>
      </c>
      <c r="I1923">
        <v>199120</v>
      </c>
      <c r="J1923" s="21">
        <v>45901</v>
      </c>
      <c r="K1923" t="s">
        <v>67</v>
      </c>
      <c r="L1923" t="s">
        <v>68</v>
      </c>
      <c r="M1923" t="s">
        <v>69</v>
      </c>
      <c r="O1923">
        <v>0</v>
      </c>
      <c r="P1923" t="s">
        <v>70</v>
      </c>
      <c r="S1923" t="str">
        <f>TEXT(Table1[[#This Row],[Date]],"MMM-YY")</f>
        <v>Sep-25</v>
      </c>
      <c r="T1923">
        <f>_xlfn.ISOWEEKNUM(Table1[[#This Row],[Date]])</f>
        <v>39</v>
      </c>
    </row>
    <row r="1924" spans="1:20" hidden="1">
      <c r="A1924" s="1">
        <v>45929</v>
      </c>
      <c r="B1924" t="s">
        <v>119</v>
      </c>
      <c r="C1924" t="s">
        <v>96</v>
      </c>
      <c r="D1924" t="s">
        <v>105</v>
      </c>
      <c r="E1924" t="s">
        <v>18</v>
      </c>
      <c r="F1924" t="s">
        <v>120</v>
      </c>
      <c r="G1924" s="9" t="s">
        <v>180</v>
      </c>
      <c r="H1924">
        <v>16500</v>
      </c>
      <c r="I1924">
        <v>16500</v>
      </c>
      <c r="J1924" s="21">
        <v>45901</v>
      </c>
      <c r="K1924" t="s">
        <v>67</v>
      </c>
      <c r="L1924" t="s">
        <v>68</v>
      </c>
      <c r="M1924" t="s">
        <v>69</v>
      </c>
      <c r="O1924">
        <v>0</v>
      </c>
      <c r="P1924" t="s">
        <v>108</v>
      </c>
      <c r="S1924" t="str">
        <f>TEXT(Table1[[#This Row],[Date]],"MMM-YY")</f>
        <v>Sep-25</v>
      </c>
      <c r="T1924">
        <f>_xlfn.ISOWEEKNUM(Table1[[#This Row],[Date]])</f>
        <v>40</v>
      </c>
    </row>
    <row r="1925" spans="1:20" hidden="1">
      <c r="A1925" s="1">
        <v>45929</v>
      </c>
      <c r="B1925" s="67" t="s">
        <v>112</v>
      </c>
      <c r="C1925" t="s">
        <v>96</v>
      </c>
      <c r="D1925" t="s">
        <v>64</v>
      </c>
      <c r="E1925" t="s">
        <v>38</v>
      </c>
      <c r="F1925" t="s">
        <v>113</v>
      </c>
      <c r="G1925" s="69" t="s">
        <v>177</v>
      </c>
      <c r="H1925">
        <v>10267</v>
      </c>
      <c r="I1925">
        <v>10267</v>
      </c>
      <c r="J1925" s="21">
        <v>45901</v>
      </c>
      <c r="K1925" t="s">
        <v>67</v>
      </c>
      <c r="L1925" t="s">
        <v>68</v>
      </c>
      <c r="M1925" t="s">
        <v>69</v>
      </c>
      <c r="O1925">
        <v>0</v>
      </c>
      <c r="P1925" t="s">
        <v>108</v>
      </c>
      <c r="S1925" t="str">
        <f>TEXT(Table1[[#This Row],[Date]],"MMM-YY")</f>
        <v>Sep-25</v>
      </c>
      <c r="T1925">
        <f>_xlfn.ISOWEEKNUM(Table1[[#This Row],[Date]])</f>
        <v>40</v>
      </c>
    </row>
    <row r="1926" spans="1:20" hidden="1">
      <c r="A1926" s="1">
        <v>45929</v>
      </c>
      <c r="B1926" t="s">
        <v>79</v>
      </c>
      <c r="C1926" t="s">
        <v>63</v>
      </c>
      <c r="D1926" t="s">
        <v>64</v>
      </c>
      <c r="E1926" t="s">
        <v>26</v>
      </c>
      <c r="F1926" t="s">
        <v>80</v>
      </c>
      <c r="G1926" s="9" t="s">
        <v>81</v>
      </c>
      <c r="H1926">
        <v>63000</v>
      </c>
      <c r="I1926">
        <v>63000</v>
      </c>
      <c r="J1926" s="21">
        <v>45931</v>
      </c>
      <c r="K1926" t="s">
        <v>67</v>
      </c>
      <c r="L1926" t="s">
        <v>68</v>
      </c>
      <c r="M1926" t="s">
        <v>69</v>
      </c>
      <c r="O1926">
        <v>0</v>
      </c>
      <c r="P1926" t="s">
        <v>70</v>
      </c>
      <c r="S1926" t="str">
        <f>TEXT(Table1[[#This Row],[Date]],"MMM-YY")</f>
        <v>Sep-25</v>
      </c>
      <c r="T1926">
        <f>_xlfn.ISOWEEKNUM(Table1[[#This Row],[Date]])</f>
        <v>40</v>
      </c>
    </row>
    <row r="1927" spans="1:20" hidden="1">
      <c r="A1927" s="1">
        <v>45929</v>
      </c>
      <c r="B1927" t="s">
        <v>88</v>
      </c>
      <c r="C1927" t="s">
        <v>63</v>
      </c>
      <c r="D1927" t="s">
        <v>64</v>
      </c>
      <c r="E1927" t="s">
        <v>28</v>
      </c>
      <c r="F1927" t="s">
        <v>89</v>
      </c>
      <c r="G1927" s="9" t="s">
        <v>179</v>
      </c>
      <c r="H1927">
        <v>20500</v>
      </c>
      <c r="I1927">
        <v>20500</v>
      </c>
      <c r="J1927" s="21">
        <v>45901</v>
      </c>
      <c r="K1927" t="s">
        <v>67</v>
      </c>
      <c r="L1927" t="s">
        <v>68</v>
      </c>
      <c r="M1927" t="s">
        <v>69</v>
      </c>
      <c r="O1927">
        <v>0</v>
      </c>
      <c r="P1927" t="s">
        <v>108</v>
      </c>
      <c r="S1927" t="str">
        <f>TEXT(Table1[[#This Row],[Date]],"MMM-YY")</f>
        <v>Sep-25</v>
      </c>
      <c r="T1927">
        <f>_xlfn.ISOWEEKNUM(Table1[[#This Row],[Date]])</f>
        <v>40</v>
      </c>
    </row>
    <row r="1928" spans="1:20" hidden="1">
      <c r="A1928" s="1">
        <v>45930</v>
      </c>
      <c r="B1928" t="s">
        <v>119</v>
      </c>
      <c r="C1928" t="s">
        <v>96</v>
      </c>
      <c r="D1928" t="s">
        <v>105</v>
      </c>
      <c r="E1928" t="s">
        <v>18</v>
      </c>
      <c r="F1928" t="s">
        <v>120</v>
      </c>
      <c r="G1928" s="9" t="s">
        <v>178</v>
      </c>
      <c r="H1928">
        <v>12500</v>
      </c>
      <c r="I1928">
        <v>12500</v>
      </c>
      <c r="J1928" s="21">
        <v>45901</v>
      </c>
      <c r="K1928" t="s">
        <v>67</v>
      </c>
      <c r="L1928" t="s">
        <v>68</v>
      </c>
      <c r="M1928" t="s">
        <v>69</v>
      </c>
      <c r="O1928">
        <v>0</v>
      </c>
      <c r="P1928" t="s">
        <v>108</v>
      </c>
      <c r="S1928" t="str">
        <f>TEXT(Table1[[#This Row],[Date]],"MMM-YY")</f>
        <v>Sep-25</v>
      </c>
      <c r="T1928">
        <f>_xlfn.ISOWEEKNUM(Table1[[#This Row],[Date]])</f>
        <v>40</v>
      </c>
    </row>
    <row r="1929" spans="1:20" hidden="1">
      <c r="A1929" s="1">
        <v>45930</v>
      </c>
      <c r="B1929" s="67" t="s">
        <v>112</v>
      </c>
      <c r="C1929" t="s">
        <v>96</v>
      </c>
      <c r="D1929" t="s">
        <v>64</v>
      </c>
      <c r="E1929" t="s">
        <v>38</v>
      </c>
      <c r="F1929" t="s">
        <v>113</v>
      </c>
      <c r="G1929" s="69" t="s">
        <v>177</v>
      </c>
      <c r="H1929">
        <v>9550</v>
      </c>
      <c r="I1929">
        <v>9550</v>
      </c>
      <c r="J1929" s="21">
        <v>45901</v>
      </c>
      <c r="K1929" t="s">
        <v>67</v>
      </c>
      <c r="L1929" t="s">
        <v>68</v>
      </c>
      <c r="M1929" t="s">
        <v>69</v>
      </c>
      <c r="O1929">
        <v>0</v>
      </c>
      <c r="P1929" t="s">
        <v>108</v>
      </c>
      <c r="S1929" t="str">
        <f>TEXT(Table1[[#This Row],[Date]],"MMM-YY")</f>
        <v>Sep-25</v>
      </c>
      <c r="T1929">
        <f>_xlfn.ISOWEEKNUM(Table1[[#This Row],[Date]])</f>
        <v>40</v>
      </c>
    </row>
    <row r="1930" spans="1:20" ht="29.1" hidden="1">
      <c r="A1930" s="1">
        <v>45930</v>
      </c>
      <c r="B1930" t="s">
        <v>79</v>
      </c>
      <c r="C1930" t="s">
        <v>63</v>
      </c>
      <c r="D1930" t="s">
        <v>64</v>
      </c>
      <c r="E1930" t="s">
        <v>26</v>
      </c>
      <c r="F1930" t="s">
        <v>80</v>
      </c>
      <c r="G1930" s="9" t="s">
        <v>173</v>
      </c>
      <c r="H1930">
        <v>0</v>
      </c>
      <c r="I1930">
        <v>0</v>
      </c>
      <c r="J1930" s="21">
        <v>45931</v>
      </c>
      <c r="K1930" t="s">
        <v>67</v>
      </c>
      <c r="L1930" t="s">
        <v>68</v>
      </c>
      <c r="M1930" t="s">
        <v>69</v>
      </c>
      <c r="O1930">
        <v>0</v>
      </c>
      <c r="P1930" t="s">
        <v>70</v>
      </c>
      <c r="S1930" t="str">
        <f>TEXT(Table1[[#This Row],[Date]],"MMM-YY")</f>
        <v>Sep-25</v>
      </c>
      <c r="T1930">
        <f>_xlfn.ISOWEEKNUM(Table1[[#This Row],[Date]])</f>
        <v>40</v>
      </c>
    </row>
    <row r="1931" spans="1:20" hidden="1">
      <c r="A1931" s="1">
        <v>45931</v>
      </c>
      <c r="B1931" s="67" t="s">
        <v>112</v>
      </c>
      <c r="C1931" t="s">
        <v>96</v>
      </c>
      <c r="D1931" t="s">
        <v>64</v>
      </c>
      <c r="E1931" t="s">
        <v>38</v>
      </c>
      <c r="F1931" t="s">
        <v>113</v>
      </c>
      <c r="G1931" s="69" t="s">
        <v>166</v>
      </c>
      <c r="H1931">
        <v>6355</v>
      </c>
      <c r="I1931">
        <v>6355</v>
      </c>
      <c r="J1931" s="21">
        <v>45931</v>
      </c>
      <c r="K1931" t="s">
        <v>67</v>
      </c>
      <c r="L1931" t="s">
        <v>68</v>
      </c>
      <c r="M1931" t="s">
        <v>69</v>
      </c>
      <c r="O1931">
        <v>0</v>
      </c>
      <c r="P1931" t="s">
        <v>108</v>
      </c>
      <c r="S1931" t="str">
        <f>TEXT(Table1[[#This Row],[Date]],"MMM-YY")</f>
        <v>Oct-25</v>
      </c>
      <c r="T1931">
        <f>_xlfn.ISOWEEKNUM(Table1[[#This Row],[Date]])</f>
        <v>40</v>
      </c>
    </row>
    <row r="1932" spans="1:20">
      <c r="A1932" s="1">
        <v>45931</v>
      </c>
      <c r="B1932" s="67" t="s">
        <v>95</v>
      </c>
      <c r="C1932" t="s">
        <v>96</v>
      </c>
      <c r="D1932" t="s">
        <v>64</v>
      </c>
      <c r="E1932" t="s">
        <v>38</v>
      </c>
      <c r="F1932" t="s">
        <v>97</v>
      </c>
      <c r="G1932" s="69" t="s">
        <v>109</v>
      </c>
      <c r="H1932">
        <v>25279</v>
      </c>
      <c r="I1932">
        <v>25279</v>
      </c>
      <c r="J1932" s="21">
        <v>45931</v>
      </c>
      <c r="K1932" t="s">
        <v>99</v>
      </c>
      <c r="L1932" t="s">
        <v>68</v>
      </c>
      <c r="M1932" t="s">
        <v>69</v>
      </c>
      <c r="O1932">
        <v>0</v>
      </c>
      <c r="P1932" t="s">
        <v>70</v>
      </c>
      <c r="S1932" t="str">
        <f>TEXT(Table1[[#This Row],[Date]],"MMM-YY")</f>
        <v>Oct-25</v>
      </c>
      <c r="T1932">
        <f>_xlfn.ISOWEEKNUM(Table1[[#This Row],[Date]])</f>
        <v>40</v>
      </c>
    </row>
    <row r="1933" spans="1:20" hidden="1">
      <c r="A1933" s="1">
        <v>45932</v>
      </c>
      <c r="B1933" t="s">
        <v>168</v>
      </c>
      <c r="C1933" t="s">
        <v>63</v>
      </c>
      <c r="D1933" t="s">
        <v>64</v>
      </c>
      <c r="E1933" t="s">
        <v>38</v>
      </c>
      <c r="F1933" t="s">
        <v>169</v>
      </c>
      <c r="G1933" s="9" t="s">
        <v>170</v>
      </c>
      <c r="H1933">
        <v>5500</v>
      </c>
      <c r="I1933">
        <v>5500</v>
      </c>
      <c r="J1933" s="21">
        <v>45931</v>
      </c>
      <c r="K1933" t="s">
        <v>67</v>
      </c>
      <c r="L1933" t="s">
        <v>68</v>
      </c>
      <c r="M1933" t="s">
        <v>69</v>
      </c>
      <c r="O1933">
        <v>0</v>
      </c>
      <c r="P1933" t="s">
        <v>108</v>
      </c>
      <c r="S1933" t="str">
        <f>TEXT(Table1[[#This Row],[Date]],"MMM-YY")</f>
        <v>Oct-25</v>
      </c>
      <c r="T1933">
        <f>_xlfn.ISOWEEKNUM(Table1[[#This Row],[Date]])</f>
        <v>40</v>
      </c>
    </row>
    <row r="1934" spans="1:20" hidden="1">
      <c r="A1934" s="1">
        <v>45933</v>
      </c>
      <c r="B1934" t="s">
        <v>3128</v>
      </c>
      <c r="C1934" t="s">
        <v>163</v>
      </c>
      <c r="D1934" t="s">
        <v>36</v>
      </c>
      <c r="E1934" t="s">
        <v>15</v>
      </c>
      <c r="F1934" t="s">
        <v>3129</v>
      </c>
      <c r="G1934" s="9" t="s">
        <v>3997</v>
      </c>
      <c r="H1934">
        <v>3224730</v>
      </c>
      <c r="I1934">
        <v>3224730</v>
      </c>
      <c r="J1934" s="21">
        <v>45992</v>
      </c>
      <c r="K1934" t="s">
        <v>67</v>
      </c>
      <c r="L1934" t="s">
        <v>68</v>
      </c>
      <c r="M1934" t="s">
        <v>69</v>
      </c>
      <c r="O1934">
        <v>0</v>
      </c>
      <c r="P1934" t="s">
        <v>108</v>
      </c>
      <c r="S1934" t="str">
        <f>TEXT(Table1[[#This Row],[Date]],"MMM-YY")</f>
        <v>Oct-25</v>
      </c>
      <c r="T1934">
        <f>_xlfn.ISOWEEKNUM(Table1[[#This Row],[Date]])</f>
        <v>40</v>
      </c>
    </row>
    <row r="1935" spans="1:20" hidden="1">
      <c r="A1935" s="1">
        <v>45933</v>
      </c>
      <c r="B1935" s="67" t="s">
        <v>112</v>
      </c>
      <c r="C1935" t="s">
        <v>96</v>
      </c>
      <c r="D1935" t="s">
        <v>64</v>
      </c>
      <c r="E1935" t="s">
        <v>38</v>
      </c>
      <c r="F1935" t="s">
        <v>113</v>
      </c>
      <c r="G1935" s="69" t="s">
        <v>171</v>
      </c>
      <c r="H1935">
        <v>4935</v>
      </c>
      <c r="I1935">
        <v>4935</v>
      </c>
      <c r="J1935" s="21">
        <v>45931</v>
      </c>
      <c r="K1935" t="s">
        <v>67</v>
      </c>
      <c r="L1935" t="s">
        <v>68</v>
      </c>
      <c r="M1935" t="s">
        <v>69</v>
      </c>
      <c r="O1935">
        <v>0</v>
      </c>
      <c r="P1935" t="s">
        <v>108</v>
      </c>
      <c r="S1935" t="str">
        <f>TEXT(Table1[[#This Row],[Date]],"MMM-YY")</f>
        <v>Oct-25</v>
      </c>
      <c r="T1935">
        <f>_xlfn.ISOWEEKNUM(Table1[[#This Row],[Date]])</f>
        <v>40</v>
      </c>
    </row>
    <row r="1936" spans="1:20" hidden="1">
      <c r="A1936" s="1">
        <v>45933</v>
      </c>
      <c r="B1936" t="s">
        <v>119</v>
      </c>
      <c r="C1936" t="s">
        <v>96</v>
      </c>
      <c r="D1936" t="s">
        <v>105</v>
      </c>
      <c r="E1936" t="s">
        <v>18</v>
      </c>
      <c r="F1936" t="s">
        <v>120</v>
      </c>
      <c r="G1936" s="9" t="s">
        <v>161</v>
      </c>
      <c r="H1936">
        <v>8000</v>
      </c>
      <c r="I1936">
        <v>8000</v>
      </c>
      <c r="J1936" s="21">
        <v>45931</v>
      </c>
      <c r="K1936" t="s">
        <v>67</v>
      </c>
      <c r="L1936" t="s">
        <v>68</v>
      </c>
      <c r="M1936" t="s">
        <v>69</v>
      </c>
      <c r="O1936">
        <v>0</v>
      </c>
      <c r="P1936" t="s">
        <v>108</v>
      </c>
      <c r="S1936" t="str">
        <f>TEXT(Table1[[#This Row],[Date]],"MMM-YY")</f>
        <v>Oct-25</v>
      </c>
      <c r="T1936">
        <f>_xlfn.ISOWEEKNUM(Table1[[#This Row],[Date]])</f>
        <v>40</v>
      </c>
    </row>
    <row r="1937" spans="1:20" hidden="1">
      <c r="A1937" s="1">
        <v>45935</v>
      </c>
      <c r="B1937" t="s">
        <v>152</v>
      </c>
      <c r="C1937" t="s">
        <v>96</v>
      </c>
      <c r="D1937" t="s">
        <v>20</v>
      </c>
      <c r="E1937" t="s">
        <v>23</v>
      </c>
      <c r="F1937" t="s">
        <v>153</v>
      </c>
      <c r="G1937" s="9" t="s">
        <v>154</v>
      </c>
      <c r="H1937">
        <v>11569</v>
      </c>
      <c r="I1937">
        <v>11569</v>
      </c>
      <c r="J1937" s="21">
        <v>45931</v>
      </c>
      <c r="K1937" t="s">
        <v>67</v>
      </c>
      <c r="L1937" t="s">
        <v>68</v>
      </c>
      <c r="M1937" t="s">
        <v>69</v>
      </c>
      <c r="O1937">
        <v>0</v>
      </c>
      <c r="P1937" t="s">
        <v>108</v>
      </c>
      <c r="S1937" t="str">
        <f>TEXT(Table1[[#This Row],[Date]],"MMM-YY")</f>
        <v>Oct-25</v>
      </c>
      <c r="T1937">
        <f>_xlfn.ISOWEEKNUM(Table1[[#This Row],[Date]])</f>
        <v>40</v>
      </c>
    </row>
    <row r="1938" spans="1:20" hidden="1">
      <c r="A1938" s="1">
        <v>45936</v>
      </c>
      <c r="B1938" s="67" t="s">
        <v>112</v>
      </c>
      <c r="C1938" t="s">
        <v>96</v>
      </c>
      <c r="D1938" t="s">
        <v>64</v>
      </c>
      <c r="E1938" t="s">
        <v>38</v>
      </c>
      <c r="F1938" t="s">
        <v>113</v>
      </c>
      <c r="G1938" s="69" t="s">
        <v>160</v>
      </c>
      <c r="H1938">
        <v>9500</v>
      </c>
      <c r="I1938">
        <v>9500</v>
      </c>
      <c r="J1938" s="21">
        <v>45931</v>
      </c>
      <c r="K1938" t="s">
        <v>67</v>
      </c>
      <c r="L1938" t="s">
        <v>68</v>
      </c>
      <c r="M1938" t="s">
        <v>69</v>
      </c>
      <c r="O1938">
        <v>0</v>
      </c>
      <c r="P1938" t="s">
        <v>108</v>
      </c>
      <c r="S1938" t="str">
        <f>TEXT(Table1[[#This Row],[Date]],"MMM-YY")</f>
        <v>Oct-25</v>
      </c>
      <c r="T1938">
        <f>_xlfn.ISOWEEKNUM(Table1[[#This Row],[Date]])</f>
        <v>41</v>
      </c>
    </row>
    <row r="1939" spans="1:20" hidden="1">
      <c r="A1939" s="1">
        <v>45937</v>
      </c>
      <c r="B1939" s="67" t="s">
        <v>112</v>
      </c>
      <c r="C1939" t="s">
        <v>96</v>
      </c>
      <c r="D1939" t="s">
        <v>64</v>
      </c>
      <c r="E1939" t="s">
        <v>38</v>
      </c>
      <c r="F1939" t="s">
        <v>113</v>
      </c>
      <c r="G1939" s="69" t="s">
        <v>137</v>
      </c>
      <c r="H1939">
        <v>13657</v>
      </c>
      <c r="I1939">
        <v>13657</v>
      </c>
      <c r="J1939" s="21">
        <v>45931</v>
      </c>
      <c r="K1939" t="s">
        <v>67</v>
      </c>
      <c r="L1939" t="s">
        <v>68</v>
      </c>
      <c r="M1939" t="s">
        <v>69</v>
      </c>
      <c r="O1939">
        <v>0</v>
      </c>
      <c r="P1939" t="s">
        <v>108</v>
      </c>
      <c r="S1939" t="str">
        <f>TEXT(Table1[[#This Row],[Date]],"MMM-YY")</f>
        <v>Oct-25</v>
      </c>
      <c r="T1939">
        <f>_xlfn.ISOWEEKNUM(Table1[[#This Row],[Date]])</f>
        <v>41</v>
      </c>
    </row>
    <row r="1940" spans="1:20" hidden="1">
      <c r="A1940" s="1">
        <v>45937</v>
      </c>
      <c r="B1940" t="s">
        <v>119</v>
      </c>
      <c r="C1940" t="s">
        <v>96</v>
      </c>
      <c r="D1940" t="s">
        <v>105</v>
      </c>
      <c r="E1940" t="s">
        <v>18</v>
      </c>
      <c r="F1940" t="s">
        <v>120</v>
      </c>
      <c r="G1940" s="9" t="s">
        <v>150</v>
      </c>
      <c r="H1940">
        <v>12000</v>
      </c>
      <c r="I1940">
        <v>12000</v>
      </c>
      <c r="J1940" s="21">
        <v>45931</v>
      </c>
      <c r="K1940" t="s">
        <v>67</v>
      </c>
      <c r="L1940" t="s">
        <v>68</v>
      </c>
      <c r="M1940" t="s">
        <v>69</v>
      </c>
      <c r="O1940">
        <v>0</v>
      </c>
      <c r="P1940" t="s">
        <v>108</v>
      </c>
      <c r="S1940" t="str">
        <f>TEXT(Table1[[#This Row],[Date]],"MMM-YY")</f>
        <v>Oct-25</v>
      </c>
      <c r="T1940">
        <f>_xlfn.ISOWEEKNUM(Table1[[#This Row],[Date]])</f>
        <v>41</v>
      </c>
    </row>
    <row r="1941" spans="1:20" hidden="1">
      <c r="A1941" s="1">
        <v>45937</v>
      </c>
      <c r="B1941" t="s">
        <v>85</v>
      </c>
      <c r="C1941" t="s">
        <v>63</v>
      </c>
      <c r="D1941" t="s">
        <v>64</v>
      </c>
      <c r="E1941" t="s">
        <v>26</v>
      </c>
      <c r="F1941" t="s">
        <v>86</v>
      </c>
      <c r="G1941" s="9" t="s">
        <v>87</v>
      </c>
      <c r="H1941">
        <v>47590</v>
      </c>
      <c r="I1941">
        <v>47590</v>
      </c>
      <c r="J1941" s="21">
        <v>45931</v>
      </c>
      <c r="K1941" t="s">
        <v>67</v>
      </c>
      <c r="L1941" t="s">
        <v>68</v>
      </c>
      <c r="M1941" t="s">
        <v>69</v>
      </c>
      <c r="O1941">
        <v>0</v>
      </c>
      <c r="P1941" t="s">
        <v>70</v>
      </c>
      <c r="S1941" t="str">
        <f>TEXT(Table1[[#This Row],[Date]],"MMM-YY")</f>
        <v>Oct-25</v>
      </c>
      <c r="T1941">
        <f>_xlfn.ISOWEEKNUM(Table1[[#This Row],[Date]])</f>
        <v>41</v>
      </c>
    </row>
    <row r="1942" spans="1:20" hidden="1">
      <c r="A1942" s="1">
        <v>45938</v>
      </c>
      <c r="B1942" s="67" t="s">
        <v>112</v>
      </c>
      <c r="C1942" t="s">
        <v>96</v>
      </c>
      <c r="D1942" t="s">
        <v>64</v>
      </c>
      <c r="E1942" t="s">
        <v>38</v>
      </c>
      <c r="F1942" t="s">
        <v>113</v>
      </c>
      <c r="G1942" s="69" t="s">
        <v>146</v>
      </c>
      <c r="H1942">
        <v>12634</v>
      </c>
      <c r="I1942">
        <v>12634</v>
      </c>
      <c r="J1942" s="21">
        <v>45931</v>
      </c>
      <c r="K1942" t="s">
        <v>67</v>
      </c>
      <c r="L1942" t="s">
        <v>68</v>
      </c>
      <c r="M1942" t="s">
        <v>69</v>
      </c>
      <c r="O1942">
        <v>0</v>
      </c>
      <c r="P1942" t="s">
        <v>108</v>
      </c>
      <c r="S1942" t="str">
        <f>TEXT(Table1[[#This Row],[Date]],"MMM-YY")</f>
        <v>Oct-25</v>
      </c>
      <c r="T1942">
        <f>_xlfn.ISOWEEKNUM(Table1[[#This Row],[Date]])</f>
        <v>41</v>
      </c>
    </row>
    <row r="1943" spans="1:20" hidden="1">
      <c r="A1943" s="1">
        <v>45938</v>
      </c>
      <c r="B1943" t="s">
        <v>119</v>
      </c>
      <c r="C1943" t="s">
        <v>96</v>
      </c>
      <c r="D1943" t="s">
        <v>105</v>
      </c>
      <c r="E1943" t="s">
        <v>18</v>
      </c>
      <c r="F1943" t="s">
        <v>120</v>
      </c>
      <c r="G1943" s="9" t="s">
        <v>125</v>
      </c>
      <c r="H1943">
        <v>15500</v>
      </c>
      <c r="I1943">
        <v>15500</v>
      </c>
      <c r="J1943" s="21">
        <v>45931</v>
      </c>
      <c r="K1943" t="s">
        <v>67</v>
      </c>
      <c r="L1943" t="s">
        <v>68</v>
      </c>
      <c r="M1943" t="s">
        <v>69</v>
      </c>
      <c r="O1943">
        <v>0</v>
      </c>
      <c r="P1943" t="s">
        <v>108</v>
      </c>
      <c r="S1943" t="str">
        <f>TEXT(Table1[[#This Row],[Date]],"MMM-YY")</f>
        <v>Oct-25</v>
      </c>
      <c r="T1943">
        <f>_xlfn.ISOWEEKNUM(Table1[[#This Row],[Date]])</f>
        <v>41</v>
      </c>
    </row>
    <row r="1944" spans="1:20" hidden="1">
      <c r="A1944" s="1">
        <v>45938</v>
      </c>
      <c r="B1944" t="s">
        <v>85</v>
      </c>
      <c r="C1944" t="s">
        <v>63</v>
      </c>
      <c r="D1944" t="s">
        <v>64</v>
      </c>
      <c r="E1944" t="s">
        <v>26</v>
      </c>
      <c r="F1944" t="s">
        <v>86</v>
      </c>
      <c r="G1944" s="9" t="s">
        <v>102</v>
      </c>
      <c r="H1944">
        <v>35700</v>
      </c>
      <c r="I1944">
        <v>35700</v>
      </c>
      <c r="J1944" s="21">
        <v>45931</v>
      </c>
      <c r="K1944" t="s">
        <v>67</v>
      </c>
      <c r="L1944" t="s">
        <v>68</v>
      </c>
      <c r="M1944" t="s">
        <v>69</v>
      </c>
      <c r="O1944">
        <v>0</v>
      </c>
      <c r="P1944" t="s">
        <v>70</v>
      </c>
      <c r="S1944" t="str">
        <f>TEXT(Table1[[#This Row],[Date]],"MMM-YY")</f>
        <v>Oct-25</v>
      </c>
      <c r="T1944">
        <f>_xlfn.ISOWEEKNUM(Table1[[#This Row],[Date]])</f>
        <v>41</v>
      </c>
    </row>
    <row r="1945" spans="1:20">
      <c r="A1945" s="1">
        <v>45938</v>
      </c>
      <c r="B1945" s="67" t="s">
        <v>95</v>
      </c>
      <c r="C1945" t="s">
        <v>96</v>
      </c>
      <c r="D1945" t="s">
        <v>64</v>
      </c>
      <c r="E1945" t="s">
        <v>38</v>
      </c>
      <c r="F1945" t="s">
        <v>97</v>
      </c>
      <c r="G1945" s="69" t="s">
        <v>103</v>
      </c>
      <c r="H1945">
        <v>29333</v>
      </c>
      <c r="I1945">
        <v>29333</v>
      </c>
      <c r="J1945" s="21">
        <v>45931</v>
      </c>
      <c r="K1945" t="s">
        <v>99</v>
      </c>
      <c r="L1945" t="s">
        <v>68</v>
      </c>
      <c r="M1945" t="s">
        <v>69</v>
      </c>
      <c r="O1945">
        <v>0</v>
      </c>
      <c r="P1945" t="s">
        <v>70</v>
      </c>
      <c r="S1945" t="str">
        <f>TEXT(Table1[[#This Row],[Date]],"MMM-YY")</f>
        <v>Oct-25</v>
      </c>
      <c r="T1945">
        <f>_xlfn.ISOWEEKNUM(Table1[[#This Row],[Date]])</f>
        <v>41</v>
      </c>
    </row>
    <row r="1946" spans="1:20" ht="29.1" hidden="1">
      <c r="A1946" s="81">
        <v>45938</v>
      </c>
      <c r="B1946" s="82" t="s">
        <v>3998</v>
      </c>
      <c r="C1946" s="82" t="s">
        <v>63</v>
      </c>
      <c r="D1946" s="82" t="s">
        <v>320</v>
      </c>
      <c r="E1946" s="82" t="s">
        <v>32</v>
      </c>
      <c r="F1946" s="82" t="s">
        <v>73</v>
      </c>
      <c r="G1946" s="83" t="s">
        <v>3999</v>
      </c>
      <c r="H1946" s="82">
        <v>70786</v>
      </c>
      <c r="I1946" s="82">
        <v>70786</v>
      </c>
      <c r="J1946" s="21">
        <v>45931</v>
      </c>
      <c r="K1946" t="s">
        <v>67</v>
      </c>
      <c r="L1946" t="s">
        <v>9</v>
      </c>
      <c r="M1946" t="s">
        <v>9</v>
      </c>
      <c r="O1946">
        <v>0</v>
      </c>
      <c r="P1946" t="s">
        <v>70</v>
      </c>
      <c r="S1946" t="str">
        <f>TEXT(Table1[[#This Row],[Date]],"MMM-YY")</f>
        <v>Oct-25</v>
      </c>
      <c r="T1946">
        <f>_xlfn.ISOWEEKNUM(Table1[[#This Row],[Date]])</f>
        <v>41</v>
      </c>
    </row>
    <row r="1947" spans="1:20" ht="29.1" hidden="1">
      <c r="A1947" s="1">
        <v>45938</v>
      </c>
      <c r="B1947" t="s">
        <v>82</v>
      </c>
      <c r="C1947" t="s">
        <v>63</v>
      </c>
      <c r="D1947" t="s">
        <v>64</v>
      </c>
      <c r="E1947" t="s">
        <v>38</v>
      </c>
      <c r="F1947" t="s">
        <v>93</v>
      </c>
      <c r="G1947" s="9" t="s">
        <v>4000</v>
      </c>
      <c r="H1947">
        <v>100000</v>
      </c>
      <c r="J1947" s="21">
        <v>45992</v>
      </c>
      <c r="K1947" t="s">
        <v>67</v>
      </c>
      <c r="L1947" t="s">
        <v>9</v>
      </c>
      <c r="M1947" t="s">
        <v>9</v>
      </c>
      <c r="O1947">
        <v>0</v>
      </c>
      <c r="P1947" t="s">
        <v>70</v>
      </c>
      <c r="S1947" t="str">
        <f>TEXT(Table1[[#This Row],[Date]],"MMM-YY")</f>
        <v>Oct-25</v>
      </c>
      <c r="T1947">
        <f>_xlfn.ISOWEEKNUM(Table1[[#This Row],[Date]])</f>
        <v>41</v>
      </c>
    </row>
    <row r="1948" spans="1:20" ht="29.1" hidden="1">
      <c r="A1948" s="1">
        <v>45939</v>
      </c>
      <c r="B1948" t="s">
        <v>76</v>
      </c>
      <c r="C1948" t="s">
        <v>63</v>
      </c>
      <c r="D1948" t="s">
        <v>64</v>
      </c>
      <c r="E1948" t="s">
        <v>29</v>
      </c>
      <c r="F1948" t="s">
        <v>77</v>
      </c>
      <c r="G1948" s="9" t="s">
        <v>78</v>
      </c>
      <c r="H1948">
        <v>161700</v>
      </c>
      <c r="I1948">
        <v>161700</v>
      </c>
      <c r="J1948" s="21">
        <v>45931</v>
      </c>
      <c r="K1948" t="s">
        <v>67</v>
      </c>
      <c r="L1948" t="s">
        <v>68</v>
      </c>
      <c r="M1948" t="s">
        <v>69</v>
      </c>
      <c r="O1948">
        <v>0</v>
      </c>
      <c r="P1948" t="s">
        <v>70</v>
      </c>
      <c r="S1948" t="str">
        <f>TEXT(Table1[[#This Row],[Date]],"MMM-YY")</f>
        <v>Oct-25</v>
      </c>
      <c r="T1948">
        <f>_xlfn.ISOWEEKNUM(Table1[[#This Row],[Date]])</f>
        <v>41</v>
      </c>
    </row>
    <row r="1949" spans="1:20" hidden="1">
      <c r="A1949" s="1">
        <v>45939</v>
      </c>
      <c r="B1949" s="67" t="s">
        <v>112</v>
      </c>
      <c r="C1949" t="s">
        <v>96</v>
      </c>
      <c r="D1949" t="s">
        <v>64</v>
      </c>
      <c r="E1949" t="s">
        <v>38</v>
      </c>
      <c r="F1949" t="s">
        <v>113</v>
      </c>
      <c r="G1949" s="69" t="s">
        <v>131</v>
      </c>
      <c r="H1949">
        <v>14500</v>
      </c>
      <c r="I1949">
        <v>14500</v>
      </c>
      <c r="J1949" s="21">
        <v>45931</v>
      </c>
      <c r="K1949" t="s">
        <v>67</v>
      </c>
      <c r="L1949" t="s">
        <v>68</v>
      </c>
      <c r="M1949" t="s">
        <v>69</v>
      </c>
      <c r="O1949">
        <v>0</v>
      </c>
      <c r="P1949" t="s">
        <v>108</v>
      </c>
      <c r="S1949" t="str">
        <f>TEXT(Table1[[#This Row],[Date]],"MMM-YY")</f>
        <v>Oct-25</v>
      </c>
      <c r="T1949">
        <f>_xlfn.ISOWEEKNUM(Table1[[#This Row],[Date]])</f>
        <v>41</v>
      </c>
    </row>
    <row r="1950" spans="1:20" hidden="1">
      <c r="A1950" s="1">
        <v>45939</v>
      </c>
      <c r="B1950" t="s">
        <v>72</v>
      </c>
      <c r="C1950" t="s">
        <v>63</v>
      </c>
      <c r="D1950" t="s">
        <v>64</v>
      </c>
      <c r="E1950" t="s">
        <v>32</v>
      </c>
      <c r="F1950" t="s">
        <v>73</v>
      </c>
      <c r="G1950" s="9" t="s">
        <v>74</v>
      </c>
      <c r="H1950">
        <v>216348</v>
      </c>
      <c r="I1950">
        <v>216348</v>
      </c>
      <c r="J1950" s="21">
        <v>45931</v>
      </c>
      <c r="K1950" t="s">
        <v>67</v>
      </c>
      <c r="L1950" t="s">
        <v>68</v>
      </c>
      <c r="M1950" t="s">
        <v>69</v>
      </c>
      <c r="O1950">
        <v>0</v>
      </c>
      <c r="P1950" t="s">
        <v>70</v>
      </c>
      <c r="S1950" t="str">
        <f>TEXT(Table1[[#This Row],[Date]],"MMM-YY")</f>
        <v>Oct-25</v>
      </c>
      <c r="T1950">
        <f>_xlfn.ISOWEEKNUM(Table1[[#This Row],[Date]])</f>
        <v>41</v>
      </c>
    </row>
    <row r="1951" spans="1:20" hidden="1">
      <c r="A1951" s="1">
        <v>45939</v>
      </c>
      <c r="B1951" t="s">
        <v>110</v>
      </c>
      <c r="C1951" t="s">
        <v>63</v>
      </c>
      <c r="D1951" t="s">
        <v>64</v>
      </c>
      <c r="E1951" t="s">
        <v>26</v>
      </c>
      <c r="F1951" t="s">
        <v>86</v>
      </c>
      <c r="G1951" s="9" t="s">
        <v>111</v>
      </c>
      <c r="H1951">
        <v>23500</v>
      </c>
      <c r="I1951">
        <v>23500</v>
      </c>
      <c r="J1951" s="21">
        <v>45931</v>
      </c>
      <c r="K1951" t="s">
        <v>67</v>
      </c>
      <c r="L1951" t="s">
        <v>68</v>
      </c>
      <c r="M1951" t="s">
        <v>69</v>
      </c>
      <c r="O1951">
        <v>0</v>
      </c>
      <c r="P1951" t="s">
        <v>70</v>
      </c>
      <c r="S1951" t="str">
        <f>TEXT(Table1[[#This Row],[Date]],"MMM-YY")</f>
        <v>Oct-25</v>
      </c>
      <c r="T1951">
        <f>_xlfn.ISOWEEKNUM(Table1[[#This Row],[Date]])</f>
        <v>41</v>
      </c>
    </row>
    <row r="1952" spans="1:20" hidden="1">
      <c r="A1952" s="1">
        <v>45940</v>
      </c>
      <c r="B1952" s="67" t="s">
        <v>112</v>
      </c>
      <c r="C1952" t="s">
        <v>96</v>
      </c>
      <c r="D1952" t="s">
        <v>64</v>
      </c>
      <c r="E1952" t="s">
        <v>38</v>
      </c>
      <c r="F1952" t="s">
        <v>113</v>
      </c>
      <c r="G1952" s="69" t="s">
        <v>136</v>
      </c>
      <c r="H1952">
        <v>13850</v>
      </c>
      <c r="I1952">
        <v>13850</v>
      </c>
      <c r="J1952" s="21">
        <v>45931</v>
      </c>
      <c r="K1952" t="s">
        <v>67</v>
      </c>
      <c r="L1952" t="s">
        <v>68</v>
      </c>
      <c r="M1952" t="s">
        <v>69</v>
      </c>
      <c r="O1952">
        <v>0</v>
      </c>
      <c r="P1952" t="s">
        <v>108</v>
      </c>
      <c r="S1952" t="str">
        <f>TEXT(Table1[[#This Row],[Date]],"MMM-YY")</f>
        <v>Oct-25</v>
      </c>
      <c r="T1952">
        <f>_xlfn.ISOWEEKNUM(Table1[[#This Row],[Date]])</f>
        <v>41</v>
      </c>
    </row>
    <row r="1953" spans="1:20" hidden="1">
      <c r="A1953" s="1">
        <v>45940</v>
      </c>
      <c r="B1953" t="s">
        <v>115</v>
      </c>
      <c r="C1953" t="s">
        <v>63</v>
      </c>
      <c r="D1953" t="s">
        <v>64</v>
      </c>
      <c r="E1953" t="s">
        <v>39</v>
      </c>
      <c r="F1953" t="s">
        <v>116</v>
      </c>
      <c r="G1953" s="9" t="s">
        <v>117</v>
      </c>
      <c r="H1953">
        <v>18080</v>
      </c>
      <c r="I1953">
        <v>18080</v>
      </c>
      <c r="J1953" s="21">
        <v>45931</v>
      </c>
      <c r="K1953" t="s">
        <v>67</v>
      </c>
      <c r="L1953" t="s">
        <v>68</v>
      </c>
      <c r="M1953" t="s">
        <v>69</v>
      </c>
      <c r="O1953">
        <v>0</v>
      </c>
      <c r="P1953" t="s">
        <v>108</v>
      </c>
      <c r="S1953" t="str">
        <f>TEXT(Table1[[#This Row],[Date]],"MMM-YY")</f>
        <v>Oct-25</v>
      </c>
      <c r="T1953">
        <f>_xlfn.ISOWEEKNUM(Table1[[#This Row],[Date]])</f>
        <v>41</v>
      </c>
    </row>
    <row r="1954" spans="1:20" ht="29.1" hidden="1">
      <c r="A1954" s="1">
        <v>45941</v>
      </c>
      <c r="B1954" t="s">
        <v>104</v>
      </c>
      <c r="C1954" t="s">
        <v>96</v>
      </c>
      <c r="D1954" t="s">
        <v>105</v>
      </c>
      <c r="E1954" t="s">
        <v>18</v>
      </c>
      <c r="F1954" t="s">
        <v>106</v>
      </c>
      <c r="G1954" s="9" t="s">
        <v>107</v>
      </c>
      <c r="H1954">
        <v>25600</v>
      </c>
      <c r="I1954">
        <v>25600</v>
      </c>
      <c r="J1954" s="21">
        <v>45931</v>
      </c>
      <c r="K1954" t="s">
        <v>67</v>
      </c>
      <c r="L1954" t="s">
        <v>68</v>
      </c>
      <c r="M1954" t="s">
        <v>69</v>
      </c>
      <c r="O1954">
        <v>0</v>
      </c>
      <c r="P1954" t="s">
        <v>108</v>
      </c>
      <c r="S1954" t="str">
        <f>TEXT(Table1[[#This Row],[Date]],"MMM-YY")</f>
        <v>Oct-25</v>
      </c>
      <c r="T1954">
        <f>_xlfn.ISOWEEKNUM(Table1[[#This Row],[Date]])</f>
        <v>41</v>
      </c>
    </row>
    <row r="1955" spans="1:20" hidden="1">
      <c r="A1955" s="81">
        <v>45941</v>
      </c>
      <c r="B1955" s="82" t="s">
        <v>4001</v>
      </c>
      <c r="C1955" s="82" t="s">
        <v>96</v>
      </c>
      <c r="D1955" s="82" t="s">
        <v>64</v>
      </c>
      <c r="E1955" s="82" t="s">
        <v>32</v>
      </c>
      <c r="F1955" s="82" t="s">
        <v>2384</v>
      </c>
      <c r="G1955" s="83" t="s">
        <v>4002</v>
      </c>
      <c r="H1955" s="82">
        <v>16423</v>
      </c>
      <c r="I1955" s="82">
        <v>16423</v>
      </c>
      <c r="J1955" s="21">
        <v>45931</v>
      </c>
      <c r="K1955" t="s">
        <v>67</v>
      </c>
      <c r="L1955" t="s">
        <v>9</v>
      </c>
      <c r="M1955" t="s">
        <v>9</v>
      </c>
      <c r="O1955">
        <v>0</v>
      </c>
      <c r="P1955" t="s">
        <v>108</v>
      </c>
      <c r="S1955" t="str">
        <f>TEXT(Table1[[#This Row],[Date]],"MMM-YY")</f>
        <v>Oct-25</v>
      </c>
      <c r="T1955">
        <f>_xlfn.ISOWEEKNUM(Table1[[#This Row],[Date]])</f>
        <v>41</v>
      </c>
    </row>
    <row r="1956" spans="1:20" ht="29.1" hidden="1">
      <c r="A1956" s="1">
        <v>45941</v>
      </c>
      <c r="B1956" t="s">
        <v>141</v>
      </c>
      <c r="C1956" t="s">
        <v>96</v>
      </c>
      <c r="D1956" t="s">
        <v>64</v>
      </c>
      <c r="E1956" t="s">
        <v>142</v>
      </c>
      <c r="F1956" t="s">
        <v>143</v>
      </c>
      <c r="G1956" s="9" t="s">
        <v>144</v>
      </c>
      <c r="H1956">
        <v>13500</v>
      </c>
      <c r="I1956">
        <v>13500</v>
      </c>
      <c r="J1956" s="21">
        <v>45931</v>
      </c>
      <c r="K1956" t="s">
        <v>67</v>
      </c>
      <c r="L1956" t="s">
        <v>68</v>
      </c>
      <c r="M1956" t="s">
        <v>69</v>
      </c>
      <c r="O1956">
        <v>0</v>
      </c>
      <c r="P1956" t="s">
        <v>108</v>
      </c>
      <c r="S1956" t="str">
        <f>TEXT(Table1[[#This Row],[Date]],"MMM-YY")</f>
        <v>Oct-25</v>
      </c>
      <c r="T1956">
        <f>_xlfn.ISOWEEKNUM(Table1[[#This Row],[Date]])</f>
        <v>41</v>
      </c>
    </row>
    <row r="1957" spans="1:20" hidden="1">
      <c r="A1957" s="81">
        <v>45942</v>
      </c>
      <c r="B1957" s="82" t="s">
        <v>532</v>
      </c>
      <c r="C1957" s="82" t="s">
        <v>96</v>
      </c>
      <c r="D1957" s="82" t="s">
        <v>64</v>
      </c>
      <c r="E1957" s="82" t="s">
        <v>32</v>
      </c>
      <c r="F1957" s="82" t="s">
        <v>238</v>
      </c>
      <c r="G1957" s="83" t="s">
        <v>4003</v>
      </c>
      <c r="H1957" s="82">
        <v>8500</v>
      </c>
      <c r="I1957" s="82">
        <v>8500</v>
      </c>
      <c r="J1957" s="21">
        <v>45931</v>
      </c>
      <c r="K1957" t="s">
        <v>67</v>
      </c>
      <c r="L1957" t="s">
        <v>9</v>
      </c>
      <c r="M1957" t="s">
        <v>9</v>
      </c>
      <c r="O1957">
        <v>0</v>
      </c>
      <c r="P1957" t="s">
        <v>108</v>
      </c>
      <c r="S1957" t="str">
        <f>TEXT(Table1[[#This Row],[Date]],"MMM-YY")</f>
        <v>Oct-25</v>
      </c>
      <c r="T1957">
        <f>_xlfn.ISOWEEKNUM(Table1[[#This Row],[Date]])</f>
        <v>41</v>
      </c>
    </row>
    <row r="1958" spans="1:20" ht="29.1" hidden="1">
      <c r="A1958" s="1">
        <v>45942</v>
      </c>
      <c r="B1958" t="s">
        <v>126</v>
      </c>
      <c r="C1958" t="s">
        <v>96</v>
      </c>
      <c r="D1958" t="s">
        <v>64</v>
      </c>
      <c r="E1958" t="s">
        <v>25</v>
      </c>
      <c r="F1958" t="s">
        <v>127</v>
      </c>
      <c r="G1958" s="9" t="s">
        <v>128</v>
      </c>
      <c r="H1958">
        <v>15044</v>
      </c>
      <c r="I1958">
        <v>15044</v>
      </c>
      <c r="J1958" s="21">
        <v>45931</v>
      </c>
      <c r="K1958" t="s">
        <v>67</v>
      </c>
      <c r="L1958" t="s">
        <v>68</v>
      </c>
      <c r="M1958" t="s">
        <v>69</v>
      </c>
      <c r="O1958">
        <v>0</v>
      </c>
      <c r="P1958" t="s">
        <v>108</v>
      </c>
      <c r="S1958" t="str">
        <f>TEXT(Table1[[#This Row],[Date]],"MMM-YY")</f>
        <v>Oct-25</v>
      </c>
      <c r="T1958">
        <f>_xlfn.ISOWEEKNUM(Table1[[#This Row],[Date]])</f>
        <v>41</v>
      </c>
    </row>
    <row r="1959" spans="1:20" hidden="1">
      <c r="A1959" s="1">
        <v>45943</v>
      </c>
      <c r="B1959" t="s">
        <v>115</v>
      </c>
      <c r="C1959" t="s">
        <v>63</v>
      </c>
      <c r="D1959" t="s">
        <v>64</v>
      </c>
      <c r="E1959" t="s">
        <v>39</v>
      </c>
      <c r="F1959" t="s">
        <v>116</v>
      </c>
      <c r="G1959" s="9" t="s">
        <v>4004</v>
      </c>
      <c r="H1959">
        <v>30000</v>
      </c>
      <c r="J1959" s="21">
        <v>45931</v>
      </c>
      <c r="K1959" t="s">
        <v>67</v>
      </c>
      <c r="L1959" t="s">
        <v>9</v>
      </c>
      <c r="M1959" t="s">
        <v>9</v>
      </c>
      <c r="O1959">
        <v>0</v>
      </c>
      <c r="P1959" t="s">
        <v>108</v>
      </c>
      <c r="S1959" t="str">
        <f>TEXT(Table1[[#This Row],[Date]],"MMM-YY")</f>
        <v>Oct-25</v>
      </c>
      <c r="T1959">
        <f>_xlfn.ISOWEEKNUM(Table1[[#This Row],[Date]])</f>
        <v>42</v>
      </c>
    </row>
    <row r="1960" spans="1:20" hidden="1">
      <c r="A1960" s="1">
        <v>45943</v>
      </c>
      <c r="B1960" t="s">
        <v>82</v>
      </c>
      <c r="C1960" t="s">
        <v>63</v>
      </c>
      <c r="D1960" t="s">
        <v>64</v>
      </c>
      <c r="E1960" t="s">
        <v>38</v>
      </c>
      <c r="F1960" t="s">
        <v>93</v>
      </c>
      <c r="G1960" s="9" t="s">
        <v>94</v>
      </c>
      <c r="H1960">
        <v>39555</v>
      </c>
      <c r="I1960">
        <v>39555</v>
      </c>
      <c r="J1960" s="21">
        <v>45931</v>
      </c>
      <c r="K1960" t="s">
        <v>67</v>
      </c>
      <c r="L1960" t="s">
        <v>68</v>
      </c>
      <c r="M1960" t="s">
        <v>69</v>
      </c>
      <c r="O1960">
        <v>0</v>
      </c>
      <c r="P1960" t="s">
        <v>70</v>
      </c>
      <c r="S1960" t="str">
        <f>TEXT(Table1[[#This Row],[Date]],"MMM-YY")</f>
        <v>Oct-25</v>
      </c>
      <c r="T1960">
        <f>_xlfn.ISOWEEKNUM(Table1[[#This Row],[Date]])</f>
        <v>42</v>
      </c>
    </row>
    <row r="1961" spans="1:20" hidden="1">
      <c r="A1961" s="1">
        <v>45943</v>
      </c>
      <c r="B1961" s="67" t="s">
        <v>112</v>
      </c>
      <c r="C1961" t="s">
        <v>96</v>
      </c>
      <c r="D1961" t="s">
        <v>64</v>
      </c>
      <c r="E1961" t="s">
        <v>38</v>
      </c>
      <c r="F1961" t="s">
        <v>113</v>
      </c>
      <c r="G1961" s="69" t="s">
        <v>151</v>
      </c>
      <c r="H1961">
        <v>11830</v>
      </c>
      <c r="I1961">
        <v>11830</v>
      </c>
      <c r="J1961" s="21">
        <v>45931</v>
      </c>
      <c r="K1961" t="s">
        <v>67</v>
      </c>
      <c r="L1961" t="s">
        <v>68</v>
      </c>
      <c r="M1961" t="s">
        <v>69</v>
      </c>
      <c r="O1961">
        <v>0</v>
      </c>
      <c r="P1961" t="s">
        <v>108</v>
      </c>
      <c r="S1961" t="str">
        <f>TEXT(Table1[[#This Row],[Date]],"MMM-YY")</f>
        <v>Oct-25</v>
      </c>
      <c r="T1961">
        <f>_xlfn.ISOWEEKNUM(Table1[[#This Row],[Date]])</f>
        <v>42</v>
      </c>
    </row>
    <row r="1962" spans="1:20" hidden="1">
      <c r="A1962" s="1">
        <v>45943</v>
      </c>
      <c r="B1962" t="s">
        <v>119</v>
      </c>
      <c r="C1962" t="s">
        <v>96</v>
      </c>
      <c r="D1962" t="s">
        <v>105</v>
      </c>
      <c r="E1962" t="s">
        <v>18</v>
      </c>
      <c r="F1962" t="s">
        <v>120</v>
      </c>
      <c r="G1962" s="9" t="s">
        <v>124</v>
      </c>
      <c r="H1962">
        <v>15500</v>
      </c>
      <c r="I1962">
        <v>15500</v>
      </c>
      <c r="J1962" s="21">
        <v>45931</v>
      </c>
      <c r="K1962" t="s">
        <v>67</v>
      </c>
      <c r="L1962" t="s">
        <v>68</v>
      </c>
      <c r="M1962" t="s">
        <v>69</v>
      </c>
      <c r="O1962">
        <v>0</v>
      </c>
      <c r="P1962" t="s">
        <v>108</v>
      </c>
      <c r="S1962" t="str">
        <f>TEXT(Table1[[#This Row],[Date]],"MMM-YY")</f>
        <v>Oct-25</v>
      </c>
      <c r="T1962">
        <f>_xlfn.ISOWEEKNUM(Table1[[#This Row],[Date]])</f>
        <v>42</v>
      </c>
    </row>
    <row r="1963" spans="1:20" hidden="1">
      <c r="A1963" s="1">
        <v>45943</v>
      </c>
      <c r="B1963" t="s">
        <v>4005</v>
      </c>
      <c r="C1963" t="s">
        <v>63</v>
      </c>
      <c r="D1963" t="s">
        <v>64</v>
      </c>
      <c r="E1963" t="s">
        <v>25</v>
      </c>
      <c r="F1963" t="s">
        <v>4006</v>
      </c>
      <c r="G1963" s="9" t="s">
        <v>4007</v>
      </c>
      <c r="H1963">
        <v>0</v>
      </c>
      <c r="I1963">
        <v>0</v>
      </c>
      <c r="J1963" s="21">
        <v>46023</v>
      </c>
      <c r="K1963" t="s">
        <v>67</v>
      </c>
      <c r="L1963" t="s">
        <v>9</v>
      </c>
      <c r="M1963" t="s">
        <v>9</v>
      </c>
      <c r="O1963">
        <v>0</v>
      </c>
      <c r="P1963" t="s">
        <v>70</v>
      </c>
      <c r="S1963" t="str">
        <f>TEXT(Table1[[#This Row],[Date]],"MMM-YY")</f>
        <v>Oct-25</v>
      </c>
      <c r="T1963">
        <f>_xlfn.ISOWEEKNUM(Table1[[#This Row],[Date]])</f>
        <v>42</v>
      </c>
    </row>
    <row r="1964" spans="1:20" ht="29.1" hidden="1">
      <c r="A1964" s="1">
        <v>45943</v>
      </c>
      <c r="B1964" t="s">
        <v>4008</v>
      </c>
      <c r="C1964" t="s">
        <v>63</v>
      </c>
      <c r="D1964" t="s">
        <v>64</v>
      </c>
      <c r="E1964" t="s">
        <v>29</v>
      </c>
      <c r="F1964" t="s">
        <v>1387</v>
      </c>
      <c r="G1964" s="9" t="s">
        <v>4009</v>
      </c>
      <c r="H1964">
        <v>80000</v>
      </c>
      <c r="J1964" s="21">
        <v>45962</v>
      </c>
      <c r="K1964" t="s">
        <v>67</v>
      </c>
      <c r="L1964" t="s">
        <v>9</v>
      </c>
      <c r="M1964" t="s">
        <v>9</v>
      </c>
      <c r="O1964">
        <v>0</v>
      </c>
      <c r="P1964" t="s">
        <v>70</v>
      </c>
      <c r="S1964" t="str">
        <f>TEXT(Table1[[#This Row],[Date]],"MMM-YY")</f>
        <v>Oct-25</v>
      </c>
      <c r="T1964">
        <f>_xlfn.ISOWEEKNUM(Table1[[#This Row],[Date]])</f>
        <v>42</v>
      </c>
    </row>
    <row r="1965" spans="1:20" hidden="1">
      <c r="A1965" s="1">
        <v>45943</v>
      </c>
      <c r="B1965" t="s">
        <v>132</v>
      </c>
      <c r="C1965" t="s">
        <v>96</v>
      </c>
      <c r="D1965" t="s">
        <v>20</v>
      </c>
      <c r="E1965" t="s">
        <v>23</v>
      </c>
      <c r="F1965" t="s">
        <v>133</v>
      </c>
      <c r="G1965" s="9" t="s">
        <v>134</v>
      </c>
      <c r="H1965">
        <v>13979</v>
      </c>
      <c r="I1965">
        <v>13979</v>
      </c>
      <c r="J1965" s="21">
        <v>45931</v>
      </c>
      <c r="K1965" t="s">
        <v>67</v>
      </c>
      <c r="L1965" t="s">
        <v>68</v>
      </c>
      <c r="M1965" t="s">
        <v>69</v>
      </c>
      <c r="O1965">
        <v>0</v>
      </c>
      <c r="P1965" t="s">
        <v>135</v>
      </c>
      <c r="S1965" t="str">
        <f>TEXT(Table1[[#This Row],[Date]],"MMM-YY")</f>
        <v>Oct-25</v>
      </c>
      <c r="T1965">
        <f>_xlfn.ISOWEEKNUM(Table1[[#This Row],[Date]])</f>
        <v>42</v>
      </c>
    </row>
    <row r="1966" spans="1:20" hidden="1">
      <c r="A1966" s="81">
        <v>45943</v>
      </c>
      <c r="B1966" s="82" t="s">
        <v>4010</v>
      </c>
      <c r="C1966" s="82" t="s">
        <v>96</v>
      </c>
      <c r="D1966" s="82" t="s">
        <v>64</v>
      </c>
      <c r="E1966" s="82" t="s">
        <v>32</v>
      </c>
      <c r="F1966" s="82" t="s">
        <v>4011</v>
      </c>
      <c r="G1966" s="83" t="s">
        <v>4012</v>
      </c>
      <c r="H1966" s="82">
        <v>21041</v>
      </c>
      <c r="I1966">
        <v>21041</v>
      </c>
      <c r="J1966" s="21">
        <v>45931</v>
      </c>
      <c r="K1966" t="s">
        <v>67</v>
      </c>
      <c r="L1966" t="s">
        <v>9</v>
      </c>
      <c r="M1966" t="s">
        <v>9</v>
      </c>
      <c r="O1966">
        <v>0</v>
      </c>
      <c r="P1966" t="s">
        <v>135</v>
      </c>
      <c r="S1966" t="str">
        <f>TEXT(Table1[[#This Row],[Date]],"MMM-YY")</f>
        <v>Oct-25</v>
      </c>
      <c r="T1966">
        <f>_xlfn.ISOWEEKNUM(Table1[[#This Row],[Date]])</f>
        <v>42</v>
      </c>
    </row>
    <row r="1967" spans="1:20" ht="29.1" hidden="1">
      <c r="A1967" s="81">
        <v>45943</v>
      </c>
      <c r="B1967" s="82" t="s">
        <v>4013</v>
      </c>
      <c r="C1967" s="82" t="s">
        <v>96</v>
      </c>
      <c r="D1967" s="82" t="s">
        <v>64</v>
      </c>
      <c r="E1967" s="82" t="s">
        <v>39</v>
      </c>
      <c r="F1967" s="82" t="s">
        <v>214</v>
      </c>
      <c r="G1967" s="83" t="s">
        <v>4014</v>
      </c>
      <c r="H1967" s="82">
        <v>34500</v>
      </c>
      <c r="I1967">
        <v>34500</v>
      </c>
      <c r="J1967" s="21">
        <v>45931</v>
      </c>
      <c r="K1967" t="s">
        <v>67</v>
      </c>
      <c r="L1967" t="s">
        <v>9</v>
      </c>
      <c r="M1967" t="s">
        <v>9</v>
      </c>
      <c r="O1967">
        <v>0</v>
      </c>
      <c r="P1967" t="s">
        <v>135</v>
      </c>
      <c r="S1967" t="str">
        <f>TEXT(Table1[[#This Row],[Date]],"MMM-YY")</f>
        <v>Oct-25</v>
      </c>
      <c r="T1967">
        <f>_xlfn.ISOWEEKNUM(Table1[[#This Row],[Date]])</f>
        <v>42</v>
      </c>
    </row>
    <row r="1968" spans="1:20" hidden="1">
      <c r="A1968" s="1">
        <v>45943</v>
      </c>
      <c r="B1968" t="s">
        <v>4015</v>
      </c>
      <c r="C1968" t="s">
        <v>63</v>
      </c>
      <c r="D1968" t="s">
        <v>64</v>
      </c>
      <c r="E1968" t="s">
        <v>27</v>
      </c>
      <c r="F1968" t="s">
        <v>4016</v>
      </c>
      <c r="G1968" s="9" t="s">
        <v>4017</v>
      </c>
      <c r="H1968">
        <v>0</v>
      </c>
      <c r="J1968" s="21">
        <v>45992</v>
      </c>
      <c r="K1968" t="s">
        <v>67</v>
      </c>
      <c r="L1968" t="s">
        <v>9</v>
      </c>
      <c r="M1968" t="s">
        <v>9</v>
      </c>
      <c r="O1968">
        <v>0</v>
      </c>
      <c r="P1968" t="s">
        <v>135</v>
      </c>
      <c r="S1968" t="str">
        <f>TEXT(Table1[[#This Row],[Date]],"MMM-YY")</f>
        <v>Oct-25</v>
      </c>
      <c r="T1968">
        <f>_xlfn.ISOWEEKNUM(Table1[[#This Row],[Date]])</f>
        <v>42</v>
      </c>
    </row>
    <row r="1969" spans="1:20" hidden="1">
      <c r="A1969" s="1">
        <v>45943</v>
      </c>
      <c r="B1969" t="s">
        <v>4018</v>
      </c>
      <c r="C1969" t="s">
        <v>63</v>
      </c>
      <c r="D1969" t="s">
        <v>64</v>
      </c>
      <c r="E1969" t="s">
        <v>27</v>
      </c>
      <c r="F1969" t="s">
        <v>2596</v>
      </c>
      <c r="G1969" s="9" t="s">
        <v>4017</v>
      </c>
      <c r="H1969">
        <v>0</v>
      </c>
      <c r="J1969" s="21">
        <v>45992</v>
      </c>
      <c r="K1969" t="s">
        <v>67</v>
      </c>
      <c r="L1969" t="s">
        <v>9</v>
      </c>
      <c r="M1969" t="s">
        <v>9</v>
      </c>
      <c r="O1969">
        <v>0</v>
      </c>
      <c r="P1969" t="s">
        <v>135</v>
      </c>
      <c r="S1969" t="str">
        <f>TEXT(Table1[[#This Row],[Date]],"MMM-YY")</f>
        <v>Oct-25</v>
      </c>
      <c r="T1969">
        <f>_xlfn.ISOWEEKNUM(Table1[[#This Row],[Date]])</f>
        <v>42</v>
      </c>
    </row>
    <row r="1970" spans="1:20" hidden="1">
      <c r="A1970" s="1">
        <v>45944</v>
      </c>
      <c r="B1970" s="67" t="s">
        <v>112</v>
      </c>
      <c r="C1970" t="s">
        <v>96</v>
      </c>
      <c r="D1970" t="s">
        <v>64</v>
      </c>
      <c r="E1970" t="s">
        <v>38</v>
      </c>
      <c r="F1970" t="s">
        <v>113</v>
      </c>
      <c r="G1970" s="69" t="s">
        <v>157</v>
      </c>
      <c r="H1970">
        <v>10240</v>
      </c>
      <c r="I1970">
        <v>10240</v>
      </c>
      <c r="J1970" s="21">
        <v>45931</v>
      </c>
      <c r="K1970" t="s">
        <v>67</v>
      </c>
      <c r="L1970" t="s">
        <v>68</v>
      </c>
      <c r="M1970" t="s">
        <v>69</v>
      </c>
      <c r="O1970">
        <v>0</v>
      </c>
      <c r="P1970" t="s">
        <v>108</v>
      </c>
      <c r="S1970" t="str">
        <f>TEXT(Table1[[#This Row],[Date]],"MMM-YY")</f>
        <v>Oct-25</v>
      </c>
      <c r="T1970">
        <f>_xlfn.ISOWEEKNUM(Table1[[#This Row],[Date]])</f>
        <v>42</v>
      </c>
    </row>
    <row r="1971" spans="1:20" hidden="1">
      <c r="A1971" s="1">
        <v>45944</v>
      </c>
      <c r="B1971" t="s">
        <v>82</v>
      </c>
      <c r="C1971" t="s">
        <v>63</v>
      </c>
      <c r="D1971" t="s">
        <v>64</v>
      </c>
      <c r="E1971" t="s">
        <v>38</v>
      </c>
      <c r="F1971" t="s">
        <v>83</v>
      </c>
      <c r="G1971" s="9" t="s">
        <v>84</v>
      </c>
      <c r="H1971">
        <v>58185</v>
      </c>
      <c r="I1971">
        <v>58185</v>
      </c>
      <c r="J1971" s="21">
        <v>45931</v>
      </c>
      <c r="K1971" t="s">
        <v>67</v>
      </c>
      <c r="L1971" t="s">
        <v>68</v>
      </c>
      <c r="M1971" t="s">
        <v>69</v>
      </c>
      <c r="O1971">
        <v>0</v>
      </c>
      <c r="P1971" t="s">
        <v>70</v>
      </c>
      <c r="S1971" t="str">
        <f>TEXT(Table1[[#This Row],[Date]],"MMM-YY")</f>
        <v>Oct-25</v>
      </c>
      <c r="T1971">
        <f>_xlfn.ISOWEEKNUM(Table1[[#This Row],[Date]])</f>
        <v>42</v>
      </c>
    </row>
    <row r="1972" spans="1:20" hidden="1">
      <c r="A1972" s="1">
        <v>45944</v>
      </c>
      <c r="B1972" t="s">
        <v>162</v>
      </c>
      <c r="C1972" t="s">
        <v>163</v>
      </c>
      <c r="D1972" t="s">
        <v>64</v>
      </c>
      <c r="E1972" t="s">
        <v>26</v>
      </c>
      <c r="F1972" t="s">
        <v>164</v>
      </c>
      <c r="G1972" s="9" t="s">
        <v>165</v>
      </c>
      <c r="H1972">
        <v>6640</v>
      </c>
      <c r="I1972">
        <v>6640</v>
      </c>
      <c r="J1972" s="21">
        <v>45931</v>
      </c>
      <c r="K1972" t="s">
        <v>67</v>
      </c>
      <c r="L1972" t="s">
        <v>68</v>
      </c>
      <c r="M1972" t="s">
        <v>69</v>
      </c>
      <c r="O1972">
        <v>0</v>
      </c>
      <c r="P1972" t="s">
        <v>108</v>
      </c>
      <c r="S1972" t="str">
        <f>TEXT(Table1[[#This Row],[Date]],"MMM-YY")</f>
        <v>Oct-25</v>
      </c>
      <c r="T1972">
        <f>_xlfn.ISOWEEKNUM(Table1[[#This Row],[Date]])</f>
        <v>42</v>
      </c>
    </row>
    <row r="1973" spans="1:20" hidden="1">
      <c r="A1973" s="1">
        <v>45945</v>
      </c>
      <c r="B1973" t="s">
        <v>119</v>
      </c>
      <c r="C1973" t="s">
        <v>96</v>
      </c>
      <c r="D1973" t="s">
        <v>105</v>
      </c>
      <c r="E1973" t="s">
        <v>18</v>
      </c>
      <c r="F1973" t="s">
        <v>120</v>
      </c>
      <c r="G1973" s="9" t="s">
        <v>123</v>
      </c>
      <c r="H1973">
        <v>16100</v>
      </c>
      <c r="I1973">
        <v>16100</v>
      </c>
      <c r="J1973" s="21">
        <v>45931</v>
      </c>
      <c r="K1973" t="s">
        <v>67</v>
      </c>
      <c r="L1973" t="s">
        <v>68</v>
      </c>
      <c r="M1973" t="s">
        <v>69</v>
      </c>
      <c r="O1973">
        <v>0</v>
      </c>
      <c r="P1973" t="s">
        <v>108</v>
      </c>
      <c r="S1973" t="str">
        <f>TEXT(Table1[[#This Row],[Date]],"MMM-YY")</f>
        <v>Oct-25</v>
      </c>
      <c r="T1973">
        <f>_xlfn.ISOWEEKNUM(Table1[[#This Row],[Date]])</f>
        <v>42</v>
      </c>
    </row>
    <row r="1974" spans="1:20" hidden="1">
      <c r="A1974" s="1">
        <v>45945</v>
      </c>
      <c r="B1974" s="67" t="s">
        <v>112</v>
      </c>
      <c r="C1974" t="s">
        <v>96</v>
      </c>
      <c r="D1974" t="s">
        <v>64</v>
      </c>
      <c r="E1974" t="s">
        <v>38</v>
      </c>
      <c r="F1974" t="s">
        <v>113</v>
      </c>
      <c r="G1974" s="69" t="s">
        <v>114</v>
      </c>
      <c r="H1974">
        <v>21680</v>
      </c>
      <c r="I1974">
        <v>21680</v>
      </c>
      <c r="J1974" s="21">
        <v>45931</v>
      </c>
      <c r="K1974" t="s">
        <v>67</v>
      </c>
      <c r="L1974" t="s">
        <v>68</v>
      </c>
      <c r="M1974" t="s">
        <v>69</v>
      </c>
      <c r="O1974">
        <v>0</v>
      </c>
      <c r="P1974" t="s">
        <v>108</v>
      </c>
      <c r="S1974" t="str">
        <f>TEXT(Table1[[#This Row],[Date]],"MMM-YY")</f>
        <v>Oct-25</v>
      </c>
      <c r="T1974">
        <f>_xlfn.ISOWEEKNUM(Table1[[#This Row],[Date]])</f>
        <v>42</v>
      </c>
    </row>
    <row r="1975" spans="1:20" hidden="1">
      <c r="A1975" s="1">
        <v>45945</v>
      </c>
      <c r="B1975" t="s">
        <v>82</v>
      </c>
      <c r="C1975" t="s">
        <v>63</v>
      </c>
      <c r="D1975" t="s">
        <v>64</v>
      </c>
      <c r="E1975" t="s">
        <v>38</v>
      </c>
      <c r="F1975" t="s">
        <v>83</v>
      </c>
      <c r="G1975" s="9" t="s">
        <v>91</v>
      </c>
      <c r="H1975">
        <v>43200</v>
      </c>
      <c r="I1975">
        <v>43200</v>
      </c>
      <c r="J1975" s="21">
        <v>45931</v>
      </c>
      <c r="K1975" t="s">
        <v>67</v>
      </c>
      <c r="L1975" t="s">
        <v>68</v>
      </c>
      <c r="M1975" t="s">
        <v>69</v>
      </c>
      <c r="O1975">
        <v>0</v>
      </c>
      <c r="P1975" t="s">
        <v>70</v>
      </c>
      <c r="S1975" t="str">
        <f>TEXT(Table1[[#This Row],[Date]],"MMM-YY")</f>
        <v>Oct-25</v>
      </c>
      <c r="T1975">
        <f>_xlfn.ISOWEEKNUM(Table1[[#This Row],[Date]])</f>
        <v>42</v>
      </c>
    </row>
    <row r="1976" spans="1:20" ht="29.1">
      <c r="A1976" s="1">
        <v>45945</v>
      </c>
      <c r="B1976" s="67" t="s">
        <v>95</v>
      </c>
      <c r="C1976" t="s">
        <v>96</v>
      </c>
      <c r="D1976" t="s">
        <v>64</v>
      </c>
      <c r="E1976" t="s">
        <v>38</v>
      </c>
      <c r="F1976" t="s">
        <v>97</v>
      </c>
      <c r="G1976" s="69" t="s">
        <v>101</v>
      </c>
      <c r="H1976">
        <v>36208</v>
      </c>
      <c r="I1976">
        <v>36208</v>
      </c>
      <c r="J1976" s="21">
        <v>45931</v>
      </c>
      <c r="K1976" t="s">
        <v>99</v>
      </c>
      <c r="L1976" t="s">
        <v>68</v>
      </c>
      <c r="M1976" t="s">
        <v>69</v>
      </c>
      <c r="O1976">
        <v>0</v>
      </c>
      <c r="P1976" t="s">
        <v>70</v>
      </c>
      <c r="S1976" t="str">
        <f>TEXT(Table1[[#This Row],[Date]],"MMM-YY")</f>
        <v>Oct-25</v>
      </c>
      <c r="T1976">
        <f>_xlfn.ISOWEEKNUM(Table1[[#This Row],[Date]])</f>
        <v>42</v>
      </c>
    </row>
    <row r="1977" spans="1:20" hidden="1">
      <c r="A1977" s="1">
        <v>45946</v>
      </c>
      <c r="B1977" t="s">
        <v>119</v>
      </c>
      <c r="C1977" t="s">
        <v>96</v>
      </c>
      <c r="D1977" t="s">
        <v>105</v>
      </c>
      <c r="E1977" t="s">
        <v>18</v>
      </c>
      <c r="F1977" t="s">
        <v>120</v>
      </c>
      <c r="G1977" s="9" t="s">
        <v>122</v>
      </c>
      <c r="H1977">
        <v>15000</v>
      </c>
      <c r="I1977">
        <v>16100</v>
      </c>
      <c r="J1977" s="21">
        <v>45931</v>
      </c>
      <c r="K1977" t="s">
        <v>67</v>
      </c>
      <c r="L1977" t="s">
        <v>68</v>
      </c>
      <c r="M1977" t="s">
        <v>69</v>
      </c>
      <c r="O1977">
        <v>0</v>
      </c>
      <c r="P1977" t="s">
        <v>108</v>
      </c>
      <c r="S1977" t="str">
        <f>TEXT(Table1[[#This Row],[Date]],"MMM-YY")</f>
        <v>Oct-25</v>
      </c>
      <c r="T1977">
        <f>_xlfn.ISOWEEKNUM(Table1[[#This Row],[Date]])</f>
        <v>42</v>
      </c>
    </row>
    <row r="1978" spans="1:20" hidden="1">
      <c r="A1978" s="1">
        <v>45946</v>
      </c>
      <c r="B1978" s="67" t="s">
        <v>112</v>
      </c>
      <c r="C1978" t="s">
        <v>96</v>
      </c>
      <c r="D1978" t="s">
        <v>64</v>
      </c>
      <c r="E1978" t="s">
        <v>38</v>
      </c>
      <c r="F1978" t="s">
        <v>113</v>
      </c>
      <c r="G1978" s="69" t="s">
        <v>118</v>
      </c>
      <c r="H1978">
        <v>17576</v>
      </c>
      <c r="I1978">
        <v>17576</v>
      </c>
      <c r="J1978" s="21">
        <v>45931</v>
      </c>
      <c r="K1978" t="s">
        <v>67</v>
      </c>
      <c r="L1978" t="s">
        <v>68</v>
      </c>
      <c r="M1978" t="s">
        <v>69</v>
      </c>
      <c r="O1978">
        <v>0</v>
      </c>
      <c r="P1978" t="s">
        <v>108</v>
      </c>
      <c r="S1978" t="str">
        <f>TEXT(Table1[[#This Row],[Date]],"MMM-YY")</f>
        <v>Oct-25</v>
      </c>
      <c r="T1978">
        <f>_xlfn.ISOWEEKNUM(Table1[[#This Row],[Date]])</f>
        <v>42</v>
      </c>
    </row>
    <row r="1979" spans="1:20" hidden="1">
      <c r="A1979" s="1">
        <v>45946</v>
      </c>
      <c r="B1979" t="s">
        <v>82</v>
      </c>
      <c r="C1979" t="s">
        <v>63</v>
      </c>
      <c r="D1979" t="s">
        <v>64</v>
      </c>
      <c r="E1979" t="s">
        <v>38</v>
      </c>
      <c r="F1979" t="s">
        <v>83</v>
      </c>
      <c r="G1979" s="9" t="s">
        <v>92</v>
      </c>
      <c r="H1979">
        <v>40905</v>
      </c>
      <c r="I1979">
        <v>40905</v>
      </c>
      <c r="J1979" s="21">
        <v>45931</v>
      </c>
      <c r="K1979" t="s">
        <v>67</v>
      </c>
      <c r="L1979" t="s">
        <v>68</v>
      </c>
      <c r="M1979" t="s">
        <v>69</v>
      </c>
      <c r="O1979">
        <v>0</v>
      </c>
      <c r="P1979" t="s">
        <v>70</v>
      </c>
      <c r="S1979" t="str">
        <f>TEXT(Table1[[#This Row],[Date]],"MMM-YY")</f>
        <v>Oct-25</v>
      </c>
      <c r="T1979">
        <f>_xlfn.ISOWEEKNUM(Table1[[#This Row],[Date]])</f>
        <v>42</v>
      </c>
    </row>
    <row r="1980" spans="1:20" hidden="1">
      <c r="A1980" s="1">
        <v>45947</v>
      </c>
      <c r="B1980" t="s">
        <v>119</v>
      </c>
      <c r="C1980" t="s">
        <v>96</v>
      </c>
      <c r="D1980" t="s">
        <v>105</v>
      </c>
      <c r="E1980" t="s">
        <v>18</v>
      </c>
      <c r="F1980" t="s">
        <v>120</v>
      </c>
      <c r="G1980" s="9" t="s">
        <v>121</v>
      </c>
      <c r="H1980">
        <v>12000</v>
      </c>
      <c r="I1980">
        <v>16100</v>
      </c>
      <c r="J1980" s="21">
        <v>45931</v>
      </c>
      <c r="K1980" t="s">
        <v>67</v>
      </c>
      <c r="L1980" t="s">
        <v>68</v>
      </c>
      <c r="M1980" t="s">
        <v>69</v>
      </c>
      <c r="O1980">
        <v>0</v>
      </c>
      <c r="P1980" t="s">
        <v>108</v>
      </c>
      <c r="S1980" t="str">
        <f>TEXT(Table1[[#This Row],[Date]],"MMM-YY")</f>
        <v>Oct-25</v>
      </c>
      <c r="T1980">
        <f>_xlfn.ISOWEEKNUM(Table1[[#This Row],[Date]])</f>
        <v>42</v>
      </c>
    </row>
    <row r="1981" spans="1:20" hidden="1">
      <c r="A1981" s="1">
        <v>45947</v>
      </c>
      <c r="B1981" s="67" t="s">
        <v>112</v>
      </c>
      <c r="C1981" t="s">
        <v>96</v>
      </c>
      <c r="D1981" t="s">
        <v>64</v>
      </c>
      <c r="E1981" t="s">
        <v>38</v>
      </c>
      <c r="F1981" t="s">
        <v>113</v>
      </c>
      <c r="G1981" s="69" t="s">
        <v>149</v>
      </c>
      <c r="H1981">
        <v>12297</v>
      </c>
      <c r="I1981">
        <v>12297</v>
      </c>
      <c r="J1981" s="21">
        <v>45931</v>
      </c>
      <c r="K1981" t="s">
        <v>67</v>
      </c>
      <c r="L1981" t="s">
        <v>68</v>
      </c>
      <c r="M1981" t="s">
        <v>69</v>
      </c>
      <c r="O1981">
        <v>0</v>
      </c>
      <c r="P1981" t="s">
        <v>108</v>
      </c>
      <c r="S1981" t="str">
        <f>TEXT(Table1[[#This Row],[Date]],"MMM-YY")</f>
        <v>Oct-25</v>
      </c>
      <c r="T1981">
        <f>_xlfn.ISOWEEKNUM(Table1[[#This Row],[Date]])</f>
        <v>42</v>
      </c>
    </row>
    <row r="1982" spans="1:20" hidden="1">
      <c r="A1982" s="1">
        <v>45948</v>
      </c>
      <c r="B1982" t="s">
        <v>119</v>
      </c>
      <c r="C1982" t="s">
        <v>96</v>
      </c>
      <c r="D1982" t="s">
        <v>105</v>
      </c>
      <c r="E1982" t="s">
        <v>18</v>
      </c>
      <c r="F1982" t="s">
        <v>120</v>
      </c>
      <c r="G1982" s="9" t="s">
        <v>167</v>
      </c>
      <c r="H1982">
        <v>5500</v>
      </c>
      <c r="I1982">
        <v>5500</v>
      </c>
      <c r="J1982" s="21">
        <v>45931</v>
      </c>
      <c r="K1982" t="s">
        <v>67</v>
      </c>
      <c r="L1982" t="s">
        <v>68</v>
      </c>
      <c r="M1982" t="s">
        <v>69</v>
      </c>
      <c r="O1982">
        <v>0</v>
      </c>
      <c r="P1982" t="s">
        <v>108</v>
      </c>
      <c r="S1982" t="str">
        <f>TEXT(Table1[[#This Row],[Date]],"MMM-YY")</f>
        <v>Oct-25</v>
      </c>
      <c r="T1982">
        <f>_xlfn.ISOWEEKNUM(Table1[[#This Row],[Date]])</f>
        <v>42</v>
      </c>
    </row>
    <row r="1983" spans="1:20" hidden="1">
      <c r="A1983" s="1">
        <v>45951</v>
      </c>
      <c r="B1983" t="s">
        <v>119</v>
      </c>
      <c r="C1983" t="s">
        <v>96</v>
      </c>
      <c r="D1983" t="s">
        <v>105</v>
      </c>
      <c r="E1983" t="s">
        <v>18</v>
      </c>
      <c r="F1983" t="s">
        <v>120</v>
      </c>
      <c r="G1983" s="9" t="s">
        <v>167</v>
      </c>
      <c r="H1983">
        <v>2500</v>
      </c>
      <c r="I1983">
        <v>2500</v>
      </c>
      <c r="J1983" s="21">
        <v>45931</v>
      </c>
      <c r="K1983" t="s">
        <v>67</v>
      </c>
      <c r="L1983" t="s">
        <v>68</v>
      </c>
      <c r="M1983" t="s">
        <v>69</v>
      </c>
      <c r="O1983">
        <v>0</v>
      </c>
      <c r="P1983" t="s">
        <v>108</v>
      </c>
      <c r="S1983" t="str">
        <f>TEXT(Table1[[#This Row],[Date]],"MMM-YY")</f>
        <v>Oct-25</v>
      </c>
      <c r="T1983">
        <f>_xlfn.ISOWEEKNUM(Table1[[#This Row],[Date]])</f>
        <v>43</v>
      </c>
    </row>
    <row r="1984" spans="1:20" hidden="1">
      <c r="A1984" s="1">
        <v>45951</v>
      </c>
      <c r="B1984" s="67" t="s">
        <v>112</v>
      </c>
      <c r="C1984" t="s">
        <v>96</v>
      </c>
      <c r="D1984" t="s">
        <v>64</v>
      </c>
      <c r="E1984" t="s">
        <v>38</v>
      </c>
      <c r="F1984" t="s">
        <v>113</v>
      </c>
      <c r="G1984" s="69" t="s">
        <v>172</v>
      </c>
      <c r="H1984">
        <v>3160</v>
      </c>
      <c r="I1984">
        <v>3160</v>
      </c>
      <c r="J1984" s="21">
        <v>45931</v>
      </c>
      <c r="K1984" t="s">
        <v>67</v>
      </c>
      <c r="L1984" t="s">
        <v>68</v>
      </c>
      <c r="M1984" t="s">
        <v>69</v>
      </c>
      <c r="O1984">
        <v>0</v>
      </c>
      <c r="P1984" t="s">
        <v>108</v>
      </c>
      <c r="S1984" t="str">
        <f>TEXT(Table1[[#This Row],[Date]],"MMM-YY")</f>
        <v>Oct-25</v>
      </c>
      <c r="T1984">
        <f>_xlfn.ISOWEEKNUM(Table1[[#This Row],[Date]])</f>
        <v>43</v>
      </c>
    </row>
    <row r="1985" spans="1:20" hidden="1">
      <c r="A1985" s="1">
        <v>45952</v>
      </c>
      <c r="B1985" s="67" t="s">
        <v>112</v>
      </c>
      <c r="C1985" t="s">
        <v>96</v>
      </c>
      <c r="D1985" t="s">
        <v>64</v>
      </c>
      <c r="E1985" t="s">
        <v>38</v>
      </c>
      <c r="F1985" t="s">
        <v>113</v>
      </c>
      <c r="G1985" s="69" t="s">
        <v>159</v>
      </c>
      <c r="H1985">
        <v>10215</v>
      </c>
      <c r="I1985">
        <v>10215</v>
      </c>
      <c r="J1985" s="21">
        <v>45931</v>
      </c>
      <c r="K1985" t="s">
        <v>67</v>
      </c>
      <c r="L1985" t="s">
        <v>68</v>
      </c>
      <c r="M1985" t="s">
        <v>69</v>
      </c>
      <c r="O1985">
        <v>0</v>
      </c>
      <c r="P1985" t="s">
        <v>108</v>
      </c>
      <c r="S1985" t="str">
        <f>TEXT(Table1[[#This Row],[Date]],"MMM-YY")</f>
        <v>Oct-25</v>
      </c>
      <c r="T1985">
        <f>_xlfn.ISOWEEKNUM(Table1[[#This Row],[Date]])</f>
        <v>43</v>
      </c>
    </row>
    <row r="1986" spans="1:20" ht="29.1">
      <c r="A1986" s="1">
        <v>45952</v>
      </c>
      <c r="B1986" s="67" t="s">
        <v>95</v>
      </c>
      <c r="C1986" t="s">
        <v>96</v>
      </c>
      <c r="D1986" t="s">
        <v>64</v>
      </c>
      <c r="E1986" t="s">
        <v>38</v>
      </c>
      <c r="F1986" t="s">
        <v>97</v>
      </c>
      <c r="G1986" s="69" t="s">
        <v>98</v>
      </c>
      <c r="H1986">
        <v>39416</v>
      </c>
      <c r="I1986">
        <v>39416</v>
      </c>
      <c r="J1986" s="21">
        <v>45931</v>
      </c>
      <c r="K1986" t="s">
        <v>99</v>
      </c>
      <c r="L1986" t="s">
        <v>68</v>
      </c>
      <c r="M1986" t="s">
        <v>69</v>
      </c>
      <c r="O1986">
        <v>0</v>
      </c>
      <c r="P1986" t="s">
        <v>70</v>
      </c>
      <c r="S1986" t="str">
        <f>TEXT(Table1[[#This Row],[Date]],"MMM-YY")</f>
        <v>Oct-25</v>
      </c>
      <c r="T1986">
        <f>_xlfn.ISOWEEKNUM(Table1[[#This Row],[Date]])</f>
        <v>43</v>
      </c>
    </row>
    <row r="1987" spans="1:20" hidden="1">
      <c r="A1987" s="1">
        <v>45953</v>
      </c>
      <c r="B1987" s="67" t="s">
        <v>112</v>
      </c>
      <c r="C1987" t="s">
        <v>96</v>
      </c>
      <c r="D1987" t="s">
        <v>64</v>
      </c>
      <c r="E1987" t="s">
        <v>38</v>
      </c>
      <c r="F1987" t="s">
        <v>113</v>
      </c>
      <c r="G1987" s="69" t="s">
        <v>158</v>
      </c>
      <c r="H1987">
        <v>10215</v>
      </c>
      <c r="I1987">
        <v>10215</v>
      </c>
      <c r="J1987" s="21">
        <v>45931</v>
      </c>
      <c r="K1987" t="s">
        <v>67</v>
      </c>
      <c r="L1987" t="s">
        <v>68</v>
      </c>
      <c r="M1987" t="s">
        <v>69</v>
      </c>
      <c r="O1987">
        <v>0</v>
      </c>
      <c r="P1987" t="s">
        <v>108</v>
      </c>
      <c r="S1987" t="str">
        <f>TEXT(Table1[[#This Row],[Date]],"MMM-YY")</f>
        <v>Oct-25</v>
      </c>
      <c r="T1987">
        <f>_xlfn.ISOWEEKNUM(Table1[[#This Row],[Date]])</f>
        <v>43</v>
      </c>
    </row>
    <row r="1988" spans="1:20" hidden="1">
      <c r="A1988" s="1">
        <v>45954</v>
      </c>
      <c r="B1988" s="67" t="s">
        <v>112</v>
      </c>
      <c r="C1988" t="s">
        <v>96</v>
      </c>
      <c r="D1988" t="s">
        <v>64</v>
      </c>
      <c r="E1988" t="s">
        <v>38</v>
      </c>
      <c r="F1988" t="s">
        <v>113</v>
      </c>
      <c r="G1988" s="69" t="s">
        <v>155</v>
      </c>
      <c r="H1988">
        <v>11371</v>
      </c>
      <c r="I1988">
        <v>11371</v>
      </c>
      <c r="J1988" s="21">
        <v>45931</v>
      </c>
      <c r="K1988" t="s">
        <v>67</v>
      </c>
      <c r="L1988" t="s">
        <v>68</v>
      </c>
      <c r="M1988" t="s">
        <v>69</v>
      </c>
      <c r="O1988">
        <v>0</v>
      </c>
      <c r="P1988" t="s">
        <v>108</v>
      </c>
      <c r="S1988" t="str">
        <f>TEXT(Table1[[#This Row],[Date]],"MMM-YY")</f>
        <v>Oct-25</v>
      </c>
      <c r="T1988">
        <f>_xlfn.ISOWEEKNUM(Table1[[#This Row],[Date]])</f>
        <v>43</v>
      </c>
    </row>
    <row r="1989" spans="1:20" hidden="1">
      <c r="A1989" s="1">
        <v>45954</v>
      </c>
      <c r="B1989" t="s">
        <v>4019</v>
      </c>
      <c r="C1989" t="s">
        <v>96</v>
      </c>
      <c r="D1989" t="s">
        <v>64</v>
      </c>
      <c r="E1989" t="s">
        <v>14</v>
      </c>
      <c r="F1989" t="s">
        <v>4020</v>
      </c>
      <c r="G1989" s="9" t="s">
        <v>4021</v>
      </c>
      <c r="H1989">
        <v>230000</v>
      </c>
      <c r="I1989">
        <v>0</v>
      </c>
      <c r="J1989" s="21">
        <v>45931</v>
      </c>
      <c r="K1989" t="s">
        <v>67</v>
      </c>
      <c r="L1989" t="s">
        <v>9</v>
      </c>
      <c r="M1989" t="s">
        <v>9</v>
      </c>
      <c r="N1989" t="s">
        <v>4022</v>
      </c>
      <c r="O1989">
        <v>0</v>
      </c>
      <c r="P1989" t="s">
        <v>70</v>
      </c>
      <c r="S1989" t="str">
        <f>TEXT(Table1[[#This Row],[Date]],"MMM-YY")</f>
        <v>Oct-25</v>
      </c>
      <c r="T1989">
        <f>_xlfn.ISOWEEKNUM(Table1[[#This Row],[Date]])</f>
        <v>43</v>
      </c>
    </row>
    <row r="1990" spans="1:20" hidden="1">
      <c r="A1990" s="1">
        <v>45957</v>
      </c>
      <c r="B1990" t="s">
        <v>4023</v>
      </c>
      <c r="C1990" t="s">
        <v>63</v>
      </c>
      <c r="D1990" t="s">
        <v>20</v>
      </c>
      <c r="E1990" t="s">
        <v>23</v>
      </c>
      <c r="F1990" t="s">
        <v>3852</v>
      </c>
      <c r="G1990" s="9" t="s">
        <v>4024</v>
      </c>
      <c r="H1990">
        <v>18000</v>
      </c>
      <c r="J1990" s="21">
        <v>45962</v>
      </c>
      <c r="K1990" t="s">
        <v>67</v>
      </c>
      <c r="L1990" t="s">
        <v>9</v>
      </c>
      <c r="M1990" t="s">
        <v>9</v>
      </c>
      <c r="O1990">
        <v>0</v>
      </c>
      <c r="P1990" t="s">
        <v>70</v>
      </c>
      <c r="S1990" t="str">
        <f>TEXT(Table1[[#This Row],[Date]],"MMM-YY")</f>
        <v>Oct-25</v>
      </c>
      <c r="T1990">
        <f>_xlfn.ISOWEEKNUM(Table1[[#This Row],[Date]])</f>
        <v>44</v>
      </c>
    </row>
    <row r="1991" spans="1:20" hidden="1">
      <c r="A1991" s="1">
        <v>45957</v>
      </c>
      <c r="B1991" s="67" t="s">
        <v>112</v>
      </c>
      <c r="C1991" t="s">
        <v>96</v>
      </c>
      <c r="D1991" t="s">
        <v>64</v>
      </c>
      <c r="E1991" t="s">
        <v>38</v>
      </c>
      <c r="F1991" t="s">
        <v>113</v>
      </c>
      <c r="G1991" s="69" t="s">
        <v>148</v>
      </c>
      <c r="H1991">
        <v>12500</v>
      </c>
      <c r="I1991">
        <v>12500</v>
      </c>
      <c r="J1991" s="21">
        <v>45931</v>
      </c>
      <c r="K1991" t="s">
        <v>67</v>
      </c>
      <c r="L1991" t="s">
        <v>68</v>
      </c>
      <c r="M1991" t="s">
        <v>69</v>
      </c>
      <c r="O1991">
        <v>0</v>
      </c>
      <c r="P1991" t="s">
        <v>130</v>
      </c>
      <c r="S1991" t="str">
        <f>TEXT(Table1[[#This Row],[Date]],"MMM-YY")</f>
        <v>Oct-25</v>
      </c>
      <c r="T1991">
        <f>_xlfn.ISOWEEKNUM(Table1[[#This Row],[Date]])</f>
        <v>44</v>
      </c>
    </row>
    <row r="1992" spans="1:20" hidden="1">
      <c r="A1992" s="1">
        <v>45958</v>
      </c>
      <c r="B1992" s="67" t="s">
        <v>112</v>
      </c>
      <c r="C1992" t="s">
        <v>96</v>
      </c>
      <c r="D1992" t="s">
        <v>64</v>
      </c>
      <c r="E1992" t="s">
        <v>38</v>
      </c>
      <c r="F1992" t="s">
        <v>113</v>
      </c>
      <c r="G1992" s="69" t="s">
        <v>129</v>
      </c>
      <c r="H1992">
        <v>15000</v>
      </c>
      <c r="I1992">
        <v>15000</v>
      </c>
      <c r="J1992" s="21">
        <v>45931</v>
      </c>
      <c r="K1992" t="s">
        <v>67</v>
      </c>
      <c r="L1992" t="s">
        <v>68</v>
      </c>
      <c r="M1992" t="s">
        <v>69</v>
      </c>
      <c r="O1992">
        <v>0</v>
      </c>
      <c r="P1992" t="s">
        <v>130</v>
      </c>
      <c r="S1992" t="str">
        <f>TEXT(Table1[[#This Row],[Date]],"MMM-YY")</f>
        <v>Oct-25</v>
      </c>
      <c r="T1992">
        <f>_xlfn.ISOWEEKNUM(Table1[[#This Row],[Date]])</f>
        <v>44</v>
      </c>
    </row>
    <row r="1993" spans="1:20" hidden="1">
      <c r="A1993" s="1">
        <v>45958</v>
      </c>
      <c r="B1993" t="s">
        <v>382</v>
      </c>
      <c r="C1993" t="s">
        <v>96</v>
      </c>
      <c r="D1993" t="s">
        <v>64</v>
      </c>
      <c r="E1993" t="s">
        <v>28</v>
      </c>
      <c r="F1993" t="s">
        <v>1707</v>
      </c>
      <c r="G1993" t="s">
        <v>4025</v>
      </c>
      <c r="H1993">
        <v>7599375</v>
      </c>
      <c r="I1993">
        <v>7599375</v>
      </c>
      <c r="J1993" s="21">
        <v>45962</v>
      </c>
      <c r="K1993" t="s">
        <v>67</v>
      </c>
      <c r="L1993" t="s">
        <v>68</v>
      </c>
      <c r="M1993" t="s">
        <v>69</v>
      </c>
      <c r="O1993">
        <v>0</v>
      </c>
      <c r="P1993" t="s">
        <v>108</v>
      </c>
      <c r="S1993" t="str">
        <f>TEXT(Table1[[#This Row],[Date]],"MMM-YY")</f>
        <v>Oct-25</v>
      </c>
      <c r="T1993">
        <f>_xlfn.ISOWEEKNUM(Table1[[#This Row],[Date]])</f>
        <v>44</v>
      </c>
    </row>
    <row r="1994" spans="1:20" hidden="1">
      <c r="A1994" s="1">
        <v>45958</v>
      </c>
      <c r="B1994" t="s">
        <v>2993</v>
      </c>
      <c r="C1994" t="s">
        <v>96</v>
      </c>
      <c r="D1994" t="s">
        <v>64</v>
      </c>
      <c r="E1994" t="s">
        <v>19</v>
      </c>
      <c r="F1994" t="s">
        <v>2484</v>
      </c>
      <c r="G1994" t="s">
        <v>4026</v>
      </c>
      <c r="H1994">
        <v>200000</v>
      </c>
      <c r="J1994" s="21">
        <v>45992</v>
      </c>
      <c r="K1994" t="s">
        <v>67</v>
      </c>
      <c r="L1994" t="s">
        <v>9</v>
      </c>
      <c r="M1994" t="s">
        <v>9</v>
      </c>
      <c r="O1994">
        <v>0</v>
      </c>
      <c r="P1994" t="s">
        <v>108</v>
      </c>
      <c r="S1994" t="str">
        <f>TEXT(Table1[[#This Row],[Date]],"MMM-YY")</f>
        <v>Oct-25</v>
      </c>
      <c r="T1994">
        <f>_xlfn.ISOWEEKNUM(Table1[[#This Row],[Date]])</f>
        <v>44</v>
      </c>
    </row>
    <row r="1995" spans="1:20" hidden="1">
      <c r="A1995" s="1">
        <v>45958</v>
      </c>
      <c r="B1995" t="s">
        <v>2976</v>
      </c>
      <c r="C1995" t="s">
        <v>96</v>
      </c>
      <c r="D1995" t="s">
        <v>64</v>
      </c>
      <c r="E1995" t="s">
        <v>36</v>
      </c>
      <c r="F1995" t="s">
        <v>2977</v>
      </c>
      <c r="G1995" t="s">
        <v>4027</v>
      </c>
      <c r="H1995">
        <v>40000</v>
      </c>
      <c r="J1995" s="21">
        <v>45992</v>
      </c>
      <c r="K1995" t="s">
        <v>67</v>
      </c>
      <c r="L1995" t="s">
        <v>9</v>
      </c>
      <c r="M1995" t="s">
        <v>9</v>
      </c>
      <c r="O1995">
        <v>0</v>
      </c>
      <c r="P1995" t="s">
        <v>108</v>
      </c>
      <c r="S1995" t="str">
        <f>TEXT(Table1[[#This Row],[Date]],"MMM-YY")</f>
        <v>Oct-25</v>
      </c>
      <c r="T1995">
        <f>_xlfn.ISOWEEKNUM(Table1[[#This Row],[Date]])</f>
        <v>44</v>
      </c>
    </row>
    <row r="1996" spans="1:20" hidden="1">
      <c r="A1996" s="1">
        <v>45958</v>
      </c>
      <c r="B1996" t="s">
        <v>4028</v>
      </c>
      <c r="C1996" t="s">
        <v>96</v>
      </c>
      <c r="D1996" t="s">
        <v>64</v>
      </c>
      <c r="E1996" t="s">
        <v>26</v>
      </c>
      <c r="F1996" t="s">
        <v>2945</v>
      </c>
      <c r="G1996" t="s">
        <v>4029</v>
      </c>
      <c r="H1996">
        <v>0</v>
      </c>
      <c r="I1996">
        <v>0</v>
      </c>
      <c r="J1996" s="21">
        <v>46023</v>
      </c>
      <c r="K1996" t="s">
        <v>67</v>
      </c>
      <c r="L1996" t="s">
        <v>9</v>
      </c>
      <c r="M1996" t="s">
        <v>9</v>
      </c>
      <c r="O1996">
        <v>0</v>
      </c>
      <c r="P1996" t="s">
        <v>108</v>
      </c>
      <c r="S1996" t="str">
        <f>TEXT(Table1[[#This Row],[Date]],"MMM-YY")</f>
        <v>Oct-25</v>
      </c>
      <c r="T1996">
        <f>_xlfn.ISOWEEKNUM(Table1[[#This Row],[Date]])</f>
        <v>44</v>
      </c>
    </row>
    <row r="1997" spans="1:20" hidden="1">
      <c r="A1997" s="1">
        <v>45958</v>
      </c>
      <c r="B1997" t="s">
        <v>2948</v>
      </c>
      <c r="C1997" t="s">
        <v>96</v>
      </c>
      <c r="D1997" t="s">
        <v>64</v>
      </c>
      <c r="E1997" t="s">
        <v>28</v>
      </c>
      <c r="F1997" t="s">
        <v>2949</v>
      </c>
      <c r="G1997" t="s">
        <v>4030</v>
      </c>
      <c r="H1997">
        <v>0</v>
      </c>
      <c r="I1997">
        <v>0</v>
      </c>
      <c r="J1997" s="21">
        <v>46023</v>
      </c>
      <c r="K1997" t="s">
        <v>67</v>
      </c>
      <c r="L1997" t="s">
        <v>68</v>
      </c>
      <c r="M1997" t="s">
        <v>69</v>
      </c>
      <c r="O1997">
        <v>0</v>
      </c>
      <c r="P1997" t="s">
        <v>108</v>
      </c>
      <c r="S1997" t="str">
        <f>TEXT(Table1[[#This Row],[Date]],"MMM-YY")</f>
        <v>Oct-25</v>
      </c>
      <c r="T1997">
        <f>_xlfn.ISOWEEKNUM(Table1[[#This Row],[Date]])</f>
        <v>44</v>
      </c>
    </row>
    <row r="1998" spans="1:20" hidden="1">
      <c r="A1998" s="1">
        <v>45958</v>
      </c>
      <c r="B1998" t="s">
        <v>2944</v>
      </c>
      <c r="C1998" t="s">
        <v>96</v>
      </c>
      <c r="D1998" t="s">
        <v>64</v>
      </c>
      <c r="E1998" t="s">
        <v>26</v>
      </c>
      <c r="F1998" t="s">
        <v>2945</v>
      </c>
      <c r="G1998" t="s">
        <v>2946</v>
      </c>
      <c r="H1998">
        <v>19000</v>
      </c>
      <c r="J1998" s="21">
        <v>45992</v>
      </c>
      <c r="K1998" t="s">
        <v>67</v>
      </c>
      <c r="L1998" t="s">
        <v>9</v>
      </c>
      <c r="M1998" t="s">
        <v>9</v>
      </c>
      <c r="O1998">
        <v>0</v>
      </c>
      <c r="P1998" t="s">
        <v>108</v>
      </c>
      <c r="S1998" t="str">
        <f>TEXT(Table1[[#This Row],[Date]],"MMM-YY")</f>
        <v>Oct-25</v>
      </c>
      <c r="T1998">
        <f>_xlfn.ISOWEEKNUM(Table1[[#This Row],[Date]])</f>
        <v>44</v>
      </c>
    </row>
    <row r="1999" spans="1:20" hidden="1">
      <c r="A1999" s="1">
        <v>45958</v>
      </c>
      <c r="B1999" t="s">
        <v>2939</v>
      </c>
      <c r="C1999" t="s">
        <v>96</v>
      </c>
      <c r="D1999" t="s">
        <v>64</v>
      </c>
      <c r="E1999" t="s">
        <v>38</v>
      </c>
      <c r="F1999" t="s">
        <v>1174</v>
      </c>
      <c r="G1999" t="s">
        <v>4031</v>
      </c>
      <c r="H1999">
        <v>0</v>
      </c>
      <c r="I1999">
        <v>0</v>
      </c>
      <c r="J1999" s="21">
        <v>46023</v>
      </c>
      <c r="K1999" t="s">
        <v>67</v>
      </c>
      <c r="L1999" t="s">
        <v>9</v>
      </c>
      <c r="M1999" t="s">
        <v>9</v>
      </c>
      <c r="O1999">
        <v>0</v>
      </c>
      <c r="P1999" t="s">
        <v>108</v>
      </c>
      <c r="S1999" t="str">
        <f>TEXT(Table1[[#This Row],[Date]],"MMM-YY")</f>
        <v>Oct-25</v>
      </c>
      <c r="T1999">
        <f>_xlfn.ISOWEEKNUM(Table1[[#This Row],[Date]])</f>
        <v>44</v>
      </c>
    </row>
    <row r="2000" spans="1:20" hidden="1">
      <c r="A2000" s="1">
        <v>45958</v>
      </c>
      <c r="B2000" t="s">
        <v>2937</v>
      </c>
      <c r="C2000" t="s">
        <v>96</v>
      </c>
      <c r="D2000" t="s">
        <v>20</v>
      </c>
      <c r="E2000" t="s">
        <v>23</v>
      </c>
      <c r="F2000" t="s">
        <v>2826</v>
      </c>
      <c r="G2000" t="s">
        <v>4032</v>
      </c>
      <c r="H2000">
        <v>23800</v>
      </c>
      <c r="J2000" s="21">
        <v>45992</v>
      </c>
      <c r="K2000" t="s">
        <v>67</v>
      </c>
      <c r="L2000" t="s">
        <v>9</v>
      </c>
      <c r="M2000" t="s">
        <v>9</v>
      </c>
      <c r="O2000">
        <v>0</v>
      </c>
      <c r="P2000" t="s">
        <v>108</v>
      </c>
      <c r="S2000" t="str">
        <f>TEXT(Table1[[#This Row],[Date]],"MMM-YY")</f>
        <v>Oct-25</v>
      </c>
      <c r="T2000">
        <f>_xlfn.ISOWEEKNUM(Table1[[#This Row],[Date]])</f>
        <v>44</v>
      </c>
    </row>
    <row r="2001" spans="1:20" hidden="1">
      <c r="A2001" s="1">
        <v>45958</v>
      </c>
      <c r="B2001" t="s">
        <v>2215</v>
      </c>
      <c r="C2001" t="s">
        <v>96</v>
      </c>
      <c r="D2001" t="s">
        <v>20</v>
      </c>
      <c r="E2001" t="s">
        <v>23</v>
      </c>
      <c r="F2001" t="s">
        <v>2216</v>
      </c>
      <c r="G2001" t="s">
        <v>4033</v>
      </c>
      <c r="H2001">
        <v>0</v>
      </c>
      <c r="I2001">
        <v>0</v>
      </c>
      <c r="J2001" s="21">
        <v>46023</v>
      </c>
      <c r="K2001" t="s">
        <v>67</v>
      </c>
      <c r="L2001" t="s">
        <v>9</v>
      </c>
      <c r="M2001" t="s">
        <v>9</v>
      </c>
      <c r="O2001">
        <v>0</v>
      </c>
      <c r="P2001" t="s">
        <v>108</v>
      </c>
      <c r="S2001" t="str">
        <f>TEXT(Table1[[#This Row],[Date]],"MMM-YY")</f>
        <v>Oct-25</v>
      </c>
      <c r="T2001">
        <f>_xlfn.ISOWEEKNUM(Table1[[#This Row],[Date]])</f>
        <v>44</v>
      </c>
    </row>
    <row r="2002" spans="1:20" hidden="1">
      <c r="A2002" s="1">
        <v>45958</v>
      </c>
      <c r="B2002" t="s">
        <v>2929</v>
      </c>
      <c r="C2002" t="s">
        <v>96</v>
      </c>
      <c r="D2002" t="s">
        <v>2681</v>
      </c>
      <c r="E2002" t="s">
        <v>32</v>
      </c>
      <c r="F2002" t="s">
        <v>2930</v>
      </c>
      <c r="G2002" t="s">
        <v>4034</v>
      </c>
      <c r="H2002">
        <v>20000</v>
      </c>
      <c r="J2002" s="21">
        <v>45992</v>
      </c>
      <c r="K2002" t="s">
        <v>67</v>
      </c>
      <c r="L2002" t="s">
        <v>9</v>
      </c>
      <c r="M2002" t="s">
        <v>4035</v>
      </c>
      <c r="O2002">
        <v>0</v>
      </c>
      <c r="P2002" t="s">
        <v>108</v>
      </c>
      <c r="S2002" t="str">
        <f>TEXT(Table1[[#This Row],[Date]],"MMM-YY")</f>
        <v>Oct-25</v>
      </c>
      <c r="T2002">
        <f>_xlfn.ISOWEEKNUM(Table1[[#This Row],[Date]])</f>
        <v>44</v>
      </c>
    </row>
    <row r="2003" spans="1:20" hidden="1">
      <c r="A2003" s="1">
        <v>45958</v>
      </c>
      <c r="B2003" t="s">
        <v>2897</v>
      </c>
      <c r="C2003" t="s">
        <v>96</v>
      </c>
      <c r="D2003" t="s">
        <v>105</v>
      </c>
      <c r="E2003" t="s">
        <v>18</v>
      </c>
      <c r="F2003" t="s">
        <v>2898</v>
      </c>
      <c r="G2003" t="s">
        <v>4036</v>
      </c>
      <c r="H2003">
        <v>50000</v>
      </c>
      <c r="J2003" s="21">
        <v>45992</v>
      </c>
      <c r="K2003" t="s">
        <v>67</v>
      </c>
      <c r="L2003" t="s">
        <v>9</v>
      </c>
      <c r="M2003" t="s">
        <v>9</v>
      </c>
      <c r="O2003">
        <v>0</v>
      </c>
      <c r="P2003" t="s">
        <v>108</v>
      </c>
      <c r="S2003" t="str">
        <f>TEXT(Table1[[#This Row],[Date]],"MMM-YY")</f>
        <v>Oct-25</v>
      </c>
      <c r="T2003">
        <f>_xlfn.ISOWEEKNUM(Table1[[#This Row],[Date]])</f>
        <v>44</v>
      </c>
    </row>
    <row r="2004" spans="1:20" hidden="1">
      <c r="A2004" s="1">
        <v>45958</v>
      </c>
      <c r="B2004" t="s">
        <v>3169</v>
      </c>
      <c r="C2004" t="s">
        <v>96</v>
      </c>
      <c r="D2004" t="s">
        <v>20</v>
      </c>
      <c r="E2004" t="s">
        <v>37</v>
      </c>
      <c r="F2004" t="s">
        <v>3170</v>
      </c>
      <c r="G2004" t="s">
        <v>4037</v>
      </c>
      <c r="H2004">
        <v>21000</v>
      </c>
      <c r="J2004" s="21">
        <v>45992</v>
      </c>
      <c r="K2004" t="s">
        <v>67</v>
      </c>
      <c r="L2004" t="s">
        <v>9</v>
      </c>
      <c r="M2004" t="s">
        <v>9</v>
      </c>
      <c r="O2004">
        <v>0</v>
      </c>
      <c r="P2004" t="s">
        <v>108</v>
      </c>
      <c r="S2004" t="str">
        <f>TEXT(Table1[[#This Row],[Date]],"MMM-YY")</f>
        <v>Oct-25</v>
      </c>
      <c r="T2004">
        <f>_xlfn.ISOWEEKNUM(Table1[[#This Row],[Date]])</f>
        <v>44</v>
      </c>
    </row>
    <row r="2005" spans="1:20" hidden="1">
      <c r="A2005" s="1">
        <v>45958</v>
      </c>
      <c r="B2005" t="s">
        <v>3167</v>
      </c>
      <c r="C2005" t="s">
        <v>96</v>
      </c>
      <c r="D2005" t="s">
        <v>36</v>
      </c>
      <c r="E2005" t="s">
        <v>15</v>
      </c>
      <c r="F2005" t="s">
        <v>820</v>
      </c>
      <c r="G2005" t="s">
        <v>3168</v>
      </c>
      <c r="H2005">
        <v>0</v>
      </c>
      <c r="J2005" s="21">
        <v>45992</v>
      </c>
      <c r="K2005" t="s">
        <v>67</v>
      </c>
      <c r="L2005" t="s">
        <v>68</v>
      </c>
      <c r="M2005" t="s">
        <v>69</v>
      </c>
      <c r="O2005">
        <v>0</v>
      </c>
      <c r="P2005" t="s">
        <v>108</v>
      </c>
      <c r="S2005" t="str">
        <f>TEXT(Table1[[#This Row],[Date]],"MMM-YY")</f>
        <v>Oct-25</v>
      </c>
      <c r="T2005">
        <f>_xlfn.ISOWEEKNUM(Table1[[#This Row],[Date]])</f>
        <v>44</v>
      </c>
    </row>
    <row r="2006" spans="1:20" hidden="1">
      <c r="A2006" s="1">
        <v>45958</v>
      </c>
      <c r="B2006" t="s">
        <v>4038</v>
      </c>
      <c r="C2006" t="s">
        <v>96</v>
      </c>
      <c r="D2006" t="s">
        <v>64</v>
      </c>
      <c r="E2006" t="s">
        <v>38</v>
      </c>
      <c r="F2006" t="s">
        <v>3126</v>
      </c>
      <c r="G2006" t="s">
        <v>4039</v>
      </c>
      <c r="H2006">
        <v>37000</v>
      </c>
      <c r="J2006" s="21">
        <v>46023</v>
      </c>
      <c r="K2006" t="s">
        <v>67</v>
      </c>
      <c r="L2006" t="s">
        <v>9</v>
      </c>
      <c r="M2006" t="s">
        <v>9</v>
      </c>
      <c r="O2006">
        <v>0</v>
      </c>
      <c r="P2006" t="s">
        <v>108</v>
      </c>
      <c r="S2006" t="str">
        <f>TEXT(Table1[[#This Row],[Date]],"MMM-YY")</f>
        <v>Oct-25</v>
      </c>
      <c r="T2006">
        <f>_xlfn.ISOWEEKNUM(Table1[[#This Row],[Date]])</f>
        <v>44</v>
      </c>
    </row>
    <row r="2007" spans="1:20" hidden="1">
      <c r="A2007" s="1">
        <v>45958</v>
      </c>
      <c r="B2007" t="s">
        <v>3123</v>
      </c>
      <c r="C2007" t="s">
        <v>96</v>
      </c>
      <c r="D2007" t="s">
        <v>64</v>
      </c>
      <c r="E2007" t="s">
        <v>38</v>
      </c>
      <c r="F2007" t="s">
        <v>133</v>
      </c>
      <c r="G2007" t="s">
        <v>4040</v>
      </c>
      <c r="H2007">
        <v>0</v>
      </c>
      <c r="I2007">
        <v>0</v>
      </c>
      <c r="J2007" s="21">
        <v>46023</v>
      </c>
      <c r="K2007" t="s">
        <v>67</v>
      </c>
      <c r="L2007" t="s">
        <v>9</v>
      </c>
      <c r="M2007" t="s">
        <v>9</v>
      </c>
      <c r="O2007">
        <v>0</v>
      </c>
      <c r="P2007" t="s">
        <v>108</v>
      </c>
      <c r="S2007" t="str">
        <f>TEXT(Table1[[#This Row],[Date]],"MMM-YY")</f>
        <v>Oct-25</v>
      </c>
      <c r="T2007">
        <f>_xlfn.ISOWEEKNUM(Table1[[#This Row],[Date]])</f>
        <v>44</v>
      </c>
    </row>
    <row r="2008" spans="1:20" hidden="1">
      <c r="A2008" s="1">
        <v>45958</v>
      </c>
      <c r="B2008" t="s">
        <v>3142</v>
      </c>
      <c r="C2008" t="s">
        <v>96</v>
      </c>
      <c r="D2008" t="s">
        <v>64</v>
      </c>
      <c r="E2008" t="s">
        <v>29</v>
      </c>
      <c r="F2008" t="s">
        <v>1853</v>
      </c>
      <c r="G2008" t="s">
        <v>4037</v>
      </c>
      <c r="H2008">
        <v>0</v>
      </c>
      <c r="I2008">
        <v>0</v>
      </c>
      <c r="J2008" s="21">
        <v>45992</v>
      </c>
      <c r="K2008" t="s">
        <v>67</v>
      </c>
      <c r="L2008" t="s">
        <v>68</v>
      </c>
      <c r="M2008" t="s">
        <v>69</v>
      </c>
      <c r="O2008">
        <v>0</v>
      </c>
      <c r="P2008" t="s">
        <v>4041</v>
      </c>
      <c r="S2008" t="str">
        <f>TEXT(Table1[[#This Row],[Date]],"MMM-YY")</f>
        <v>Oct-25</v>
      </c>
      <c r="T2008">
        <f>_xlfn.ISOWEEKNUM(Table1[[#This Row],[Date]])</f>
        <v>44</v>
      </c>
    </row>
    <row r="2009" spans="1:20" hidden="1">
      <c r="A2009" s="1">
        <v>45958</v>
      </c>
      <c r="B2009" t="s">
        <v>2993</v>
      </c>
      <c r="C2009" t="s">
        <v>96</v>
      </c>
      <c r="D2009" t="s">
        <v>64</v>
      </c>
      <c r="E2009" t="s">
        <v>19</v>
      </c>
      <c r="F2009" t="s">
        <v>2484</v>
      </c>
      <c r="G2009" t="s">
        <v>4042</v>
      </c>
      <c r="H2009">
        <v>200000</v>
      </c>
      <c r="J2009" s="21">
        <v>45992</v>
      </c>
      <c r="K2009" t="s">
        <v>67</v>
      </c>
      <c r="L2009" t="s">
        <v>9</v>
      </c>
      <c r="M2009" t="s">
        <v>9</v>
      </c>
      <c r="O2009">
        <v>0</v>
      </c>
      <c r="P2009" t="s">
        <v>108</v>
      </c>
      <c r="S2009" t="str">
        <f>TEXT(Table1[[#This Row],[Date]],"MMM-YY")</f>
        <v>Oct-25</v>
      </c>
      <c r="T2009">
        <f>_xlfn.ISOWEEKNUM(Table1[[#This Row],[Date]])</f>
        <v>44</v>
      </c>
    </row>
    <row r="2010" spans="1:20" hidden="1">
      <c r="A2010" s="1">
        <v>45958</v>
      </c>
      <c r="B2010" t="s">
        <v>3031</v>
      </c>
      <c r="C2010" t="s">
        <v>96</v>
      </c>
      <c r="D2010" t="s">
        <v>755</v>
      </c>
      <c r="E2010" t="s">
        <v>18</v>
      </c>
      <c r="F2010" t="s">
        <v>73</v>
      </c>
      <c r="G2010" t="s">
        <v>4043</v>
      </c>
      <c r="H2010">
        <v>120000</v>
      </c>
      <c r="J2010" s="21">
        <v>45992</v>
      </c>
      <c r="K2010" t="s">
        <v>67</v>
      </c>
      <c r="L2010" t="s">
        <v>9</v>
      </c>
      <c r="M2010" t="s">
        <v>9</v>
      </c>
      <c r="O2010">
        <v>0</v>
      </c>
      <c r="P2010" t="s">
        <v>70</v>
      </c>
      <c r="S2010" t="str">
        <f>TEXT(Table1[[#This Row],[Date]],"MMM-YY")</f>
        <v>Oct-25</v>
      </c>
      <c r="T2010">
        <f>_xlfn.ISOWEEKNUM(Table1[[#This Row],[Date]])</f>
        <v>44</v>
      </c>
    </row>
    <row r="2011" spans="1:20" hidden="1">
      <c r="A2011" s="1">
        <v>45958</v>
      </c>
      <c r="B2011" t="s">
        <v>3037</v>
      </c>
      <c r="C2011" t="s">
        <v>96</v>
      </c>
      <c r="D2011" t="s">
        <v>64</v>
      </c>
      <c r="E2011" t="s">
        <v>25</v>
      </c>
      <c r="F2011" t="s">
        <v>1600</v>
      </c>
      <c r="G2011" t="s">
        <v>4044</v>
      </c>
      <c r="H2011">
        <v>40000</v>
      </c>
      <c r="J2011" s="21">
        <v>46023</v>
      </c>
      <c r="K2011" t="s">
        <v>67</v>
      </c>
      <c r="L2011" t="s">
        <v>9</v>
      </c>
      <c r="M2011" t="s">
        <v>9</v>
      </c>
      <c r="O2011">
        <v>0</v>
      </c>
      <c r="P2011" t="s">
        <v>108</v>
      </c>
      <c r="S2011" t="str">
        <f>TEXT(Table1[[#This Row],[Date]],"MMM-YY")</f>
        <v>Oct-25</v>
      </c>
      <c r="T2011">
        <f>_xlfn.ISOWEEKNUM(Table1[[#This Row],[Date]])</f>
        <v>44</v>
      </c>
    </row>
    <row r="2012" spans="1:20" hidden="1">
      <c r="A2012" s="1">
        <v>45958</v>
      </c>
      <c r="B2012" t="s">
        <v>3044</v>
      </c>
      <c r="C2012" t="s">
        <v>96</v>
      </c>
      <c r="D2012" t="s">
        <v>64</v>
      </c>
      <c r="E2012" t="s">
        <v>26</v>
      </c>
      <c r="F2012" t="s">
        <v>371</v>
      </c>
      <c r="G2012" t="s">
        <v>4045</v>
      </c>
      <c r="H2012">
        <v>0</v>
      </c>
      <c r="I2012">
        <v>0</v>
      </c>
      <c r="J2012" s="21">
        <v>45992</v>
      </c>
      <c r="K2012" t="s">
        <v>67</v>
      </c>
      <c r="L2012" t="s">
        <v>68</v>
      </c>
      <c r="M2012" t="s">
        <v>69</v>
      </c>
      <c r="O2012">
        <v>0</v>
      </c>
      <c r="P2012" t="s">
        <v>108</v>
      </c>
      <c r="S2012" t="str">
        <f>TEXT(Table1[[#This Row],[Date]],"MMM-YY")</f>
        <v>Oct-25</v>
      </c>
      <c r="T2012">
        <f>_xlfn.ISOWEEKNUM(Table1[[#This Row],[Date]])</f>
        <v>44</v>
      </c>
    </row>
    <row r="2013" spans="1:20" hidden="1">
      <c r="A2013" s="1">
        <v>45958</v>
      </c>
      <c r="B2013" t="s">
        <v>3057</v>
      </c>
      <c r="C2013" t="s">
        <v>96</v>
      </c>
      <c r="D2013" t="s">
        <v>64</v>
      </c>
      <c r="E2013" t="s">
        <v>26</v>
      </c>
      <c r="F2013" t="s">
        <v>214</v>
      </c>
      <c r="G2013" t="s">
        <v>4046</v>
      </c>
      <c r="H2013">
        <v>13500</v>
      </c>
      <c r="I2013">
        <v>0</v>
      </c>
      <c r="J2013" s="21">
        <v>46023</v>
      </c>
      <c r="K2013" t="s">
        <v>67</v>
      </c>
      <c r="L2013" t="s">
        <v>9</v>
      </c>
      <c r="M2013" t="s">
        <v>9</v>
      </c>
      <c r="O2013">
        <v>0</v>
      </c>
      <c r="P2013" t="s">
        <v>108</v>
      </c>
      <c r="S2013" t="str">
        <f>TEXT(Table1[[#This Row],[Date]],"MMM-YY")</f>
        <v>Oct-25</v>
      </c>
      <c r="T2013">
        <f>_xlfn.ISOWEEKNUM(Table1[[#This Row],[Date]])</f>
        <v>44</v>
      </c>
    </row>
    <row r="2014" spans="1:20" hidden="1">
      <c r="A2014" s="1">
        <v>45958</v>
      </c>
      <c r="B2014" t="s">
        <v>3064</v>
      </c>
      <c r="C2014" t="s">
        <v>96</v>
      </c>
      <c r="D2014" t="s">
        <v>64</v>
      </c>
      <c r="E2014" t="s">
        <v>27</v>
      </c>
      <c r="F2014" t="s">
        <v>3065</v>
      </c>
      <c r="G2014" t="s">
        <v>4047</v>
      </c>
      <c r="H2014">
        <v>9800</v>
      </c>
      <c r="I2014">
        <v>0</v>
      </c>
      <c r="J2014" s="21">
        <v>46023</v>
      </c>
      <c r="K2014" t="s">
        <v>67</v>
      </c>
      <c r="L2014" t="s">
        <v>9</v>
      </c>
      <c r="M2014" t="s">
        <v>9</v>
      </c>
      <c r="O2014">
        <v>0</v>
      </c>
      <c r="P2014" t="s">
        <v>108</v>
      </c>
      <c r="S2014" t="str">
        <f>TEXT(Table1[[#This Row],[Date]],"MMM-YY")</f>
        <v>Oct-25</v>
      </c>
      <c r="T2014">
        <f>_xlfn.ISOWEEKNUM(Table1[[#This Row],[Date]])</f>
        <v>44</v>
      </c>
    </row>
    <row r="2015" spans="1:20" hidden="1">
      <c r="A2015" s="1">
        <v>45958</v>
      </c>
      <c r="B2015" t="s">
        <v>3061</v>
      </c>
      <c r="C2015" t="s">
        <v>96</v>
      </c>
      <c r="D2015" t="s">
        <v>64</v>
      </c>
      <c r="E2015" t="s">
        <v>14</v>
      </c>
      <c r="F2015" t="s">
        <v>3062</v>
      </c>
      <c r="G2015" t="s">
        <v>4048</v>
      </c>
      <c r="H2015">
        <v>18000</v>
      </c>
      <c r="J2015" s="21">
        <v>46023</v>
      </c>
      <c r="K2015" t="s">
        <v>67</v>
      </c>
      <c r="L2015" t="s">
        <v>9</v>
      </c>
      <c r="M2015" t="s">
        <v>9</v>
      </c>
      <c r="O2015">
        <v>0</v>
      </c>
      <c r="P2015" t="s">
        <v>108</v>
      </c>
      <c r="S2015" t="str">
        <f>TEXT(Table1[[#This Row],[Date]],"MMM-YY")</f>
        <v>Oct-25</v>
      </c>
      <c r="T2015">
        <f>_xlfn.ISOWEEKNUM(Table1[[#This Row],[Date]])</f>
        <v>44</v>
      </c>
    </row>
    <row r="2016" spans="1:20" hidden="1">
      <c r="A2016" s="1">
        <v>45958</v>
      </c>
      <c r="B2016" t="s">
        <v>4049</v>
      </c>
      <c r="C2016" t="s">
        <v>96</v>
      </c>
      <c r="D2016" t="s">
        <v>64</v>
      </c>
      <c r="E2016" t="s">
        <v>15</v>
      </c>
      <c r="F2016" t="s">
        <v>2384</v>
      </c>
      <c r="G2016" t="s">
        <v>4050</v>
      </c>
      <c r="H2016">
        <v>0</v>
      </c>
      <c r="I2016">
        <v>0</v>
      </c>
      <c r="J2016" s="21">
        <v>45992</v>
      </c>
      <c r="K2016" t="s">
        <v>67</v>
      </c>
      <c r="L2016" t="s">
        <v>68</v>
      </c>
      <c r="M2016" t="s">
        <v>69</v>
      </c>
      <c r="O2016">
        <v>0</v>
      </c>
      <c r="P2016" t="s">
        <v>70</v>
      </c>
      <c r="S2016" t="str">
        <f>TEXT(Table1[[#This Row],[Date]],"MMM-YY")</f>
        <v>Oct-25</v>
      </c>
      <c r="T2016">
        <f>_xlfn.ISOWEEKNUM(Table1[[#This Row],[Date]])</f>
        <v>44</v>
      </c>
    </row>
    <row r="2017" spans="1:20" ht="29.1">
      <c r="A2017" s="1">
        <v>45959</v>
      </c>
      <c r="B2017" s="67" t="s">
        <v>95</v>
      </c>
      <c r="C2017" t="s">
        <v>96</v>
      </c>
      <c r="D2017" t="s">
        <v>64</v>
      </c>
      <c r="E2017" t="s">
        <v>38</v>
      </c>
      <c r="F2017" t="s">
        <v>97</v>
      </c>
      <c r="G2017" s="69" t="s">
        <v>100</v>
      </c>
      <c r="H2017">
        <v>38040</v>
      </c>
      <c r="I2017">
        <v>38040</v>
      </c>
      <c r="J2017" s="21">
        <v>45931</v>
      </c>
      <c r="K2017" t="s">
        <v>99</v>
      </c>
      <c r="L2017" t="s">
        <v>68</v>
      </c>
      <c r="M2017" t="s">
        <v>69</v>
      </c>
      <c r="O2017">
        <v>0</v>
      </c>
      <c r="P2017" t="s">
        <v>70</v>
      </c>
      <c r="S2017" t="str">
        <f>TEXT(Table1[[#This Row],[Date]],"MMM-YY")</f>
        <v>Oct-25</v>
      </c>
      <c r="T2017">
        <f>_xlfn.ISOWEEKNUM(Table1[[#This Row],[Date]])</f>
        <v>44</v>
      </c>
    </row>
    <row r="2018" spans="1:20" hidden="1">
      <c r="A2018" s="1">
        <v>45959</v>
      </c>
      <c r="B2018" s="67" t="s">
        <v>112</v>
      </c>
      <c r="C2018" t="s">
        <v>96</v>
      </c>
      <c r="D2018" t="s">
        <v>64</v>
      </c>
      <c r="E2018" t="s">
        <v>38</v>
      </c>
      <c r="F2018" t="s">
        <v>113</v>
      </c>
      <c r="G2018" s="69" t="s">
        <v>147</v>
      </c>
      <c r="H2018">
        <v>12500</v>
      </c>
      <c r="I2018">
        <v>12500</v>
      </c>
      <c r="J2018" s="21">
        <v>45931</v>
      </c>
      <c r="K2018" t="s">
        <v>67</v>
      </c>
      <c r="L2018" t="s">
        <v>68</v>
      </c>
      <c r="M2018" t="s">
        <v>69</v>
      </c>
      <c r="O2018">
        <v>0</v>
      </c>
      <c r="P2018" t="s">
        <v>130</v>
      </c>
      <c r="S2018" t="str">
        <f>TEXT(Table1[[#This Row],[Date]],"MMM-YY")</f>
        <v>Oct-25</v>
      </c>
      <c r="T2018">
        <f>_xlfn.ISOWEEKNUM(Table1[[#This Row],[Date]])</f>
        <v>44</v>
      </c>
    </row>
    <row r="2019" spans="1:20" hidden="1">
      <c r="A2019" s="1">
        <v>45959</v>
      </c>
      <c r="B2019" t="s">
        <v>4051</v>
      </c>
      <c r="C2019" t="s">
        <v>63</v>
      </c>
      <c r="D2019" t="s">
        <v>64</v>
      </c>
      <c r="E2019" t="s">
        <v>28</v>
      </c>
      <c r="F2019" t="s">
        <v>4052</v>
      </c>
      <c r="G2019" s="9" t="s">
        <v>4053</v>
      </c>
      <c r="H2019">
        <v>0</v>
      </c>
      <c r="J2019" s="21">
        <v>46113</v>
      </c>
      <c r="K2019" t="s">
        <v>67</v>
      </c>
      <c r="L2019" t="s">
        <v>568</v>
      </c>
      <c r="M2019" t="s">
        <v>2878</v>
      </c>
      <c r="O2019">
        <v>0</v>
      </c>
      <c r="P2019" t="s">
        <v>108</v>
      </c>
      <c r="S2019" t="str">
        <f>TEXT(Table1[[#This Row],[Date]],"MMM-YY")</f>
        <v>Oct-25</v>
      </c>
      <c r="T2019">
        <f>_xlfn.ISOWEEKNUM(Table1[[#This Row],[Date]])</f>
        <v>44</v>
      </c>
    </row>
    <row r="2020" spans="1:20" ht="16.5" hidden="1" customHeight="1">
      <c r="A2020" s="1">
        <v>45960</v>
      </c>
      <c r="B2020" t="s">
        <v>138</v>
      </c>
      <c r="C2020" t="s">
        <v>96</v>
      </c>
      <c r="D2020" t="s">
        <v>64</v>
      </c>
      <c r="E2020" t="s">
        <v>18</v>
      </c>
      <c r="F2020" t="s">
        <v>139</v>
      </c>
      <c r="G2020" s="9" t="s">
        <v>140</v>
      </c>
      <c r="H2020">
        <v>13500</v>
      </c>
      <c r="I2020">
        <v>13500</v>
      </c>
      <c r="J2020" s="21">
        <v>45931</v>
      </c>
      <c r="K2020" t="s">
        <v>67</v>
      </c>
      <c r="L2020" t="s">
        <v>68</v>
      </c>
      <c r="M2020" t="s">
        <v>69</v>
      </c>
      <c r="O2020">
        <v>0</v>
      </c>
      <c r="P2020" t="s">
        <v>108</v>
      </c>
      <c r="S2020" t="str">
        <f>TEXT(Table1[[#This Row],[Date]],"MMM-YY")</f>
        <v>Oct-25</v>
      </c>
      <c r="T2020">
        <f>_xlfn.ISOWEEKNUM(Table1[[#This Row],[Date]])</f>
        <v>44</v>
      </c>
    </row>
    <row r="2021" spans="1:20" hidden="1">
      <c r="A2021" s="1">
        <v>45960</v>
      </c>
      <c r="B2021" s="67" t="s">
        <v>112</v>
      </c>
      <c r="C2021" t="s">
        <v>96</v>
      </c>
      <c r="D2021" t="s">
        <v>64</v>
      </c>
      <c r="E2021" t="s">
        <v>38</v>
      </c>
      <c r="F2021" t="s">
        <v>113</v>
      </c>
      <c r="G2021" s="69" t="s">
        <v>145</v>
      </c>
      <c r="H2021">
        <v>12662</v>
      </c>
      <c r="I2021">
        <v>12662</v>
      </c>
      <c r="J2021" s="21">
        <v>45931</v>
      </c>
      <c r="K2021" t="s">
        <v>67</v>
      </c>
      <c r="L2021" t="s">
        <v>68</v>
      </c>
      <c r="M2021" t="s">
        <v>69</v>
      </c>
      <c r="O2021">
        <v>0</v>
      </c>
      <c r="P2021" t="s">
        <v>130</v>
      </c>
      <c r="S2021" t="str">
        <f>TEXT(Table1[[#This Row],[Date]],"MMM-YY")</f>
        <v>Oct-25</v>
      </c>
      <c r="T2021">
        <f>_xlfn.ISOWEEKNUM(Table1[[#This Row],[Date]])</f>
        <v>44</v>
      </c>
    </row>
    <row r="2022" spans="1:20" hidden="1">
      <c r="A2022" s="1">
        <v>45961</v>
      </c>
      <c r="B2022" s="67" t="s">
        <v>112</v>
      </c>
      <c r="C2022" t="s">
        <v>96</v>
      </c>
      <c r="D2022" t="s">
        <v>64</v>
      </c>
      <c r="E2022" t="s">
        <v>38</v>
      </c>
      <c r="F2022" t="s">
        <v>113</v>
      </c>
      <c r="G2022" s="69" t="s">
        <v>156</v>
      </c>
      <c r="H2022">
        <v>11115</v>
      </c>
      <c r="I2022">
        <v>11115</v>
      </c>
      <c r="J2022" s="21">
        <v>45931</v>
      </c>
      <c r="K2022" t="s">
        <v>67</v>
      </c>
      <c r="L2022" t="s">
        <v>68</v>
      </c>
      <c r="M2022" t="s">
        <v>69</v>
      </c>
      <c r="O2022">
        <v>0</v>
      </c>
      <c r="P2022" t="s">
        <v>130</v>
      </c>
      <c r="S2022" t="str">
        <f>TEXT(Table1[[#This Row],[Date]],"MMM-YY")</f>
        <v>Oct-25</v>
      </c>
      <c r="T2022">
        <f>_xlfn.ISOWEEKNUM(Table1[[#This Row],[Date]])</f>
        <v>44</v>
      </c>
    </row>
    <row r="2023" spans="1:20" ht="29.1" hidden="1">
      <c r="A2023" s="1">
        <v>45961</v>
      </c>
      <c r="B2023" t="s">
        <v>88</v>
      </c>
      <c r="C2023" t="s">
        <v>63</v>
      </c>
      <c r="D2023" t="s">
        <v>64</v>
      </c>
      <c r="E2023" t="s">
        <v>28</v>
      </c>
      <c r="F2023" t="s">
        <v>89</v>
      </c>
      <c r="G2023" s="9" t="s">
        <v>90</v>
      </c>
      <c r="H2023">
        <v>44825</v>
      </c>
      <c r="I2023">
        <v>44825</v>
      </c>
      <c r="J2023" s="21">
        <v>45931</v>
      </c>
      <c r="K2023" t="s">
        <v>67</v>
      </c>
      <c r="L2023" t="s">
        <v>68</v>
      </c>
      <c r="M2023" t="s">
        <v>69</v>
      </c>
      <c r="O2023">
        <v>0</v>
      </c>
      <c r="P2023" t="s">
        <v>70</v>
      </c>
      <c r="S2023" t="str">
        <f>TEXT(Table1[[#This Row],[Date]],"MMM-YY")</f>
        <v>Oct-25</v>
      </c>
      <c r="T2023">
        <f>_xlfn.ISOWEEKNUM(Table1[[#This Row],[Date]])</f>
        <v>44</v>
      </c>
    </row>
    <row r="2024" spans="1:20" hidden="1">
      <c r="A2024" s="1">
        <v>45963</v>
      </c>
      <c r="B2024" t="s">
        <v>119</v>
      </c>
      <c r="C2024" t="s">
        <v>96</v>
      </c>
      <c r="D2024" t="s">
        <v>105</v>
      </c>
      <c r="E2024" t="s">
        <v>18</v>
      </c>
      <c r="F2024" t="s">
        <v>4054</v>
      </c>
      <c r="G2024" s="9" t="s">
        <v>4055</v>
      </c>
      <c r="H2024">
        <v>6448</v>
      </c>
      <c r="I2024">
        <v>6448</v>
      </c>
      <c r="J2024" s="21">
        <v>45962</v>
      </c>
      <c r="K2024" t="s">
        <v>67</v>
      </c>
      <c r="L2024" t="s">
        <v>68</v>
      </c>
      <c r="M2024" t="s">
        <v>69</v>
      </c>
      <c r="O2024">
        <v>0</v>
      </c>
      <c r="P2024" t="s">
        <v>70</v>
      </c>
      <c r="S2024" t="str">
        <f>TEXT(Table1[[#This Row],[Date]],"MMM-YY")</f>
        <v>Nov-25</v>
      </c>
      <c r="T2024">
        <f>_xlfn.ISOWEEKNUM(Table1[[#This Row],[Date]])</f>
        <v>44</v>
      </c>
    </row>
    <row r="2025" spans="1:20" hidden="1">
      <c r="A2025" s="1">
        <v>45964</v>
      </c>
      <c r="B2025" s="67" t="s">
        <v>112</v>
      </c>
      <c r="C2025" t="s">
        <v>96</v>
      </c>
      <c r="D2025" t="s">
        <v>64</v>
      </c>
      <c r="E2025" t="s">
        <v>38</v>
      </c>
      <c r="F2025" t="s">
        <v>113</v>
      </c>
      <c r="G2025" s="69" t="s">
        <v>4056</v>
      </c>
      <c r="H2025">
        <v>16330</v>
      </c>
      <c r="I2025">
        <v>16330</v>
      </c>
      <c r="J2025" s="21">
        <v>45962</v>
      </c>
      <c r="K2025" t="s">
        <v>67</v>
      </c>
      <c r="L2025" t="s">
        <v>68</v>
      </c>
      <c r="M2025" t="s">
        <v>69</v>
      </c>
      <c r="O2025">
        <v>0</v>
      </c>
      <c r="P2025" t="s">
        <v>130</v>
      </c>
      <c r="S2025" t="str">
        <f>TEXT(Table1[[#This Row],[Date]],"MMM-YY")</f>
        <v>Nov-25</v>
      </c>
      <c r="T2025">
        <f>_xlfn.ISOWEEKNUM(Table1[[#This Row],[Date]])</f>
        <v>45</v>
      </c>
    </row>
    <row r="2026" spans="1:20" hidden="1">
      <c r="A2026" s="1">
        <v>45964</v>
      </c>
      <c r="B2026" t="s">
        <v>4057</v>
      </c>
      <c r="C2026" t="s">
        <v>63</v>
      </c>
      <c r="D2026" t="s">
        <v>105</v>
      </c>
      <c r="E2026" t="s">
        <v>18</v>
      </c>
      <c r="F2026" t="s">
        <v>1917</v>
      </c>
      <c r="G2026" s="9" t="s">
        <v>4058</v>
      </c>
      <c r="H2026">
        <v>40000</v>
      </c>
      <c r="I2026">
        <v>40000</v>
      </c>
      <c r="J2026" s="21">
        <v>45962</v>
      </c>
      <c r="K2026" t="s">
        <v>67</v>
      </c>
      <c r="L2026" t="s">
        <v>68</v>
      </c>
      <c r="M2026" t="s">
        <v>69</v>
      </c>
      <c r="O2026">
        <v>0</v>
      </c>
      <c r="P2026" t="s">
        <v>4059</v>
      </c>
      <c r="S2026" t="str">
        <f>TEXT(Table1[[#This Row],[Date]],"MMM-YY")</f>
        <v>Nov-25</v>
      </c>
      <c r="T2026">
        <f>_xlfn.ISOWEEKNUM(Table1[[#This Row],[Date]])</f>
        <v>45</v>
      </c>
    </row>
    <row r="2027" spans="1:20" hidden="1">
      <c r="A2027" s="1">
        <v>45965</v>
      </c>
      <c r="B2027" t="s">
        <v>4060</v>
      </c>
      <c r="C2027" t="s">
        <v>63</v>
      </c>
      <c r="D2027" t="s">
        <v>36</v>
      </c>
      <c r="E2027" t="s">
        <v>15</v>
      </c>
      <c r="F2027" t="s">
        <v>4061</v>
      </c>
      <c r="G2027" s="9" t="s">
        <v>4062</v>
      </c>
      <c r="H2027">
        <v>95202</v>
      </c>
      <c r="I2027">
        <v>95202</v>
      </c>
      <c r="J2027" s="21">
        <v>45962</v>
      </c>
      <c r="K2027" t="s">
        <v>67</v>
      </c>
      <c r="L2027" t="s">
        <v>68</v>
      </c>
      <c r="M2027" t="s">
        <v>69</v>
      </c>
      <c r="O2027">
        <v>0</v>
      </c>
      <c r="P2027" t="s">
        <v>70</v>
      </c>
      <c r="S2027" t="str">
        <f>TEXT(Table1[[#This Row],[Date]],"MMM-YY")</f>
        <v>Nov-25</v>
      </c>
      <c r="T2027">
        <f>_xlfn.ISOWEEKNUM(Table1[[#This Row],[Date]])</f>
        <v>45</v>
      </c>
    </row>
    <row r="2028" spans="1:20" hidden="1">
      <c r="A2028" s="1">
        <v>45965</v>
      </c>
      <c r="B2028" t="s">
        <v>4057</v>
      </c>
      <c r="C2028" t="s">
        <v>63</v>
      </c>
      <c r="D2028" t="s">
        <v>105</v>
      </c>
      <c r="E2028" t="s">
        <v>18</v>
      </c>
      <c r="F2028" t="s">
        <v>1917</v>
      </c>
      <c r="G2028" s="9" t="s">
        <v>4063</v>
      </c>
      <c r="H2028">
        <v>40281</v>
      </c>
      <c r="I2028">
        <v>40281</v>
      </c>
      <c r="J2028" s="21">
        <v>45962</v>
      </c>
      <c r="K2028" t="s">
        <v>67</v>
      </c>
      <c r="L2028" t="s">
        <v>68</v>
      </c>
      <c r="M2028" t="s">
        <v>69</v>
      </c>
      <c r="O2028">
        <v>0</v>
      </c>
      <c r="P2028" t="s">
        <v>4059</v>
      </c>
      <c r="S2028" t="str">
        <f>TEXT(Table1[[#This Row],[Date]],"MMM-YY")</f>
        <v>Nov-25</v>
      </c>
      <c r="T2028">
        <f>_xlfn.ISOWEEKNUM(Table1[[#This Row],[Date]])</f>
        <v>45</v>
      </c>
    </row>
    <row r="2029" spans="1:20" hidden="1">
      <c r="A2029" s="1">
        <v>45965</v>
      </c>
      <c r="B2029" t="s">
        <v>3128</v>
      </c>
      <c r="C2029" t="s">
        <v>96</v>
      </c>
      <c r="D2029" t="s">
        <v>4064</v>
      </c>
      <c r="E2029" t="s">
        <v>15</v>
      </c>
      <c r="F2029" t="s">
        <v>820</v>
      </c>
      <c r="G2029" s="9" t="s">
        <v>4065</v>
      </c>
      <c r="H2029">
        <v>0</v>
      </c>
      <c r="I2029">
        <v>0</v>
      </c>
      <c r="J2029" s="21">
        <v>45992</v>
      </c>
      <c r="K2029" t="s">
        <v>67</v>
      </c>
      <c r="L2029" t="s">
        <v>68</v>
      </c>
      <c r="M2029" t="s">
        <v>69</v>
      </c>
      <c r="O2029">
        <v>0</v>
      </c>
      <c r="P2029" t="s">
        <v>70</v>
      </c>
      <c r="S2029" t="str">
        <f>TEXT(Table1[[#This Row],[Date]],"MMM-YY")</f>
        <v>Nov-25</v>
      </c>
      <c r="T2029">
        <f>_xlfn.ISOWEEKNUM(Table1[[#This Row],[Date]])</f>
        <v>45</v>
      </c>
    </row>
    <row r="2030" spans="1:20" hidden="1">
      <c r="A2030" s="1">
        <v>45965</v>
      </c>
      <c r="B2030" s="67" t="s">
        <v>112</v>
      </c>
      <c r="C2030" t="s">
        <v>96</v>
      </c>
      <c r="D2030" t="s">
        <v>64</v>
      </c>
      <c r="E2030" t="s">
        <v>38</v>
      </c>
      <c r="F2030" t="s">
        <v>113</v>
      </c>
      <c r="G2030" s="69" t="s">
        <v>4066</v>
      </c>
      <c r="H2030">
        <v>13585</v>
      </c>
      <c r="I2030">
        <v>13585</v>
      </c>
      <c r="J2030" s="21">
        <v>45962</v>
      </c>
      <c r="K2030" t="s">
        <v>67</v>
      </c>
      <c r="L2030" t="s">
        <v>68</v>
      </c>
      <c r="M2030" t="s">
        <v>69</v>
      </c>
      <c r="O2030">
        <v>0</v>
      </c>
      <c r="P2030" t="s">
        <v>130</v>
      </c>
      <c r="S2030" t="str">
        <f>TEXT(Table1[[#This Row],[Date]],"MMM-YY")</f>
        <v>Nov-25</v>
      </c>
      <c r="T2030">
        <f>_xlfn.ISOWEEKNUM(Table1[[#This Row],[Date]])</f>
        <v>45</v>
      </c>
    </row>
    <row r="2031" spans="1:20" ht="17.25" hidden="1" customHeight="1">
      <c r="A2031" s="1">
        <v>45965</v>
      </c>
      <c r="B2031" t="s">
        <v>309</v>
      </c>
      <c r="C2031" t="s">
        <v>63</v>
      </c>
      <c r="D2031" t="s">
        <v>64</v>
      </c>
      <c r="E2031" t="s">
        <v>28</v>
      </c>
      <c r="F2031" t="s">
        <v>310</v>
      </c>
      <c r="G2031" s="9" t="s">
        <v>4067</v>
      </c>
      <c r="H2031">
        <v>0</v>
      </c>
      <c r="I2031">
        <v>0</v>
      </c>
      <c r="J2031" s="21">
        <v>45962</v>
      </c>
      <c r="K2031" t="s">
        <v>67</v>
      </c>
      <c r="L2031" t="s">
        <v>68</v>
      </c>
      <c r="M2031" t="s">
        <v>69</v>
      </c>
      <c r="O2031">
        <v>0</v>
      </c>
      <c r="P2031" t="s">
        <v>108</v>
      </c>
      <c r="S2031" t="str">
        <f>TEXT(Table1[[#This Row],[Date]],"MMM-YY")</f>
        <v>Nov-25</v>
      </c>
      <c r="T2031">
        <f>_xlfn.ISOWEEKNUM(Table1[[#This Row],[Date]])</f>
        <v>45</v>
      </c>
    </row>
    <row r="2032" spans="1:20" ht="29.1" hidden="1">
      <c r="A2032" s="1">
        <v>45965</v>
      </c>
      <c r="B2032" t="s">
        <v>4068</v>
      </c>
      <c r="C2032" t="s">
        <v>63</v>
      </c>
      <c r="D2032" t="s">
        <v>64</v>
      </c>
      <c r="E2032" t="s">
        <v>29</v>
      </c>
      <c r="F2032" t="s">
        <v>876</v>
      </c>
      <c r="G2032" s="9" t="s">
        <v>4069</v>
      </c>
      <c r="H2032">
        <v>0</v>
      </c>
      <c r="I2032">
        <v>0</v>
      </c>
      <c r="J2032" s="21">
        <v>45962</v>
      </c>
      <c r="K2032" t="s">
        <v>67</v>
      </c>
      <c r="L2032" t="s">
        <v>68</v>
      </c>
      <c r="M2032" t="s">
        <v>69</v>
      </c>
      <c r="O2032">
        <v>0</v>
      </c>
      <c r="P2032" t="s">
        <v>108</v>
      </c>
      <c r="S2032" t="str">
        <f>TEXT(Table1[[#This Row],[Date]],"MMM-YY")</f>
        <v>Nov-25</v>
      </c>
      <c r="T2032">
        <f>_xlfn.ISOWEEKNUM(Table1[[#This Row],[Date]])</f>
        <v>45</v>
      </c>
    </row>
    <row r="2033" spans="1:20" hidden="1">
      <c r="A2033" s="1">
        <v>45966</v>
      </c>
      <c r="B2033" s="67" t="s">
        <v>112</v>
      </c>
      <c r="C2033" t="s">
        <v>96</v>
      </c>
      <c r="D2033" t="s">
        <v>64</v>
      </c>
      <c r="E2033" t="s">
        <v>38</v>
      </c>
      <c r="F2033" t="s">
        <v>113</v>
      </c>
      <c r="G2033" s="69" t="s">
        <v>4070</v>
      </c>
      <c r="H2033">
        <v>9210</v>
      </c>
      <c r="I2033">
        <v>9210</v>
      </c>
      <c r="J2033" s="21">
        <v>45962</v>
      </c>
      <c r="K2033" t="s">
        <v>67</v>
      </c>
      <c r="L2033" t="s">
        <v>68</v>
      </c>
      <c r="M2033" t="s">
        <v>69</v>
      </c>
      <c r="O2033">
        <v>0</v>
      </c>
      <c r="P2033" t="s">
        <v>130</v>
      </c>
      <c r="S2033" t="str">
        <f>TEXT(Table1[[#This Row],[Date]],"MMM-YY")</f>
        <v>Nov-25</v>
      </c>
      <c r="T2033">
        <f>_xlfn.ISOWEEKNUM(Table1[[#This Row],[Date]])</f>
        <v>45</v>
      </c>
    </row>
    <row r="2034" spans="1:20">
      <c r="A2034" s="1">
        <v>45966</v>
      </c>
      <c r="B2034" s="67" t="s">
        <v>95</v>
      </c>
      <c r="C2034" t="s">
        <v>96</v>
      </c>
      <c r="D2034" t="s">
        <v>64</v>
      </c>
      <c r="E2034" t="s">
        <v>38</v>
      </c>
      <c r="F2034" t="s">
        <v>97</v>
      </c>
      <c r="G2034" s="69" t="s">
        <v>4071</v>
      </c>
      <c r="H2034">
        <v>60956</v>
      </c>
      <c r="I2034">
        <v>60956</v>
      </c>
      <c r="J2034" s="21">
        <v>45962</v>
      </c>
      <c r="K2034" t="s">
        <v>99</v>
      </c>
      <c r="L2034" t="s">
        <v>68</v>
      </c>
      <c r="M2034" t="s">
        <v>69</v>
      </c>
      <c r="O2034">
        <v>0</v>
      </c>
      <c r="P2034" t="s">
        <v>70</v>
      </c>
      <c r="S2034" t="str">
        <f>TEXT(Table1[[#This Row],[Date]],"MMM-YY")</f>
        <v>Nov-25</v>
      </c>
      <c r="T2034">
        <f>_xlfn.ISOWEEKNUM(Table1[[#This Row],[Date]])</f>
        <v>45</v>
      </c>
    </row>
    <row r="2035" spans="1:20" hidden="1">
      <c r="A2035" s="1">
        <v>45967</v>
      </c>
      <c r="B2035" s="67" t="s">
        <v>112</v>
      </c>
      <c r="C2035" t="s">
        <v>96</v>
      </c>
      <c r="D2035" t="s">
        <v>64</v>
      </c>
      <c r="E2035" t="s">
        <v>38</v>
      </c>
      <c r="F2035" t="s">
        <v>113</v>
      </c>
      <c r="G2035" s="69" t="s">
        <v>4072</v>
      </c>
      <c r="H2035">
        <v>14335</v>
      </c>
      <c r="I2035">
        <v>14335</v>
      </c>
      <c r="J2035" s="21">
        <v>45962</v>
      </c>
      <c r="K2035" t="s">
        <v>67</v>
      </c>
      <c r="L2035" t="s">
        <v>68</v>
      </c>
      <c r="M2035" t="s">
        <v>69</v>
      </c>
      <c r="O2035">
        <v>0</v>
      </c>
      <c r="P2035" t="s">
        <v>130</v>
      </c>
      <c r="S2035" t="str">
        <f>TEXT(Table1[[#This Row],[Date]],"MMM-YY")</f>
        <v>Nov-25</v>
      </c>
      <c r="T2035">
        <f>_xlfn.ISOWEEKNUM(Table1[[#This Row],[Date]])</f>
        <v>45</v>
      </c>
    </row>
    <row r="2036" spans="1:20" hidden="1">
      <c r="A2036" s="1">
        <v>45968</v>
      </c>
      <c r="B2036" t="s">
        <v>110</v>
      </c>
      <c r="C2036" t="s">
        <v>63</v>
      </c>
      <c r="D2036" t="s">
        <v>64</v>
      </c>
      <c r="E2036" t="s">
        <v>26</v>
      </c>
      <c r="F2036" t="s">
        <v>86</v>
      </c>
      <c r="G2036" s="9" t="s">
        <v>4073</v>
      </c>
      <c r="H2036">
        <v>57570</v>
      </c>
      <c r="I2036">
        <v>57570</v>
      </c>
      <c r="J2036" s="21">
        <v>45962</v>
      </c>
      <c r="K2036" t="s">
        <v>67</v>
      </c>
      <c r="L2036" t="s">
        <v>68</v>
      </c>
      <c r="M2036" t="s">
        <v>69</v>
      </c>
      <c r="O2036">
        <v>0</v>
      </c>
      <c r="P2036" t="s">
        <v>70</v>
      </c>
      <c r="S2036" t="str">
        <f>TEXT(Table1[[#This Row],[Date]],"MMM-YY")</f>
        <v>Nov-25</v>
      </c>
      <c r="T2036">
        <f>_xlfn.ISOWEEKNUM(Table1[[#This Row],[Date]])</f>
        <v>45</v>
      </c>
    </row>
    <row r="2037" spans="1:20" hidden="1">
      <c r="A2037" s="1">
        <v>45968</v>
      </c>
      <c r="B2037" s="67" t="s">
        <v>112</v>
      </c>
      <c r="C2037" t="s">
        <v>96</v>
      </c>
      <c r="D2037" t="s">
        <v>64</v>
      </c>
      <c r="E2037" t="s">
        <v>38</v>
      </c>
      <c r="F2037" t="s">
        <v>113</v>
      </c>
      <c r="G2037" s="69" t="s">
        <v>4074</v>
      </c>
      <c r="H2037">
        <v>11505</v>
      </c>
      <c r="I2037">
        <v>11505</v>
      </c>
      <c r="J2037" s="21">
        <v>45962</v>
      </c>
      <c r="K2037" t="s">
        <v>67</v>
      </c>
      <c r="L2037" t="s">
        <v>68</v>
      </c>
      <c r="M2037" t="s">
        <v>69</v>
      </c>
      <c r="O2037">
        <v>0</v>
      </c>
      <c r="P2037" t="s">
        <v>130</v>
      </c>
      <c r="S2037" t="str">
        <f>TEXT(Table1[[#This Row],[Date]],"MMM-YY")</f>
        <v>Nov-25</v>
      </c>
      <c r="T2037">
        <f>_xlfn.ISOWEEKNUM(Table1[[#This Row],[Date]])</f>
        <v>45</v>
      </c>
    </row>
    <row r="2038" spans="1:20" hidden="1">
      <c r="A2038" s="1">
        <v>45970</v>
      </c>
      <c r="B2038" t="s">
        <v>4075</v>
      </c>
      <c r="C2038" t="s">
        <v>63</v>
      </c>
      <c r="D2038" t="s">
        <v>105</v>
      </c>
      <c r="E2038" t="s">
        <v>18</v>
      </c>
      <c r="F2038" t="s">
        <v>169</v>
      </c>
      <c r="G2038" s="9" t="s">
        <v>4076</v>
      </c>
      <c r="H2038">
        <v>271590</v>
      </c>
      <c r="I2038">
        <v>271590</v>
      </c>
      <c r="J2038" s="21">
        <v>45962</v>
      </c>
      <c r="K2038" t="s">
        <v>67</v>
      </c>
      <c r="L2038" t="s">
        <v>68</v>
      </c>
      <c r="M2038" t="s">
        <v>69</v>
      </c>
      <c r="O2038">
        <v>0</v>
      </c>
      <c r="P2038" t="s">
        <v>4059</v>
      </c>
      <c r="S2038" t="str">
        <f>TEXT(Table1[[#This Row],[Date]],"MMM-YY")</f>
        <v>Nov-25</v>
      </c>
      <c r="T2038">
        <f>_xlfn.ISOWEEKNUM(Table1[[#This Row],[Date]])</f>
        <v>45</v>
      </c>
    </row>
    <row r="2039" spans="1:20" hidden="1">
      <c r="A2039" s="1">
        <v>45971</v>
      </c>
      <c r="B2039" s="67" t="s">
        <v>112</v>
      </c>
      <c r="C2039" t="s">
        <v>96</v>
      </c>
      <c r="D2039" t="s">
        <v>64</v>
      </c>
      <c r="E2039" t="s">
        <v>38</v>
      </c>
      <c r="F2039" t="s">
        <v>113</v>
      </c>
      <c r="G2039" s="69" t="s">
        <v>4077</v>
      </c>
      <c r="H2039">
        <v>12480</v>
      </c>
      <c r="I2039">
        <v>12480</v>
      </c>
      <c r="J2039" s="21">
        <v>45962</v>
      </c>
      <c r="K2039" t="s">
        <v>67</v>
      </c>
      <c r="L2039" t="s">
        <v>68</v>
      </c>
      <c r="M2039" t="s">
        <v>69</v>
      </c>
      <c r="O2039">
        <v>0</v>
      </c>
      <c r="P2039" t="s">
        <v>130</v>
      </c>
      <c r="S2039" t="str">
        <f>TEXT(Table1[[#This Row],[Date]],"MMM-YY")</f>
        <v>Nov-25</v>
      </c>
      <c r="T2039">
        <f>_xlfn.ISOWEEKNUM(Table1[[#This Row],[Date]])</f>
        <v>46</v>
      </c>
    </row>
    <row r="2040" spans="1:20" ht="29.1">
      <c r="A2040" s="1">
        <v>45971</v>
      </c>
      <c r="B2040" s="67" t="s">
        <v>95</v>
      </c>
      <c r="C2040" t="s">
        <v>96</v>
      </c>
      <c r="D2040" t="s">
        <v>64</v>
      </c>
      <c r="E2040" t="s">
        <v>38</v>
      </c>
      <c r="F2040" t="s">
        <v>97</v>
      </c>
      <c r="G2040" s="69" t="s">
        <v>4078</v>
      </c>
      <c r="H2040">
        <v>30000</v>
      </c>
      <c r="I2040">
        <v>30000</v>
      </c>
      <c r="J2040" s="21">
        <v>45962</v>
      </c>
      <c r="K2040" t="s">
        <v>99</v>
      </c>
      <c r="L2040" t="s">
        <v>68</v>
      </c>
      <c r="M2040" t="s">
        <v>69</v>
      </c>
      <c r="O2040">
        <v>0</v>
      </c>
      <c r="P2040" t="s">
        <v>70</v>
      </c>
      <c r="S2040" t="str">
        <f>TEXT(Table1[[#This Row],[Date]],"MMM-YY")</f>
        <v>Nov-25</v>
      </c>
      <c r="T2040">
        <f>_xlfn.ISOWEEKNUM(Table1[[#This Row],[Date]])</f>
        <v>46</v>
      </c>
    </row>
    <row r="2041" spans="1:20" hidden="1">
      <c r="A2041" s="1">
        <v>45972</v>
      </c>
      <c r="B2041" s="67" t="s">
        <v>112</v>
      </c>
      <c r="C2041" t="s">
        <v>96</v>
      </c>
      <c r="D2041" t="s">
        <v>64</v>
      </c>
      <c r="E2041" t="s">
        <v>38</v>
      </c>
      <c r="F2041" t="s">
        <v>113</v>
      </c>
      <c r="G2041" s="69" t="s">
        <v>4079</v>
      </c>
      <c r="H2041">
        <v>11474</v>
      </c>
      <c r="I2041">
        <v>11474</v>
      </c>
      <c r="J2041" s="21">
        <v>45962</v>
      </c>
      <c r="K2041" t="s">
        <v>67</v>
      </c>
      <c r="L2041" t="s">
        <v>68</v>
      </c>
      <c r="M2041" t="s">
        <v>69</v>
      </c>
      <c r="O2041">
        <v>0</v>
      </c>
      <c r="P2041" t="s">
        <v>130</v>
      </c>
      <c r="S2041" t="str">
        <f>TEXT(Table1[[#This Row],[Date]],"MMM-YY")</f>
        <v>Nov-25</v>
      </c>
      <c r="T2041">
        <f>_xlfn.ISOWEEKNUM(Table1[[#This Row],[Date]])</f>
        <v>46</v>
      </c>
    </row>
    <row r="2042" spans="1:20" hidden="1">
      <c r="A2042" s="1">
        <v>45973</v>
      </c>
      <c r="B2042" s="67" t="s">
        <v>112</v>
      </c>
      <c r="C2042" t="s">
        <v>96</v>
      </c>
      <c r="D2042" t="s">
        <v>64</v>
      </c>
      <c r="E2042" t="s">
        <v>38</v>
      </c>
      <c r="F2042" t="s">
        <v>113</v>
      </c>
      <c r="G2042" s="69" t="s">
        <v>4080</v>
      </c>
      <c r="H2042">
        <v>12500</v>
      </c>
      <c r="I2042">
        <v>12500</v>
      </c>
      <c r="J2042" s="21">
        <v>45962</v>
      </c>
      <c r="K2042" t="s">
        <v>67</v>
      </c>
      <c r="L2042" t="s">
        <v>68</v>
      </c>
      <c r="M2042" t="s">
        <v>69</v>
      </c>
      <c r="O2042">
        <v>0</v>
      </c>
      <c r="P2042" t="s">
        <v>130</v>
      </c>
      <c r="S2042" t="str">
        <f>TEXT(Table1[[#This Row],[Date]],"MMM-YY")</f>
        <v>Nov-25</v>
      </c>
      <c r="T2042">
        <f>_xlfn.ISOWEEKNUM(Table1[[#This Row],[Date]])</f>
        <v>46</v>
      </c>
    </row>
    <row r="2043" spans="1:20" ht="29.1" hidden="1">
      <c r="A2043" s="1">
        <v>45973</v>
      </c>
      <c r="B2043" t="s">
        <v>4068</v>
      </c>
      <c r="C2043" t="s">
        <v>63</v>
      </c>
      <c r="D2043" t="s">
        <v>64</v>
      </c>
      <c r="E2043" t="s">
        <v>29</v>
      </c>
      <c r="F2043" t="s">
        <v>876</v>
      </c>
      <c r="G2043" s="9" t="s">
        <v>4081</v>
      </c>
      <c r="H2043">
        <v>41861</v>
      </c>
      <c r="I2043">
        <v>41861</v>
      </c>
      <c r="J2043" s="21">
        <v>45962</v>
      </c>
      <c r="K2043" t="s">
        <v>67</v>
      </c>
      <c r="L2043" t="s">
        <v>68</v>
      </c>
      <c r="M2043" t="s">
        <v>69</v>
      </c>
      <c r="O2043">
        <v>0</v>
      </c>
      <c r="P2043" t="s">
        <v>108</v>
      </c>
      <c r="S2043" t="str">
        <f>TEXT(Table1[[#This Row],[Date]],"MMM-YY")</f>
        <v>Nov-25</v>
      </c>
      <c r="T2043">
        <f>_xlfn.ISOWEEKNUM(Table1[[#This Row],[Date]])</f>
        <v>46</v>
      </c>
    </row>
    <row r="2044" spans="1:20" hidden="1">
      <c r="A2044" s="1">
        <v>45974</v>
      </c>
      <c r="B2044" s="67" t="s">
        <v>112</v>
      </c>
      <c r="C2044" t="s">
        <v>96</v>
      </c>
      <c r="D2044" t="s">
        <v>64</v>
      </c>
      <c r="E2044" t="s">
        <v>38</v>
      </c>
      <c r="F2044" t="s">
        <v>113</v>
      </c>
      <c r="G2044" s="69" t="s">
        <v>4082</v>
      </c>
      <c r="H2044">
        <v>9750</v>
      </c>
      <c r="I2044">
        <v>9750</v>
      </c>
      <c r="J2044" s="21">
        <v>45962</v>
      </c>
      <c r="K2044" t="s">
        <v>67</v>
      </c>
      <c r="L2044" t="s">
        <v>68</v>
      </c>
      <c r="M2044" t="s">
        <v>69</v>
      </c>
      <c r="O2044">
        <v>0</v>
      </c>
      <c r="P2044" t="s">
        <v>130</v>
      </c>
      <c r="S2044" t="str">
        <f>TEXT(Table1[[#This Row],[Date]],"MMM-YY")</f>
        <v>Nov-25</v>
      </c>
      <c r="T2044">
        <f>_xlfn.ISOWEEKNUM(Table1[[#This Row],[Date]])</f>
        <v>46</v>
      </c>
    </row>
    <row r="2045" spans="1:20" hidden="1">
      <c r="A2045" s="1">
        <v>45974</v>
      </c>
      <c r="B2045" t="s">
        <v>4083</v>
      </c>
      <c r="C2045" t="s">
        <v>2755</v>
      </c>
      <c r="D2045" t="s">
        <v>64</v>
      </c>
      <c r="E2045" t="s">
        <v>33</v>
      </c>
      <c r="F2045" t="s">
        <v>550</v>
      </c>
      <c r="G2045" s="9" t="s">
        <v>4084</v>
      </c>
      <c r="H2045">
        <v>5100</v>
      </c>
      <c r="I2045">
        <v>5100</v>
      </c>
      <c r="J2045" s="21">
        <v>45962</v>
      </c>
      <c r="K2045" t="s">
        <v>67</v>
      </c>
      <c r="L2045" t="s">
        <v>68</v>
      </c>
      <c r="M2045" t="s">
        <v>69</v>
      </c>
      <c r="O2045">
        <v>0</v>
      </c>
      <c r="P2045" t="s">
        <v>108</v>
      </c>
      <c r="S2045" t="str">
        <f>TEXT(Table1[[#This Row],[Date]],"MMM-YY")</f>
        <v>Nov-25</v>
      </c>
      <c r="T2045">
        <f>_xlfn.ISOWEEKNUM(Table1[[#This Row],[Date]])</f>
        <v>46</v>
      </c>
    </row>
    <row r="2046" spans="1:20" ht="29.1" hidden="1">
      <c r="A2046" s="1">
        <v>45975</v>
      </c>
      <c r="B2046" t="s">
        <v>4085</v>
      </c>
      <c r="C2046" t="s">
        <v>63</v>
      </c>
      <c r="D2046" t="s">
        <v>64</v>
      </c>
      <c r="E2046" t="s">
        <v>25</v>
      </c>
      <c r="F2046" t="s">
        <v>2949</v>
      </c>
      <c r="G2046" s="9" t="s">
        <v>4086</v>
      </c>
      <c r="H2046">
        <v>57625</v>
      </c>
      <c r="I2046">
        <v>57625</v>
      </c>
      <c r="J2046" s="21">
        <v>45962</v>
      </c>
      <c r="K2046" t="s">
        <v>67</v>
      </c>
      <c r="L2046" t="s">
        <v>68</v>
      </c>
      <c r="M2046" t="s">
        <v>69</v>
      </c>
      <c r="O2046">
        <v>0</v>
      </c>
      <c r="P2046" t="s">
        <v>108</v>
      </c>
      <c r="S2046" t="str">
        <f>TEXT(Table1[[#This Row],[Date]],"MMM-YY")</f>
        <v>Nov-25</v>
      </c>
      <c r="T2046">
        <f>_xlfn.ISOWEEKNUM(Table1[[#This Row],[Date]])</f>
        <v>46</v>
      </c>
    </row>
    <row r="2047" spans="1:20" ht="29.1" hidden="1">
      <c r="A2047" s="1">
        <v>45975</v>
      </c>
      <c r="B2047" t="s">
        <v>4087</v>
      </c>
      <c r="C2047" t="s">
        <v>96</v>
      </c>
      <c r="D2047" t="s">
        <v>64</v>
      </c>
      <c r="E2047" t="s">
        <v>25</v>
      </c>
      <c r="F2047" t="s">
        <v>2949</v>
      </c>
      <c r="G2047" s="9" t="s">
        <v>4088</v>
      </c>
      <c r="H2047">
        <v>14093</v>
      </c>
      <c r="I2047">
        <v>14093</v>
      </c>
      <c r="J2047" s="21">
        <v>45962</v>
      </c>
      <c r="K2047" t="s">
        <v>67</v>
      </c>
      <c r="L2047" t="s">
        <v>68</v>
      </c>
      <c r="M2047" t="s">
        <v>69</v>
      </c>
      <c r="O2047">
        <v>0</v>
      </c>
      <c r="P2047" t="s">
        <v>108</v>
      </c>
      <c r="S2047" t="str">
        <f>TEXT(Table1[[#This Row],[Date]],"MMM-YY")</f>
        <v>Nov-25</v>
      </c>
      <c r="T2047">
        <f>_xlfn.ISOWEEKNUM(Table1[[#This Row],[Date]])</f>
        <v>46</v>
      </c>
    </row>
    <row r="2048" spans="1:20" hidden="1">
      <c r="A2048" s="1">
        <v>45975</v>
      </c>
      <c r="B2048" t="s">
        <v>4089</v>
      </c>
      <c r="C2048" t="s">
        <v>63</v>
      </c>
      <c r="D2048" t="s">
        <v>64</v>
      </c>
      <c r="E2048" t="s">
        <v>38</v>
      </c>
      <c r="F2048" t="s">
        <v>989</v>
      </c>
      <c r="G2048" s="9" t="s">
        <v>4090</v>
      </c>
      <c r="H2048">
        <v>60000</v>
      </c>
      <c r="I2048">
        <v>60000</v>
      </c>
      <c r="J2048" s="21">
        <v>45962</v>
      </c>
      <c r="K2048" t="s">
        <v>67</v>
      </c>
      <c r="L2048" t="s">
        <v>68</v>
      </c>
      <c r="M2048" t="s">
        <v>69</v>
      </c>
      <c r="O2048">
        <v>0</v>
      </c>
      <c r="P2048" t="s">
        <v>70</v>
      </c>
      <c r="S2048" t="str">
        <f>TEXT(Table1[[#This Row],[Date]],"MMM-YY")</f>
        <v>Nov-25</v>
      </c>
      <c r="T2048">
        <f>_xlfn.ISOWEEKNUM(Table1[[#This Row],[Date]])</f>
        <v>46</v>
      </c>
    </row>
    <row r="2049" spans="1:20" hidden="1">
      <c r="A2049" s="1">
        <v>45975</v>
      </c>
      <c r="B2049" s="67" t="s">
        <v>112</v>
      </c>
      <c r="C2049" t="s">
        <v>96</v>
      </c>
      <c r="D2049" t="s">
        <v>64</v>
      </c>
      <c r="E2049" t="s">
        <v>38</v>
      </c>
      <c r="F2049" t="s">
        <v>113</v>
      </c>
      <c r="G2049" s="69" t="s">
        <v>4091</v>
      </c>
      <c r="H2049">
        <v>13290</v>
      </c>
      <c r="I2049">
        <v>13290</v>
      </c>
      <c r="J2049" s="21">
        <v>45962</v>
      </c>
      <c r="K2049" t="s">
        <v>67</v>
      </c>
      <c r="L2049" t="s">
        <v>68</v>
      </c>
      <c r="M2049" t="s">
        <v>69</v>
      </c>
      <c r="O2049">
        <v>0</v>
      </c>
      <c r="P2049" t="s">
        <v>130</v>
      </c>
      <c r="S2049" t="str">
        <f>TEXT(Table1[[#This Row],[Date]],"MMM-YY")</f>
        <v>Nov-25</v>
      </c>
      <c r="T2049">
        <f>_xlfn.ISOWEEKNUM(Table1[[#This Row],[Date]])</f>
        <v>46</v>
      </c>
    </row>
    <row r="2050" spans="1:20" hidden="1">
      <c r="A2050" s="1">
        <v>45976</v>
      </c>
      <c r="B2050" t="s">
        <v>4092</v>
      </c>
      <c r="C2050" t="s">
        <v>63</v>
      </c>
      <c r="D2050" t="s">
        <v>64</v>
      </c>
      <c r="E2050" t="s">
        <v>32</v>
      </c>
      <c r="F2050" t="s">
        <v>133</v>
      </c>
      <c r="G2050" s="9" t="s">
        <v>4093</v>
      </c>
      <c r="H2050">
        <v>23500</v>
      </c>
      <c r="I2050">
        <v>23500</v>
      </c>
      <c r="J2050" s="21">
        <v>45962</v>
      </c>
      <c r="K2050" t="s">
        <v>67</v>
      </c>
      <c r="L2050" t="s">
        <v>68</v>
      </c>
      <c r="M2050" t="s">
        <v>69</v>
      </c>
      <c r="O2050">
        <v>0</v>
      </c>
      <c r="P2050" t="s">
        <v>70</v>
      </c>
      <c r="S2050" t="str">
        <f>TEXT(Table1[[#This Row],[Date]],"MMM-YY")</f>
        <v>Nov-25</v>
      </c>
      <c r="T2050">
        <f>_xlfn.ISOWEEKNUM(Table1[[#This Row],[Date]])</f>
        <v>46</v>
      </c>
    </row>
    <row r="2051" spans="1:20" ht="19.5" hidden="1" customHeight="1">
      <c r="A2051" s="1">
        <v>45976</v>
      </c>
      <c r="B2051" t="s">
        <v>4094</v>
      </c>
      <c r="C2051" t="s">
        <v>63</v>
      </c>
      <c r="D2051" t="s">
        <v>64</v>
      </c>
      <c r="E2051" t="s">
        <v>32</v>
      </c>
      <c r="F2051" t="s">
        <v>2826</v>
      </c>
      <c r="G2051" s="9" t="s">
        <v>4095</v>
      </c>
      <c r="H2051">
        <v>24180</v>
      </c>
      <c r="I2051">
        <v>24180</v>
      </c>
      <c r="J2051" s="21">
        <v>45962</v>
      </c>
      <c r="K2051" t="s">
        <v>67</v>
      </c>
      <c r="L2051" t="s">
        <v>68</v>
      </c>
      <c r="M2051" t="s">
        <v>69</v>
      </c>
      <c r="O2051">
        <v>0</v>
      </c>
      <c r="P2051" t="s">
        <v>70</v>
      </c>
      <c r="S2051" t="str">
        <f>TEXT(Table1[[#This Row],[Date]],"MMM-YY")</f>
        <v>Nov-25</v>
      </c>
      <c r="T2051">
        <f>_xlfn.ISOWEEKNUM(Table1[[#This Row],[Date]])</f>
        <v>46</v>
      </c>
    </row>
    <row r="2052" spans="1:20" hidden="1">
      <c r="A2052" s="1">
        <v>45976</v>
      </c>
      <c r="B2052" t="s">
        <v>1763</v>
      </c>
      <c r="C2052" t="s">
        <v>96</v>
      </c>
      <c r="D2052" t="s">
        <v>20</v>
      </c>
      <c r="E2052" t="s">
        <v>23</v>
      </c>
      <c r="F2052" t="s">
        <v>4096</v>
      </c>
      <c r="G2052" s="9" t="s">
        <v>4097</v>
      </c>
      <c r="H2052">
        <v>8193</v>
      </c>
      <c r="I2052">
        <v>8193</v>
      </c>
      <c r="J2052" s="21">
        <v>45962</v>
      </c>
      <c r="K2052" t="s">
        <v>67</v>
      </c>
      <c r="L2052" t="s">
        <v>68</v>
      </c>
      <c r="M2052" t="s">
        <v>69</v>
      </c>
      <c r="O2052">
        <v>0</v>
      </c>
      <c r="P2052" t="s">
        <v>70</v>
      </c>
      <c r="S2052" t="str">
        <f>TEXT(Table1[[#This Row],[Date]],"MMM-YY")</f>
        <v>Nov-25</v>
      </c>
      <c r="T2052">
        <f>_xlfn.ISOWEEKNUM(Table1[[#This Row],[Date]])</f>
        <v>46</v>
      </c>
    </row>
    <row r="2053" spans="1:20" hidden="1">
      <c r="A2053" s="1">
        <v>45977</v>
      </c>
      <c r="B2053" t="s">
        <v>4098</v>
      </c>
      <c r="C2053" t="s">
        <v>96</v>
      </c>
      <c r="D2053" t="s">
        <v>20</v>
      </c>
      <c r="E2053" t="s">
        <v>23</v>
      </c>
      <c r="F2053" t="s">
        <v>238</v>
      </c>
      <c r="G2053" s="9" t="s">
        <v>4099</v>
      </c>
      <c r="H2053">
        <v>10003</v>
      </c>
      <c r="I2053">
        <v>10003</v>
      </c>
      <c r="J2053" s="21">
        <v>45962</v>
      </c>
      <c r="K2053" t="s">
        <v>67</v>
      </c>
      <c r="L2053" t="s">
        <v>68</v>
      </c>
      <c r="M2053" t="s">
        <v>69</v>
      </c>
      <c r="O2053">
        <v>0</v>
      </c>
      <c r="P2053" t="s">
        <v>70</v>
      </c>
      <c r="S2053" t="str">
        <f>TEXT(Table1[[#This Row],[Date]],"MMM-YY")</f>
        <v>Nov-25</v>
      </c>
      <c r="T2053">
        <f>_xlfn.ISOWEEKNUM(Table1[[#This Row],[Date]])</f>
        <v>46</v>
      </c>
    </row>
    <row r="2054" spans="1:20">
      <c r="A2054" s="1">
        <v>45977</v>
      </c>
      <c r="B2054" t="s">
        <v>4100</v>
      </c>
      <c r="C2054" t="s">
        <v>63</v>
      </c>
      <c r="D2054" t="s">
        <v>64</v>
      </c>
      <c r="E2054" t="s">
        <v>32</v>
      </c>
      <c r="F2054" t="s">
        <v>441</v>
      </c>
      <c r="G2054" s="9" t="s">
        <v>4101</v>
      </c>
      <c r="H2054">
        <v>59401</v>
      </c>
      <c r="I2054">
        <v>59401</v>
      </c>
      <c r="J2054" s="21">
        <v>45962</v>
      </c>
      <c r="K2054" t="s">
        <v>67</v>
      </c>
      <c r="L2054" t="s">
        <v>68</v>
      </c>
      <c r="M2054" t="s">
        <v>69</v>
      </c>
      <c r="O2054">
        <v>0</v>
      </c>
      <c r="P2054" t="s">
        <v>70</v>
      </c>
      <c r="S2054" t="str">
        <f>TEXT(Table1[[#This Row],[Date]],"MMM-YY")</f>
        <v>Nov-25</v>
      </c>
      <c r="T2054">
        <f>_xlfn.ISOWEEKNUM(Table1[[#This Row],[Date]])</f>
        <v>46</v>
      </c>
    </row>
    <row r="2055" spans="1:20" hidden="1">
      <c r="A2055" s="1">
        <v>45978</v>
      </c>
      <c r="B2055" t="s">
        <v>4102</v>
      </c>
      <c r="C2055" t="s">
        <v>63</v>
      </c>
      <c r="D2055" t="s">
        <v>64</v>
      </c>
      <c r="E2055" t="s">
        <v>39</v>
      </c>
      <c r="F2055" t="s">
        <v>4103</v>
      </c>
      <c r="G2055" s="9" t="s">
        <v>4104</v>
      </c>
      <c r="H2055">
        <v>0</v>
      </c>
      <c r="I2055">
        <v>0</v>
      </c>
      <c r="J2055" s="21">
        <v>46113</v>
      </c>
      <c r="K2055" t="s">
        <v>67</v>
      </c>
      <c r="L2055" t="s">
        <v>567</v>
      </c>
      <c r="M2055" t="s">
        <v>2878</v>
      </c>
      <c r="O2055">
        <v>0</v>
      </c>
      <c r="P2055" t="s">
        <v>70</v>
      </c>
      <c r="S2055" t="str">
        <f>TEXT(Table1[[#This Row],[Date]],"MMM-YY")</f>
        <v>Nov-25</v>
      </c>
      <c r="T2055">
        <f>_xlfn.ISOWEEKNUM(Table1[[#This Row],[Date]])</f>
        <v>47</v>
      </c>
    </row>
    <row r="2056" spans="1:20" ht="15.75" hidden="1" customHeight="1">
      <c r="A2056" s="1">
        <v>45978</v>
      </c>
      <c r="B2056" t="s">
        <v>4105</v>
      </c>
      <c r="C2056" t="s">
        <v>63</v>
      </c>
      <c r="D2056" t="s">
        <v>64</v>
      </c>
      <c r="E2056" t="s">
        <v>37</v>
      </c>
      <c r="F2056" t="s">
        <v>4106</v>
      </c>
      <c r="G2056" s="9" t="s">
        <v>4107</v>
      </c>
      <c r="H2056">
        <v>1120000</v>
      </c>
      <c r="I2056">
        <v>1120000</v>
      </c>
      <c r="J2056" s="21">
        <v>45962</v>
      </c>
      <c r="K2056" t="s">
        <v>67</v>
      </c>
      <c r="L2056" t="s">
        <v>68</v>
      </c>
      <c r="M2056" t="s">
        <v>69</v>
      </c>
      <c r="O2056">
        <v>0</v>
      </c>
      <c r="P2056" t="s">
        <v>70</v>
      </c>
      <c r="S2056" t="str">
        <f>TEXT(Table1[[#This Row],[Date]],"MMM-YY")</f>
        <v>Nov-25</v>
      </c>
      <c r="T2056">
        <f>_xlfn.ISOWEEKNUM(Table1[[#This Row],[Date]])</f>
        <v>47</v>
      </c>
    </row>
    <row r="2057" spans="1:20" hidden="1">
      <c r="A2057" s="1">
        <v>45978</v>
      </c>
      <c r="B2057" t="s">
        <v>218</v>
      </c>
      <c r="C2057" t="s">
        <v>63</v>
      </c>
      <c r="D2057" t="s">
        <v>64</v>
      </c>
      <c r="E2057" t="s">
        <v>26</v>
      </c>
      <c r="F2057" t="s">
        <v>219</v>
      </c>
      <c r="G2057" s="9" t="s">
        <v>4108</v>
      </c>
      <c r="H2057">
        <v>0</v>
      </c>
      <c r="I2057">
        <v>0</v>
      </c>
      <c r="J2057" s="21">
        <v>45962</v>
      </c>
      <c r="K2057" t="s">
        <v>67</v>
      </c>
      <c r="L2057" t="s">
        <v>68</v>
      </c>
      <c r="M2057" t="s">
        <v>69</v>
      </c>
      <c r="O2057">
        <v>0</v>
      </c>
      <c r="P2057" t="s">
        <v>130</v>
      </c>
      <c r="S2057" t="str">
        <f>TEXT(Table1[[#This Row],[Date]],"MMM-YY")</f>
        <v>Nov-25</v>
      </c>
      <c r="T2057">
        <f>_xlfn.ISOWEEKNUM(Table1[[#This Row],[Date]])</f>
        <v>47</v>
      </c>
    </row>
    <row r="2058" spans="1:20" ht="16.5" hidden="1" customHeight="1">
      <c r="A2058" s="1">
        <v>45978</v>
      </c>
      <c r="B2058" s="67" t="s">
        <v>112</v>
      </c>
      <c r="C2058" t="s">
        <v>96</v>
      </c>
      <c r="D2058" t="s">
        <v>64</v>
      </c>
      <c r="E2058" t="s">
        <v>38</v>
      </c>
      <c r="F2058" t="s">
        <v>113</v>
      </c>
      <c r="G2058" s="69" t="s">
        <v>4109</v>
      </c>
      <c r="H2058">
        <v>4757</v>
      </c>
      <c r="I2058">
        <v>4757</v>
      </c>
      <c r="J2058" s="21">
        <v>45962</v>
      </c>
      <c r="K2058" t="s">
        <v>67</v>
      </c>
      <c r="L2058" t="s">
        <v>68</v>
      </c>
      <c r="M2058" t="s">
        <v>69</v>
      </c>
      <c r="O2058">
        <v>0</v>
      </c>
      <c r="P2058" t="s">
        <v>130</v>
      </c>
      <c r="S2058" t="str">
        <f>TEXT(Table1[[#This Row],[Date]],"MMM-YY")</f>
        <v>Nov-25</v>
      </c>
      <c r="T2058">
        <f>_xlfn.ISOWEEKNUM(Table1[[#This Row],[Date]])</f>
        <v>47</v>
      </c>
    </row>
    <row r="2059" spans="1:20" ht="17.25" hidden="1" customHeight="1">
      <c r="A2059" s="1">
        <v>45979</v>
      </c>
      <c r="B2059" s="67" t="s">
        <v>112</v>
      </c>
      <c r="C2059" t="s">
        <v>96</v>
      </c>
      <c r="D2059" t="s">
        <v>64</v>
      </c>
      <c r="E2059" t="s">
        <v>38</v>
      </c>
      <c r="F2059" t="s">
        <v>113</v>
      </c>
      <c r="G2059" s="69" t="s">
        <v>4110</v>
      </c>
      <c r="H2059">
        <v>10780</v>
      </c>
      <c r="I2059">
        <v>10780</v>
      </c>
      <c r="J2059" s="21">
        <v>45962</v>
      </c>
      <c r="K2059" t="s">
        <v>67</v>
      </c>
      <c r="L2059" t="s">
        <v>68</v>
      </c>
      <c r="M2059" t="s">
        <v>69</v>
      </c>
      <c r="O2059">
        <v>0</v>
      </c>
      <c r="P2059" t="s">
        <v>130</v>
      </c>
      <c r="S2059" t="str">
        <f>TEXT(Table1[[#This Row],[Date]],"MMM-YY")</f>
        <v>Nov-25</v>
      </c>
      <c r="T2059">
        <f>_xlfn.ISOWEEKNUM(Table1[[#This Row],[Date]])</f>
        <v>47</v>
      </c>
    </row>
    <row r="2060" spans="1:20" ht="29.1" hidden="1">
      <c r="A2060" s="1">
        <v>45979</v>
      </c>
      <c r="B2060" t="s">
        <v>4111</v>
      </c>
      <c r="C2060" t="s">
        <v>96</v>
      </c>
      <c r="D2060" t="s">
        <v>20</v>
      </c>
      <c r="E2060" t="s">
        <v>23</v>
      </c>
      <c r="F2060" t="s">
        <v>4112</v>
      </c>
      <c r="G2060" s="9" t="s">
        <v>4113</v>
      </c>
      <c r="H2060">
        <v>20000</v>
      </c>
      <c r="I2060">
        <v>20000</v>
      </c>
      <c r="J2060" s="21">
        <v>45962</v>
      </c>
      <c r="K2060" t="s">
        <v>67</v>
      </c>
      <c r="L2060" t="s">
        <v>68</v>
      </c>
      <c r="M2060" t="s">
        <v>69</v>
      </c>
      <c r="O2060">
        <v>0</v>
      </c>
      <c r="P2060" t="s">
        <v>70</v>
      </c>
      <c r="S2060" t="str">
        <f>TEXT(Table1[[#This Row],[Date]],"MMM-YY")</f>
        <v>Nov-25</v>
      </c>
      <c r="T2060">
        <f>_xlfn.ISOWEEKNUM(Table1[[#This Row],[Date]])</f>
        <v>47</v>
      </c>
    </row>
    <row r="2061" spans="1:20" hidden="1">
      <c r="A2061" s="1">
        <v>45980</v>
      </c>
      <c r="B2061" t="s">
        <v>4114</v>
      </c>
      <c r="C2061" t="s">
        <v>63</v>
      </c>
      <c r="D2061" t="s">
        <v>64</v>
      </c>
      <c r="E2061" t="s">
        <v>32</v>
      </c>
      <c r="F2061" t="s">
        <v>4115</v>
      </c>
      <c r="G2061" s="9" t="s">
        <v>4116</v>
      </c>
      <c r="H2061">
        <v>14200</v>
      </c>
      <c r="I2061">
        <v>14200</v>
      </c>
      <c r="J2061" s="21">
        <v>45962</v>
      </c>
      <c r="K2061" t="s">
        <v>67</v>
      </c>
      <c r="L2061" t="s">
        <v>68</v>
      </c>
      <c r="M2061" t="s">
        <v>69</v>
      </c>
      <c r="O2061">
        <v>0</v>
      </c>
      <c r="P2061" t="s">
        <v>108</v>
      </c>
      <c r="S2061" t="str">
        <f>TEXT(Table1[[#This Row],[Date]],"MMM-YY")</f>
        <v>Nov-25</v>
      </c>
      <c r="T2061">
        <f>_xlfn.ISOWEEKNUM(Table1[[#This Row],[Date]])</f>
        <v>47</v>
      </c>
    </row>
    <row r="2062" spans="1:20" ht="18" hidden="1" customHeight="1">
      <c r="A2062" s="1">
        <v>45980</v>
      </c>
      <c r="B2062" s="67" t="s">
        <v>112</v>
      </c>
      <c r="C2062" t="s">
        <v>96</v>
      </c>
      <c r="D2062" t="s">
        <v>64</v>
      </c>
      <c r="E2062" t="s">
        <v>38</v>
      </c>
      <c r="F2062" t="s">
        <v>113</v>
      </c>
      <c r="G2062" s="69" t="s">
        <v>4117</v>
      </c>
      <c r="H2062">
        <v>9840</v>
      </c>
      <c r="I2062">
        <v>9840</v>
      </c>
      <c r="J2062" s="21">
        <v>45962</v>
      </c>
      <c r="K2062" t="s">
        <v>67</v>
      </c>
      <c r="L2062" t="s">
        <v>68</v>
      </c>
      <c r="M2062" t="s">
        <v>69</v>
      </c>
      <c r="O2062">
        <v>0</v>
      </c>
      <c r="P2062" t="s">
        <v>130</v>
      </c>
      <c r="S2062" t="str">
        <f>TEXT(Table1[[#This Row],[Date]],"MMM-YY")</f>
        <v>Nov-25</v>
      </c>
      <c r="T2062">
        <f>_xlfn.ISOWEEKNUM(Table1[[#This Row],[Date]])</f>
        <v>47</v>
      </c>
    </row>
    <row r="2063" spans="1:20" ht="29.1" hidden="1">
      <c r="A2063" s="1">
        <v>45980</v>
      </c>
      <c r="B2063" t="s">
        <v>4118</v>
      </c>
      <c r="C2063" t="s">
        <v>96</v>
      </c>
      <c r="D2063" t="s">
        <v>64</v>
      </c>
      <c r="E2063" t="s">
        <v>32</v>
      </c>
      <c r="F2063" t="s">
        <v>153</v>
      </c>
      <c r="G2063" s="9" t="s">
        <v>4119</v>
      </c>
      <c r="H2063">
        <v>20600</v>
      </c>
      <c r="I2063">
        <v>20600</v>
      </c>
      <c r="J2063" s="21">
        <v>45962</v>
      </c>
      <c r="K2063" t="s">
        <v>67</v>
      </c>
      <c r="L2063" t="s">
        <v>68</v>
      </c>
      <c r="M2063" t="s">
        <v>69</v>
      </c>
      <c r="O2063">
        <v>0</v>
      </c>
      <c r="P2063" t="s">
        <v>70</v>
      </c>
      <c r="S2063" t="str">
        <f>TEXT(Table1[[#This Row],[Date]],"MMM-YY")</f>
        <v>Nov-25</v>
      </c>
      <c r="T2063">
        <f>_xlfn.ISOWEEKNUM(Table1[[#This Row],[Date]])</f>
        <v>47</v>
      </c>
    </row>
    <row r="2064" spans="1:20" ht="17.25" hidden="1" customHeight="1">
      <c r="A2064" s="1">
        <v>45980</v>
      </c>
      <c r="B2064" t="s">
        <v>223</v>
      </c>
      <c r="C2064" t="s">
        <v>63</v>
      </c>
      <c r="D2064" t="s">
        <v>64</v>
      </c>
      <c r="E2064" t="s">
        <v>26</v>
      </c>
      <c r="F2064" t="s">
        <v>219</v>
      </c>
      <c r="G2064" s="9" t="s">
        <v>4120</v>
      </c>
      <c r="H2064">
        <v>103000</v>
      </c>
      <c r="I2064">
        <v>103000</v>
      </c>
      <c r="J2064" s="21">
        <v>45962</v>
      </c>
      <c r="K2064" t="s">
        <v>67</v>
      </c>
      <c r="L2064" t="s">
        <v>68</v>
      </c>
      <c r="M2064" t="s">
        <v>69</v>
      </c>
      <c r="O2064">
        <v>0</v>
      </c>
      <c r="P2064" t="s">
        <v>130</v>
      </c>
      <c r="S2064" t="str">
        <f>TEXT(Table1[[#This Row],[Date]],"MMM-YY")</f>
        <v>Nov-25</v>
      </c>
      <c r="T2064">
        <f>_xlfn.ISOWEEKNUM(Table1[[#This Row],[Date]])</f>
        <v>47</v>
      </c>
    </row>
    <row r="2065" spans="1:20" hidden="1">
      <c r="A2065" s="1">
        <v>45980</v>
      </c>
      <c r="B2065" t="s">
        <v>4121</v>
      </c>
      <c r="C2065" t="s">
        <v>63</v>
      </c>
      <c r="D2065" t="s">
        <v>64</v>
      </c>
      <c r="E2065" t="s">
        <v>14</v>
      </c>
      <c r="F2065" t="s">
        <v>184</v>
      </c>
      <c r="G2065" s="9" t="s">
        <v>4122</v>
      </c>
      <c r="H2065">
        <v>0</v>
      </c>
      <c r="I2065">
        <v>0</v>
      </c>
      <c r="J2065" s="21">
        <v>46054</v>
      </c>
      <c r="K2065" t="s">
        <v>67</v>
      </c>
      <c r="L2065" t="s">
        <v>9</v>
      </c>
      <c r="M2065" t="s">
        <v>9</v>
      </c>
      <c r="O2065">
        <v>0</v>
      </c>
      <c r="P2065" t="s">
        <v>108</v>
      </c>
      <c r="S2065" t="str">
        <f>TEXT(Table1[[#This Row],[Date]],"MMM-YY")</f>
        <v>Nov-25</v>
      </c>
      <c r="T2065">
        <f>_xlfn.ISOWEEKNUM(Table1[[#This Row],[Date]])</f>
        <v>47</v>
      </c>
    </row>
    <row r="2066" spans="1:20" ht="16.5" customHeight="1">
      <c r="A2066" s="1">
        <v>45980</v>
      </c>
      <c r="B2066" s="67" t="s">
        <v>95</v>
      </c>
      <c r="C2066" t="s">
        <v>96</v>
      </c>
      <c r="D2066" t="s">
        <v>64</v>
      </c>
      <c r="E2066" t="s">
        <v>38</v>
      </c>
      <c r="F2066" t="s">
        <v>97</v>
      </c>
      <c r="G2066" s="69" t="s">
        <v>4123</v>
      </c>
      <c r="H2066">
        <v>39415</v>
      </c>
      <c r="I2066">
        <v>39415</v>
      </c>
      <c r="J2066" s="21">
        <v>45962</v>
      </c>
      <c r="K2066" t="s">
        <v>99</v>
      </c>
      <c r="L2066" t="s">
        <v>68</v>
      </c>
      <c r="M2066" t="s">
        <v>69</v>
      </c>
      <c r="O2066">
        <v>0</v>
      </c>
      <c r="P2066" t="s">
        <v>70</v>
      </c>
      <c r="S2066" t="str">
        <f>TEXT(Table1[[#This Row],[Date]],"MMM-YY")</f>
        <v>Nov-25</v>
      </c>
      <c r="T2066">
        <f>_xlfn.ISOWEEKNUM(Table1[[#This Row],[Date]])</f>
        <v>47</v>
      </c>
    </row>
    <row r="2067" spans="1:20" ht="29.1" hidden="1">
      <c r="A2067" s="1">
        <v>45980</v>
      </c>
      <c r="B2067" t="s">
        <v>4111</v>
      </c>
      <c r="C2067" t="s">
        <v>96</v>
      </c>
      <c r="D2067" t="s">
        <v>20</v>
      </c>
      <c r="E2067" t="s">
        <v>23</v>
      </c>
      <c r="F2067" t="s">
        <v>4124</v>
      </c>
      <c r="G2067" s="9" t="s">
        <v>4125</v>
      </c>
      <c r="H2067">
        <v>4800</v>
      </c>
      <c r="I2067">
        <v>4800</v>
      </c>
      <c r="J2067" s="21">
        <v>45962</v>
      </c>
      <c r="K2067" t="s">
        <v>67</v>
      </c>
      <c r="L2067" t="s">
        <v>68</v>
      </c>
      <c r="M2067" t="s">
        <v>69</v>
      </c>
      <c r="O2067">
        <v>0</v>
      </c>
      <c r="P2067" t="s">
        <v>70</v>
      </c>
      <c r="S2067" t="str">
        <f>TEXT(Table1[[#This Row],[Date]],"MMM-YY")</f>
        <v>Nov-25</v>
      </c>
      <c r="T2067">
        <f>_xlfn.ISOWEEKNUM(Table1[[#This Row],[Date]])</f>
        <v>47</v>
      </c>
    </row>
    <row r="2068" spans="1:20" ht="17.25" hidden="1" customHeight="1">
      <c r="A2068" s="1">
        <v>45981</v>
      </c>
      <c r="B2068" s="67" t="s">
        <v>112</v>
      </c>
      <c r="C2068" t="s">
        <v>96</v>
      </c>
      <c r="D2068" t="s">
        <v>64</v>
      </c>
      <c r="E2068" t="s">
        <v>38</v>
      </c>
      <c r="F2068" t="s">
        <v>113</v>
      </c>
      <c r="G2068" s="69" t="s">
        <v>4126</v>
      </c>
      <c r="H2068">
        <v>7510</v>
      </c>
      <c r="I2068">
        <v>7510</v>
      </c>
      <c r="J2068" s="21">
        <v>45962</v>
      </c>
      <c r="K2068" t="s">
        <v>67</v>
      </c>
      <c r="L2068" t="s">
        <v>68</v>
      </c>
      <c r="M2068" t="s">
        <v>69</v>
      </c>
      <c r="O2068">
        <v>0</v>
      </c>
      <c r="P2068" t="s">
        <v>130</v>
      </c>
      <c r="S2068" t="str">
        <f>TEXT(Table1[[#This Row],[Date]],"MMM-YY")</f>
        <v>Nov-25</v>
      </c>
      <c r="T2068">
        <f>_xlfn.ISOWEEKNUM(Table1[[#This Row],[Date]])</f>
        <v>47</v>
      </c>
    </row>
    <row r="2069" spans="1:20" hidden="1">
      <c r="A2069" s="1">
        <v>45981</v>
      </c>
      <c r="B2069" t="s">
        <v>4127</v>
      </c>
      <c r="C2069" t="s">
        <v>63</v>
      </c>
      <c r="D2069" t="s">
        <v>64</v>
      </c>
      <c r="E2069" t="s">
        <v>39</v>
      </c>
      <c r="F2069" t="s">
        <v>4128</v>
      </c>
      <c r="G2069" s="9" t="s">
        <v>4129</v>
      </c>
      <c r="H2069">
        <v>300000</v>
      </c>
      <c r="I2069">
        <v>0</v>
      </c>
      <c r="J2069" s="21">
        <v>46023</v>
      </c>
      <c r="K2069" t="s">
        <v>67</v>
      </c>
      <c r="L2069" t="s">
        <v>9</v>
      </c>
      <c r="M2069" t="s">
        <v>9</v>
      </c>
      <c r="O2069">
        <v>0</v>
      </c>
      <c r="P2069" t="s">
        <v>4059</v>
      </c>
      <c r="S2069" t="str">
        <f>TEXT(Table1[[#This Row],[Date]],"MMM-YY")</f>
        <v>Nov-25</v>
      </c>
      <c r="T2069">
        <f>_xlfn.ISOWEEKNUM(Table1[[#This Row],[Date]])</f>
        <v>47</v>
      </c>
    </row>
    <row r="2070" spans="1:20" hidden="1">
      <c r="A2070" s="1">
        <v>45981</v>
      </c>
      <c r="B2070" t="s">
        <v>4130</v>
      </c>
      <c r="C2070" t="s">
        <v>63</v>
      </c>
      <c r="D2070" t="s">
        <v>618</v>
      </c>
      <c r="E2070" t="s">
        <v>18</v>
      </c>
      <c r="F2070" t="s">
        <v>4131</v>
      </c>
      <c r="G2070" s="9" t="s">
        <v>4132</v>
      </c>
      <c r="H2070">
        <v>0</v>
      </c>
      <c r="I2070">
        <v>0</v>
      </c>
      <c r="J2070" s="21">
        <v>45962</v>
      </c>
      <c r="K2070" t="s">
        <v>67</v>
      </c>
      <c r="L2070" t="s">
        <v>68</v>
      </c>
      <c r="M2070" t="s">
        <v>69</v>
      </c>
      <c r="O2070">
        <v>0</v>
      </c>
      <c r="P2070" t="s">
        <v>4059</v>
      </c>
      <c r="S2070" t="str">
        <f>TEXT(Table1[[#This Row],[Date]],"MMM-YY")</f>
        <v>Nov-25</v>
      </c>
      <c r="T2070">
        <f>_xlfn.ISOWEEKNUM(Table1[[#This Row],[Date]])</f>
        <v>47</v>
      </c>
    </row>
    <row r="2071" spans="1:20" hidden="1">
      <c r="A2071" s="1">
        <v>45982</v>
      </c>
      <c r="B2071" t="s">
        <v>4133</v>
      </c>
      <c r="C2071" t="s">
        <v>96</v>
      </c>
      <c r="D2071" t="s">
        <v>105</v>
      </c>
      <c r="E2071" t="s">
        <v>18</v>
      </c>
      <c r="F2071" t="s">
        <v>120</v>
      </c>
      <c r="G2071" s="9" t="s">
        <v>4134</v>
      </c>
      <c r="H2071">
        <v>43000</v>
      </c>
      <c r="I2071">
        <v>43000</v>
      </c>
      <c r="J2071" s="21">
        <v>45962</v>
      </c>
      <c r="K2071" t="s">
        <v>67</v>
      </c>
      <c r="L2071" t="s">
        <v>68</v>
      </c>
      <c r="M2071" t="s">
        <v>69</v>
      </c>
      <c r="O2071">
        <v>0</v>
      </c>
      <c r="P2071" t="s">
        <v>4059</v>
      </c>
      <c r="S2071" t="str">
        <f>TEXT(Table1[[#This Row],[Date]],"MMM-YY")</f>
        <v>Nov-25</v>
      </c>
      <c r="T2071">
        <f>_xlfn.ISOWEEKNUM(Table1[[#This Row],[Date]])</f>
        <v>47</v>
      </c>
    </row>
    <row r="2072" spans="1:20" ht="18" hidden="1" customHeight="1">
      <c r="A2072" s="1">
        <v>45982</v>
      </c>
      <c r="B2072" s="67" t="s">
        <v>112</v>
      </c>
      <c r="C2072" t="s">
        <v>96</v>
      </c>
      <c r="D2072" t="s">
        <v>64</v>
      </c>
      <c r="E2072" t="s">
        <v>38</v>
      </c>
      <c r="F2072" t="s">
        <v>113</v>
      </c>
      <c r="G2072" s="69" t="s">
        <v>4135</v>
      </c>
      <c r="H2072">
        <v>7909</v>
      </c>
      <c r="I2072">
        <v>7909</v>
      </c>
      <c r="J2072" s="21">
        <v>45962</v>
      </c>
      <c r="K2072" t="s">
        <v>67</v>
      </c>
      <c r="L2072" t="s">
        <v>68</v>
      </c>
      <c r="M2072" t="s">
        <v>69</v>
      </c>
      <c r="O2072">
        <v>0</v>
      </c>
      <c r="P2072" t="s">
        <v>130</v>
      </c>
      <c r="S2072" t="str">
        <f>TEXT(Table1[[#This Row],[Date]],"MMM-YY")</f>
        <v>Nov-25</v>
      </c>
      <c r="T2072">
        <f>_xlfn.ISOWEEKNUM(Table1[[#This Row],[Date]])</f>
        <v>47</v>
      </c>
    </row>
    <row r="2073" spans="1:20" hidden="1">
      <c r="A2073" s="1">
        <v>45982</v>
      </c>
      <c r="B2073" t="s">
        <v>982</v>
      </c>
      <c r="C2073" t="s">
        <v>63</v>
      </c>
      <c r="D2073" t="s">
        <v>64</v>
      </c>
      <c r="E2073" t="s">
        <v>26</v>
      </c>
      <c r="F2073" t="s">
        <v>371</v>
      </c>
      <c r="G2073" s="9" t="s">
        <v>4122</v>
      </c>
      <c r="H2073">
        <v>0</v>
      </c>
      <c r="J2073" s="21">
        <v>46054</v>
      </c>
      <c r="K2073" t="s">
        <v>67</v>
      </c>
      <c r="L2073" t="s">
        <v>9</v>
      </c>
      <c r="M2073" t="s">
        <v>9</v>
      </c>
      <c r="O2073">
        <v>0</v>
      </c>
      <c r="P2073" t="s">
        <v>108</v>
      </c>
      <c r="S2073" t="str">
        <f>TEXT(Table1[[#This Row],[Date]],"MMM-YY")</f>
        <v>Nov-25</v>
      </c>
      <c r="T2073">
        <f>_xlfn.ISOWEEKNUM(Table1[[#This Row],[Date]])</f>
        <v>47</v>
      </c>
    </row>
    <row r="2074" spans="1:20" ht="17.25" hidden="1" customHeight="1">
      <c r="A2074" s="1">
        <v>45982</v>
      </c>
      <c r="B2074" t="s">
        <v>4136</v>
      </c>
      <c r="C2074" t="s">
        <v>63</v>
      </c>
      <c r="D2074" t="s">
        <v>64</v>
      </c>
      <c r="E2074" t="s">
        <v>19</v>
      </c>
      <c r="F2074" t="s">
        <v>4137</v>
      </c>
      <c r="G2074" s="9" t="s">
        <v>4138</v>
      </c>
      <c r="H2074">
        <v>101681</v>
      </c>
      <c r="I2074">
        <v>101681</v>
      </c>
      <c r="J2074" s="21">
        <v>45962</v>
      </c>
      <c r="K2074" t="s">
        <v>67</v>
      </c>
      <c r="L2074" t="s">
        <v>68</v>
      </c>
      <c r="M2074" t="s">
        <v>69</v>
      </c>
      <c r="O2074">
        <v>0</v>
      </c>
      <c r="P2074" t="s">
        <v>108</v>
      </c>
      <c r="S2074" t="str">
        <f>TEXT(Table1[[#This Row],[Date]],"MMM-YY")</f>
        <v>Nov-25</v>
      </c>
      <c r="T2074">
        <f>_xlfn.ISOWEEKNUM(Table1[[#This Row],[Date]])</f>
        <v>47</v>
      </c>
    </row>
    <row r="2075" spans="1:20" hidden="1">
      <c r="A2075" s="1">
        <v>45982</v>
      </c>
      <c r="B2075" t="s">
        <v>4139</v>
      </c>
      <c r="C2075" t="s">
        <v>63</v>
      </c>
      <c r="D2075" t="s">
        <v>36</v>
      </c>
      <c r="E2075" t="s">
        <v>15</v>
      </c>
      <c r="F2075" t="s">
        <v>4140</v>
      </c>
      <c r="G2075" s="9" t="s">
        <v>4141</v>
      </c>
      <c r="H2075">
        <v>40000</v>
      </c>
      <c r="I2075">
        <v>0</v>
      </c>
      <c r="J2075" s="21">
        <v>45962</v>
      </c>
      <c r="K2075" t="s">
        <v>67</v>
      </c>
      <c r="L2075" t="s">
        <v>9</v>
      </c>
      <c r="M2075" t="s">
        <v>9</v>
      </c>
      <c r="N2075" t="s">
        <v>4142</v>
      </c>
      <c r="O2075">
        <v>0</v>
      </c>
      <c r="P2075" t="s">
        <v>70</v>
      </c>
      <c r="S2075" t="str">
        <f>TEXT(Table1[[#This Row],[Date]],"MMM-YY")</f>
        <v>Nov-25</v>
      </c>
      <c r="T2075">
        <f>_xlfn.ISOWEEKNUM(Table1[[#This Row],[Date]])</f>
        <v>47</v>
      </c>
    </row>
    <row r="2076" spans="1:20" hidden="1">
      <c r="A2076" s="1">
        <v>45982</v>
      </c>
      <c r="B2076" t="s">
        <v>4143</v>
      </c>
      <c r="C2076" t="s">
        <v>63</v>
      </c>
      <c r="D2076" t="s">
        <v>64</v>
      </c>
      <c r="E2076" t="s">
        <v>32</v>
      </c>
      <c r="F2076" t="s">
        <v>4144</v>
      </c>
      <c r="G2076" s="9" t="s">
        <v>4145</v>
      </c>
      <c r="H2076">
        <v>0</v>
      </c>
      <c r="J2076" s="21">
        <v>46054</v>
      </c>
      <c r="K2076" t="s">
        <v>67</v>
      </c>
      <c r="L2076" t="s">
        <v>9</v>
      </c>
      <c r="M2076" t="s">
        <v>9</v>
      </c>
      <c r="O2076">
        <v>0</v>
      </c>
      <c r="P2076" t="s">
        <v>70</v>
      </c>
      <c r="S2076" t="str">
        <f>TEXT(Table1[[#This Row],[Date]],"MMM-YY")</f>
        <v>Nov-25</v>
      </c>
      <c r="T2076">
        <f>_xlfn.ISOWEEKNUM(Table1[[#This Row],[Date]])</f>
        <v>47</v>
      </c>
    </row>
    <row r="2077" spans="1:20" hidden="1">
      <c r="A2077" s="1">
        <v>45983</v>
      </c>
      <c r="B2077" t="s">
        <v>401</v>
      </c>
      <c r="C2077" t="s">
        <v>96</v>
      </c>
      <c r="D2077" t="s">
        <v>20</v>
      </c>
      <c r="E2077" t="s">
        <v>23</v>
      </c>
      <c r="F2077" t="s">
        <v>2934</v>
      </c>
      <c r="G2077" s="9" t="s">
        <v>4146</v>
      </c>
      <c r="H2077">
        <v>2400</v>
      </c>
      <c r="I2077">
        <v>2400</v>
      </c>
      <c r="J2077" s="21">
        <v>45962</v>
      </c>
      <c r="K2077" t="s">
        <v>67</v>
      </c>
      <c r="L2077" t="s">
        <v>68</v>
      </c>
      <c r="M2077" t="s">
        <v>69</v>
      </c>
      <c r="O2077">
        <v>0</v>
      </c>
      <c r="P2077" t="s">
        <v>70</v>
      </c>
      <c r="S2077" t="str">
        <f>TEXT(Table1[[#This Row],[Date]],"MMM-YY")</f>
        <v>Nov-25</v>
      </c>
      <c r="T2077">
        <f>_xlfn.ISOWEEKNUM(Table1[[#This Row],[Date]])</f>
        <v>47</v>
      </c>
    </row>
    <row r="2078" spans="1:20" hidden="1">
      <c r="A2078" s="1">
        <v>45985</v>
      </c>
      <c r="B2078" t="s">
        <v>4147</v>
      </c>
      <c r="C2078" t="s">
        <v>96</v>
      </c>
      <c r="D2078" t="s">
        <v>105</v>
      </c>
      <c r="E2078" t="s">
        <v>18</v>
      </c>
      <c r="F2078" t="s">
        <v>4148</v>
      </c>
      <c r="G2078" s="9" t="s">
        <v>4149</v>
      </c>
      <c r="H2078">
        <v>60000</v>
      </c>
      <c r="J2078" s="21">
        <v>46023</v>
      </c>
      <c r="K2078" t="s">
        <v>67</v>
      </c>
      <c r="L2078" t="s">
        <v>9</v>
      </c>
      <c r="M2078" t="s">
        <v>9</v>
      </c>
      <c r="O2078">
        <v>0</v>
      </c>
      <c r="P2078" t="s">
        <v>4059</v>
      </c>
      <c r="S2078" t="str">
        <f>TEXT(Table1[[#This Row],[Date]],"MMM-YY")</f>
        <v>Nov-25</v>
      </c>
      <c r="T2078">
        <f>_xlfn.ISOWEEKNUM(Table1[[#This Row],[Date]])</f>
        <v>48</v>
      </c>
    </row>
    <row r="2079" spans="1:20" ht="17.25" hidden="1" customHeight="1">
      <c r="A2079" s="1">
        <v>45985</v>
      </c>
      <c r="B2079" t="s">
        <v>4130</v>
      </c>
      <c r="C2079" t="s">
        <v>63</v>
      </c>
      <c r="D2079" t="s">
        <v>618</v>
      </c>
      <c r="E2079" t="s">
        <v>18</v>
      </c>
      <c r="F2079" t="s">
        <v>4131</v>
      </c>
      <c r="G2079" s="9" t="s">
        <v>4150</v>
      </c>
      <c r="H2079">
        <v>0</v>
      </c>
      <c r="I2079">
        <v>0</v>
      </c>
      <c r="J2079" s="21">
        <v>45962</v>
      </c>
      <c r="K2079" t="s">
        <v>67</v>
      </c>
      <c r="L2079" t="s">
        <v>68</v>
      </c>
      <c r="M2079" t="s">
        <v>69</v>
      </c>
      <c r="O2079">
        <v>0</v>
      </c>
      <c r="P2079" t="s">
        <v>4059</v>
      </c>
      <c r="S2079" t="str">
        <f>TEXT(Table1[[#This Row],[Date]],"MMM-YY")</f>
        <v>Nov-25</v>
      </c>
      <c r="T2079">
        <f>_xlfn.ISOWEEKNUM(Table1[[#This Row],[Date]])</f>
        <v>48</v>
      </c>
    </row>
    <row r="2080" spans="1:20" hidden="1">
      <c r="A2080" s="1">
        <v>45985</v>
      </c>
      <c r="B2080" t="s">
        <v>4151</v>
      </c>
      <c r="C2080" t="s">
        <v>63</v>
      </c>
      <c r="D2080" t="s">
        <v>20</v>
      </c>
      <c r="E2080" t="s">
        <v>37</v>
      </c>
      <c r="F2080" t="s">
        <v>2842</v>
      </c>
      <c r="G2080" s="9" t="s">
        <v>4152</v>
      </c>
      <c r="H2080">
        <v>0</v>
      </c>
      <c r="I2080">
        <v>0</v>
      </c>
      <c r="J2080" s="21">
        <v>45992</v>
      </c>
      <c r="K2080" t="s">
        <v>67</v>
      </c>
      <c r="L2080" t="s">
        <v>68</v>
      </c>
      <c r="M2080" t="s">
        <v>69</v>
      </c>
      <c r="O2080">
        <v>0</v>
      </c>
      <c r="P2080" t="s">
        <v>4059</v>
      </c>
      <c r="S2080" t="str">
        <f>TEXT(Table1[[#This Row],[Date]],"MMM-YY")</f>
        <v>Nov-25</v>
      </c>
      <c r="T2080">
        <f>_xlfn.ISOWEEKNUM(Table1[[#This Row],[Date]])</f>
        <v>48</v>
      </c>
    </row>
    <row r="2081" spans="1:20" ht="15" hidden="1" customHeight="1">
      <c r="A2081" s="1">
        <v>45985</v>
      </c>
      <c r="B2081" s="67" t="s">
        <v>112</v>
      </c>
      <c r="C2081" t="s">
        <v>96</v>
      </c>
      <c r="D2081" t="s">
        <v>64</v>
      </c>
      <c r="E2081" t="s">
        <v>38</v>
      </c>
      <c r="F2081" t="s">
        <v>113</v>
      </c>
      <c r="G2081" s="69" t="s">
        <v>4153</v>
      </c>
      <c r="H2081">
        <v>6040</v>
      </c>
      <c r="I2081">
        <v>6040</v>
      </c>
      <c r="J2081" s="21">
        <v>45962</v>
      </c>
      <c r="K2081" t="s">
        <v>67</v>
      </c>
      <c r="L2081" t="s">
        <v>68</v>
      </c>
      <c r="M2081" t="s">
        <v>69</v>
      </c>
      <c r="O2081">
        <v>0</v>
      </c>
      <c r="P2081" t="s">
        <v>130</v>
      </c>
      <c r="S2081" t="str">
        <f>TEXT(Table1[[#This Row],[Date]],"MMM-YY")</f>
        <v>Nov-25</v>
      </c>
      <c r="T2081">
        <f>_xlfn.ISOWEEKNUM(Table1[[#This Row],[Date]])</f>
        <v>48</v>
      </c>
    </row>
    <row r="2082" spans="1:20" hidden="1">
      <c r="A2082" s="1">
        <v>45985</v>
      </c>
      <c r="B2082" t="s">
        <v>4154</v>
      </c>
      <c r="C2082" t="s">
        <v>63</v>
      </c>
      <c r="D2082" t="s">
        <v>64</v>
      </c>
      <c r="E2082" t="s">
        <v>25</v>
      </c>
      <c r="F2082" t="s">
        <v>4155</v>
      </c>
      <c r="G2082" s="9" t="s">
        <v>4156</v>
      </c>
      <c r="H2082">
        <v>0</v>
      </c>
      <c r="I2082">
        <v>0</v>
      </c>
      <c r="J2082" s="21">
        <v>46023</v>
      </c>
      <c r="K2082" t="s">
        <v>67</v>
      </c>
      <c r="L2082" t="s">
        <v>68</v>
      </c>
      <c r="M2082" t="s">
        <v>69</v>
      </c>
      <c r="O2082">
        <v>0</v>
      </c>
      <c r="P2082" t="s">
        <v>70</v>
      </c>
      <c r="S2082" t="str">
        <f>TEXT(Table1[[#This Row],[Date]],"MMM-YY")</f>
        <v>Nov-25</v>
      </c>
      <c r="T2082">
        <f>_xlfn.ISOWEEKNUM(Table1[[#This Row],[Date]])</f>
        <v>48</v>
      </c>
    </row>
    <row r="2083" spans="1:20" ht="17.25" hidden="1" customHeight="1">
      <c r="A2083" s="1">
        <v>45985</v>
      </c>
      <c r="B2083" t="s">
        <v>4133</v>
      </c>
      <c r="C2083" t="s">
        <v>96</v>
      </c>
      <c r="D2083" t="s">
        <v>105</v>
      </c>
      <c r="E2083" t="s">
        <v>18</v>
      </c>
      <c r="F2083" t="s">
        <v>120</v>
      </c>
      <c r="G2083" s="9" t="s">
        <v>4157</v>
      </c>
      <c r="H2083">
        <v>7500</v>
      </c>
      <c r="I2083">
        <v>7500</v>
      </c>
      <c r="J2083" s="21">
        <v>45962</v>
      </c>
      <c r="K2083" t="s">
        <v>67</v>
      </c>
      <c r="L2083" t="s">
        <v>68</v>
      </c>
      <c r="M2083" t="s">
        <v>69</v>
      </c>
      <c r="O2083">
        <v>0</v>
      </c>
      <c r="P2083" t="s">
        <v>4059</v>
      </c>
      <c r="S2083" t="str">
        <f>TEXT(Table1[[#This Row],[Date]],"MMM-YY")</f>
        <v>Nov-25</v>
      </c>
      <c r="T2083">
        <f>_xlfn.ISOWEEKNUM(Table1[[#This Row],[Date]])</f>
        <v>48</v>
      </c>
    </row>
    <row r="2084" spans="1:20" hidden="1">
      <c r="A2084" s="1">
        <v>45986</v>
      </c>
      <c r="B2084" t="s">
        <v>2595</v>
      </c>
      <c r="C2084" t="s">
        <v>63</v>
      </c>
      <c r="D2084" t="s">
        <v>64</v>
      </c>
      <c r="E2084" t="s">
        <v>27</v>
      </c>
      <c r="F2084" t="s">
        <v>2596</v>
      </c>
      <c r="G2084" s="9" t="s">
        <v>4158</v>
      </c>
      <c r="H2084">
        <v>0</v>
      </c>
      <c r="J2084" s="21">
        <v>46054</v>
      </c>
      <c r="K2084" t="s">
        <v>67</v>
      </c>
      <c r="L2084" t="s">
        <v>9</v>
      </c>
      <c r="M2084" t="s">
        <v>9</v>
      </c>
      <c r="O2084">
        <v>0</v>
      </c>
      <c r="P2084" t="s">
        <v>108</v>
      </c>
      <c r="S2084" t="str">
        <f>TEXT(Table1[[#This Row],[Date]],"MMM-YY")</f>
        <v>Nov-25</v>
      </c>
      <c r="T2084">
        <f>_xlfn.ISOWEEKNUM(Table1[[#This Row],[Date]])</f>
        <v>48</v>
      </c>
    </row>
    <row r="2085" spans="1:20" hidden="1">
      <c r="A2085" s="1">
        <v>45986</v>
      </c>
      <c r="B2085" t="s">
        <v>4159</v>
      </c>
      <c r="C2085" t="s">
        <v>63</v>
      </c>
      <c r="D2085" t="s">
        <v>64</v>
      </c>
      <c r="E2085" t="s">
        <v>26</v>
      </c>
      <c r="F2085" t="s">
        <v>4160</v>
      </c>
      <c r="G2085" s="9" t="s">
        <v>4161</v>
      </c>
      <c r="H2085">
        <v>0</v>
      </c>
      <c r="J2085" s="21">
        <v>46113</v>
      </c>
      <c r="K2085" t="s">
        <v>67</v>
      </c>
      <c r="L2085" t="s">
        <v>567</v>
      </c>
      <c r="M2085" t="s">
        <v>3933</v>
      </c>
      <c r="O2085">
        <v>0</v>
      </c>
      <c r="P2085" t="s">
        <v>108</v>
      </c>
      <c r="S2085" t="str">
        <f>TEXT(Table1[[#This Row],[Date]],"MMM-YY")</f>
        <v>Nov-25</v>
      </c>
      <c r="T2085">
        <f>_xlfn.ISOWEEKNUM(Table1[[#This Row],[Date]])</f>
        <v>48</v>
      </c>
    </row>
    <row r="2086" spans="1:20" hidden="1">
      <c r="A2086" s="1">
        <v>45986</v>
      </c>
      <c r="B2086" t="s">
        <v>659</v>
      </c>
      <c r="C2086" t="s">
        <v>63</v>
      </c>
      <c r="D2086" t="s">
        <v>64</v>
      </c>
      <c r="E2086" t="s">
        <v>27</v>
      </c>
      <c r="F2086" t="s">
        <v>2384</v>
      </c>
      <c r="G2086" s="9" t="s">
        <v>4162</v>
      </c>
      <c r="H2086">
        <v>100000</v>
      </c>
      <c r="J2086" s="21">
        <v>46054</v>
      </c>
      <c r="K2086" t="s">
        <v>67</v>
      </c>
      <c r="L2086" t="s">
        <v>9</v>
      </c>
      <c r="M2086" t="s">
        <v>9</v>
      </c>
      <c r="O2086">
        <v>0</v>
      </c>
      <c r="P2086" t="s">
        <v>108</v>
      </c>
      <c r="S2086" t="str">
        <f>TEXT(Table1[[#This Row],[Date]],"MMM-YY")</f>
        <v>Nov-25</v>
      </c>
      <c r="T2086">
        <f>_xlfn.ISOWEEKNUM(Table1[[#This Row],[Date]])</f>
        <v>48</v>
      </c>
    </row>
    <row r="2087" spans="1:20" ht="15.75" hidden="1" customHeight="1">
      <c r="A2087" s="1">
        <v>45986</v>
      </c>
      <c r="B2087" t="s">
        <v>4133</v>
      </c>
      <c r="C2087" t="s">
        <v>96</v>
      </c>
      <c r="D2087" t="s">
        <v>105</v>
      </c>
      <c r="E2087" t="s">
        <v>18</v>
      </c>
      <c r="F2087" t="s">
        <v>120</v>
      </c>
      <c r="G2087" s="9" t="s">
        <v>4163</v>
      </c>
      <c r="H2087">
        <v>7500</v>
      </c>
      <c r="I2087">
        <v>7500</v>
      </c>
      <c r="J2087" s="21">
        <v>45962</v>
      </c>
      <c r="K2087" t="s">
        <v>67</v>
      </c>
      <c r="L2087" t="s">
        <v>68</v>
      </c>
      <c r="M2087" t="s">
        <v>69</v>
      </c>
      <c r="O2087">
        <v>0</v>
      </c>
      <c r="P2087" t="s">
        <v>4059</v>
      </c>
      <c r="S2087" t="str">
        <f>TEXT(Table1[[#This Row],[Date]],"MMM-YY")</f>
        <v>Nov-25</v>
      </c>
      <c r="T2087">
        <f>_xlfn.ISOWEEKNUM(Table1[[#This Row],[Date]])</f>
        <v>48</v>
      </c>
    </row>
    <row r="2088" spans="1:20" ht="15.75" hidden="1" customHeight="1">
      <c r="A2088" s="1">
        <v>45986</v>
      </c>
      <c r="B2088" s="67" t="s">
        <v>112</v>
      </c>
      <c r="C2088" t="s">
        <v>96</v>
      </c>
      <c r="D2088" t="s">
        <v>64</v>
      </c>
      <c r="E2088" t="s">
        <v>38</v>
      </c>
      <c r="F2088" t="s">
        <v>113</v>
      </c>
      <c r="G2088" s="69" t="s">
        <v>4164</v>
      </c>
      <c r="H2088">
        <v>9085</v>
      </c>
      <c r="I2088">
        <v>9085</v>
      </c>
      <c r="J2088" s="21">
        <v>45962</v>
      </c>
      <c r="K2088" t="s">
        <v>67</v>
      </c>
      <c r="L2088" t="s">
        <v>68</v>
      </c>
      <c r="M2088" t="s">
        <v>69</v>
      </c>
      <c r="O2088">
        <v>0</v>
      </c>
      <c r="P2088" t="s">
        <v>130</v>
      </c>
      <c r="S2088" t="str">
        <f>TEXT(Table1[[#This Row],[Date]],"MMM-YY")</f>
        <v>Nov-25</v>
      </c>
      <c r="T2088">
        <f>_xlfn.ISOWEEKNUM(Table1[[#This Row],[Date]])</f>
        <v>48</v>
      </c>
    </row>
    <row r="2089" spans="1:20" ht="15.75" hidden="1" customHeight="1">
      <c r="A2089" s="1">
        <v>45987</v>
      </c>
      <c r="B2089" s="67" t="s">
        <v>112</v>
      </c>
      <c r="C2089" t="s">
        <v>96</v>
      </c>
      <c r="D2089" t="s">
        <v>64</v>
      </c>
      <c r="E2089" t="s">
        <v>38</v>
      </c>
      <c r="F2089" t="s">
        <v>113</v>
      </c>
      <c r="G2089" s="69" t="s">
        <v>4165</v>
      </c>
      <c r="H2089">
        <v>8185</v>
      </c>
      <c r="I2089">
        <v>8185</v>
      </c>
      <c r="J2089" s="21">
        <v>45962</v>
      </c>
      <c r="K2089" t="s">
        <v>67</v>
      </c>
      <c r="L2089" t="s">
        <v>68</v>
      </c>
      <c r="M2089" t="s">
        <v>69</v>
      </c>
      <c r="O2089">
        <v>0</v>
      </c>
      <c r="P2089" t="s">
        <v>130</v>
      </c>
      <c r="S2089" t="str">
        <f>TEXT(Table1[[#This Row],[Date]],"MMM-YY")</f>
        <v>Nov-25</v>
      </c>
      <c r="T2089">
        <f>_xlfn.ISOWEEKNUM(Table1[[#This Row],[Date]])</f>
        <v>48</v>
      </c>
    </row>
    <row r="2090" spans="1:20" ht="18" hidden="1" customHeight="1">
      <c r="A2090" s="1">
        <v>45987</v>
      </c>
      <c r="B2090" t="s">
        <v>4133</v>
      </c>
      <c r="C2090" t="s">
        <v>96</v>
      </c>
      <c r="D2090" t="s">
        <v>105</v>
      </c>
      <c r="E2090" t="s">
        <v>18</v>
      </c>
      <c r="F2090" t="s">
        <v>120</v>
      </c>
      <c r="G2090" s="9" t="s">
        <v>4166</v>
      </c>
      <c r="H2090">
        <v>7800</v>
      </c>
      <c r="I2090">
        <v>7800</v>
      </c>
      <c r="J2090" s="21">
        <v>45962</v>
      </c>
      <c r="K2090" t="s">
        <v>67</v>
      </c>
      <c r="L2090" t="s">
        <v>68</v>
      </c>
      <c r="M2090" t="s">
        <v>69</v>
      </c>
      <c r="O2090">
        <v>0</v>
      </c>
      <c r="P2090" t="s">
        <v>4059</v>
      </c>
      <c r="S2090" t="str">
        <f>TEXT(Table1[[#This Row],[Date]],"MMM-YY")</f>
        <v>Nov-25</v>
      </c>
      <c r="T2090">
        <f>_xlfn.ISOWEEKNUM(Table1[[#This Row],[Date]])</f>
        <v>48</v>
      </c>
    </row>
    <row r="2091" spans="1:20" ht="16.5" customHeight="1">
      <c r="A2091" s="1">
        <v>45987</v>
      </c>
      <c r="B2091" s="67" t="s">
        <v>95</v>
      </c>
      <c r="C2091" t="s">
        <v>96</v>
      </c>
      <c r="D2091" t="s">
        <v>64</v>
      </c>
      <c r="E2091" t="s">
        <v>38</v>
      </c>
      <c r="F2091" t="s">
        <v>97</v>
      </c>
      <c r="G2091" s="69" t="s">
        <v>4167</v>
      </c>
      <c r="H2091">
        <v>43083</v>
      </c>
      <c r="I2091">
        <v>43083</v>
      </c>
      <c r="J2091" s="21">
        <v>45962</v>
      </c>
      <c r="K2091" t="s">
        <v>99</v>
      </c>
      <c r="L2091" t="s">
        <v>68</v>
      </c>
      <c r="M2091" t="s">
        <v>69</v>
      </c>
      <c r="O2091">
        <v>0</v>
      </c>
      <c r="P2091" t="s">
        <v>70</v>
      </c>
      <c r="S2091" t="str">
        <f>TEXT(Table1[[#This Row],[Date]],"MMM-YY")</f>
        <v>Nov-25</v>
      </c>
      <c r="T2091">
        <f>_xlfn.ISOWEEKNUM(Table1[[#This Row],[Date]])</f>
        <v>48</v>
      </c>
    </row>
    <row r="2092" spans="1:20" hidden="1">
      <c r="A2092" s="1">
        <v>45987</v>
      </c>
      <c r="B2092" t="s">
        <v>3031</v>
      </c>
      <c r="C2092" t="s">
        <v>63</v>
      </c>
      <c r="D2092" t="s">
        <v>618</v>
      </c>
      <c r="E2092" t="s">
        <v>18</v>
      </c>
      <c r="F2092" t="s">
        <v>73</v>
      </c>
      <c r="G2092" s="9" t="s">
        <v>4168</v>
      </c>
      <c r="H2092">
        <v>0</v>
      </c>
      <c r="J2092" s="21">
        <v>46113</v>
      </c>
      <c r="K2092" t="s">
        <v>67</v>
      </c>
      <c r="L2092" t="s">
        <v>567</v>
      </c>
      <c r="M2092" t="s">
        <v>3933</v>
      </c>
      <c r="O2092">
        <v>0</v>
      </c>
      <c r="P2092" t="s">
        <v>70</v>
      </c>
      <c r="S2092" t="str">
        <f>TEXT(Table1[[#This Row],[Date]],"MMM-YY")</f>
        <v>Nov-25</v>
      </c>
      <c r="T2092">
        <f>_xlfn.ISOWEEKNUM(Table1[[#This Row],[Date]])</f>
        <v>48</v>
      </c>
    </row>
    <row r="2093" spans="1:20" hidden="1">
      <c r="A2093" s="1">
        <v>45987</v>
      </c>
      <c r="B2093" t="s">
        <v>4169</v>
      </c>
      <c r="C2093" t="s">
        <v>63</v>
      </c>
      <c r="D2093" t="s">
        <v>64</v>
      </c>
      <c r="E2093" t="s">
        <v>28</v>
      </c>
      <c r="F2093" t="s">
        <v>2649</v>
      </c>
      <c r="G2093" s="9" t="s">
        <v>2636</v>
      </c>
      <c r="H2093">
        <v>90000</v>
      </c>
      <c r="J2093" s="21">
        <v>46113</v>
      </c>
      <c r="K2093" t="s">
        <v>67</v>
      </c>
      <c r="L2093" t="s">
        <v>567</v>
      </c>
      <c r="M2093" t="s">
        <v>3933</v>
      </c>
      <c r="O2093">
        <v>0</v>
      </c>
      <c r="P2093" t="s">
        <v>108</v>
      </c>
      <c r="S2093" t="str">
        <f>TEXT(Table1[[#This Row],[Date]],"MMM-YY")</f>
        <v>Nov-25</v>
      </c>
      <c r="T2093">
        <f>_xlfn.ISOWEEKNUM(Table1[[#This Row],[Date]])</f>
        <v>48</v>
      </c>
    </row>
    <row r="2094" spans="1:20" hidden="1">
      <c r="A2094" s="1">
        <v>45987</v>
      </c>
      <c r="B2094" t="s">
        <v>4170</v>
      </c>
      <c r="C2094" t="s">
        <v>63</v>
      </c>
      <c r="D2094" t="s">
        <v>64</v>
      </c>
      <c r="E2094" t="s">
        <v>28</v>
      </c>
      <c r="F2094" t="s">
        <v>4171</v>
      </c>
      <c r="G2094" s="9" t="s">
        <v>2636</v>
      </c>
      <c r="H2094">
        <v>0</v>
      </c>
      <c r="J2094" s="21">
        <v>46113</v>
      </c>
      <c r="K2094" t="s">
        <v>67</v>
      </c>
      <c r="L2094" t="s">
        <v>567</v>
      </c>
      <c r="M2094" t="s">
        <v>3933</v>
      </c>
      <c r="O2094">
        <v>0</v>
      </c>
      <c r="P2094" t="s">
        <v>108</v>
      </c>
      <c r="S2094" t="str">
        <f>TEXT(Table1[[#This Row],[Date]],"MMM-YY")</f>
        <v>Nov-25</v>
      </c>
      <c r="T2094">
        <f>_xlfn.ISOWEEKNUM(Table1[[#This Row],[Date]])</f>
        <v>48</v>
      </c>
    </row>
    <row r="2095" spans="1:20" ht="15.75" hidden="1" customHeight="1">
      <c r="A2095" s="1">
        <v>45988</v>
      </c>
      <c r="B2095" s="67" t="s">
        <v>112</v>
      </c>
      <c r="C2095" t="s">
        <v>96</v>
      </c>
      <c r="D2095" t="s">
        <v>64</v>
      </c>
      <c r="E2095" t="s">
        <v>38</v>
      </c>
      <c r="F2095" t="s">
        <v>113</v>
      </c>
      <c r="G2095" s="69" t="s">
        <v>4172</v>
      </c>
      <c r="H2095">
        <v>8990</v>
      </c>
      <c r="I2095">
        <v>8990</v>
      </c>
      <c r="J2095" s="21">
        <v>45962</v>
      </c>
      <c r="K2095" t="s">
        <v>67</v>
      </c>
      <c r="L2095" t="s">
        <v>68</v>
      </c>
      <c r="M2095" t="s">
        <v>69</v>
      </c>
      <c r="O2095">
        <v>0</v>
      </c>
      <c r="P2095" t="s">
        <v>130</v>
      </c>
      <c r="S2095" t="str">
        <f>TEXT(Table1[[#This Row],[Date]],"MMM-YY")</f>
        <v>Nov-25</v>
      </c>
      <c r="T2095">
        <f>_xlfn.ISOWEEKNUM(Table1[[#This Row],[Date]])</f>
        <v>48</v>
      </c>
    </row>
    <row r="2096" spans="1:20" hidden="1">
      <c r="A2096" s="1">
        <v>45988</v>
      </c>
      <c r="B2096" t="s">
        <v>4133</v>
      </c>
      <c r="C2096" t="s">
        <v>96</v>
      </c>
      <c r="D2096" t="s">
        <v>105</v>
      </c>
      <c r="E2096" t="s">
        <v>18</v>
      </c>
      <c r="F2096" t="s">
        <v>120</v>
      </c>
      <c r="G2096" s="9" t="s">
        <v>4173</v>
      </c>
      <c r="H2096">
        <v>7900</v>
      </c>
      <c r="I2096">
        <v>7900</v>
      </c>
      <c r="J2096" s="21">
        <v>45962</v>
      </c>
      <c r="K2096" t="s">
        <v>67</v>
      </c>
      <c r="L2096" t="s">
        <v>68</v>
      </c>
      <c r="M2096" t="s">
        <v>69</v>
      </c>
      <c r="O2096">
        <v>0</v>
      </c>
      <c r="P2096" t="s">
        <v>4059</v>
      </c>
      <c r="S2096" t="str">
        <f>TEXT(Table1[[#This Row],[Date]],"MMM-YY")</f>
        <v>Nov-25</v>
      </c>
      <c r="T2096">
        <f>_xlfn.ISOWEEKNUM(Table1[[#This Row],[Date]])</f>
        <v>48</v>
      </c>
    </row>
    <row r="2097" spans="1:20" ht="18" hidden="1" customHeight="1">
      <c r="A2097" s="1">
        <v>45988</v>
      </c>
      <c r="B2097" t="s">
        <v>4130</v>
      </c>
      <c r="C2097" t="s">
        <v>63</v>
      </c>
      <c r="D2097" t="s">
        <v>618</v>
      </c>
      <c r="E2097" t="s">
        <v>18</v>
      </c>
      <c r="F2097" t="s">
        <v>4131</v>
      </c>
      <c r="G2097" s="9" t="s">
        <v>4132</v>
      </c>
      <c r="H2097">
        <v>37830</v>
      </c>
      <c r="I2097">
        <v>37830</v>
      </c>
      <c r="J2097" s="21">
        <v>45962</v>
      </c>
      <c r="K2097" t="s">
        <v>67</v>
      </c>
      <c r="L2097" t="s">
        <v>68</v>
      </c>
      <c r="M2097" t="s">
        <v>69</v>
      </c>
      <c r="O2097">
        <v>0</v>
      </c>
      <c r="P2097" t="s">
        <v>4059</v>
      </c>
      <c r="S2097" t="str">
        <f>TEXT(Table1[[#This Row],[Date]],"MMM-YY")</f>
        <v>Nov-25</v>
      </c>
      <c r="T2097">
        <f>_xlfn.ISOWEEKNUM(Table1[[#This Row],[Date]])</f>
        <v>48</v>
      </c>
    </row>
    <row r="2098" spans="1:20" ht="15" hidden="1" customHeight="1">
      <c r="A2098" s="1">
        <v>45988</v>
      </c>
      <c r="B2098" t="s">
        <v>4174</v>
      </c>
      <c r="C2098" t="s">
        <v>63</v>
      </c>
      <c r="D2098" t="s">
        <v>64</v>
      </c>
      <c r="E2098" t="s">
        <v>37</v>
      </c>
      <c r="F2098" t="s">
        <v>4106</v>
      </c>
      <c r="G2098" s="9" t="s">
        <v>4175</v>
      </c>
      <c r="H2098">
        <v>0</v>
      </c>
      <c r="I2098">
        <v>0</v>
      </c>
      <c r="J2098" s="21">
        <v>45962</v>
      </c>
      <c r="K2098" t="s">
        <v>67</v>
      </c>
      <c r="L2098" t="s">
        <v>68</v>
      </c>
      <c r="M2098" t="s">
        <v>69</v>
      </c>
      <c r="O2098">
        <v>0</v>
      </c>
      <c r="P2098" t="s">
        <v>70</v>
      </c>
      <c r="S2098" t="str">
        <f>TEXT(Table1[[#This Row],[Date]],"MMM-YY")</f>
        <v>Nov-25</v>
      </c>
      <c r="T2098">
        <f>_xlfn.ISOWEEKNUM(Table1[[#This Row],[Date]])</f>
        <v>48</v>
      </c>
    </row>
    <row r="2099" spans="1:20" ht="17.25" hidden="1" customHeight="1">
      <c r="A2099" s="1">
        <v>45989</v>
      </c>
      <c r="B2099" t="s">
        <v>382</v>
      </c>
      <c r="C2099" t="s">
        <v>63</v>
      </c>
      <c r="D2099" t="s">
        <v>64</v>
      </c>
      <c r="E2099" t="s">
        <v>28</v>
      </c>
      <c r="F2099" t="s">
        <v>1707</v>
      </c>
      <c r="G2099" s="9" t="s">
        <v>4176</v>
      </c>
      <c r="H2099">
        <v>2086875</v>
      </c>
      <c r="I2099">
        <v>2086875</v>
      </c>
      <c r="J2099" s="21">
        <v>46023</v>
      </c>
      <c r="K2099" t="s">
        <v>67</v>
      </c>
      <c r="L2099" t="s">
        <v>68</v>
      </c>
      <c r="M2099" t="s">
        <v>69</v>
      </c>
      <c r="O2099">
        <v>0</v>
      </c>
      <c r="P2099" t="s">
        <v>298</v>
      </c>
      <c r="S2099" t="str">
        <f>TEXT(Table1[[#This Row],[Date]],"MMM-YY")</f>
        <v>Nov-25</v>
      </c>
      <c r="T2099">
        <f>_xlfn.ISOWEEKNUM(Table1[[#This Row],[Date]])</f>
        <v>48</v>
      </c>
    </row>
    <row r="2100" spans="1:20" ht="16.5" hidden="1" customHeight="1">
      <c r="A2100" s="1">
        <v>45989</v>
      </c>
      <c r="B2100" s="67" t="s">
        <v>112</v>
      </c>
      <c r="C2100" t="s">
        <v>96</v>
      </c>
      <c r="D2100" t="s">
        <v>64</v>
      </c>
      <c r="E2100" t="s">
        <v>38</v>
      </c>
      <c r="F2100" t="s">
        <v>113</v>
      </c>
      <c r="G2100" s="69" t="s">
        <v>4177</v>
      </c>
      <c r="H2100">
        <v>7500</v>
      </c>
      <c r="I2100">
        <v>7500</v>
      </c>
      <c r="J2100" s="21">
        <v>45962</v>
      </c>
      <c r="K2100" t="s">
        <v>67</v>
      </c>
      <c r="L2100" t="s">
        <v>68</v>
      </c>
      <c r="M2100" t="s">
        <v>69</v>
      </c>
      <c r="O2100">
        <v>0</v>
      </c>
      <c r="P2100" t="s">
        <v>130</v>
      </c>
      <c r="S2100" t="str">
        <f>TEXT(Table1[[#This Row],[Date]],"MMM-YY")</f>
        <v>Nov-25</v>
      </c>
      <c r="T2100">
        <f>_xlfn.ISOWEEKNUM(Table1[[#This Row],[Date]])</f>
        <v>48</v>
      </c>
    </row>
    <row r="2101" spans="1:20" hidden="1">
      <c r="A2101" s="1">
        <v>45989</v>
      </c>
      <c r="B2101" t="s">
        <v>4133</v>
      </c>
      <c r="C2101" t="s">
        <v>96</v>
      </c>
      <c r="D2101" t="s">
        <v>105</v>
      </c>
      <c r="E2101" t="s">
        <v>18</v>
      </c>
      <c r="F2101" t="s">
        <v>120</v>
      </c>
      <c r="G2101" s="9" t="s">
        <v>4178</v>
      </c>
      <c r="H2101">
        <v>4890</v>
      </c>
      <c r="I2101">
        <v>4890</v>
      </c>
      <c r="J2101" s="21">
        <v>45962</v>
      </c>
      <c r="K2101" t="s">
        <v>67</v>
      </c>
      <c r="L2101" t="s">
        <v>68</v>
      </c>
      <c r="M2101" t="s">
        <v>69</v>
      </c>
      <c r="O2101">
        <v>0</v>
      </c>
      <c r="P2101" t="s">
        <v>4059</v>
      </c>
      <c r="S2101" t="str">
        <f>TEXT(Table1[[#This Row],[Date]],"MMM-YY")</f>
        <v>Nov-25</v>
      </c>
      <c r="T2101">
        <f>_xlfn.ISOWEEKNUM(Table1[[#This Row],[Date]])</f>
        <v>48</v>
      </c>
    </row>
    <row r="2102" spans="1:20" ht="17.25" hidden="1" customHeight="1">
      <c r="A2102" s="1">
        <v>45989</v>
      </c>
      <c r="B2102" t="s">
        <v>88</v>
      </c>
      <c r="C2102" t="s">
        <v>63</v>
      </c>
      <c r="D2102" t="s">
        <v>64</v>
      </c>
      <c r="E2102" t="s">
        <v>28</v>
      </c>
      <c r="F2102" t="s">
        <v>89</v>
      </c>
      <c r="G2102" s="9" t="s">
        <v>4179</v>
      </c>
      <c r="H2102">
        <v>72775</v>
      </c>
      <c r="I2102">
        <v>72775</v>
      </c>
      <c r="J2102" s="21">
        <v>45962</v>
      </c>
      <c r="K2102" t="s">
        <v>67</v>
      </c>
      <c r="L2102" t="s">
        <v>68</v>
      </c>
      <c r="M2102" t="s">
        <v>69</v>
      </c>
      <c r="O2102">
        <v>0</v>
      </c>
      <c r="P2102" t="s">
        <v>70</v>
      </c>
      <c r="S2102" t="str">
        <f>TEXT(Table1[[#This Row],[Date]],"MMM-YY")</f>
        <v>Nov-25</v>
      </c>
      <c r="T2102">
        <f>_xlfn.ISOWEEKNUM(Table1[[#This Row],[Date]])</f>
        <v>48</v>
      </c>
    </row>
    <row r="2103" spans="1:20" hidden="1">
      <c r="A2103" s="1">
        <v>45989</v>
      </c>
      <c r="B2103" t="s">
        <v>2581</v>
      </c>
      <c r="C2103" t="s">
        <v>96</v>
      </c>
      <c r="D2103" t="s">
        <v>20</v>
      </c>
      <c r="E2103" t="s">
        <v>23</v>
      </c>
      <c r="F2103" t="s">
        <v>4180</v>
      </c>
      <c r="G2103" s="9" t="s">
        <v>4181</v>
      </c>
      <c r="H2103">
        <v>12500</v>
      </c>
      <c r="I2103">
        <v>12500</v>
      </c>
      <c r="J2103" s="21">
        <v>45962</v>
      </c>
      <c r="K2103" t="s">
        <v>67</v>
      </c>
      <c r="L2103" t="s">
        <v>68</v>
      </c>
      <c r="M2103" t="s">
        <v>69</v>
      </c>
      <c r="O2103">
        <v>0</v>
      </c>
      <c r="P2103" t="s">
        <v>70</v>
      </c>
      <c r="S2103" t="str">
        <f>TEXT(Table1[[#This Row],[Date]],"MMM-YY")</f>
        <v>Nov-25</v>
      </c>
      <c r="T2103">
        <f>_xlfn.ISOWEEKNUM(Table1[[#This Row],[Date]])</f>
        <v>48</v>
      </c>
    </row>
    <row r="2104" spans="1:20" hidden="1">
      <c r="A2104" s="1">
        <v>45959</v>
      </c>
      <c r="B2104" t="s">
        <v>2581</v>
      </c>
      <c r="C2104" t="s">
        <v>96</v>
      </c>
      <c r="D2104" t="s">
        <v>20</v>
      </c>
      <c r="E2104" t="s">
        <v>23</v>
      </c>
      <c r="F2104" t="s">
        <v>4182</v>
      </c>
      <c r="G2104" s="9" t="s">
        <v>4183</v>
      </c>
      <c r="H2104">
        <v>11000</v>
      </c>
      <c r="I2104">
        <v>11000</v>
      </c>
      <c r="J2104" s="21">
        <v>45962</v>
      </c>
      <c r="K2104" t="s">
        <v>67</v>
      </c>
      <c r="L2104" t="s">
        <v>68</v>
      </c>
      <c r="M2104" t="s">
        <v>69</v>
      </c>
      <c r="O2104">
        <v>0</v>
      </c>
      <c r="P2104" t="s">
        <v>70</v>
      </c>
      <c r="S2104" t="str">
        <f>TEXT(Table1[[#This Row],[Date]],"MMM-YY")</f>
        <v>Oct-25</v>
      </c>
      <c r="T2104">
        <f>_xlfn.ISOWEEKNUM(Table1[[#This Row],[Date]])</f>
        <v>44</v>
      </c>
    </row>
    <row r="2105" spans="1:20" hidden="1">
      <c r="A2105" s="1">
        <v>45990</v>
      </c>
      <c r="B2105" t="s">
        <v>2500</v>
      </c>
      <c r="C2105" t="s">
        <v>96</v>
      </c>
      <c r="D2105" t="s">
        <v>20</v>
      </c>
      <c r="E2105" t="s">
        <v>23</v>
      </c>
      <c r="F2105" t="s">
        <v>1015</v>
      </c>
      <c r="G2105" s="9" t="s">
        <v>4184</v>
      </c>
      <c r="H2105">
        <v>5500</v>
      </c>
      <c r="I2105">
        <v>5500</v>
      </c>
      <c r="J2105" s="21">
        <v>45962</v>
      </c>
      <c r="K2105" t="s">
        <v>67</v>
      </c>
      <c r="L2105" t="s">
        <v>68</v>
      </c>
      <c r="M2105" t="s">
        <v>69</v>
      </c>
      <c r="O2105">
        <v>0</v>
      </c>
      <c r="P2105" t="s">
        <v>70</v>
      </c>
      <c r="S2105" t="str">
        <f>TEXT(Table1[[#This Row],[Date]],"MMM-YY")</f>
        <v>Nov-25</v>
      </c>
      <c r="T2105">
        <f>_xlfn.ISOWEEKNUM(Table1[[#This Row],[Date]])</f>
        <v>48</v>
      </c>
    </row>
    <row r="2106" spans="1:20" ht="18.75" hidden="1" customHeight="1">
      <c r="A2106" s="1">
        <v>45992</v>
      </c>
      <c r="B2106" s="67" t="s">
        <v>112</v>
      </c>
      <c r="C2106" t="s">
        <v>96</v>
      </c>
      <c r="D2106" t="s">
        <v>64</v>
      </c>
      <c r="E2106" t="s">
        <v>38</v>
      </c>
      <c r="F2106" t="s">
        <v>113</v>
      </c>
      <c r="G2106" s="69" t="s">
        <v>4185</v>
      </c>
      <c r="H2106">
        <v>6500</v>
      </c>
      <c r="I2106">
        <v>7500</v>
      </c>
      <c r="J2106" s="21">
        <v>45992</v>
      </c>
      <c r="K2106" t="s">
        <v>67</v>
      </c>
      <c r="L2106" t="s">
        <v>68</v>
      </c>
      <c r="M2106" t="s">
        <v>69</v>
      </c>
      <c r="O2106">
        <v>0</v>
      </c>
      <c r="P2106" t="s">
        <v>130</v>
      </c>
      <c r="S2106" t="str">
        <f>TEXT(Table1[[#This Row],[Date]],"MMM-YY")</f>
        <v>Dec-25</v>
      </c>
      <c r="T2106">
        <f>_xlfn.ISOWEEKNUM(Table1[[#This Row],[Date]])</f>
        <v>49</v>
      </c>
    </row>
    <row r="2107" spans="1:20" hidden="1">
      <c r="A2107" s="1">
        <v>45992</v>
      </c>
      <c r="B2107" t="s">
        <v>4133</v>
      </c>
      <c r="C2107" t="s">
        <v>96</v>
      </c>
      <c r="D2107" t="s">
        <v>105</v>
      </c>
      <c r="E2107" t="s">
        <v>18</v>
      </c>
      <c r="F2107" t="s">
        <v>120</v>
      </c>
      <c r="G2107" s="9" t="s">
        <v>4186</v>
      </c>
      <c r="H2107">
        <v>4500</v>
      </c>
      <c r="I2107">
        <v>4890</v>
      </c>
      <c r="J2107" s="21">
        <v>45992</v>
      </c>
      <c r="K2107" t="s">
        <v>67</v>
      </c>
      <c r="L2107" t="s">
        <v>68</v>
      </c>
      <c r="M2107" t="s">
        <v>69</v>
      </c>
      <c r="O2107">
        <v>0</v>
      </c>
      <c r="P2107" t="s">
        <v>4059</v>
      </c>
      <c r="S2107" t="str">
        <f>TEXT(Table1[[#This Row],[Date]],"MMM-YY")</f>
        <v>Dec-25</v>
      </c>
      <c r="T2107">
        <f>_xlfn.ISOWEEKNUM(Table1[[#This Row],[Date]])</f>
        <v>49</v>
      </c>
    </row>
    <row r="2108" spans="1:20" hidden="1">
      <c r="A2108" s="1">
        <v>45992</v>
      </c>
      <c r="B2108" t="s">
        <v>4187</v>
      </c>
      <c r="C2108" t="s">
        <v>63</v>
      </c>
      <c r="D2108" t="s">
        <v>64</v>
      </c>
      <c r="E2108" t="s">
        <v>38</v>
      </c>
      <c r="F2108" t="s">
        <v>4188</v>
      </c>
      <c r="G2108" s="9" t="s">
        <v>4189</v>
      </c>
      <c r="H2108">
        <v>0</v>
      </c>
      <c r="I2108">
        <v>0</v>
      </c>
      <c r="J2108" s="21">
        <v>45992</v>
      </c>
      <c r="K2108" t="s">
        <v>67</v>
      </c>
      <c r="L2108" t="s">
        <v>68</v>
      </c>
      <c r="M2108" t="s">
        <v>69</v>
      </c>
      <c r="O2108">
        <v>0</v>
      </c>
      <c r="P2108" t="s">
        <v>130</v>
      </c>
      <c r="S2108" t="str">
        <f>TEXT(Table1[[#This Row],[Date]],"MMM-YY")</f>
        <v>Dec-25</v>
      </c>
      <c r="T2108">
        <f>_xlfn.ISOWEEKNUM(Table1[[#This Row],[Date]])</f>
        <v>49</v>
      </c>
    </row>
    <row r="2109" spans="1:20" hidden="1">
      <c r="A2109" s="1">
        <v>45992</v>
      </c>
      <c r="B2109" t="s">
        <v>4190</v>
      </c>
      <c r="C2109" t="s">
        <v>63</v>
      </c>
      <c r="D2109" t="s">
        <v>64</v>
      </c>
      <c r="E2109" t="s">
        <v>38</v>
      </c>
      <c r="F2109" t="s">
        <v>2656</v>
      </c>
      <c r="G2109" s="9" t="s">
        <v>4191</v>
      </c>
      <c r="H2109">
        <v>0</v>
      </c>
      <c r="I2109">
        <v>0</v>
      </c>
      <c r="J2109" s="21">
        <v>45992</v>
      </c>
      <c r="K2109" t="s">
        <v>67</v>
      </c>
      <c r="L2109" t="s">
        <v>68</v>
      </c>
      <c r="M2109" t="s">
        <v>69</v>
      </c>
      <c r="O2109">
        <v>0</v>
      </c>
      <c r="P2109" t="s">
        <v>130</v>
      </c>
      <c r="S2109" t="str">
        <f>TEXT(Table1[[#This Row],[Date]],"MMM-YY")</f>
        <v>Dec-25</v>
      </c>
      <c r="T2109">
        <f>_xlfn.ISOWEEKNUM(Table1[[#This Row],[Date]])</f>
        <v>49</v>
      </c>
    </row>
    <row r="2110" spans="1:20" hidden="1">
      <c r="A2110" s="1">
        <v>45992</v>
      </c>
      <c r="B2110" t="s">
        <v>4192</v>
      </c>
      <c r="C2110" t="s">
        <v>63</v>
      </c>
      <c r="D2110" t="s">
        <v>64</v>
      </c>
      <c r="E2110" t="s">
        <v>38</v>
      </c>
      <c r="F2110" t="s">
        <v>4193</v>
      </c>
      <c r="G2110" s="9" t="s">
        <v>4194</v>
      </c>
      <c r="H2110">
        <v>100000</v>
      </c>
      <c r="J2110" s="21">
        <v>46113</v>
      </c>
      <c r="K2110" t="s">
        <v>67</v>
      </c>
      <c r="L2110" t="s">
        <v>295</v>
      </c>
      <c r="M2110" t="s">
        <v>296</v>
      </c>
      <c r="O2110">
        <v>0</v>
      </c>
      <c r="P2110" t="s">
        <v>130</v>
      </c>
      <c r="S2110" t="str">
        <f>TEXT(Table1[[#This Row],[Date]],"MMM-YY")</f>
        <v>Dec-25</v>
      </c>
      <c r="T2110">
        <f>_xlfn.ISOWEEKNUM(Table1[[#This Row],[Date]])</f>
        <v>49</v>
      </c>
    </row>
    <row r="2111" spans="1:20" ht="19.5" hidden="1" customHeight="1">
      <c r="A2111" s="1">
        <v>45993</v>
      </c>
      <c r="B2111" s="67" t="s">
        <v>112</v>
      </c>
      <c r="C2111" t="s">
        <v>96</v>
      </c>
      <c r="D2111" t="s">
        <v>64</v>
      </c>
      <c r="E2111" t="s">
        <v>38</v>
      </c>
      <c r="F2111" t="s">
        <v>113</v>
      </c>
      <c r="G2111" s="69" t="s">
        <v>4195</v>
      </c>
      <c r="H2111">
        <v>9845</v>
      </c>
      <c r="I2111">
        <v>9845</v>
      </c>
      <c r="J2111" s="21">
        <v>45992</v>
      </c>
      <c r="K2111" t="s">
        <v>67</v>
      </c>
      <c r="L2111" t="s">
        <v>68</v>
      </c>
      <c r="M2111" t="s">
        <v>69</v>
      </c>
      <c r="O2111">
        <v>0</v>
      </c>
      <c r="P2111" t="s">
        <v>130</v>
      </c>
      <c r="S2111" t="str">
        <f>TEXT(Table1[[#This Row],[Date]],"MMM-YY")</f>
        <v>Dec-25</v>
      </c>
      <c r="T2111">
        <f>_xlfn.ISOWEEKNUM(Table1[[#This Row],[Date]])</f>
        <v>49</v>
      </c>
    </row>
    <row r="2112" spans="1:20" hidden="1">
      <c r="A2112" s="1">
        <v>45993</v>
      </c>
      <c r="B2112" t="s">
        <v>4133</v>
      </c>
      <c r="C2112" t="s">
        <v>96</v>
      </c>
      <c r="D2112" t="s">
        <v>105</v>
      </c>
      <c r="E2112" t="s">
        <v>18</v>
      </c>
      <c r="F2112" t="s">
        <v>120</v>
      </c>
      <c r="G2112" s="9" t="s">
        <v>4196</v>
      </c>
      <c r="H2112">
        <v>4500</v>
      </c>
      <c r="I2112">
        <v>4890</v>
      </c>
      <c r="J2112" s="21">
        <v>45992</v>
      </c>
      <c r="K2112" t="s">
        <v>67</v>
      </c>
      <c r="L2112" t="s">
        <v>68</v>
      </c>
      <c r="M2112" t="s">
        <v>69</v>
      </c>
      <c r="O2112">
        <v>0</v>
      </c>
      <c r="P2112" t="s">
        <v>4059</v>
      </c>
      <c r="S2112" t="str">
        <f>TEXT(Table1[[#This Row],[Date]],"MMM-YY")</f>
        <v>Dec-25</v>
      </c>
      <c r="T2112">
        <f>_xlfn.ISOWEEKNUM(Table1[[#This Row],[Date]])</f>
        <v>49</v>
      </c>
    </row>
    <row r="2113" spans="1:20" ht="17.25" hidden="1" customHeight="1">
      <c r="A2113" s="1">
        <v>45994</v>
      </c>
      <c r="B2113" s="67" t="s">
        <v>112</v>
      </c>
      <c r="C2113" t="s">
        <v>96</v>
      </c>
      <c r="D2113" t="s">
        <v>64</v>
      </c>
      <c r="E2113" t="s">
        <v>38</v>
      </c>
      <c r="F2113" t="s">
        <v>113</v>
      </c>
      <c r="G2113" s="69" t="s">
        <v>4197</v>
      </c>
      <c r="H2113">
        <v>11011</v>
      </c>
      <c r="I2113">
        <v>11011</v>
      </c>
      <c r="J2113" s="21">
        <v>45992</v>
      </c>
      <c r="K2113" t="s">
        <v>67</v>
      </c>
      <c r="L2113" t="s">
        <v>68</v>
      </c>
      <c r="M2113" t="s">
        <v>69</v>
      </c>
      <c r="O2113">
        <v>0</v>
      </c>
      <c r="P2113" t="s">
        <v>130</v>
      </c>
      <c r="S2113" t="str">
        <f>TEXT(Table1[[#This Row],[Date]],"MMM-YY")</f>
        <v>Dec-25</v>
      </c>
      <c r="T2113">
        <f>_xlfn.ISOWEEKNUM(Table1[[#This Row],[Date]])</f>
        <v>49</v>
      </c>
    </row>
    <row r="2114" spans="1:20" hidden="1">
      <c r="A2114" s="1">
        <v>45994</v>
      </c>
      <c r="B2114" t="s">
        <v>4133</v>
      </c>
      <c r="C2114" t="s">
        <v>96</v>
      </c>
      <c r="D2114" t="s">
        <v>105</v>
      </c>
      <c r="E2114" t="s">
        <v>18</v>
      </c>
      <c r="F2114" t="s">
        <v>120</v>
      </c>
      <c r="G2114" s="9" t="s">
        <v>4198</v>
      </c>
      <c r="H2114">
        <v>4500</v>
      </c>
      <c r="I2114">
        <v>4890</v>
      </c>
      <c r="J2114" s="21">
        <v>45992</v>
      </c>
      <c r="K2114" t="s">
        <v>67</v>
      </c>
      <c r="L2114" t="s">
        <v>68</v>
      </c>
      <c r="M2114" t="s">
        <v>69</v>
      </c>
      <c r="O2114">
        <v>0</v>
      </c>
      <c r="P2114" t="s">
        <v>4059</v>
      </c>
      <c r="S2114" t="str">
        <f>TEXT(Table1[[#This Row],[Date]],"MMM-YY")</f>
        <v>Dec-25</v>
      </c>
      <c r="T2114">
        <f>_xlfn.ISOWEEKNUM(Table1[[#This Row],[Date]])</f>
        <v>49</v>
      </c>
    </row>
    <row r="2115" spans="1:20" ht="15.75" customHeight="1">
      <c r="A2115" s="1">
        <v>45994</v>
      </c>
      <c r="B2115" s="67" t="s">
        <v>95</v>
      </c>
      <c r="C2115" t="s">
        <v>96</v>
      </c>
      <c r="D2115" t="s">
        <v>64</v>
      </c>
      <c r="E2115" t="s">
        <v>38</v>
      </c>
      <c r="F2115" t="s">
        <v>97</v>
      </c>
      <c r="G2115" s="69" t="s">
        <v>4199</v>
      </c>
      <c r="H2115">
        <v>43083</v>
      </c>
      <c r="I2115">
        <v>43083</v>
      </c>
      <c r="J2115" s="21">
        <v>45992</v>
      </c>
      <c r="K2115" t="s">
        <v>99</v>
      </c>
      <c r="L2115" t="s">
        <v>68</v>
      </c>
      <c r="M2115" t="s">
        <v>69</v>
      </c>
      <c r="O2115">
        <v>0</v>
      </c>
      <c r="P2115" t="s">
        <v>70</v>
      </c>
      <c r="S2115" t="str">
        <f>TEXT(Table1[[#This Row],[Date]],"MMM-YY")</f>
        <v>Dec-25</v>
      </c>
      <c r="T2115">
        <f>_xlfn.ISOWEEKNUM(Table1[[#This Row],[Date]])</f>
        <v>49</v>
      </c>
    </row>
    <row r="2116" spans="1:20" ht="29.1" hidden="1">
      <c r="A2116" s="1">
        <v>45995</v>
      </c>
      <c r="B2116" t="s">
        <v>382</v>
      </c>
      <c r="C2116" t="s">
        <v>63</v>
      </c>
      <c r="D2116" t="s">
        <v>64</v>
      </c>
      <c r="E2116" t="s">
        <v>28</v>
      </c>
      <c r="F2116" t="s">
        <v>1707</v>
      </c>
      <c r="G2116" s="9" t="s">
        <v>4200</v>
      </c>
      <c r="H2116">
        <v>0</v>
      </c>
      <c r="J2116" s="21">
        <v>46023</v>
      </c>
      <c r="K2116" t="s">
        <v>67</v>
      </c>
      <c r="L2116" t="s">
        <v>68</v>
      </c>
      <c r="M2116" t="s">
        <v>69</v>
      </c>
      <c r="O2116">
        <v>0</v>
      </c>
      <c r="P2116" t="s">
        <v>298</v>
      </c>
      <c r="S2116" t="str">
        <f>TEXT(Table1[[#This Row],[Date]],"MMM-YY")</f>
        <v>Dec-25</v>
      </c>
      <c r="T2116">
        <f>_xlfn.ISOWEEKNUM(Table1[[#This Row],[Date]])</f>
        <v>49</v>
      </c>
    </row>
    <row r="2117" spans="1:20" ht="15.75" hidden="1" customHeight="1">
      <c r="A2117" s="1">
        <v>45995</v>
      </c>
      <c r="B2117" s="67" t="s">
        <v>112</v>
      </c>
      <c r="C2117" t="s">
        <v>96</v>
      </c>
      <c r="D2117" t="s">
        <v>64</v>
      </c>
      <c r="E2117" t="s">
        <v>38</v>
      </c>
      <c r="F2117" t="s">
        <v>113</v>
      </c>
      <c r="G2117" s="69" t="s">
        <v>4201</v>
      </c>
      <c r="H2117">
        <v>6600</v>
      </c>
      <c r="I2117">
        <v>6600</v>
      </c>
      <c r="J2117" s="21">
        <v>45992</v>
      </c>
      <c r="K2117" t="s">
        <v>67</v>
      </c>
      <c r="L2117" t="s">
        <v>68</v>
      </c>
      <c r="M2117" t="s">
        <v>69</v>
      </c>
      <c r="O2117">
        <v>0</v>
      </c>
      <c r="P2117" t="s">
        <v>130</v>
      </c>
      <c r="S2117" t="str">
        <f>TEXT(Table1[[#This Row],[Date]],"MMM-YY")</f>
        <v>Dec-25</v>
      </c>
      <c r="T2117">
        <f>_xlfn.ISOWEEKNUM(Table1[[#This Row],[Date]])</f>
        <v>49</v>
      </c>
    </row>
    <row r="2118" spans="1:20" hidden="1">
      <c r="A2118" s="1">
        <v>45995</v>
      </c>
      <c r="B2118" t="s">
        <v>4133</v>
      </c>
      <c r="C2118" t="s">
        <v>96</v>
      </c>
      <c r="D2118" t="s">
        <v>105</v>
      </c>
      <c r="E2118" t="s">
        <v>18</v>
      </c>
      <c r="F2118" t="s">
        <v>120</v>
      </c>
      <c r="G2118" s="9" t="s">
        <v>4202</v>
      </c>
      <c r="H2118">
        <v>4500</v>
      </c>
      <c r="I2118">
        <v>4890</v>
      </c>
      <c r="J2118" s="21">
        <v>45992</v>
      </c>
      <c r="K2118" t="s">
        <v>67</v>
      </c>
      <c r="L2118" t="s">
        <v>68</v>
      </c>
      <c r="M2118" t="s">
        <v>69</v>
      </c>
      <c r="O2118">
        <v>0</v>
      </c>
      <c r="P2118" t="s">
        <v>4059</v>
      </c>
      <c r="S2118" t="str">
        <f>TEXT(Table1[[#This Row],[Date]],"MMM-YY")</f>
        <v>Dec-25</v>
      </c>
      <c r="T2118">
        <f>_xlfn.ISOWEEKNUM(Table1[[#This Row],[Date]])</f>
        <v>49</v>
      </c>
    </row>
    <row r="2119" spans="1:20" ht="14.25" hidden="1" customHeight="1">
      <c r="A2119" s="1">
        <v>45995</v>
      </c>
      <c r="B2119" t="s">
        <v>4203</v>
      </c>
      <c r="C2119" t="s">
        <v>63</v>
      </c>
      <c r="D2119" t="s">
        <v>64</v>
      </c>
      <c r="E2119" t="s">
        <v>26</v>
      </c>
      <c r="F2119" t="s">
        <v>1624</v>
      </c>
      <c r="G2119" s="9" t="s">
        <v>4204</v>
      </c>
      <c r="H2119">
        <v>0</v>
      </c>
      <c r="J2119" s="21">
        <v>46113</v>
      </c>
      <c r="K2119" t="s">
        <v>67</v>
      </c>
      <c r="L2119" t="s">
        <v>567</v>
      </c>
      <c r="M2119" t="s">
        <v>3933</v>
      </c>
      <c r="O2119">
        <v>0</v>
      </c>
      <c r="P2119" t="s">
        <v>108</v>
      </c>
      <c r="S2119" t="str">
        <f>TEXT(Table1[[#This Row],[Date]],"MMM-YY")</f>
        <v>Dec-25</v>
      </c>
      <c r="T2119">
        <f>_xlfn.ISOWEEKNUM(Table1[[#This Row],[Date]])</f>
        <v>49</v>
      </c>
    </row>
    <row r="2120" spans="1:20" ht="15" hidden="1" customHeight="1">
      <c r="A2120" s="1">
        <v>45995</v>
      </c>
      <c r="B2120" t="s">
        <v>884</v>
      </c>
      <c r="C2120" t="s">
        <v>63</v>
      </c>
      <c r="D2120" t="s">
        <v>64</v>
      </c>
      <c r="E2120" t="s">
        <v>33</v>
      </c>
      <c r="F2120" t="s">
        <v>550</v>
      </c>
      <c r="G2120" s="9" t="s">
        <v>4205</v>
      </c>
      <c r="H2120">
        <v>0</v>
      </c>
      <c r="J2120" s="21">
        <v>45992</v>
      </c>
      <c r="K2120" t="s">
        <v>67</v>
      </c>
      <c r="L2120" t="s">
        <v>9</v>
      </c>
      <c r="M2120" t="s">
        <v>9</v>
      </c>
      <c r="O2120">
        <v>0</v>
      </c>
      <c r="P2120" t="s">
        <v>108</v>
      </c>
      <c r="S2120" t="str">
        <f>TEXT(Table1[[#This Row],[Date]],"MMM-YY")</f>
        <v>Dec-25</v>
      </c>
      <c r="T2120">
        <f>_xlfn.ISOWEEKNUM(Table1[[#This Row],[Date]])</f>
        <v>49</v>
      </c>
    </row>
    <row r="2121" spans="1:20" ht="16.5" hidden="1" customHeight="1">
      <c r="A2121" s="1">
        <v>45996</v>
      </c>
      <c r="B2121" s="67" t="s">
        <v>112</v>
      </c>
      <c r="C2121" t="s">
        <v>96</v>
      </c>
      <c r="D2121" t="s">
        <v>64</v>
      </c>
      <c r="E2121" t="s">
        <v>38</v>
      </c>
      <c r="F2121" t="s">
        <v>113</v>
      </c>
      <c r="G2121" s="69" t="s">
        <v>4206</v>
      </c>
      <c r="H2121">
        <v>10775</v>
      </c>
      <c r="I2121">
        <v>10775</v>
      </c>
      <c r="J2121" s="21">
        <v>45992</v>
      </c>
      <c r="K2121" t="s">
        <v>67</v>
      </c>
      <c r="L2121" t="s">
        <v>68</v>
      </c>
      <c r="M2121" t="s">
        <v>69</v>
      </c>
      <c r="O2121">
        <v>0</v>
      </c>
      <c r="P2121" t="s">
        <v>130</v>
      </c>
      <c r="S2121" t="str">
        <f>TEXT(Table1[[#This Row],[Date]],"MMM-YY")</f>
        <v>Dec-25</v>
      </c>
      <c r="T2121">
        <f>_xlfn.ISOWEEKNUM(Table1[[#This Row],[Date]])</f>
        <v>49</v>
      </c>
    </row>
    <row r="2122" spans="1:20" hidden="1">
      <c r="A2122" s="1">
        <v>45996</v>
      </c>
      <c r="B2122" t="s">
        <v>4133</v>
      </c>
      <c r="C2122" t="s">
        <v>96</v>
      </c>
      <c r="D2122" t="s">
        <v>105</v>
      </c>
      <c r="E2122" t="s">
        <v>18</v>
      </c>
      <c r="F2122" t="s">
        <v>120</v>
      </c>
      <c r="G2122" s="9" t="s">
        <v>4207</v>
      </c>
      <c r="H2122">
        <v>4200</v>
      </c>
      <c r="I2122">
        <v>4890</v>
      </c>
      <c r="J2122" s="21">
        <v>45992</v>
      </c>
      <c r="K2122" t="s">
        <v>67</v>
      </c>
      <c r="L2122" t="s">
        <v>68</v>
      </c>
      <c r="M2122" t="s">
        <v>69</v>
      </c>
      <c r="O2122">
        <v>0</v>
      </c>
      <c r="P2122" t="s">
        <v>4059</v>
      </c>
      <c r="S2122" t="str">
        <f>TEXT(Table1[[#This Row],[Date]],"MMM-YY")</f>
        <v>Dec-25</v>
      </c>
      <c r="T2122">
        <f>_xlfn.ISOWEEKNUM(Table1[[#This Row],[Date]])</f>
        <v>49</v>
      </c>
    </row>
    <row r="2123" spans="1:20" ht="29.1" hidden="1">
      <c r="A2123" s="1">
        <v>45997</v>
      </c>
      <c r="B2123" t="s">
        <v>4208</v>
      </c>
      <c r="C2123" t="s">
        <v>63</v>
      </c>
      <c r="D2123" t="s">
        <v>618</v>
      </c>
      <c r="E2123" t="s">
        <v>18</v>
      </c>
      <c r="F2123" t="s">
        <v>3170</v>
      </c>
      <c r="G2123" s="9" t="s">
        <v>4209</v>
      </c>
      <c r="H2123">
        <v>15200</v>
      </c>
      <c r="I2123">
        <v>15200</v>
      </c>
      <c r="J2123" s="21">
        <v>45992</v>
      </c>
      <c r="K2123" t="s">
        <v>67</v>
      </c>
      <c r="L2123" t="s">
        <v>68</v>
      </c>
      <c r="M2123" t="s">
        <v>69</v>
      </c>
      <c r="O2123">
        <v>0</v>
      </c>
      <c r="P2123" t="s">
        <v>4059</v>
      </c>
      <c r="S2123" t="str">
        <f>TEXT(Table1[[#This Row],[Date]],"MMM-YY")</f>
        <v>Dec-25</v>
      </c>
      <c r="T2123">
        <f>_xlfn.ISOWEEKNUM(Table1[[#This Row],[Date]])</f>
        <v>49</v>
      </c>
    </row>
    <row r="2124" spans="1:20" hidden="1">
      <c r="A2124" s="1">
        <v>45997</v>
      </c>
      <c r="B2124" t="s">
        <v>4210</v>
      </c>
      <c r="C2124" t="s">
        <v>63</v>
      </c>
      <c r="D2124" t="s">
        <v>64</v>
      </c>
      <c r="E2124" t="s">
        <v>37</v>
      </c>
      <c r="F2124" t="s">
        <v>169</v>
      </c>
      <c r="G2124" s="9" t="s">
        <v>4211</v>
      </c>
      <c r="H2124">
        <v>72000</v>
      </c>
      <c r="I2124">
        <v>72000</v>
      </c>
      <c r="J2124" s="21">
        <v>45992</v>
      </c>
      <c r="K2124" t="s">
        <v>67</v>
      </c>
      <c r="L2124" t="s">
        <v>68</v>
      </c>
      <c r="M2124" t="s">
        <v>69</v>
      </c>
      <c r="O2124">
        <v>0</v>
      </c>
      <c r="P2124" t="s">
        <v>4059</v>
      </c>
      <c r="S2124" t="str">
        <f>TEXT(Table1[[#This Row],[Date]],"MMM-YY")</f>
        <v>Dec-25</v>
      </c>
      <c r="T2124">
        <f>_xlfn.ISOWEEKNUM(Table1[[#This Row],[Date]])</f>
        <v>49</v>
      </c>
    </row>
    <row r="2125" spans="1:20" ht="18" hidden="1" customHeight="1">
      <c r="A2125" s="1">
        <v>45999</v>
      </c>
      <c r="B2125" s="67" t="s">
        <v>112</v>
      </c>
      <c r="C2125" t="s">
        <v>96</v>
      </c>
      <c r="D2125" t="s">
        <v>64</v>
      </c>
      <c r="E2125" t="s">
        <v>38</v>
      </c>
      <c r="F2125" t="s">
        <v>113</v>
      </c>
      <c r="G2125" s="69" t="s">
        <v>4212</v>
      </c>
      <c r="H2125">
        <v>6344</v>
      </c>
      <c r="I2125">
        <v>6344</v>
      </c>
      <c r="J2125" s="21">
        <v>45992</v>
      </c>
      <c r="K2125" t="s">
        <v>67</v>
      </c>
      <c r="L2125" t="s">
        <v>68</v>
      </c>
      <c r="M2125" t="s">
        <v>69</v>
      </c>
      <c r="O2125">
        <v>0</v>
      </c>
      <c r="P2125" t="s">
        <v>130</v>
      </c>
      <c r="S2125" t="str">
        <f>TEXT(Table1[[#This Row],[Date]],"MMM-YY")</f>
        <v>Dec-25</v>
      </c>
      <c r="T2125">
        <f>_xlfn.ISOWEEKNUM(Table1[[#This Row],[Date]])</f>
        <v>50</v>
      </c>
    </row>
    <row r="2126" spans="1:20" hidden="1">
      <c r="A2126" s="1">
        <v>45999</v>
      </c>
      <c r="B2126" t="s">
        <v>4133</v>
      </c>
      <c r="C2126" t="s">
        <v>96</v>
      </c>
      <c r="D2126" t="s">
        <v>105</v>
      </c>
      <c r="E2126" t="s">
        <v>18</v>
      </c>
      <c r="F2126" t="s">
        <v>120</v>
      </c>
      <c r="G2126" s="9" t="s">
        <v>4213</v>
      </c>
      <c r="H2126">
        <v>4200</v>
      </c>
      <c r="I2126">
        <v>4890</v>
      </c>
      <c r="J2126" s="21">
        <v>45992</v>
      </c>
      <c r="K2126" t="s">
        <v>67</v>
      </c>
      <c r="L2126" t="s">
        <v>68</v>
      </c>
      <c r="M2126" t="s">
        <v>69</v>
      </c>
      <c r="O2126">
        <v>0</v>
      </c>
      <c r="P2126" t="s">
        <v>4059</v>
      </c>
      <c r="S2126" t="str">
        <f>TEXT(Table1[[#This Row],[Date]],"MMM-YY")</f>
        <v>Dec-25</v>
      </c>
      <c r="T2126">
        <f>_xlfn.ISOWEEKNUM(Table1[[#This Row],[Date]])</f>
        <v>50</v>
      </c>
    </row>
    <row r="2127" spans="1:20" ht="18" hidden="1" customHeight="1">
      <c r="A2127" s="1">
        <v>45999</v>
      </c>
      <c r="B2127" t="s">
        <v>4214</v>
      </c>
      <c r="C2127" t="s">
        <v>63</v>
      </c>
      <c r="D2127" t="s">
        <v>20</v>
      </c>
      <c r="E2127" t="s">
        <v>37</v>
      </c>
      <c r="F2127" t="s">
        <v>4215</v>
      </c>
      <c r="G2127" s="9" t="s">
        <v>4216</v>
      </c>
      <c r="H2127">
        <v>0</v>
      </c>
      <c r="I2127">
        <v>0</v>
      </c>
      <c r="J2127" s="21">
        <v>46023</v>
      </c>
      <c r="K2127" t="s">
        <v>67</v>
      </c>
      <c r="L2127" t="s">
        <v>68</v>
      </c>
      <c r="M2127" t="s">
        <v>69</v>
      </c>
      <c r="O2127">
        <v>0</v>
      </c>
      <c r="P2127" t="s">
        <v>4059</v>
      </c>
      <c r="S2127" t="str">
        <f>TEXT(Table1[[#This Row],[Date]],"MMM-YY")</f>
        <v>Dec-25</v>
      </c>
      <c r="T2127">
        <f>_xlfn.ISOWEEKNUM(Table1[[#This Row],[Date]])</f>
        <v>50</v>
      </c>
    </row>
    <row r="2128" spans="1:20" ht="18" hidden="1" customHeight="1">
      <c r="A2128" s="1">
        <v>45999</v>
      </c>
      <c r="B2128" t="s">
        <v>4094</v>
      </c>
      <c r="C2128" t="s">
        <v>63</v>
      </c>
      <c r="D2128" t="s">
        <v>64</v>
      </c>
      <c r="E2128" t="s">
        <v>32</v>
      </c>
      <c r="F2128" t="s">
        <v>2826</v>
      </c>
      <c r="G2128" s="9" t="s">
        <v>4217</v>
      </c>
      <c r="H2128">
        <v>10200</v>
      </c>
      <c r="I2128">
        <v>10200</v>
      </c>
      <c r="J2128" s="21">
        <v>45992</v>
      </c>
      <c r="K2128" t="s">
        <v>67</v>
      </c>
      <c r="L2128" t="s">
        <v>68</v>
      </c>
      <c r="M2128" t="s">
        <v>69</v>
      </c>
      <c r="O2128">
        <v>0</v>
      </c>
      <c r="P2128" t="s">
        <v>4059</v>
      </c>
      <c r="S2128" t="str">
        <f>TEXT(Table1[[#This Row],[Date]],"MMM-YY")</f>
        <v>Dec-25</v>
      </c>
      <c r="T2128">
        <f>_xlfn.ISOWEEKNUM(Table1[[#This Row],[Date]])</f>
        <v>50</v>
      </c>
    </row>
    <row r="2129" spans="1:20" hidden="1">
      <c r="A2129" s="1">
        <v>45999</v>
      </c>
      <c r="B2129" t="s">
        <v>4218</v>
      </c>
      <c r="C2129" t="s">
        <v>63</v>
      </c>
      <c r="D2129" t="s">
        <v>64</v>
      </c>
      <c r="E2129" t="s">
        <v>21</v>
      </c>
      <c r="F2129" t="s">
        <v>4219</v>
      </c>
      <c r="G2129" s="9" t="s">
        <v>4220</v>
      </c>
      <c r="H2129">
        <v>28000</v>
      </c>
      <c r="J2129" s="21">
        <v>46023</v>
      </c>
      <c r="K2129" t="s">
        <v>67</v>
      </c>
      <c r="L2129" t="s">
        <v>9</v>
      </c>
      <c r="M2129" t="s">
        <v>9</v>
      </c>
      <c r="N2129" t="s">
        <v>707</v>
      </c>
      <c r="O2129">
        <v>0</v>
      </c>
      <c r="P2129" t="s">
        <v>70</v>
      </c>
      <c r="S2129" t="str">
        <f>TEXT(Table1[[#This Row],[Date]],"MMM-YY")</f>
        <v>Dec-25</v>
      </c>
      <c r="T2129">
        <f>_xlfn.ISOWEEKNUM(Table1[[#This Row],[Date]])</f>
        <v>50</v>
      </c>
    </row>
    <row r="2130" spans="1:20" ht="29.1" hidden="1">
      <c r="A2130" s="1">
        <v>45999</v>
      </c>
      <c r="B2130" t="s">
        <v>4221</v>
      </c>
      <c r="C2130" t="s">
        <v>63</v>
      </c>
      <c r="D2130" t="s">
        <v>64</v>
      </c>
      <c r="E2130" t="s">
        <v>21</v>
      </c>
      <c r="F2130" t="s">
        <v>989</v>
      </c>
      <c r="G2130" s="9" t="s">
        <v>4222</v>
      </c>
      <c r="H2130">
        <v>5000</v>
      </c>
      <c r="I2130">
        <v>5000</v>
      </c>
      <c r="J2130" s="21">
        <v>45992</v>
      </c>
      <c r="K2130" t="s">
        <v>67</v>
      </c>
      <c r="L2130" t="s">
        <v>68</v>
      </c>
      <c r="M2130" t="s">
        <v>69</v>
      </c>
      <c r="O2130">
        <v>0</v>
      </c>
      <c r="P2130" t="s">
        <v>70</v>
      </c>
      <c r="S2130" t="str">
        <f>TEXT(Table1[[#This Row],[Date]],"MMM-YY")</f>
        <v>Dec-25</v>
      </c>
      <c r="T2130">
        <f>_xlfn.ISOWEEKNUM(Table1[[#This Row],[Date]])</f>
        <v>50</v>
      </c>
    </row>
    <row r="2131" spans="1:20" hidden="1">
      <c r="A2131" s="1">
        <v>46000</v>
      </c>
      <c r="B2131" t="s">
        <v>4223</v>
      </c>
      <c r="C2131" t="s">
        <v>63</v>
      </c>
      <c r="D2131" t="s">
        <v>64</v>
      </c>
      <c r="E2131" t="s">
        <v>26</v>
      </c>
      <c r="F2131" t="s">
        <v>1923</v>
      </c>
      <c r="G2131" s="9" t="s">
        <v>4224</v>
      </c>
      <c r="H2131">
        <v>100000</v>
      </c>
      <c r="J2131" s="21">
        <v>46113</v>
      </c>
      <c r="K2131" t="s">
        <v>67</v>
      </c>
      <c r="L2131" t="s">
        <v>567</v>
      </c>
      <c r="M2131" t="s">
        <v>2878</v>
      </c>
      <c r="O2131">
        <v>0</v>
      </c>
      <c r="P2131" t="s">
        <v>108</v>
      </c>
      <c r="S2131" t="str">
        <f>TEXT(Table1[[#This Row],[Date]],"MMM-YY")</f>
        <v>Dec-25</v>
      </c>
      <c r="T2131">
        <f>_xlfn.ISOWEEKNUM(Table1[[#This Row],[Date]])</f>
        <v>50</v>
      </c>
    </row>
    <row r="2132" spans="1:20" ht="17.25" hidden="1" customHeight="1">
      <c r="A2132" s="1">
        <v>46000</v>
      </c>
      <c r="B2132" s="67" t="s">
        <v>112</v>
      </c>
      <c r="C2132" t="s">
        <v>96</v>
      </c>
      <c r="D2132" t="s">
        <v>64</v>
      </c>
      <c r="E2132" t="s">
        <v>38</v>
      </c>
      <c r="F2132" t="s">
        <v>113</v>
      </c>
      <c r="G2132" s="69" t="s">
        <v>4225</v>
      </c>
      <c r="H2132">
        <v>9488</v>
      </c>
      <c r="I2132">
        <v>9488</v>
      </c>
      <c r="J2132" s="21">
        <v>45992</v>
      </c>
      <c r="K2132" t="s">
        <v>67</v>
      </c>
      <c r="L2132" t="s">
        <v>68</v>
      </c>
      <c r="M2132" t="s">
        <v>69</v>
      </c>
      <c r="O2132">
        <v>0</v>
      </c>
      <c r="P2132" t="s">
        <v>130</v>
      </c>
      <c r="S2132" t="str">
        <f>TEXT(Table1[[#This Row],[Date]],"MMM-YY")</f>
        <v>Dec-25</v>
      </c>
      <c r="T2132">
        <f>_xlfn.ISOWEEKNUM(Table1[[#This Row],[Date]])</f>
        <v>50</v>
      </c>
    </row>
    <row r="2133" spans="1:20" ht="15.75" hidden="1" customHeight="1">
      <c r="A2133" s="1">
        <v>46001</v>
      </c>
      <c r="B2133" s="67" t="s">
        <v>112</v>
      </c>
      <c r="C2133" t="s">
        <v>96</v>
      </c>
      <c r="D2133" t="s">
        <v>64</v>
      </c>
      <c r="E2133" t="s">
        <v>38</v>
      </c>
      <c r="F2133" t="s">
        <v>113</v>
      </c>
      <c r="G2133" s="69" t="s">
        <v>4226</v>
      </c>
      <c r="H2133">
        <v>13175</v>
      </c>
      <c r="I2133">
        <v>13175</v>
      </c>
      <c r="J2133" s="21">
        <v>45992</v>
      </c>
      <c r="K2133" t="s">
        <v>67</v>
      </c>
      <c r="L2133" t="s">
        <v>68</v>
      </c>
      <c r="M2133" t="s">
        <v>69</v>
      </c>
      <c r="O2133">
        <v>0</v>
      </c>
      <c r="P2133" t="s">
        <v>130</v>
      </c>
      <c r="S2133" t="str">
        <f>TEXT(Table1[[#This Row],[Date]],"MMM-YY")</f>
        <v>Dec-25</v>
      </c>
      <c r="T2133">
        <f>_xlfn.ISOWEEKNUM(Table1[[#This Row],[Date]])</f>
        <v>50</v>
      </c>
    </row>
    <row r="2134" spans="1:20" hidden="1">
      <c r="A2134" s="1">
        <v>46001</v>
      </c>
      <c r="B2134" t="s">
        <v>4203</v>
      </c>
      <c r="C2134" t="s">
        <v>63</v>
      </c>
      <c r="D2134" t="s">
        <v>64</v>
      </c>
      <c r="E2134" t="s">
        <v>26</v>
      </c>
      <c r="F2134" t="s">
        <v>4227</v>
      </c>
      <c r="G2134" s="9" t="s">
        <v>4228</v>
      </c>
      <c r="H2134">
        <v>50000</v>
      </c>
      <c r="I2134">
        <v>0</v>
      </c>
      <c r="J2134" s="21">
        <v>46113</v>
      </c>
      <c r="K2134" t="s">
        <v>67</v>
      </c>
      <c r="L2134" t="s">
        <v>567</v>
      </c>
      <c r="M2134" t="s">
        <v>3933</v>
      </c>
      <c r="O2134">
        <v>0</v>
      </c>
      <c r="P2134" t="s">
        <v>108</v>
      </c>
      <c r="S2134" t="str">
        <f>TEXT(Table1[[#This Row],[Date]],"MMM-YY")</f>
        <v>Dec-25</v>
      </c>
      <c r="T2134">
        <f>_xlfn.ISOWEEKNUM(Table1[[#This Row],[Date]])</f>
        <v>50</v>
      </c>
    </row>
    <row r="2135" spans="1:20" ht="17.25" customHeight="1">
      <c r="A2135" s="1">
        <v>46001</v>
      </c>
      <c r="B2135" s="67" t="s">
        <v>95</v>
      </c>
      <c r="C2135" t="s">
        <v>96</v>
      </c>
      <c r="D2135" t="s">
        <v>64</v>
      </c>
      <c r="E2135" t="s">
        <v>38</v>
      </c>
      <c r="F2135" t="s">
        <v>97</v>
      </c>
      <c r="G2135" s="69" t="s">
        <v>4229</v>
      </c>
      <c r="H2135">
        <v>45374</v>
      </c>
      <c r="I2135">
        <v>45374</v>
      </c>
      <c r="J2135" s="21">
        <v>45992</v>
      </c>
      <c r="K2135" t="s">
        <v>99</v>
      </c>
      <c r="L2135" t="s">
        <v>68</v>
      </c>
      <c r="M2135" t="s">
        <v>69</v>
      </c>
      <c r="O2135">
        <v>0</v>
      </c>
      <c r="P2135" t="s">
        <v>70</v>
      </c>
      <c r="S2135" t="str">
        <f>TEXT(Table1[[#This Row],[Date]],"MMM-YY")</f>
        <v>Dec-25</v>
      </c>
      <c r="T2135">
        <f>_xlfn.ISOWEEKNUM(Table1[[#This Row],[Date]])</f>
        <v>50</v>
      </c>
    </row>
    <row r="2136" spans="1:20" hidden="1">
      <c r="A2136" s="1">
        <v>46001</v>
      </c>
      <c r="B2136" t="s">
        <v>4049</v>
      </c>
      <c r="C2136" t="s">
        <v>63</v>
      </c>
      <c r="D2136" t="s">
        <v>36</v>
      </c>
      <c r="E2136" t="s">
        <v>15</v>
      </c>
      <c r="F2136" t="s">
        <v>3075</v>
      </c>
      <c r="G2136" s="9" t="s">
        <v>4230</v>
      </c>
      <c r="H2136">
        <v>0</v>
      </c>
      <c r="I2136">
        <v>0</v>
      </c>
      <c r="J2136" s="21">
        <v>45992</v>
      </c>
      <c r="K2136" t="s">
        <v>67</v>
      </c>
      <c r="L2136" t="s">
        <v>68</v>
      </c>
      <c r="M2136" t="s">
        <v>69</v>
      </c>
      <c r="O2136">
        <v>0</v>
      </c>
      <c r="P2136" t="s">
        <v>70</v>
      </c>
      <c r="S2136" t="str">
        <f>TEXT(Table1[[#This Row],[Date]],"MMM-YY")</f>
        <v>Dec-25</v>
      </c>
      <c r="T2136">
        <f>_xlfn.ISOWEEKNUM(Table1[[#This Row],[Date]])</f>
        <v>50</v>
      </c>
    </row>
    <row r="2137" spans="1:20" hidden="1">
      <c r="A2137" s="1">
        <v>46001</v>
      </c>
      <c r="B2137" t="s">
        <v>4231</v>
      </c>
      <c r="C2137" t="s">
        <v>63</v>
      </c>
      <c r="D2137" t="s">
        <v>64</v>
      </c>
      <c r="E2137" t="s">
        <v>26</v>
      </c>
      <c r="F2137" t="s">
        <v>4232</v>
      </c>
      <c r="G2137" s="9" t="s">
        <v>4007</v>
      </c>
      <c r="H2137">
        <v>20000</v>
      </c>
      <c r="J2137" s="21">
        <v>46023</v>
      </c>
      <c r="K2137" t="s">
        <v>67</v>
      </c>
      <c r="L2137" t="s">
        <v>9</v>
      </c>
      <c r="M2137" t="s">
        <v>9</v>
      </c>
      <c r="O2137">
        <v>0</v>
      </c>
      <c r="P2137" t="s">
        <v>70</v>
      </c>
      <c r="S2137" t="str">
        <f>TEXT(Table1[[#This Row],[Date]],"MMM-YY")</f>
        <v>Dec-25</v>
      </c>
      <c r="T2137">
        <f>_xlfn.ISOWEEKNUM(Table1[[#This Row],[Date]])</f>
        <v>50</v>
      </c>
    </row>
    <row r="2138" spans="1:20" hidden="1">
      <c r="A2138" s="1">
        <v>46002</v>
      </c>
      <c r="B2138" t="s">
        <v>4233</v>
      </c>
      <c r="C2138" t="s">
        <v>63</v>
      </c>
      <c r="D2138" t="s">
        <v>36</v>
      </c>
      <c r="E2138" t="s">
        <v>15</v>
      </c>
      <c r="F2138" t="s">
        <v>2281</v>
      </c>
      <c r="G2138" s="9" t="s">
        <v>4234</v>
      </c>
      <c r="H2138">
        <v>0</v>
      </c>
      <c r="I2138">
        <v>0</v>
      </c>
      <c r="J2138" s="21">
        <v>45992</v>
      </c>
      <c r="K2138" t="s">
        <v>67</v>
      </c>
      <c r="L2138" t="s">
        <v>68</v>
      </c>
      <c r="M2138" t="s">
        <v>69</v>
      </c>
      <c r="O2138">
        <v>0</v>
      </c>
      <c r="P2138" t="s">
        <v>70</v>
      </c>
      <c r="S2138" t="str">
        <f>TEXT(Table1[[#This Row],[Date]],"MMM-YY")</f>
        <v>Dec-25</v>
      </c>
      <c r="T2138">
        <f>_xlfn.ISOWEEKNUM(Table1[[#This Row],[Date]])</f>
        <v>50</v>
      </c>
    </row>
    <row r="2139" spans="1:20" hidden="1">
      <c r="A2139" s="1">
        <v>46002</v>
      </c>
      <c r="B2139" t="s">
        <v>4235</v>
      </c>
      <c r="C2139" t="s">
        <v>63</v>
      </c>
      <c r="D2139" t="s">
        <v>64</v>
      </c>
      <c r="E2139" t="s">
        <v>26</v>
      </c>
      <c r="F2139" t="s">
        <v>2791</v>
      </c>
      <c r="G2139" s="9" t="s">
        <v>4236</v>
      </c>
      <c r="H2139">
        <v>7200</v>
      </c>
      <c r="J2139" s="21">
        <v>45992</v>
      </c>
      <c r="K2139" t="s">
        <v>67</v>
      </c>
      <c r="L2139" t="s">
        <v>9</v>
      </c>
      <c r="M2139" t="s">
        <v>9</v>
      </c>
      <c r="O2139">
        <v>0</v>
      </c>
      <c r="P2139" t="s">
        <v>108</v>
      </c>
      <c r="S2139" t="str">
        <f>TEXT(Table1[[#This Row],[Date]],"MMM-YY")</f>
        <v>Dec-25</v>
      </c>
      <c r="T2139">
        <f>_xlfn.ISOWEEKNUM(Table1[[#This Row],[Date]])</f>
        <v>50</v>
      </c>
    </row>
    <row r="2140" spans="1:20" hidden="1">
      <c r="A2140" s="1">
        <v>46002</v>
      </c>
      <c r="B2140" t="s">
        <v>3070</v>
      </c>
      <c r="C2140" t="s">
        <v>63</v>
      </c>
      <c r="D2140" t="s">
        <v>64</v>
      </c>
      <c r="E2140" t="s">
        <v>26</v>
      </c>
      <c r="F2140" t="s">
        <v>371</v>
      </c>
      <c r="G2140" s="9" t="s">
        <v>4237</v>
      </c>
      <c r="H2140">
        <v>8800</v>
      </c>
      <c r="I2140">
        <v>8800</v>
      </c>
      <c r="J2140" s="21">
        <v>45992</v>
      </c>
      <c r="K2140" t="s">
        <v>67</v>
      </c>
      <c r="L2140" t="s">
        <v>68</v>
      </c>
      <c r="M2140" t="s">
        <v>69</v>
      </c>
      <c r="O2140">
        <v>0</v>
      </c>
      <c r="P2140" t="s">
        <v>108</v>
      </c>
      <c r="S2140" t="str">
        <f>TEXT(Table1[[#This Row],[Date]],"MMM-YY")</f>
        <v>Dec-25</v>
      </c>
      <c r="T2140">
        <f>_xlfn.ISOWEEKNUM(Table1[[#This Row],[Date]])</f>
        <v>50</v>
      </c>
    </row>
    <row r="2141" spans="1:20" hidden="1">
      <c r="A2141" s="1">
        <v>46002</v>
      </c>
      <c r="B2141" s="67" t="s">
        <v>112</v>
      </c>
      <c r="C2141" t="s">
        <v>96</v>
      </c>
      <c r="D2141" t="s">
        <v>64</v>
      </c>
      <c r="E2141" t="s">
        <v>38</v>
      </c>
      <c r="F2141" t="s">
        <v>113</v>
      </c>
      <c r="G2141" s="69" t="s">
        <v>4238</v>
      </c>
      <c r="H2141">
        <v>8250</v>
      </c>
      <c r="I2141">
        <v>8250</v>
      </c>
      <c r="J2141" s="21">
        <v>45992</v>
      </c>
      <c r="K2141" t="s">
        <v>67</v>
      </c>
      <c r="L2141" t="s">
        <v>68</v>
      </c>
      <c r="M2141" t="s">
        <v>69</v>
      </c>
      <c r="O2141">
        <v>0</v>
      </c>
      <c r="P2141" t="s">
        <v>130</v>
      </c>
      <c r="S2141" t="str">
        <f>TEXT(Table1[[#This Row],[Date]],"MMM-YY")</f>
        <v>Dec-25</v>
      </c>
      <c r="T2141">
        <f>_xlfn.ISOWEEKNUM(Table1[[#This Row],[Date]])</f>
        <v>50</v>
      </c>
    </row>
    <row r="2142" spans="1:20" ht="16.5" hidden="1" customHeight="1">
      <c r="A2142" s="1">
        <v>46003</v>
      </c>
      <c r="B2142" s="67" t="s">
        <v>112</v>
      </c>
      <c r="C2142" t="s">
        <v>96</v>
      </c>
      <c r="D2142" t="s">
        <v>64</v>
      </c>
      <c r="E2142" t="s">
        <v>38</v>
      </c>
      <c r="F2142" t="s">
        <v>113</v>
      </c>
      <c r="G2142" s="69" t="s">
        <v>4239</v>
      </c>
      <c r="H2142">
        <v>8250</v>
      </c>
      <c r="I2142">
        <v>8250</v>
      </c>
      <c r="J2142" s="21">
        <v>45992</v>
      </c>
      <c r="K2142" t="s">
        <v>67</v>
      </c>
      <c r="L2142" t="s">
        <v>68</v>
      </c>
      <c r="M2142" t="s">
        <v>69</v>
      </c>
      <c r="O2142">
        <v>0</v>
      </c>
      <c r="P2142" t="s">
        <v>130</v>
      </c>
      <c r="S2142" t="str">
        <f>TEXT(Table1[[#This Row],[Date]],"MMM-YY")</f>
        <v>Dec-25</v>
      </c>
      <c r="T2142">
        <f>_xlfn.ISOWEEKNUM(Table1[[#This Row],[Date]])</f>
        <v>50</v>
      </c>
    </row>
    <row r="2143" spans="1:20" hidden="1">
      <c r="A2143" s="1">
        <v>46003</v>
      </c>
      <c r="B2143" t="s">
        <v>4240</v>
      </c>
      <c r="C2143" t="s">
        <v>96</v>
      </c>
      <c r="D2143" t="s">
        <v>20</v>
      </c>
      <c r="E2143" t="s">
        <v>23</v>
      </c>
      <c r="F2143" t="s">
        <v>214</v>
      </c>
      <c r="G2143" s="9" t="s">
        <v>4241</v>
      </c>
      <c r="H2143">
        <v>7560</v>
      </c>
      <c r="I2143">
        <v>7560</v>
      </c>
      <c r="J2143" s="21">
        <v>45992</v>
      </c>
      <c r="K2143" t="s">
        <v>67</v>
      </c>
      <c r="L2143" t="s">
        <v>68</v>
      </c>
      <c r="M2143" t="s">
        <v>69</v>
      </c>
      <c r="O2143">
        <v>0</v>
      </c>
      <c r="P2143" t="s">
        <v>70</v>
      </c>
      <c r="S2143" t="str">
        <f>TEXT(Table1[[#This Row],[Date]],"MMM-YY")</f>
        <v>Dec-25</v>
      </c>
      <c r="T2143">
        <f>_xlfn.ISOWEEKNUM(Table1[[#This Row],[Date]])</f>
        <v>50</v>
      </c>
    </row>
    <row r="2144" spans="1:20" hidden="1">
      <c r="A2144" s="1">
        <v>46003</v>
      </c>
      <c r="B2144" t="s">
        <v>2480</v>
      </c>
      <c r="C2144" t="s">
        <v>63</v>
      </c>
      <c r="D2144" t="s">
        <v>20</v>
      </c>
      <c r="E2144" t="s">
        <v>23</v>
      </c>
      <c r="F2144" t="s">
        <v>4242</v>
      </c>
      <c r="G2144" s="9" t="s">
        <v>4243</v>
      </c>
      <c r="H2144">
        <v>6300</v>
      </c>
      <c r="I2144">
        <v>6300</v>
      </c>
      <c r="J2144" s="21">
        <v>45992</v>
      </c>
      <c r="K2144" t="s">
        <v>67</v>
      </c>
      <c r="L2144" t="s">
        <v>68</v>
      </c>
      <c r="M2144" t="s">
        <v>69</v>
      </c>
      <c r="O2144">
        <v>0</v>
      </c>
      <c r="P2144" t="s">
        <v>70</v>
      </c>
      <c r="S2144" t="str">
        <f>TEXT(Table1[[#This Row],[Date]],"MMM-YY")</f>
        <v>Dec-25</v>
      </c>
      <c r="T2144">
        <f>_xlfn.ISOWEEKNUM(Table1[[#This Row],[Date]])</f>
        <v>50</v>
      </c>
    </row>
    <row r="2145" spans="1:20" hidden="1">
      <c r="A2145" s="1">
        <v>46003</v>
      </c>
      <c r="B2145" t="s">
        <v>2240</v>
      </c>
      <c r="C2145" t="s">
        <v>96</v>
      </c>
      <c r="D2145" t="s">
        <v>20</v>
      </c>
      <c r="E2145" t="s">
        <v>23</v>
      </c>
      <c r="F2145" t="s">
        <v>1650</v>
      </c>
      <c r="G2145" s="9" t="s">
        <v>4244</v>
      </c>
      <c r="H2145">
        <v>12717</v>
      </c>
      <c r="I2145">
        <v>12717</v>
      </c>
      <c r="J2145" s="21">
        <v>45992</v>
      </c>
      <c r="K2145" t="s">
        <v>67</v>
      </c>
      <c r="L2145" t="s">
        <v>68</v>
      </c>
      <c r="M2145" t="s">
        <v>69</v>
      </c>
      <c r="O2145">
        <v>0</v>
      </c>
      <c r="P2145" t="s">
        <v>70</v>
      </c>
      <c r="S2145" t="str">
        <f>TEXT(Table1[[#This Row],[Date]],"MMM-YY")</f>
        <v>Dec-25</v>
      </c>
      <c r="T2145">
        <f>_xlfn.ISOWEEKNUM(Table1[[#This Row],[Date]])</f>
        <v>50</v>
      </c>
    </row>
    <row r="2146" spans="1:20" hidden="1">
      <c r="A2146" s="1">
        <v>46003</v>
      </c>
      <c r="B2146" t="s">
        <v>4245</v>
      </c>
      <c r="C2146" t="s">
        <v>63</v>
      </c>
      <c r="D2146" t="s">
        <v>36</v>
      </c>
      <c r="E2146" t="s">
        <v>15</v>
      </c>
      <c r="F2146" t="s">
        <v>4246</v>
      </c>
      <c r="G2146" s="9" t="s">
        <v>4247</v>
      </c>
      <c r="H2146">
        <v>0</v>
      </c>
      <c r="I2146">
        <v>0</v>
      </c>
      <c r="J2146" s="21">
        <v>45992</v>
      </c>
      <c r="K2146" t="s">
        <v>67</v>
      </c>
      <c r="L2146" t="s">
        <v>68</v>
      </c>
      <c r="M2146" t="s">
        <v>69</v>
      </c>
      <c r="O2146">
        <v>0</v>
      </c>
      <c r="P2146" t="s">
        <v>70</v>
      </c>
      <c r="S2146" t="str">
        <f>TEXT(Table1[[#This Row],[Date]],"MMM-YY")</f>
        <v>Dec-25</v>
      </c>
      <c r="T2146">
        <f>_xlfn.ISOWEEKNUM(Table1[[#This Row],[Date]])</f>
        <v>50</v>
      </c>
    </row>
    <row r="2147" spans="1:20" hidden="1">
      <c r="A2147" s="1">
        <v>46004</v>
      </c>
      <c r="B2147" t="s">
        <v>4151</v>
      </c>
      <c r="C2147" t="s">
        <v>96</v>
      </c>
      <c r="D2147" t="s">
        <v>20</v>
      </c>
      <c r="E2147" t="s">
        <v>37</v>
      </c>
      <c r="F2147" t="s">
        <v>2842</v>
      </c>
      <c r="G2147" s="9" t="s">
        <v>4248</v>
      </c>
      <c r="H2147">
        <v>259400</v>
      </c>
      <c r="I2147">
        <v>259400</v>
      </c>
      <c r="J2147" s="21">
        <v>45992</v>
      </c>
      <c r="K2147" t="s">
        <v>67</v>
      </c>
      <c r="L2147" t="s">
        <v>68</v>
      </c>
      <c r="M2147" t="s">
        <v>69</v>
      </c>
      <c r="O2147">
        <v>0</v>
      </c>
      <c r="P2147" t="s">
        <v>70</v>
      </c>
      <c r="S2147" t="str">
        <f>TEXT(Table1[[#This Row],[Date]],"MMM-YY")</f>
        <v>Dec-25</v>
      </c>
      <c r="T2147">
        <f>_xlfn.ISOWEEKNUM(Table1[[#This Row],[Date]])</f>
        <v>50</v>
      </c>
    </row>
    <row r="2148" spans="1:20" ht="29.1" hidden="1">
      <c r="A2148" s="1">
        <v>46004</v>
      </c>
      <c r="B2148" t="s">
        <v>3698</v>
      </c>
      <c r="C2148" t="s">
        <v>96</v>
      </c>
      <c r="D2148" t="s">
        <v>20</v>
      </c>
      <c r="E2148" t="s">
        <v>23</v>
      </c>
      <c r="F2148" t="s">
        <v>1709</v>
      </c>
      <c r="G2148" s="9" t="s">
        <v>4249</v>
      </c>
      <c r="H2148">
        <v>6570</v>
      </c>
      <c r="I2148">
        <v>6570</v>
      </c>
      <c r="J2148" s="21">
        <v>45992</v>
      </c>
      <c r="K2148" t="s">
        <v>67</v>
      </c>
      <c r="L2148" t="s">
        <v>68</v>
      </c>
      <c r="M2148" t="s">
        <v>69</v>
      </c>
      <c r="O2148">
        <v>0</v>
      </c>
      <c r="P2148" t="s">
        <v>70</v>
      </c>
      <c r="S2148" t="str">
        <f>TEXT(Table1[[#This Row],[Date]],"MMM-YY")</f>
        <v>Dec-25</v>
      </c>
      <c r="T2148">
        <f>_xlfn.ISOWEEKNUM(Table1[[#This Row],[Date]])</f>
        <v>50</v>
      </c>
    </row>
    <row r="2149" spans="1:20" hidden="1">
      <c r="A2149" s="1">
        <v>46006</v>
      </c>
      <c r="B2149" t="s">
        <v>2581</v>
      </c>
      <c r="C2149" t="s">
        <v>96</v>
      </c>
      <c r="D2149" t="s">
        <v>20</v>
      </c>
      <c r="E2149" t="s">
        <v>23</v>
      </c>
      <c r="F2149" t="s">
        <v>4250</v>
      </c>
      <c r="G2149" s="9" t="s">
        <v>4251</v>
      </c>
      <c r="H2149">
        <v>4300</v>
      </c>
      <c r="I2149">
        <v>4300</v>
      </c>
      <c r="J2149" s="21">
        <v>45992</v>
      </c>
      <c r="K2149" t="s">
        <v>67</v>
      </c>
      <c r="L2149" t="s">
        <v>68</v>
      </c>
      <c r="M2149" t="s">
        <v>69</v>
      </c>
      <c r="O2149">
        <v>0</v>
      </c>
      <c r="P2149" t="s">
        <v>70</v>
      </c>
      <c r="S2149" t="str">
        <f>TEXT(Table1[[#This Row],[Date]],"MMM-YY")</f>
        <v>Dec-25</v>
      </c>
      <c r="T2149">
        <f>_xlfn.ISOWEEKNUM(Table1[[#This Row],[Date]])</f>
        <v>51</v>
      </c>
    </row>
    <row r="2150" spans="1:20" ht="18.75" hidden="1" customHeight="1">
      <c r="A2150" s="1">
        <v>46006</v>
      </c>
      <c r="B2150" s="67" t="s">
        <v>112</v>
      </c>
      <c r="C2150" t="s">
        <v>96</v>
      </c>
      <c r="D2150" t="s">
        <v>64</v>
      </c>
      <c r="E2150" t="s">
        <v>38</v>
      </c>
      <c r="F2150" t="s">
        <v>113</v>
      </c>
      <c r="G2150" s="69" t="s">
        <v>4252</v>
      </c>
      <c r="H2150">
        <v>7885</v>
      </c>
      <c r="I2150">
        <v>7885</v>
      </c>
      <c r="J2150" s="21">
        <v>45992</v>
      </c>
      <c r="K2150" t="s">
        <v>67</v>
      </c>
      <c r="L2150" t="s">
        <v>68</v>
      </c>
      <c r="M2150" t="s">
        <v>69</v>
      </c>
      <c r="O2150">
        <v>0</v>
      </c>
      <c r="P2150" t="s">
        <v>130</v>
      </c>
      <c r="S2150" t="str">
        <f>TEXT(Table1[[#This Row],[Date]],"MMM-YY")</f>
        <v>Dec-25</v>
      </c>
      <c r="T2150">
        <f>_xlfn.ISOWEEKNUM(Table1[[#This Row],[Date]])</f>
        <v>51</v>
      </c>
    </row>
    <row r="2151" spans="1:20" ht="19.5" hidden="1" customHeight="1">
      <c r="A2151" s="1">
        <v>46007</v>
      </c>
      <c r="B2151" s="67" t="s">
        <v>112</v>
      </c>
      <c r="C2151" t="s">
        <v>96</v>
      </c>
      <c r="D2151" t="s">
        <v>64</v>
      </c>
      <c r="E2151" t="s">
        <v>38</v>
      </c>
      <c r="F2151" t="s">
        <v>113</v>
      </c>
      <c r="G2151" s="69" t="s">
        <v>4253</v>
      </c>
      <c r="H2151">
        <v>8355</v>
      </c>
      <c r="I2151">
        <v>8355</v>
      </c>
      <c r="J2151" s="21">
        <v>45992</v>
      </c>
      <c r="K2151" t="s">
        <v>67</v>
      </c>
      <c r="L2151" t="s">
        <v>68</v>
      </c>
      <c r="M2151" t="s">
        <v>69</v>
      </c>
      <c r="O2151">
        <v>0</v>
      </c>
      <c r="P2151" t="s">
        <v>130</v>
      </c>
      <c r="S2151" t="str">
        <f>TEXT(Table1[[#This Row],[Date]],"MMM-YY")</f>
        <v>Dec-25</v>
      </c>
      <c r="T2151">
        <f>_xlfn.ISOWEEKNUM(Table1[[#This Row],[Date]])</f>
        <v>51</v>
      </c>
    </row>
    <row r="2152" spans="1:20" ht="17.25" hidden="1" customHeight="1">
      <c r="A2152" s="1">
        <v>46008</v>
      </c>
      <c r="B2152" s="67" t="s">
        <v>112</v>
      </c>
      <c r="C2152" t="s">
        <v>96</v>
      </c>
      <c r="D2152" t="s">
        <v>64</v>
      </c>
      <c r="E2152" t="s">
        <v>38</v>
      </c>
      <c r="F2152" t="s">
        <v>113</v>
      </c>
      <c r="G2152" s="69" t="s">
        <v>4254</v>
      </c>
      <c r="H2152">
        <v>8345</v>
      </c>
      <c r="I2152">
        <v>8345</v>
      </c>
      <c r="J2152" s="21">
        <v>45992</v>
      </c>
      <c r="K2152" t="s">
        <v>67</v>
      </c>
      <c r="L2152" t="s">
        <v>68</v>
      </c>
      <c r="M2152" t="s">
        <v>69</v>
      </c>
      <c r="O2152">
        <v>0</v>
      </c>
      <c r="P2152" t="s">
        <v>130</v>
      </c>
      <c r="S2152" t="str">
        <f>TEXT(Table1[[#This Row],[Date]],"MMM-YY")</f>
        <v>Dec-25</v>
      </c>
      <c r="T2152">
        <f>_xlfn.ISOWEEKNUM(Table1[[#This Row],[Date]])</f>
        <v>51</v>
      </c>
    </row>
    <row r="2153" spans="1:20" ht="17.25" hidden="1" customHeight="1">
      <c r="A2153" s="1">
        <v>46008</v>
      </c>
      <c r="B2153" t="s">
        <v>4133</v>
      </c>
      <c r="C2153" t="s">
        <v>96</v>
      </c>
      <c r="D2153" t="s">
        <v>105</v>
      </c>
      <c r="E2153" t="s">
        <v>18</v>
      </c>
      <c r="F2153" t="s">
        <v>120</v>
      </c>
      <c r="G2153" s="9" t="s">
        <v>4255</v>
      </c>
      <c r="H2153">
        <v>15500</v>
      </c>
      <c r="I2153">
        <v>15500</v>
      </c>
      <c r="J2153" s="21">
        <v>45992</v>
      </c>
      <c r="K2153" t="s">
        <v>67</v>
      </c>
      <c r="L2153" t="s">
        <v>68</v>
      </c>
      <c r="M2153" t="s">
        <v>69</v>
      </c>
      <c r="O2153">
        <v>0</v>
      </c>
      <c r="P2153" t="s">
        <v>4059</v>
      </c>
      <c r="S2153" t="str">
        <f>TEXT(Table1[[#This Row],[Date]],"MMM-YY")</f>
        <v>Dec-25</v>
      </c>
      <c r="T2153">
        <f>_xlfn.ISOWEEKNUM(Table1[[#This Row],[Date]])</f>
        <v>51</v>
      </c>
    </row>
    <row r="2154" spans="1:20" ht="17.25" hidden="1" customHeight="1">
      <c r="A2154" s="1">
        <v>46008</v>
      </c>
      <c r="B2154" t="s">
        <v>4187</v>
      </c>
      <c r="C2154" t="s">
        <v>63</v>
      </c>
      <c r="D2154" t="s">
        <v>64</v>
      </c>
      <c r="E2154" t="s">
        <v>38</v>
      </c>
      <c r="F2154" t="s">
        <v>4188</v>
      </c>
      <c r="G2154" s="9" t="s">
        <v>4256</v>
      </c>
      <c r="H2154">
        <v>53000</v>
      </c>
      <c r="I2154">
        <v>53000</v>
      </c>
      <c r="J2154" s="21">
        <v>45992</v>
      </c>
      <c r="K2154" t="s">
        <v>67</v>
      </c>
      <c r="L2154" t="s">
        <v>68</v>
      </c>
      <c r="M2154" t="s">
        <v>69</v>
      </c>
      <c r="O2154">
        <v>0</v>
      </c>
      <c r="P2154" t="s">
        <v>130</v>
      </c>
      <c r="S2154" t="str">
        <f>TEXT(Table1[[#This Row],[Date]],"MMM-YY")</f>
        <v>Dec-25</v>
      </c>
      <c r="T2154">
        <f>_xlfn.ISOWEEKNUM(Table1[[#This Row],[Date]])</f>
        <v>51</v>
      </c>
    </row>
    <row r="2155" spans="1:20" hidden="1">
      <c r="A2155" s="1">
        <v>46008</v>
      </c>
      <c r="B2155" t="s">
        <v>4257</v>
      </c>
      <c r="C2155" t="s">
        <v>63</v>
      </c>
      <c r="D2155" t="s">
        <v>36</v>
      </c>
      <c r="E2155" t="s">
        <v>15</v>
      </c>
      <c r="F2155" t="s">
        <v>4258</v>
      </c>
      <c r="G2155" s="9" t="s">
        <v>4259</v>
      </c>
      <c r="H2155">
        <v>0</v>
      </c>
      <c r="J2155" s="21">
        <v>45992</v>
      </c>
      <c r="K2155" t="s">
        <v>67</v>
      </c>
      <c r="L2155" t="s">
        <v>9</v>
      </c>
      <c r="M2155" t="s">
        <v>9</v>
      </c>
      <c r="O2155">
        <v>0</v>
      </c>
      <c r="P2155" t="s">
        <v>70</v>
      </c>
      <c r="S2155" t="str">
        <f>TEXT(Table1[[#This Row],[Date]],"MMM-YY")</f>
        <v>Dec-25</v>
      </c>
      <c r="T2155">
        <f>_xlfn.ISOWEEKNUM(Table1[[#This Row],[Date]])</f>
        <v>51</v>
      </c>
    </row>
    <row r="2156" spans="1:20" ht="18" hidden="1" customHeight="1">
      <c r="A2156" s="1">
        <v>46009</v>
      </c>
      <c r="B2156" s="67" t="s">
        <v>112</v>
      </c>
      <c r="C2156" t="s">
        <v>96</v>
      </c>
      <c r="D2156" t="s">
        <v>64</v>
      </c>
      <c r="E2156" t="s">
        <v>38</v>
      </c>
      <c r="F2156" t="s">
        <v>113</v>
      </c>
      <c r="G2156" s="69" t="s">
        <v>4260</v>
      </c>
      <c r="H2156">
        <v>13370</v>
      </c>
      <c r="I2156">
        <v>13370</v>
      </c>
      <c r="J2156" s="21">
        <v>45992</v>
      </c>
      <c r="K2156" t="s">
        <v>67</v>
      </c>
      <c r="L2156" t="s">
        <v>68</v>
      </c>
      <c r="M2156" t="s">
        <v>69</v>
      </c>
      <c r="O2156">
        <v>0</v>
      </c>
      <c r="P2156" t="s">
        <v>130</v>
      </c>
      <c r="S2156" t="str">
        <f>TEXT(Table1[[#This Row],[Date]],"MMM-YY")</f>
        <v>Dec-25</v>
      </c>
      <c r="T2156">
        <f>_xlfn.ISOWEEKNUM(Table1[[#This Row],[Date]])</f>
        <v>51</v>
      </c>
    </row>
    <row r="2157" spans="1:20" ht="18.75" hidden="1" customHeight="1">
      <c r="A2157" s="1">
        <v>46009</v>
      </c>
      <c r="B2157" t="s">
        <v>4245</v>
      </c>
      <c r="C2157" t="s">
        <v>63</v>
      </c>
      <c r="D2157" t="s">
        <v>36</v>
      </c>
      <c r="E2157" t="s">
        <v>15</v>
      </c>
      <c r="F2157" t="s">
        <v>4246</v>
      </c>
      <c r="G2157" s="9" t="s">
        <v>4261</v>
      </c>
      <c r="H2157">
        <v>0</v>
      </c>
      <c r="I2157">
        <v>0</v>
      </c>
      <c r="J2157" s="21">
        <v>45992</v>
      </c>
      <c r="K2157" t="s">
        <v>67</v>
      </c>
      <c r="L2157" t="s">
        <v>68</v>
      </c>
      <c r="M2157" t="s">
        <v>69</v>
      </c>
      <c r="O2157">
        <v>0</v>
      </c>
      <c r="P2157" t="s">
        <v>70</v>
      </c>
      <c r="S2157" t="str">
        <f>TEXT(Table1[[#This Row],[Date]],"MMM-YY")</f>
        <v>Dec-25</v>
      </c>
      <c r="T2157">
        <f>_xlfn.ISOWEEKNUM(Table1[[#This Row],[Date]])</f>
        <v>51</v>
      </c>
    </row>
    <row r="2158" spans="1:20" ht="15.75" customHeight="1">
      <c r="A2158" s="1">
        <v>46009</v>
      </c>
      <c r="B2158" s="67" t="s">
        <v>95</v>
      </c>
      <c r="C2158" t="s">
        <v>96</v>
      </c>
      <c r="D2158" t="s">
        <v>64</v>
      </c>
      <c r="E2158" t="s">
        <v>38</v>
      </c>
      <c r="F2158" t="s">
        <v>97</v>
      </c>
      <c r="G2158" s="69" t="s">
        <v>4262</v>
      </c>
      <c r="H2158">
        <v>51332</v>
      </c>
      <c r="I2158">
        <v>51332</v>
      </c>
      <c r="J2158" s="21">
        <v>45992</v>
      </c>
      <c r="K2158" t="s">
        <v>99</v>
      </c>
      <c r="L2158" t="s">
        <v>68</v>
      </c>
      <c r="M2158" t="s">
        <v>69</v>
      </c>
      <c r="O2158">
        <v>0</v>
      </c>
      <c r="P2158" t="s">
        <v>70</v>
      </c>
      <c r="S2158" t="str">
        <f>TEXT(Table1[[#This Row],[Date]],"MMM-YY")</f>
        <v>Dec-25</v>
      </c>
      <c r="T2158">
        <f>_xlfn.ISOWEEKNUM(Table1[[#This Row],[Date]])</f>
        <v>51</v>
      </c>
    </row>
    <row r="2159" spans="1:20" ht="20.25" hidden="1" customHeight="1">
      <c r="A2159" s="1">
        <v>46009</v>
      </c>
      <c r="B2159" t="s">
        <v>4187</v>
      </c>
      <c r="C2159" t="s">
        <v>63</v>
      </c>
      <c r="D2159" t="s">
        <v>64</v>
      </c>
      <c r="E2159" t="s">
        <v>38</v>
      </c>
      <c r="F2159" t="s">
        <v>4188</v>
      </c>
      <c r="G2159" s="9" t="s">
        <v>4263</v>
      </c>
      <c r="H2159">
        <v>70570</v>
      </c>
      <c r="I2159">
        <v>70570</v>
      </c>
      <c r="J2159" s="21">
        <v>45992</v>
      </c>
      <c r="K2159" t="s">
        <v>67</v>
      </c>
      <c r="L2159" t="s">
        <v>68</v>
      </c>
      <c r="M2159" t="s">
        <v>69</v>
      </c>
      <c r="O2159">
        <v>0</v>
      </c>
      <c r="P2159" t="s">
        <v>130</v>
      </c>
      <c r="S2159" t="str">
        <f>TEXT(Table1[[#This Row],[Date]],"MMM-YY")</f>
        <v>Dec-25</v>
      </c>
      <c r="T2159">
        <f>_xlfn.ISOWEEKNUM(Table1[[#This Row],[Date]])</f>
        <v>51</v>
      </c>
    </row>
    <row r="2160" spans="1:20" hidden="1">
      <c r="A2160" s="1">
        <v>46009</v>
      </c>
      <c r="B2160" t="s">
        <v>4049</v>
      </c>
      <c r="C2160" t="s">
        <v>63</v>
      </c>
      <c r="D2160" t="s">
        <v>36</v>
      </c>
      <c r="E2160" t="s">
        <v>15</v>
      </c>
      <c r="F2160" t="s">
        <v>2269</v>
      </c>
      <c r="G2160" s="9" t="s">
        <v>4264</v>
      </c>
      <c r="H2160">
        <v>0</v>
      </c>
      <c r="I2160">
        <v>0</v>
      </c>
      <c r="J2160" s="21">
        <v>45992</v>
      </c>
      <c r="K2160" t="s">
        <v>67</v>
      </c>
      <c r="L2160" t="s">
        <v>68</v>
      </c>
      <c r="M2160" t="s">
        <v>69</v>
      </c>
      <c r="O2160">
        <v>0</v>
      </c>
      <c r="P2160" t="s">
        <v>70</v>
      </c>
      <c r="S2160" t="str">
        <f>TEXT(Table1[[#This Row],[Date]],"MMM-YY")</f>
        <v>Dec-25</v>
      </c>
      <c r="T2160">
        <f>_xlfn.ISOWEEKNUM(Table1[[#This Row],[Date]])</f>
        <v>51</v>
      </c>
    </row>
    <row r="2161" spans="1:20" ht="29.1" hidden="1">
      <c r="A2161" s="1">
        <v>46010</v>
      </c>
      <c r="B2161" t="s">
        <v>4245</v>
      </c>
      <c r="C2161" t="s">
        <v>63</v>
      </c>
      <c r="D2161" t="s">
        <v>36</v>
      </c>
      <c r="E2161" t="s">
        <v>15</v>
      </c>
      <c r="F2161" t="s">
        <v>4246</v>
      </c>
      <c r="G2161" s="9" t="s">
        <v>4261</v>
      </c>
      <c r="H2161">
        <v>0</v>
      </c>
      <c r="I2161">
        <v>0</v>
      </c>
      <c r="J2161" s="21">
        <v>45992</v>
      </c>
      <c r="K2161" t="s">
        <v>67</v>
      </c>
      <c r="L2161" t="s">
        <v>68</v>
      </c>
      <c r="M2161" t="s">
        <v>69</v>
      </c>
      <c r="O2161">
        <v>0</v>
      </c>
      <c r="P2161" t="s">
        <v>70</v>
      </c>
      <c r="S2161" t="str">
        <f>TEXT(Table1[[#This Row],[Date]],"MMM-YY")</f>
        <v>Dec-25</v>
      </c>
      <c r="T2161">
        <f>_xlfn.ISOWEEKNUM(Table1[[#This Row],[Date]])</f>
        <v>51</v>
      </c>
    </row>
    <row r="2162" spans="1:20" ht="29.1" hidden="1">
      <c r="A2162" s="1">
        <v>46010</v>
      </c>
      <c r="B2162" t="s">
        <v>4265</v>
      </c>
      <c r="C2162" t="s">
        <v>63</v>
      </c>
      <c r="D2162" t="s">
        <v>64</v>
      </c>
      <c r="E2162" t="s">
        <v>38</v>
      </c>
      <c r="F2162" t="s">
        <v>4188</v>
      </c>
      <c r="G2162" s="9" t="s">
        <v>4266</v>
      </c>
      <c r="H2162">
        <v>27000</v>
      </c>
      <c r="I2162">
        <v>27000</v>
      </c>
      <c r="J2162" s="21">
        <v>45992</v>
      </c>
      <c r="K2162" t="s">
        <v>67</v>
      </c>
      <c r="L2162" t="s">
        <v>68</v>
      </c>
      <c r="M2162" t="s">
        <v>69</v>
      </c>
      <c r="O2162">
        <v>0</v>
      </c>
      <c r="P2162" t="s">
        <v>130</v>
      </c>
      <c r="S2162" t="str">
        <f>TEXT(Table1[[#This Row],[Date]],"MMM-YY")</f>
        <v>Dec-25</v>
      </c>
      <c r="T2162">
        <f>_xlfn.ISOWEEKNUM(Table1[[#This Row],[Date]])</f>
        <v>51</v>
      </c>
    </row>
    <row r="2163" spans="1:20" ht="18.75" hidden="1" customHeight="1">
      <c r="A2163" s="1">
        <v>46010</v>
      </c>
      <c r="B2163" s="67" t="s">
        <v>112</v>
      </c>
      <c r="C2163" t="s">
        <v>96</v>
      </c>
      <c r="D2163" t="s">
        <v>64</v>
      </c>
      <c r="E2163" t="s">
        <v>38</v>
      </c>
      <c r="F2163" t="s">
        <v>113</v>
      </c>
      <c r="G2163" s="69" t="s">
        <v>4267</v>
      </c>
      <c r="H2163">
        <v>10308</v>
      </c>
      <c r="I2163">
        <v>10308</v>
      </c>
      <c r="J2163" s="21">
        <v>45992</v>
      </c>
      <c r="K2163" t="s">
        <v>67</v>
      </c>
      <c r="L2163" t="s">
        <v>68</v>
      </c>
      <c r="M2163" t="s">
        <v>69</v>
      </c>
      <c r="O2163">
        <v>0</v>
      </c>
      <c r="P2163" t="s">
        <v>130</v>
      </c>
      <c r="S2163" t="str">
        <f>TEXT(Table1[[#This Row],[Date]],"MMM-YY")</f>
        <v>Dec-25</v>
      </c>
      <c r="T2163">
        <f>_xlfn.ISOWEEKNUM(Table1[[#This Row],[Date]])</f>
        <v>51</v>
      </c>
    </row>
    <row r="2164" spans="1:20" ht="18.75" hidden="1" customHeight="1">
      <c r="A2164" s="1">
        <v>46010</v>
      </c>
      <c r="B2164" t="s">
        <v>4133</v>
      </c>
      <c r="C2164" t="s">
        <v>96</v>
      </c>
      <c r="D2164" t="s">
        <v>105</v>
      </c>
      <c r="E2164" t="s">
        <v>18</v>
      </c>
      <c r="F2164" t="s">
        <v>120</v>
      </c>
      <c r="G2164" s="9" t="s">
        <v>4268</v>
      </c>
      <c r="H2164">
        <v>22000</v>
      </c>
      <c r="I2164">
        <v>22000</v>
      </c>
      <c r="J2164" s="21">
        <v>45992</v>
      </c>
      <c r="K2164" t="s">
        <v>67</v>
      </c>
      <c r="L2164" t="s">
        <v>68</v>
      </c>
      <c r="M2164" t="s">
        <v>69</v>
      </c>
      <c r="O2164">
        <v>0</v>
      </c>
      <c r="P2164" t="s">
        <v>4059</v>
      </c>
      <c r="S2164" t="str">
        <f>TEXT(Table1[[#This Row],[Date]],"MMM-YY")</f>
        <v>Dec-25</v>
      </c>
      <c r="T2164">
        <f>_xlfn.ISOWEEKNUM(Table1[[#This Row],[Date]])</f>
        <v>51</v>
      </c>
    </row>
    <row r="2165" spans="1:20" hidden="1">
      <c r="A2165" s="1">
        <v>46013</v>
      </c>
      <c r="B2165" t="s">
        <v>4269</v>
      </c>
      <c r="C2165" t="s">
        <v>63</v>
      </c>
      <c r="D2165" t="s">
        <v>36</v>
      </c>
      <c r="E2165" t="s">
        <v>15</v>
      </c>
      <c r="F2165" t="s">
        <v>1262</v>
      </c>
      <c r="G2165" s="9" t="s">
        <v>4270</v>
      </c>
      <c r="H2165">
        <v>0</v>
      </c>
      <c r="J2165" s="21">
        <v>45992</v>
      </c>
      <c r="K2165" t="s">
        <v>67</v>
      </c>
      <c r="L2165" t="s">
        <v>9</v>
      </c>
      <c r="M2165" t="s">
        <v>9</v>
      </c>
      <c r="O2165">
        <v>0</v>
      </c>
      <c r="P2165" t="s">
        <v>70</v>
      </c>
      <c r="S2165" t="str">
        <f>TEXT(Table1[[#This Row],[Date]],"MMM-YY")</f>
        <v>Dec-25</v>
      </c>
      <c r="T2165">
        <f>_xlfn.ISOWEEKNUM(Table1[[#This Row],[Date]])</f>
        <v>52</v>
      </c>
    </row>
    <row r="2166" spans="1:20" hidden="1">
      <c r="A2166" s="1">
        <v>46013</v>
      </c>
      <c r="B2166" t="s">
        <v>4271</v>
      </c>
      <c r="C2166" t="s">
        <v>63</v>
      </c>
      <c r="D2166" t="s">
        <v>64</v>
      </c>
      <c r="E2166" t="s">
        <v>15</v>
      </c>
      <c r="F2166" t="s">
        <v>233</v>
      </c>
      <c r="G2166" s="9" t="s">
        <v>4272</v>
      </c>
      <c r="H2166">
        <v>0</v>
      </c>
      <c r="I2166">
        <v>0</v>
      </c>
      <c r="J2166" s="21">
        <v>45992</v>
      </c>
      <c r="K2166" t="s">
        <v>67</v>
      </c>
      <c r="L2166" t="s">
        <v>68</v>
      </c>
      <c r="M2166" t="s">
        <v>69</v>
      </c>
      <c r="O2166">
        <v>0</v>
      </c>
      <c r="P2166" t="s">
        <v>4059</v>
      </c>
      <c r="S2166" t="str">
        <f>TEXT(Table1[[#This Row],[Date]],"MMM-YY")</f>
        <v>Dec-25</v>
      </c>
      <c r="T2166">
        <f>_xlfn.ISOWEEKNUM(Table1[[#This Row],[Date]])</f>
        <v>52</v>
      </c>
    </row>
    <row r="2167" spans="1:20" ht="29.1" hidden="1">
      <c r="A2167" s="1">
        <v>46014</v>
      </c>
      <c r="B2167" t="s">
        <v>4273</v>
      </c>
      <c r="C2167" t="s">
        <v>63</v>
      </c>
      <c r="D2167" t="s">
        <v>64</v>
      </c>
      <c r="E2167" t="s">
        <v>28</v>
      </c>
      <c r="F2167" t="s">
        <v>1415</v>
      </c>
      <c r="G2167" s="9" t="s">
        <v>4274</v>
      </c>
      <c r="H2167">
        <v>15000</v>
      </c>
      <c r="I2167">
        <v>15000</v>
      </c>
      <c r="J2167" s="21">
        <v>45992</v>
      </c>
      <c r="K2167" t="s">
        <v>67</v>
      </c>
      <c r="L2167" t="s">
        <v>68</v>
      </c>
      <c r="M2167" t="s">
        <v>69</v>
      </c>
      <c r="O2167">
        <v>0</v>
      </c>
      <c r="P2167" t="s">
        <v>70</v>
      </c>
      <c r="S2167" t="str">
        <f>TEXT(Table1[[#This Row],[Date]],"MMM-YY")</f>
        <v>Dec-25</v>
      </c>
      <c r="T2167">
        <f>_xlfn.ISOWEEKNUM(Table1[[#This Row],[Date]])</f>
        <v>52</v>
      </c>
    </row>
    <row r="2168" spans="1:20" hidden="1">
      <c r="A2168" s="1">
        <v>46014</v>
      </c>
      <c r="B2168" t="s">
        <v>4275</v>
      </c>
      <c r="C2168" t="s">
        <v>63</v>
      </c>
      <c r="D2168" t="s">
        <v>64</v>
      </c>
      <c r="E2168" t="s">
        <v>32</v>
      </c>
      <c r="F2168" t="s">
        <v>592</v>
      </c>
      <c r="G2168" s="9" t="s">
        <v>4276</v>
      </c>
      <c r="H2168">
        <v>50000</v>
      </c>
      <c r="J2168" s="21">
        <v>46023</v>
      </c>
      <c r="K2168" t="s">
        <v>67</v>
      </c>
      <c r="L2168" t="s">
        <v>9</v>
      </c>
      <c r="M2168" t="s">
        <v>9</v>
      </c>
      <c r="O2168">
        <v>0</v>
      </c>
      <c r="P2168" t="s">
        <v>70</v>
      </c>
      <c r="S2168" t="str">
        <f>TEXT(Table1[[#This Row],[Date]],"MMM-YY")</f>
        <v>Dec-25</v>
      </c>
      <c r="T2168">
        <f>_xlfn.ISOWEEKNUM(Table1[[#This Row],[Date]])</f>
        <v>52</v>
      </c>
    </row>
    <row r="2169" spans="1:20" hidden="1">
      <c r="A2169" s="1">
        <v>46014</v>
      </c>
      <c r="B2169" t="s">
        <v>624</v>
      </c>
      <c r="C2169" t="s">
        <v>63</v>
      </c>
      <c r="D2169" t="s">
        <v>64</v>
      </c>
      <c r="E2169" t="s">
        <v>32</v>
      </c>
      <c r="F2169" t="s">
        <v>625</v>
      </c>
      <c r="G2169" s="9" t="s">
        <v>4276</v>
      </c>
      <c r="H2169">
        <v>40000</v>
      </c>
      <c r="J2169" s="21">
        <v>46023</v>
      </c>
      <c r="K2169" t="s">
        <v>67</v>
      </c>
      <c r="L2169" t="s">
        <v>9</v>
      </c>
      <c r="M2169" t="s">
        <v>9</v>
      </c>
      <c r="O2169">
        <v>0</v>
      </c>
      <c r="P2169" t="s">
        <v>70</v>
      </c>
      <c r="S2169" t="str">
        <f>TEXT(Table1[[#This Row],[Date]],"MMM-YY")</f>
        <v>Dec-25</v>
      </c>
      <c r="T2169">
        <f>_xlfn.ISOWEEKNUM(Table1[[#This Row],[Date]])</f>
        <v>52</v>
      </c>
    </row>
    <row r="2170" spans="1:20" hidden="1">
      <c r="A2170" s="1">
        <v>46014</v>
      </c>
      <c r="B2170" t="s">
        <v>4277</v>
      </c>
      <c r="C2170" t="s">
        <v>63</v>
      </c>
      <c r="D2170" t="s">
        <v>64</v>
      </c>
      <c r="E2170" t="s">
        <v>32</v>
      </c>
      <c r="F2170" t="s">
        <v>2728</v>
      </c>
      <c r="G2170" s="9" t="s">
        <v>4276</v>
      </c>
      <c r="H2170">
        <v>100000</v>
      </c>
      <c r="J2170" s="21">
        <v>46023</v>
      </c>
      <c r="K2170" t="s">
        <v>67</v>
      </c>
      <c r="L2170" t="s">
        <v>9</v>
      </c>
      <c r="M2170" t="s">
        <v>9</v>
      </c>
      <c r="O2170">
        <v>0</v>
      </c>
      <c r="P2170" t="s">
        <v>70</v>
      </c>
      <c r="S2170" t="str">
        <f>TEXT(Table1[[#This Row],[Date]],"MMM-YY")</f>
        <v>Dec-25</v>
      </c>
      <c r="T2170">
        <f>_xlfn.ISOWEEKNUM(Table1[[#This Row],[Date]])</f>
        <v>52</v>
      </c>
    </row>
    <row r="2171" spans="1:20" hidden="1">
      <c r="A2171" s="1">
        <v>46014</v>
      </c>
      <c r="B2171" t="s">
        <v>4278</v>
      </c>
      <c r="C2171" t="s">
        <v>96</v>
      </c>
      <c r="D2171" t="s">
        <v>64</v>
      </c>
      <c r="E2171" t="s">
        <v>25</v>
      </c>
      <c r="F2171" t="s">
        <v>1600</v>
      </c>
      <c r="G2171" s="9" t="s">
        <v>4279</v>
      </c>
      <c r="H2171">
        <v>9455</v>
      </c>
      <c r="I2171">
        <v>9455</v>
      </c>
      <c r="J2171" s="21">
        <v>45992</v>
      </c>
      <c r="K2171" t="s">
        <v>67</v>
      </c>
      <c r="L2171" t="s">
        <v>68</v>
      </c>
      <c r="M2171" t="s">
        <v>69</v>
      </c>
      <c r="O2171">
        <v>0</v>
      </c>
      <c r="P2171" t="s">
        <v>70</v>
      </c>
      <c r="S2171" t="str">
        <f>TEXT(Table1[[#This Row],[Date]],"MMM-YY")</f>
        <v>Dec-25</v>
      </c>
      <c r="T2171">
        <f>_xlfn.ISOWEEKNUM(Table1[[#This Row],[Date]])</f>
        <v>52</v>
      </c>
    </row>
    <row r="2172" spans="1:20" hidden="1">
      <c r="A2172" s="1">
        <v>46014</v>
      </c>
      <c r="B2172" t="s">
        <v>3128</v>
      </c>
      <c r="C2172" t="s">
        <v>96</v>
      </c>
      <c r="D2172" t="s">
        <v>36</v>
      </c>
      <c r="E2172" t="s">
        <v>15</v>
      </c>
      <c r="F2172" t="s">
        <v>820</v>
      </c>
      <c r="G2172" s="9" t="s">
        <v>4280</v>
      </c>
      <c r="H2172">
        <v>600000</v>
      </c>
      <c r="I2172">
        <v>600000</v>
      </c>
      <c r="J2172" s="21">
        <v>45992</v>
      </c>
      <c r="K2172" t="s">
        <v>67</v>
      </c>
      <c r="L2172" t="s">
        <v>68</v>
      </c>
      <c r="M2172" t="s">
        <v>69</v>
      </c>
      <c r="O2172">
        <v>0</v>
      </c>
      <c r="P2172" t="s">
        <v>70</v>
      </c>
      <c r="S2172" t="str">
        <f>TEXT(Table1[[#This Row],[Date]],"MMM-YY")</f>
        <v>Dec-25</v>
      </c>
      <c r="T2172">
        <f>_xlfn.ISOWEEKNUM(Table1[[#This Row],[Date]])</f>
        <v>52</v>
      </c>
    </row>
    <row r="2173" spans="1:20" ht="18" customHeight="1">
      <c r="A2173" s="1">
        <v>46015</v>
      </c>
      <c r="B2173" s="67" t="s">
        <v>95</v>
      </c>
      <c r="C2173" t="s">
        <v>96</v>
      </c>
      <c r="D2173" t="s">
        <v>64</v>
      </c>
      <c r="E2173" t="s">
        <v>38</v>
      </c>
      <c r="F2173" t="s">
        <v>97</v>
      </c>
      <c r="G2173" s="69" t="s">
        <v>4281</v>
      </c>
      <c r="H2173">
        <v>30250</v>
      </c>
      <c r="I2173">
        <v>30250</v>
      </c>
      <c r="J2173" s="21">
        <v>45992</v>
      </c>
      <c r="K2173" t="s">
        <v>99</v>
      </c>
      <c r="L2173" t="s">
        <v>68</v>
      </c>
      <c r="M2173" t="s">
        <v>69</v>
      </c>
      <c r="O2173">
        <v>0</v>
      </c>
      <c r="P2173" t="s">
        <v>70</v>
      </c>
      <c r="S2173" t="str">
        <f>TEXT(Table1[[#This Row],[Date]],"MMM-YY")</f>
        <v>Dec-25</v>
      </c>
      <c r="T2173">
        <f>_xlfn.ISOWEEKNUM(Table1[[#This Row],[Date]])</f>
        <v>52</v>
      </c>
    </row>
    <row r="2174" spans="1:20" ht="19.5" hidden="1" customHeight="1">
      <c r="A2174" s="1">
        <v>46015</v>
      </c>
      <c r="B2174" t="s">
        <v>4245</v>
      </c>
      <c r="C2174" t="s">
        <v>63</v>
      </c>
      <c r="D2174" t="s">
        <v>36</v>
      </c>
      <c r="E2174" t="s">
        <v>15</v>
      </c>
      <c r="F2174" t="s">
        <v>4246</v>
      </c>
      <c r="G2174" s="9" t="s">
        <v>4282</v>
      </c>
      <c r="H2174">
        <v>186200</v>
      </c>
      <c r="I2174">
        <v>186200</v>
      </c>
      <c r="J2174" s="21">
        <v>45992</v>
      </c>
      <c r="K2174" t="s">
        <v>67</v>
      </c>
      <c r="L2174" t="s">
        <v>68</v>
      </c>
      <c r="M2174" t="s">
        <v>69</v>
      </c>
      <c r="O2174">
        <v>0</v>
      </c>
      <c r="P2174" t="s">
        <v>70</v>
      </c>
      <c r="S2174" t="str">
        <f>TEXT(Table1[[#This Row],[Date]],"MMM-YY")</f>
        <v>Dec-25</v>
      </c>
      <c r="T2174">
        <f>_xlfn.ISOWEEKNUM(Table1[[#This Row],[Date]])</f>
        <v>52</v>
      </c>
    </row>
    <row r="2175" spans="1:20" ht="18" hidden="1" customHeight="1">
      <c r="A2175" s="1">
        <v>46015</v>
      </c>
      <c r="B2175" t="s">
        <v>4049</v>
      </c>
      <c r="C2175" t="s">
        <v>63</v>
      </c>
      <c r="D2175" t="s">
        <v>36</v>
      </c>
      <c r="E2175" t="s">
        <v>15</v>
      </c>
      <c r="F2175" t="s">
        <v>2269</v>
      </c>
      <c r="G2175" s="9" t="s">
        <v>4283</v>
      </c>
      <c r="H2175">
        <v>107500</v>
      </c>
      <c r="I2175">
        <v>107500</v>
      </c>
      <c r="J2175" s="21">
        <v>45992</v>
      </c>
      <c r="K2175" t="s">
        <v>67</v>
      </c>
      <c r="L2175" t="s">
        <v>68</v>
      </c>
      <c r="M2175" t="s">
        <v>69</v>
      </c>
      <c r="O2175">
        <v>0</v>
      </c>
      <c r="P2175" t="s">
        <v>70</v>
      </c>
      <c r="S2175" t="str">
        <f>TEXT(Table1[[#This Row],[Date]],"MMM-YY")</f>
        <v>Dec-25</v>
      </c>
      <c r="T2175">
        <f>_xlfn.ISOWEEKNUM(Table1[[#This Row],[Date]])</f>
        <v>52</v>
      </c>
    </row>
    <row r="2176" spans="1:20" ht="16.5" hidden="1" customHeight="1">
      <c r="A2176" s="1">
        <v>46016</v>
      </c>
      <c r="B2176" t="s">
        <v>3128</v>
      </c>
      <c r="C2176" t="s">
        <v>63</v>
      </c>
      <c r="D2176" t="s">
        <v>4064</v>
      </c>
      <c r="E2176" t="s">
        <v>15</v>
      </c>
      <c r="F2176" t="s">
        <v>820</v>
      </c>
      <c r="G2176" s="9" t="s">
        <v>4284</v>
      </c>
      <c r="H2176">
        <v>0</v>
      </c>
      <c r="I2176">
        <v>0</v>
      </c>
      <c r="J2176" s="21">
        <v>45992</v>
      </c>
      <c r="K2176" t="s">
        <v>67</v>
      </c>
      <c r="L2176" t="s">
        <v>68</v>
      </c>
      <c r="M2176" t="s">
        <v>69</v>
      </c>
      <c r="O2176">
        <v>0</v>
      </c>
      <c r="P2176" t="s">
        <v>70</v>
      </c>
      <c r="S2176" t="str">
        <f>TEXT(Table1[[#This Row],[Date]],"MMM-YY")</f>
        <v>Dec-25</v>
      </c>
      <c r="T2176">
        <f>_xlfn.ISOWEEKNUM(Table1[[#This Row],[Date]])</f>
        <v>52</v>
      </c>
    </row>
    <row r="2177" spans="1:20" hidden="1">
      <c r="A2177" s="1">
        <v>46016</v>
      </c>
      <c r="B2177" t="s">
        <v>4271</v>
      </c>
      <c r="C2177" t="s">
        <v>63</v>
      </c>
      <c r="D2177" t="s">
        <v>64</v>
      </c>
      <c r="E2177" t="s">
        <v>4285</v>
      </c>
      <c r="F2177" t="s">
        <v>1978</v>
      </c>
      <c r="G2177" s="9" t="s">
        <v>4286</v>
      </c>
      <c r="H2177">
        <v>20610</v>
      </c>
      <c r="I2177">
        <v>20610</v>
      </c>
      <c r="J2177" s="21">
        <v>45992</v>
      </c>
      <c r="K2177" t="s">
        <v>67</v>
      </c>
      <c r="L2177" t="s">
        <v>68</v>
      </c>
      <c r="M2177" t="s">
        <v>69</v>
      </c>
      <c r="O2177">
        <v>0</v>
      </c>
      <c r="P2177" t="s">
        <v>4059</v>
      </c>
      <c r="S2177" t="str">
        <f>TEXT(Table1[[#This Row],[Date]],"MMM-YY")</f>
        <v>Dec-25</v>
      </c>
      <c r="T2177">
        <f>_xlfn.ISOWEEKNUM(Table1[[#This Row],[Date]])</f>
        <v>52</v>
      </c>
    </row>
    <row r="2178" spans="1:20" hidden="1">
      <c r="A2178" s="1">
        <v>46017</v>
      </c>
      <c r="B2178" t="s">
        <v>88</v>
      </c>
      <c r="C2178" t="s">
        <v>63</v>
      </c>
      <c r="D2178" t="s">
        <v>64</v>
      </c>
      <c r="E2178" t="s">
        <v>28</v>
      </c>
      <c r="F2178" t="s">
        <v>89</v>
      </c>
      <c r="G2178" s="9" t="s">
        <v>4287</v>
      </c>
      <c r="H2178">
        <v>15000</v>
      </c>
      <c r="I2178">
        <v>15000</v>
      </c>
      <c r="J2178" s="21">
        <v>45992</v>
      </c>
      <c r="K2178" t="s">
        <v>67</v>
      </c>
      <c r="L2178" t="s">
        <v>68</v>
      </c>
      <c r="M2178" t="s">
        <v>69</v>
      </c>
      <c r="O2178">
        <v>0</v>
      </c>
      <c r="P2178" t="s">
        <v>108</v>
      </c>
      <c r="S2178" t="str">
        <f>TEXT(Table1[[#This Row],[Date]],"MMM-YY")</f>
        <v>Dec-25</v>
      </c>
      <c r="T2178">
        <f>_xlfn.ISOWEEKNUM(Table1[[#This Row],[Date]])</f>
        <v>52</v>
      </c>
    </row>
    <row r="2179" spans="1:20" hidden="1">
      <c r="A2179" s="1">
        <v>46017</v>
      </c>
      <c r="B2179" t="s">
        <v>4288</v>
      </c>
      <c r="C2179" t="s">
        <v>63</v>
      </c>
      <c r="D2179" t="s">
        <v>64</v>
      </c>
      <c r="E2179" t="s">
        <v>4285</v>
      </c>
      <c r="F2179" t="s">
        <v>3170</v>
      </c>
      <c r="G2179" s="9" t="s">
        <v>4289</v>
      </c>
      <c r="H2179">
        <v>30000</v>
      </c>
      <c r="I2179">
        <v>0</v>
      </c>
      <c r="J2179" s="21">
        <v>45992</v>
      </c>
      <c r="K2179" t="s">
        <v>67</v>
      </c>
      <c r="L2179" t="s">
        <v>9</v>
      </c>
      <c r="M2179" t="s">
        <v>9</v>
      </c>
      <c r="N2179" t="s">
        <v>1436</v>
      </c>
      <c r="O2179">
        <v>0</v>
      </c>
      <c r="P2179" t="s">
        <v>4059</v>
      </c>
      <c r="S2179" t="str">
        <f>TEXT(Table1[[#This Row],[Date]],"MMM-YY")</f>
        <v>Dec-25</v>
      </c>
      <c r="T2179">
        <f>_xlfn.ISOWEEKNUM(Table1[[#This Row],[Date]])</f>
        <v>52</v>
      </c>
    </row>
    <row r="2180" spans="1:20" hidden="1">
      <c r="A2180" s="1">
        <v>46019</v>
      </c>
      <c r="B2180" t="s">
        <v>4290</v>
      </c>
      <c r="C2180" t="s">
        <v>63</v>
      </c>
      <c r="D2180" t="s">
        <v>64</v>
      </c>
      <c r="E2180" t="s">
        <v>4285</v>
      </c>
      <c r="F2180" t="s">
        <v>1360</v>
      </c>
      <c r="G2180" s="9" t="s">
        <v>4289</v>
      </c>
      <c r="H2180">
        <v>20000</v>
      </c>
      <c r="I2180">
        <v>0</v>
      </c>
      <c r="J2180" s="21">
        <v>45992</v>
      </c>
      <c r="K2180" t="s">
        <v>67</v>
      </c>
      <c r="L2180" t="s">
        <v>9</v>
      </c>
      <c r="M2180" t="s">
        <v>9</v>
      </c>
      <c r="N2180" t="s">
        <v>1436</v>
      </c>
      <c r="O2180">
        <v>0</v>
      </c>
      <c r="P2180" t="s">
        <v>4059</v>
      </c>
      <c r="S2180" t="str">
        <f>TEXT(Table1[[#This Row],[Date]],"MMM-YY")</f>
        <v>Dec-25</v>
      </c>
      <c r="T2180">
        <f>_xlfn.ISOWEEKNUM(Table1[[#This Row],[Date]])</f>
        <v>52</v>
      </c>
    </row>
    <row r="2181" spans="1:20" hidden="1">
      <c r="A2181" s="1">
        <v>46019</v>
      </c>
      <c r="B2181" t="s">
        <v>4291</v>
      </c>
      <c r="C2181" t="s">
        <v>96</v>
      </c>
      <c r="D2181" t="s">
        <v>64</v>
      </c>
      <c r="E2181" t="s">
        <v>4285</v>
      </c>
      <c r="F2181" t="s">
        <v>1360</v>
      </c>
      <c r="G2181" s="9" t="s">
        <v>4289</v>
      </c>
      <c r="H2181">
        <v>12800</v>
      </c>
      <c r="I2181">
        <v>12800</v>
      </c>
      <c r="J2181" s="21">
        <v>45992</v>
      </c>
      <c r="K2181" t="s">
        <v>67</v>
      </c>
      <c r="L2181" t="s">
        <v>68</v>
      </c>
      <c r="M2181" t="s">
        <v>69</v>
      </c>
      <c r="O2181">
        <v>0</v>
      </c>
      <c r="P2181" t="s">
        <v>4059</v>
      </c>
      <c r="S2181" t="str">
        <f>TEXT(Table1[[#This Row],[Date]],"MMM-YY")</f>
        <v>Dec-25</v>
      </c>
      <c r="T2181">
        <f>_xlfn.ISOWEEKNUM(Table1[[#This Row],[Date]])</f>
        <v>52</v>
      </c>
    </row>
    <row r="2182" spans="1:20" hidden="1">
      <c r="A2182" s="1">
        <v>46022</v>
      </c>
      <c r="B2182" t="s">
        <v>4245</v>
      </c>
      <c r="C2182" t="s">
        <v>63</v>
      </c>
      <c r="D2182" t="s">
        <v>36</v>
      </c>
      <c r="E2182" t="s">
        <v>15</v>
      </c>
      <c r="F2182" t="s">
        <v>4246</v>
      </c>
      <c r="G2182" s="9" t="s">
        <v>4292</v>
      </c>
      <c r="H2182">
        <v>106875</v>
      </c>
      <c r="I2182">
        <v>106875</v>
      </c>
      <c r="J2182" s="21">
        <v>45992</v>
      </c>
      <c r="K2182" t="s">
        <v>67</v>
      </c>
      <c r="L2182" t="s">
        <v>68</v>
      </c>
      <c r="M2182" t="s">
        <v>69</v>
      </c>
      <c r="O2182">
        <v>0</v>
      </c>
      <c r="P2182" t="s">
        <v>70</v>
      </c>
      <c r="S2182" t="str">
        <f>TEXT(Table1[[#This Row],[Date]],"MMM-YY")</f>
        <v>Dec-25</v>
      </c>
      <c r="T2182">
        <f>_xlfn.ISOWEEKNUM(Table1[[#This Row],[Date]])</f>
        <v>1</v>
      </c>
    </row>
    <row r="2183" spans="1:20" ht="16.5" hidden="1" customHeight="1">
      <c r="A2183" s="1">
        <v>46022</v>
      </c>
      <c r="B2183" t="s">
        <v>4049</v>
      </c>
      <c r="C2183" t="s">
        <v>63</v>
      </c>
      <c r="D2183" t="s">
        <v>36</v>
      </c>
      <c r="E2183" t="s">
        <v>15</v>
      </c>
      <c r="F2183" t="s">
        <v>2269</v>
      </c>
      <c r="G2183" s="9" t="s">
        <v>4293</v>
      </c>
      <c r="H2183">
        <v>107500</v>
      </c>
      <c r="I2183">
        <v>107500</v>
      </c>
      <c r="J2183" s="21">
        <v>45992</v>
      </c>
      <c r="K2183" t="s">
        <v>67</v>
      </c>
      <c r="L2183" t="s">
        <v>68</v>
      </c>
      <c r="M2183" t="s">
        <v>69</v>
      </c>
      <c r="O2183">
        <v>0</v>
      </c>
      <c r="P2183" t="s">
        <v>70</v>
      </c>
      <c r="S2183" t="str">
        <f>TEXT(Table1[[#This Row],[Date]],"MMM-YY")</f>
        <v>Dec-25</v>
      </c>
      <c r="T2183">
        <f>_xlfn.ISOWEEKNUM(Table1[[#This Row],[Date]])</f>
        <v>1</v>
      </c>
    </row>
    <row r="2184" spans="1:20" hidden="1">
      <c r="A2184" s="1">
        <v>46022</v>
      </c>
      <c r="B2184" t="s">
        <v>456</v>
      </c>
      <c r="C2184" t="s">
        <v>63</v>
      </c>
      <c r="D2184" t="s">
        <v>20</v>
      </c>
      <c r="E2184" t="s">
        <v>4285</v>
      </c>
      <c r="F2184" t="s">
        <v>2390</v>
      </c>
      <c r="G2184" s="9" t="s">
        <v>4294</v>
      </c>
      <c r="H2184">
        <v>5700</v>
      </c>
      <c r="I2184">
        <v>5700</v>
      </c>
      <c r="J2184" s="21">
        <v>45992</v>
      </c>
      <c r="K2184" t="s">
        <v>67</v>
      </c>
      <c r="L2184" t="s">
        <v>68</v>
      </c>
      <c r="M2184" t="s">
        <v>69</v>
      </c>
      <c r="O2184">
        <v>0</v>
      </c>
      <c r="P2184" t="s">
        <v>70</v>
      </c>
      <c r="S2184" t="str">
        <f>TEXT(Table1[[#This Row],[Date]],"MMM-YY")</f>
        <v>Dec-25</v>
      </c>
      <c r="T2184">
        <f>_xlfn.ISOWEEKNUM(Table1[[#This Row],[Date]])</f>
        <v>1</v>
      </c>
    </row>
    <row r="2185" spans="1:20" ht="16.5" customHeight="1">
      <c r="A2185" s="1">
        <v>46022</v>
      </c>
      <c r="B2185" s="67" t="s">
        <v>95</v>
      </c>
      <c r="C2185" t="s">
        <v>96</v>
      </c>
      <c r="D2185" t="s">
        <v>64</v>
      </c>
      <c r="E2185" t="s">
        <v>38</v>
      </c>
      <c r="F2185" t="s">
        <v>97</v>
      </c>
      <c r="G2185" s="69" t="s">
        <v>4295</v>
      </c>
      <c r="H2185">
        <v>12833</v>
      </c>
      <c r="I2185">
        <v>12833</v>
      </c>
      <c r="J2185" s="21">
        <v>45992</v>
      </c>
      <c r="K2185" t="s">
        <v>99</v>
      </c>
      <c r="L2185" t="s">
        <v>68</v>
      </c>
      <c r="M2185" t="s">
        <v>69</v>
      </c>
      <c r="O2185">
        <v>0</v>
      </c>
      <c r="P2185" t="s">
        <v>70</v>
      </c>
      <c r="S2185" t="str">
        <f>TEXT(Table1[[#This Row],[Date]],"MMM-YY")</f>
        <v>Dec-25</v>
      </c>
      <c r="T2185">
        <f>_xlfn.ISOWEEKNUM(Table1[[#This Row],[Date]])</f>
        <v>1</v>
      </c>
    </row>
    <row r="2186" spans="1:20" hidden="1">
      <c r="A2186" s="1">
        <v>46024</v>
      </c>
      <c r="B2186" t="s">
        <v>4296</v>
      </c>
      <c r="C2186" t="s">
        <v>63</v>
      </c>
      <c r="D2186" t="s">
        <v>64</v>
      </c>
      <c r="E2186" t="s">
        <v>230</v>
      </c>
      <c r="F2186" t="s">
        <v>169</v>
      </c>
      <c r="G2186" s="9" t="s">
        <v>4297</v>
      </c>
      <c r="H2186">
        <v>32200</v>
      </c>
      <c r="I2186">
        <v>32200</v>
      </c>
      <c r="J2186" s="21">
        <v>46023</v>
      </c>
      <c r="K2186" t="s">
        <v>67</v>
      </c>
      <c r="L2186" t="s">
        <v>68</v>
      </c>
      <c r="M2186" t="s">
        <v>69</v>
      </c>
      <c r="O2186">
        <v>0</v>
      </c>
      <c r="P2186" t="s">
        <v>4059</v>
      </c>
      <c r="S2186" t="str">
        <f>TEXT(Table1[[#This Row],[Date]],"MMM-YY")</f>
        <v>Jan-26</v>
      </c>
      <c r="T2186">
        <f>_xlfn.ISOWEEKNUM(Table1[[#This Row],[Date]])</f>
        <v>1</v>
      </c>
    </row>
    <row r="2187" spans="1:20" hidden="1">
      <c r="A2187" s="1">
        <v>46024</v>
      </c>
      <c r="B2187" t="s">
        <v>223</v>
      </c>
      <c r="C2187" t="s">
        <v>63</v>
      </c>
      <c r="D2187" t="s">
        <v>64</v>
      </c>
      <c r="E2187" t="s">
        <v>26</v>
      </c>
      <c r="F2187" t="s">
        <v>415</v>
      </c>
      <c r="G2187" s="9" t="s">
        <v>4298</v>
      </c>
      <c r="H2187">
        <v>88800</v>
      </c>
      <c r="I2187">
        <v>88800</v>
      </c>
      <c r="J2187" s="21">
        <v>46023</v>
      </c>
      <c r="K2187" t="s">
        <v>67</v>
      </c>
      <c r="L2187" t="s">
        <v>68</v>
      </c>
      <c r="M2187" t="s">
        <v>69</v>
      </c>
      <c r="O2187">
        <v>0</v>
      </c>
      <c r="P2187" t="s">
        <v>70</v>
      </c>
      <c r="S2187" t="str">
        <f>TEXT(Table1[[#This Row],[Date]],"MMM-YY")</f>
        <v>Jan-26</v>
      </c>
      <c r="T2187">
        <f>_xlfn.ISOWEEKNUM(Table1[[#This Row],[Date]])</f>
        <v>1</v>
      </c>
    </row>
    <row r="2188" spans="1:20" hidden="1">
      <c r="A2188" s="1">
        <v>46025</v>
      </c>
      <c r="B2188" t="s">
        <v>132</v>
      </c>
      <c r="C2188" t="s">
        <v>96</v>
      </c>
      <c r="D2188" t="s">
        <v>20</v>
      </c>
      <c r="E2188" t="s">
        <v>23</v>
      </c>
      <c r="F2188" t="s">
        <v>770</v>
      </c>
      <c r="G2188" s="9" t="s">
        <v>4299</v>
      </c>
      <c r="H2188">
        <v>12500</v>
      </c>
      <c r="I2188">
        <v>12500</v>
      </c>
      <c r="J2188" s="21">
        <v>46023</v>
      </c>
      <c r="K2188" t="s">
        <v>67</v>
      </c>
      <c r="L2188" t="s">
        <v>68</v>
      </c>
      <c r="M2188" t="s">
        <v>69</v>
      </c>
      <c r="O2188">
        <v>0</v>
      </c>
      <c r="P2188" t="s">
        <v>70</v>
      </c>
      <c r="S2188" t="str">
        <f>TEXT(Table1[[#This Row],[Date]],"MMM-YY")</f>
        <v>Jan-26</v>
      </c>
      <c r="T2188">
        <f>_xlfn.ISOWEEKNUM(Table1[[#This Row],[Date]])</f>
        <v>1</v>
      </c>
    </row>
    <row r="2189" spans="1:20" hidden="1">
      <c r="A2189" s="1">
        <v>46027</v>
      </c>
      <c r="B2189" t="s">
        <v>4300</v>
      </c>
      <c r="C2189" t="s">
        <v>63</v>
      </c>
      <c r="D2189" t="s">
        <v>64</v>
      </c>
      <c r="E2189" t="s">
        <v>32</v>
      </c>
      <c r="F2189" t="s">
        <v>4301</v>
      </c>
      <c r="G2189" s="9" t="s">
        <v>4302</v>
      </c>
      <c r="H2189">
        <v>35000</v>
      </c>
      <c r="J2189" s="21">
        <v>46113</v>
      </c>
      <c r="K2189" t="s">
        <v>67</v>
      </c>
      <c r="L2189" t="s">
        <v>568</v>
      </c>
      <c r="M2189" t="s">
        <v>2878</v>
      </c>
      <c r="O2189">
        <v>0</v>
      </c>
      <c r="P2189" t="s">
        <v>70</v>
      </c>
      <c r="S2189" t="str">
        <f>TEXT(Table1[[#This Row],[Date]],"MMM-YY")</f>
        <v>Jan-26</v>
      </c>
      <c r="T2189">
        <f>_xlfn.ISOWEEKNUM(Table1[[#This Row],[Date]])</f>
        <v>2</v>
      </c>
    </row>
    <row r="2190" spans="1:20" ht="29.1" hidden="1">
      <c r="A2190" s="1">
        <v>46027</v>
      </c>
      <c r="B2190" t="s">
        <v>309</v>
      </c>
      <c r="C2190" t="s">
        <v>63</v>
      </c>
      <c r="D2190" t="s">
        <v>64</v>
      </c>
      <c r="E2190" t="s">
        <v>28</v>
      </c>
      <c r="F2190" t="s">
        <v>310</v>
      </c>
      <c r="G2190" s="9" t="s">
        <v>4303</v>
      </c>
      <c r="H2190">
        <v>0</v>
      </c>
      <c r="I2190">
        <v>0</v>
      </c>
      <c r="J2190" s="21">
        <v>46023</v>
      </c>
      <c r="K2190" t="s">
        <v>67</v>
      </c>
      <c r="L2190" t="s">
        <v>68</v>
      </c>
      <c r="M2190" t="s">
        <v>69</v>
      </c>
      <c r="O2190">
        <v>0</v>
      </c>
      <c r="P2190" t="s">
        <v>70</v>
      </c>
      <c r="S2190" t="str">
        <f>TEXT(Table1[[#This Row],[Date]],"MMM-YY")</f>
        <v>Jan-26</v>
      </c>
      <c r="T2190">
        <f>_xlfn.ISOWEEKNUM(Table1[[#This Row],[Date]])</f>
        <v>2</v>
      </c>
    </row>
    <row r="2191" spans="1:20" ht="29.1" hidden="1">
      <c r="A2191" s="1">
        <v>46027</v>
      </c>
      <c r="B2191" t="s">
        <v>4304</v>
      </c>
      <c r="C2191" t="s">
        <v>96</v>
      </c>
      <c r="D2191" t="s">
        <v>64</v>
      </c>
      <c r="E2191" t="s">
        <v>37</v>
      </c>
      <c r="F2191" t="s">
        <v>4305</v>
      </c>
      <c r="G2191" s="9" t="s">
        <v>4306</v>
      </c>
      <c r="H2191">
        <v>0</v>
      </c>
      <c r="I2191">
        <v>0</v>
      </c>
      <c r="J2191" s="21">
        <v>46054</v>
      </c>
      <c r="K2191" t="s">
        <v>67</v>
      </c>
      <c r="L2191" t="s">
        <v>68</v>
      </c>
      <c r="M2191" t="s">
        <v>69</v>
      </c>
      <c r="O2191">
        <v>0</v>
      </c>
      <c r="P2191" t="s">
        <v>70</v>
      </c>
      <c r="S2191" t="str">
        <f>TEXT(Table1[[#This Row],[Date]],"MMM-YY")</f>
        <v>Jan-26</v>
      </c>
      <c r="T2191">
        <f>_xlfn.ISOWEEKNUM(Table1[[#This Row],[Date]])</f>
        <v>2</v>
      </c>
    </row>
    <row r="2192" spans="1:20" hidden="1">
      <c r="A2192" s="1">
        <v>46028</v>
      </c>
      <c r="B2192" t="s">
        <v>4307</v>
      </c>
      <c r="C2192" t="s">
        <v>63</v>
      </c>
      <c r="D2192" t="s">
        <v>64</v>
      </c>
      <c r="E2192" t="s">
        <v>32</v>
      </c>
      <c r="F2192" t="s">
        <v>4308</v>
      </c>
      <c r="G2192" s="9" t="s">
        <v>4309</v>
      </c>
      <c r="H2192">
        <v>0</v>
      </c>
      <c r="I2192">
        <v>0</v>
      </c>
      <c r="J2192" s="21">
        <v>46023</v>
      </c>
      <c r="K2192" t="s">
        <v>67</v>
      </c>
      <c r="L2192" t="s">
        <v>68</v>
      </c>
      <c r="M2192" t="s">
        <v>69</v>
      </c>
      <c r="O2192">
        <v>0</v>
      </c>
      <c r="P2192" t="s">
        <v>4059</v>
      </c>
      <c r="S2192" t="str">
        <f>TEXT(Table1[[#This Row],[Date]],"MMM-YY")</f>
        <v>Jan-26</v>
      </c>
      <c r="T2192">
        <f>_xlfn.ISOWEEKNUM(Table1[[#This Row],[Date]])</f>
        <v>2</v>
      </c>
    </row>
    <row r="2193" spans="1:20" hidden="1">
      <c r="A2193" s="1">
        <v>46028</v>
      </c>
      <c r="B2193" t="s">
        <v>4310</v>
      </c>
      <c r="C2193" t="s">
        <v>63</v>
      </c>
      <c r="D2193" t="s">
        <v>20</v>
      </c>
      <c r="E2193" t="s">
        <v>23</v>
      </c>
      <c r="F2193" t="s">
        <v>3188</v>
      </c>
      <c r="G2193" t="s">
        <v>4311</v>
      </c>
      <c r="H2193">
        <v>15000</v>
      </c>
      <c r="J2193" s="21">
        <v>46023</v>
      </c>
      <c r="K2193" t="s">
        <v>67</v>
      </c>
      <c r="L2193" t="s">
        <v>9</v>
      </c>
      <c r="M2193" t="s">
        <v>9</v>
      </c>
      <c r="O2193">
        <v>0</v>
      </c>
      <c r="P2193" t="s">
        <v>70</v>
      </c>
      <c r="S2193" t="str">
        <f>TEXT(Table1[[#This Row],[Date]],"MMM-YY")</f>
        <v>Jan-26</v>
      </c>
      <c r="T2193">
        <f>_xlfn.ISOWEEKNUM(Table1[[#This Row],[Date]])</f>
        <v>2</v>
      </c>
    </row>
    <row r="2194" spans="1:20" hidden="1">
      <c r="A2194" s="1">
        <v>46028</v>
      </c>
      <c r="B2194" t="s">
        <v>4312</v>
      </c>
      <c r="C2194" t="s">
        <v>96</v>
      </c>
      <c r="D2194" t="s">
        <v>20</v>
      </c>
      <c r="E2194" t="s">
        <v>23</v>
      </c>
      <c r="F2194" t="s">
        <v>423</v>
      </c>
      <c r="G2194" s="9" t="s">
        <v>4313</v>
      </c>
      <c r="H2194">
        <v>15000</v>
      </c>
      <c r="J2194" s="21">
        <v>46023</v>
      </c>
      <c r="K2194" t="s">
        <v>67</v>
      </c>
      <c r="L2194" t="s">
        <v>9</v>
      </c>
      <c r="M2194" t="s">
        <v>9</v>
      </c>
      <c r="O2194">
        <v>0</v>
      </c>
      <c r="P2194" t="s">
        <v>70</v>
      </c>
      <c r="S2194" t="str">
        <f>TEXT(Table1[[#This Row],[Date]],"MMM-YY")</f>
        <v>Jan-26</v>
      </c>
      <c r="T2194">
        <f>_xlfn.ISOWEEKNUM(Table1[[#This Row],[Date]])</f>
        <v>2</v>
      </c>
    </row>
    <row r="2195" spans="1:20" hidden="1">
      <c r="A2195" s="1">
        <v>46028</v>
      </c>
      <c r="B2195" t="s">
        <v>2016</v>
      </c>
      <c r="C2195" t="s">
        <v>63</v>
      </c>
      <c r="D2195" t="s">
        <v>64</v>
      </c>
      <c r="E2195" t="s">
        <v>26</v>
      </c>
      <c r="F2195" t="s">
        <v>1624</v>
      </c>
      <c r="G2195" s="9" t="s">
        <v>4314</v>
      </c>
      <c r="H2195">
        <v>50000</v>
      </c>
      <c r="J2195" s="21">
        <v>46113</v>
      </c>
      <c r="K2195" t="s">
        <v>67</v>
      </c>
      <c r="L2195" t="s">
        <v>567</v>
      </c>
      <c r="M2195" t="s">
        <v>296</v>
      </c>
      <c r="O2195">
        <v>0</v>
      </c>
      <c r="P2195" t="s">
        <v>108</v>
      </c>
      <c r="S2195" t="str">
        <f>TEXT(Table1[[#This Row],[Date]],"MMM-YY")</f>
        <v>Jan-26</v>
      </c>
      <c r="T2195">
        <f>_xlfn.ISOWEEKNUM(Table1[[#This Row],[Date]])</f>
        <v>2</v>
      </c>
    </row>
    <row r="2196" spans="1:20" hidden="1">
      <c r="A2196" s="1">
        <v>46028</v>
      </c>
      <c r="B2196" t="s">
        <v>4187</v>
      </c>
      <c r="C2196" t="s">
        <v>96</v>
      </c>
      <c r="D2196" t="s">
        <v>64</v>
      </c>
      <c r="E2196" t="s">
        <v>26</v>
      </c>
      <c r="F2196" t="s">
        <v>4188</v>
      </c>
      <c r="G2196" s="9" t="s">
        <v>4315</v>
      </c>
      <c r="H2196">
        <v>67761</v>
      </c>
      <c r="I2196">
        <v>67761</v>
      </c>
      <c r="J2196" s="21">
        <v>46023</v>
      </c>
      <c r="K2196" t="s">
        <v>67</v>
      </c>
      <c r="L2196" t="s">
        <v>68</v>
      </c>
      <c r="M2196" t="s">
        <v>69</v>
      </c>
      <c r="O2196">
        <v>0</v>
      </c>
      <c r="P2196" t="s">
        <v>4059</v>
      </c>
      <c r="S2196" t="str">
        <f>TEXT(Table1[[#This Row],[Date]],"MMM-YY")</f>
        <v>Jan-26</v>
      </c>
      <c r="T2196">
        <f>_xlfn.ISOWEEKNUM(Table1[[#This Row],[Date]])</f>
        <v>2</v>
      </c>
    </row>
    <row r="2197" spans="1:20" hidden="1">
      <c r="A2197" s="1">
        <v>46028</v>
      </c>
      <c r="B2197" t="s">
        <v>4265</v>
      </c>
      <c r="C2197" t="s">
        <v>96</v>
      </c>
      <c r="D2197" t="s">
        <v>64</v>
      </c>
      <c r="E2197" t="s">
        <v>26</v>
      </c>
      <c r="F2197" t="s">
        <v>2656</v>
      </c>
      <c r="G2197" s="9" t="s">
        <v>4315</v>
      </c>
      <c r="H2197">
        <v>30000</v>
      </c>
      <c r="I2197">
        <v>30000</v>
      </c>
      <c r="J2197" s="21">
        <v>46023</v>
      </c>
      <c r="K2197" t="s">
        <v>67</v>
      </c>
      <c r="L2197" t="s">
        <v>68</v>
      </c>
      <c r="M2197" t="s">
        <v>69</v>
      </c>
      <c r="O2197">
        <v>0</v>
      </c>
      <c r="P2197" t="s">
        <v>4059</v>
      </c>
      <c r="S2197" t="str">
        <f>TEXT(Table1[[#This Row],[Date]],"MMM-YY")</f>
        <v>Jan-26</v>
      </c>
      <c r="T2197">
        <f>_xlfn.ISOWEEKNUM(Table1[[#This Row],[Date]])</f>
        <v>2</v>
      </c>
    </row>
    <row r="2198" spans="1:20" hidden="1">
      <c r="A2198" s="1">
        <v>46029</v>
      </c>
      <c r="B2198" t="s">
        <v>4121</v>
      </c>
      <c r="C2198" t="s">
        <v>96</v>
      </c>
      <c r="D2198" t="s">
        <v>64</v>
      </c>
      <c r="E2198" t="s">
        <v>26</v>
      </c>
      <c r="F2198" t="s">
        <v>184</v>
      </c>
      <c r="G2198" s="9" t="s">
        <v>4316</v>
      </c>
      <c r="H2198">
        <v>12500</v>
      </c>
      <c r="I2198">
        <v>12500</v>
      </c>
      <c r="J2198" s="21">
        <v>46023</v>
      </c>
      <c r="K2198" t="s">
        <v>67</v>
      </c>
      <c r="L2198" t="s">
        <v>68</v>
      </c>
      <c r="M2198" t="s">
        <v>69</v>
      </c>
      <c r="O2198">
        <v>0</v>
      </c>
      <c r="P2198" t="s">
        <v>108</v>
      </c>
      <c r="S2198" t="str">
        <f>TEXT(Table1[[#This Row],[Date]],"MMM-YY")</f>
        <v>Jan-26</v>
      </c>
      <c r="T2198">
        <f>_xlfn.ISOWEEKNUM(Table1[[#This Row],[Date]])</f>
        <v>2</v>
      </c>
    </row>
    <row r="2199" spans="1:20" ht="17.25" customHeight="1">
      <c r="A2199" s="1">
        <v>46029</v>
      </c>
      <c r="B2199" s="67" t="s">
        <v>95</v>
      </c>
      <c r="C2199" t="s">
        <v>96</v>
      </c>
      <c r="D2199" t="s">
        <v>64</v>
      </c>
      <c r="E2199" t="s">
        <v>38</v>
      </c>
      <c r="F2199" t="s">
        <v>97</v>
      </c>
      <c r="G2199" s="69" t="s">
        <v>4317</v>
      </c>
      <c r="H2199">
        <v>20853</v>
      </c>
      <c r="I2199">
        <v>20853</v>
      </c>
      <c r="J2199" s="21">
        <v>46023</v>
      </c>
      <c r="K2199" t="s">
        <v>99</v>
      </c>
      <c r="L2199" t="s">
        <v>68</v>
      </c>
      <c r="M2199" t="s">
        <v>69</v>
      </c>
      <c r="O2199">
        <v>0</v>
      </c>
      <c r="P2199" t="s">
        <v>70</v>
      </c>
      <c r="S2199" t="str">
        <f>TEXT(Table1[[#This Row],[Date]],"MMM-YY")</f>
        <v>Jan-26</v>
      </c>
      <c r="T2199">
        <f>_xlfn.ISOWEEKNUM(Table1[[#This Row],[Date]])</f>
        <v>2</v>
      </c>
    </row>
    <row r="2200" spans="1:20" hidden="1">
      <c r="A2200" s="1">
        <v>46030</v>
      </c>
      <c r="B2200" t="s">
        <v>2184</v>
      </c>
      <c r="C2200" t="s">
        <v>63</v>
      </c>
      <c r="D2200" t="s">
        <v>105</v>
      </c>
      <c r="E2200" t="s">
        <v>18</v>
      </c>
      <c r="F2200" t="s">
        <v>4318</v>
      </c>
      <c r="G2200" s="9" t="s">
        <v>4319</v>
      </c>
      <c r="H2200">
        <v>18000</v>
      </c>
      <c r="I2200">
        <v>18000</v>
      </c>
      <c r="J2200" s="21">
        <v>46023</v>
      </c>
      <c r="K2200" t="s">
        <v>67</v>
      </c>
      <c r="L2200" t="s">
        <v>68</v>
      </c>
      <c r="M2200" t="s">
        <v>69</v>
      </c>
      <c r="O2200">
        <v>0</v>
      </c>
      <c r="P2200" t="s">
        <v>70</v>
      </c>
      <c r="S2200" t="str">
        <f>TEXT(Table1[[#This Row],[Date]],"MMM-YY")</f>
        <v>Jan-26</v>
      </c>
      <c r="T2200">
        <f>_xlfn.ISOWEEKNUM(Table1[[#This Row],[Date]])</f>
        <v>2</v>
      </c>
    </row>
    <row r="2201" spans="1:20" hidden="1">
      <c r="A2201" s="1">
        <v>46030</v>
      </c>
      <c r="B2201" t="s">
        <v>4320</v>
      </c>
      <c r="C2201" t="s">
        <v>63</v>
      </c>
      <c r="D2201" t="s">
        <v>64</v>
      </c>
      <c r="E2201" t="s">
        <v>37</v>
      </c>
      <c r="F2201" t="s">
        <v>334</v>
      </c>
      <c r="G2201" s="9" t="s">
        <v>4321</v>
      </c>
      <c r="H2201">
        <v>100000</v>
      </c>
      <c r="J2201" s="21">
        <v>46113</v>
      </c>
      <c r="K2201" t="s">
        <v>67</v>
      </c>
      <c r="L2201" t="s">
        <v>568</v>
      </c>
      <c r="M2201" t="s">
        <v>2878</v>
      </c>
      <c r="O2201">
        <v>0</v>
      </c>
      <c r="P2201" t="s">
        <v>4059</v>
      </c>
      <c r="S2201" t="str">
        <f>TEXT(Table1[[#This Row],[Date]],"MMM-YY")</f>
        <v>Jan-26</v>
      </c>
      <c r="T2201">
        <f>_xlfn.ISOWEEKNUM(Table1[[#This Row],[Date]])</f>
        <v>2</v>
      </c>
    </row>
    <row r="2202" spans="1:20" hidden="1">
      <c r="A2202" s="1">
        <v>46030</v>
      </c>
      <c r="B2202" t="s">
        <v>4322</v>
      </c>
      <c r="C2202" t="s">
        <v>96</v>
      </c>
      <c r="D2202" t="s">
        <v>64</v>
      </c>
      <c r="E2202" t="s">
        <v>32</v>
      </c>
      <c r="F2202" t="s">
        <v>1189</v>
      </c>
      <c r="G2202" s="9" t="s">
        <v>4323</v>
      </c>
      <c r="H2202">
        <v>20000</v>
      </c>
      <c r="J2202" s="21">
        <v>46113</v>
      </c>
      <c r="K2202" t="s">
        <v>67</v>
      </c>
      <c r="L2202" t="s">
        <v>568</v>
      </c>
      <c r="M2202" t="s">
        <v>2878</v>
      </c>
      <c r="O2202">
        <v>0</v>
      </c>
      <c r="P2202" t="s">
        <v>70</v>
      </c>
      <c r="S2202" t="str">
        <f>TEXT(Table1[[#This Row],[Date]],"MMM-YY")</f>
        <v>Jan-26</v>
      </c>
      <c r="T2202">
        <f>_xlfn.ISOWEEKNUM(Table1[[#This Row],[Date]])</f>
        <v>2</v>
      </c>
    </row>
    <row r="2203" spans="1:20" hidden="1">
      <c r="A2203" s="1">
        <v>46031</v>
      </c>
      <c r="B2203" t="s">
        <v>4307</v>
      </c>
      <c r="C2203" t="s">
        <v>63</v>
      </c>
      <c r="D2203" t="s">
        <v>64</v>
      </c>
      <c r="E2203" t="s">
        <v>32</v>
      </c>
      <c r="F2203" t="s">
        <v>4308</v>
      </c>
      <c r="G2203" s="9" t="s">
        <v>4324</v>
      </c>
      <c r="H2203">
        <v>0</v>
      </c>
      <c r="I2203">
        <v>0</v>
      </c>
      <c r="J2203" s="21">
        <v>46023</v>
      </c>
      <c r="K2203" t="s">
        <v>67</v>
      </c>
      <c r="L2203" t="s">
        <v>68</v>
      </c>
      <c r="M2203" t="s">
        <v>69</v>
      </c>
      <c r="O2203">
        <v>0</v>
      </c>
      <c r="P2203" t="s">
        <v>4059</v>
      </c>
      <c r="S2203" t="str">
        <f>TEXT(Table1[[#This Row],[Date]],"MMM-YY")</f>
        <v>Jan-26</v>
      </c>
      <c r="T2203">
        <f>_xlfn.ISOWEEKNUM(Table1[[#This Row],[Date]])</f>
        <v>2</v>
      </c>
    </row>
    <row r="2204" spans="1:20" hidden="1">
      <c r="A2204" s="1">
        <v>46033</v>
      </c>
      <c r="B2204" t="s">
        <v>4325</v>
      </c>
      <c r="C2204" t="s">
        <v>96</v>
      </c>
      <c r="D2204" t="s">
        <v>64</v>
      </c>
      <c r="E2204" t="s">
        <v>32</v>
      </c>
      <c r="F2204" t="s">
        <v>4155</v>
      </c>
      <c r="G2204" s="9" t="s">
        <v>4326</v>
      </c>
      <c r="H2204">
        <v>20000</v>
      </c>
      <c r="I2204">
        <v>20000</v>
      </c>
      <c r="J2204" s="21">
        <v>46023</v>
      </c>
      <c r="K2204" t="s">
        <v>67</v>
      </c>
      <c r="L2204" t="s">
        <v>68</v>
      </c>
      <c r="M2204" t="s">
        <v>69</v>
      </c>
      <c r="O2204">
        <v>0</v>
      </c>
      <c r="P2204" t="s">
        <v>70</v>
      </c>
      <c r="S2204" t="str">
        <f>TEXT(Table1[[#This Row],[Date]],"MMM-YY")</f>
        <v>Jan-26</v>
      </c>
      <c r="T2204">
        <f>_xlfn.ISOWEEKNUM(Table1[[#This Row],[Date]])</f>
        <v>2</v>
      </c>
    </row>
    <row r="2205" spans="1:20" hidden="1">
      <c r="A2205" s="1">
        <v>46034</v>
      </c>
      <c r="B2205" t="s">
        <v>4307</v>
      </c>
      <c r="C2205" t="s">
        <v>63</v>
      </c>
      <c r="D2205" t="s">
        <v>64</v>
      </c>
      <c r="E2205" t="s">
        <v>32</v>
      </c>
      <c r="F2205" t="s">
        <v>4327</v>
      </c>
      <c r="G2205" s="9" t="s">
        <v>4328</v>
      </c>
      <c r="H2205">
        <v>0</v>
      </c>
      <c r="J2205" s="21">
        <v>46023</v>
      </c>
      <c r="K2205" t="s">
        <v>67</v>
      </c>
      <c r="L2205" t="s">
        <v>68</v>
      </c>
      <c r="M2205" t="s">
        <v>69</v>
      </c>
      <c r="O2205">
        <v>0</v>
      </c>
      <c r="P2205" t="s">
        <v>4059</v>
      </c>
      <c r="S2205" t="str">
        <f>TEXT(Table1[[#This Row],[Date]],"MMM-YY")</f>
        <v>Jan-26</v>
      </c>
      <c r="T2205">
        <f>_xlfn.ISOWEEKNUM(Table1[[#This Row],[Date]])</f>
        <v>3</v>
      </c>
    </row>
    <row r="2206" spans="1:20" hidden="1">
      <c r="A2206" s="1">
        <v>46034</v>
      </c>
      <c r="B2206" t="s">
        <v>4329</v>
      </c>
      <c r="C2206" t="s">
        <v>96</v>
      </c>
      <c r="D2206" t="s">
        <v>64</v>
      </c>
      <c r="E2206" t="s">
        <v>38</v>
      </c>
      <c r="F2206" t="s">
        <v>153</v>
      </c>
      <c r="G2206" s="9" t="s">
        <v>4330</v>
      </c>
      <c r="H2206">
        <v>39000</v>
      </c>
      <c r="I2206">
        <v>39000</v>
      </c>
      <c r="J2206" s="21">
        <v>46023</v>
      </c>
      <c r="K2206" t="s">
        <v>67</v>
      </c>
      <c r="L2206" t="s">
        <v>68</v>
      </c>
      <c r="M2206" t="s">
        <v>69</v>
      </c>
      <c r="O2206">
        <v>0</v>
      </c>
      <c r="P2206" t="s">
        <v>130</v>
      </c>
      <c r="S2206" t="str">
        <f>TEXT(Table1[[#This Row],[Date]],"MMM-YY")</f>
        <v>Jan-26</v>
      </c>
      <c r="T2206">
        <f>_xlfn.ISOWEEKNUM(Table1[[#This Row],[Date]])</f>
        <v>3</v>
      </c>
    </row>
    <row r="2207" spans="1:20" hidden="1">
      <c r="A2207" s="1">
        <v>46034</v>
      </c>
      <c r="B2207" t="s">
        <v>4331</v>
      </c>
      <c r="C2207" t="s">
        <v>63</v>
      </c>
      <c r="D2207" t="s">
        <v>64</v>
      </c>
      <c r="E2207" t="s">
        <v>28</v>
      </c>
      <c r="F2207" t="s">
        <v>2865</v>
      </c>
      <c r="G2207" s="9" t="s">
        <v>3073</v>
      </c>
      <c r="H2207">
        <v>100000</v>
      </c>
      <c r="J2207" s="21">
        <v>46113</v>
      </c>
      <c r="K2207" t="s">
        <v>67</v>
      </c>
      <c r="L2207" t="s">
        <v>567</v>
      </c>
      <c r="M2207" t="s">
        <v>296</v>
      </c>
      <c r="O2207">
        <v>0</v>
      </c>
      <c r="P2207" t="s">
        <v>108</v>
      </c>
      <c r="S2207" t="str">
        <f>TEXT(Table1[[#This Row],[Date]],"MMM-YY")</f>
        <v>Jan-26</v>
      </c>
      <c r="T2207">
        <f>_xlfn.ISOWEEKNUM(Table1[[#This Row],[Date]])</f>
        <v>3</v>
      </c>
    </row>
    <row r="2208" spans="1:20" hidden="1">
      <c r="A2208" s="1">
        <v>46034</v>
      </c>
      <c r="B2208" t="s">
        <v>309</v>
      </c>
      <c r="C2208" t="s">
        <v>63</v>
      </c>
      <c r="D2208" t="s">
        <v>64</v>
      </c>
      <c r="E2208" t="s">
        <v>28</v>
      </c>
      <c r="F2208" t="s">
        <v>2949</v>
      </c>
      <c r="G2208" s="9" t="s">
        <v>4332</v>
      </c>
      <c r="H2208">
        <v>50000</v>
      </c>
      <c r="J2208" s="21">
        <v>46113</v>
      </c>
      <c r="K2208" t="s">
        <v>67</v>
      </c>
      <c r="L2208" t="s">
        <v>567</v>
      </c>
      <c r="M2208" t="s">
        <v>296</v>
      </c>
      <c r="O2208">
        <v>0</v>
      </c>
      <c r="P2208" t="s">
        <v>108</v>
      </c>
      <c r="S2208" t="str">
        <f>TEXT(Table1[[#This Row],[Date]],"MMM-YY")</f>
        <v>Jan-26</v>
      </c>
      <c r="T2208">
        <f>_xlfn.ISOWEEKNUM(Table1[[#This Row],[Date]])</f>
        <v>3</v>
      </c>
    </row>
    <row r="2209" spans="1:20" hidden="1">
      <c r="A2209" s="1">
        <v>46035</v>
      </c>
      <c r="B2209" t="s">
        <v>4307</v>
      </c>
      <c r="C2209" t="s">
        <v>63</v>
      </c>
      <c r="D2209" t="s">
        <v>64</v>
      </c>
      <c r="E2209" t="s">
        <v>32</v>
      </c>
      <c r="F2209" t="s">
        <v>4308</v>
      </c>
      <c r="G2209" s="9" t="s">
        <v>4333</v>
      </c>
      <c r="H2209">
        <v>18500</v>
      </c>
      <c r="I2209">
        <v>18500</v>
      </c>
      <c r="J2209" s="21">
        <v>46023</v>
      </c>
      <c r="K2209" t="s">
        <v>67</v>
      </c>
      <c r="L2209" t="s">
        <v>68</v>
      </c>
      <c r="M2209" t="s">
        <v>69</v>
      </c>
      <c r="O2209">
        <v>0</v>
      </c>
      <c r="P2209" t="s">
        <v>4059</v>
      </c>
      <c r="S2209" t="str">
        <f>TEXT(Table1[[#This Row],[Date]],"MMM-YY")</f>
        <v>Jan-26</v>
      </c>
      <c r="T2209">
        <f>_xlfn.ISOWEEKNUM(Table1[[#This Row],[Date]])</f>
        <v>3</v>
      </c>
    </row>
    <row r="2210" spans="1:20" hidden="1">
      <c r="A2210" s="1">
        <v>46035</v>
      </c>
      <c r="B2210" t="s">
        <v>3694</v>
      </c>
      <c r="C2210" t="s">
        <v>63</v>
      </c>
      <c r="D2210" t="s">
        <v>64</v>
      </c>
      <c r="E2210" t="s">
        <v>28</v>
      </c>
      <c r="F2210" t="s">
        <v>1048</v>
      </c>
      <c r="G2210" s="9" t="s">
        <v>4334</v>
      </c>
      <c r="H2210">
        <v>0</v>
      </c>
      <c r="J2210" s="21">
        <v>46113</v>
      </c>
      <c r="K2210" t="s">
        <v>67</v>
      </c>
      <c r="L2210" t="s">
        <v>567</v>
      </c>
      <c r="M2210" t="s">
        <v>296</v>
      </c>
      <c r="O2210">
        <v>0</v>
      </c>
      <c r="P2210" t="s">
        <v>108</v>
      </c>
      <c r="S2210" t="str">
        <f>TEXT(Table1[[#This Row],[Date]],"MMM-YY")</f>
        <v>Jan-26</v>
      </c>
      <c r="T2210">
        <f>_xlfn.ISOWEEKNUM(Table1[[#This Row],[Date]])</f>
        <v>3</v>
      </c>
    </row>
    <row r="2211" spans="1:20" hidden="1">
      <c r="A2211" s="1">
        <v>46035</v>
      </c>
      <c r="B2211" t="s">
        <v>4335</v>
      </c>
      <c r="C2211" t="s">
        <v>96</v>
      </c>
      <c r="D2211" t="s">
        <v>20</v>
      </c>
      <c r="E2211" t="s">
        <v>23</v>
      </c>
      <c r="F2211" t="s">
        <v>4336</v>
      </c>
      <c r="G2211" s="9" t="s">
        <v>4337</v>
      </c>
      <c r="H2211">
        <v>8000</v>
      </c>
      <c r="I2211">
        <v>8000</v>
      </c>
      <c r="J2211" s="21">
        <v>46023</v>
      </c>
      <c r="K2211" t="s">
        <v>67</v>
      </c>
      <c r="L2211" t="s">
        <v>68</v>
      </c>
      <c r="M2211" t="s">
        <v>69</v>
      </c>
      <c r="O2211">
        <v>0</v>
      </c>
      <c r="P2211" t="s">
        <v>70</v>
      </c>
      <c r="S2211" t="str">
        <f>TEXT(Table1[[#This Row],[Date]],"MMM-YY")</f>
        <v>Jan-26</v>
      </c>
      <c r="T2211">
        <f>_xlfn.ISOWEEKNUM(Table1[[#This Row],[Date]])</f>
        <v>3</v>
      </c>
    </row>
    <row r="2212" spans="1:20" hidden="1">
      <c r="A2212" s="1">
        <v>46035</v>
      </c>
      <c r="B2212" t="s">
        <v>382</v>
      </c>
      <c r="C2212" t="s">
        <v>63</v>
      </c>
      <c r="D2212" t="s">
        <v>64</v>
      </c>
      <c r="E2212" t="s">
        <v>28</v>
      </c>
      <c r="F2212" t="s">
        <v>196</v>
      </c>
      <c r="G2212" s="9" t="s">
        <v>4338</v>
      </c>
      <c r="H2212">
        <v>0</v>
      </c>
      <c r="I2212">
        <v>0</v>
      </c>
      <c r="J2212" s="21">
        <v>46023</v>
      </c>
      <c r="K2212" t="s">
        <v>67</v>
      </c>
      <c r="L2212" t="s">
        <v>68</v>
      </c>
      <c r="M2212" t="s">
        <v>69</v>
      </c>
      <c r="O2212">
        <v>0</v>
      </c>
      <c r="P2212" t="s">
        <v>108</v>
      </c>
      <c r="S2212" t="str">
        <f>TEXT(Table1[[#This Row],[Date]],"MMM-YY")</f>
        <v>Jan-26</v>
      </c>
      <c r="T2212">
        <f>_xlfn.ISOWEEKNUM(Table1[[#This Row],[Date]])</f>
        <v>3</v>
      </c>
    </row>
    <row r="2213" spans="1:20">
      <c r="A2213" s="1">
        <v>46036</v>
      </c>
      <c r="B2213" s="67" t="s">
        <v>95</v>
      </c>
      <c r="C2213" t="s">
        <v>96</v>
      </c>
      <c r="D2213" t="s">
        <v>64</v>
      </c>
      <c r="E2213" t="s">
        <v>38</v>
      </c>
      <c r="F2213" t="s">
        <v>97</v>
      </c>
      <c r="G2213" s="69" t="s">
        <v>4339</v>
      </c>
      <c r="H2213">
        <v>19708</v>
      </c>
      <c r="I2213">
        <v>19708</v>
      </c>
      <c r="J2213" s="21">
        <v>46023</v>
      </c>
      <c r="K2213" t="s">
        <v>99</v>
      </c>
      <c r="L2213" t="s">
        <v>68</v>
      </c>
      <c r="M2213" t="s">
        <v>69</v>
      </c>
      <c r="O2213">
        <v>0</v>
      </c>
      <c r="P2213" t="s">
        <v>70</v>
      </c>
      <c r="S2213" t="str">
        <f>TEXT(Table1[[#This Row],[Date]],"MMM-YY")</f>
        <v>Jan-26</v>
      </c>
      <c r="T2213">
        <f>_xlfn.ISOWEEKNUM(Table1[[#This Row],[Date]])</f>
        <v>3</v>
      </c>
    </row>
    <row r="2214" spans="1:20" hidden="1">
      <c r="A2214" s="1">
        <v>46036</v>
      </c>
      <c r="B2214" t="s">
        <v>4307</v>
      </c>
      <c r="C2214" t="s">
        <v>63</v>
      </c>
      <c r="D2214" t="s">
        <v>64</v>
      </c>
      <c r="E2214" t="s">
        <v>32</v>
      </c>
      <c r="F2214" t="s">
        <v>4308</v>
      </c>
      <c r="G2214" s="9" t="s">
        <v>4340</v>
      </c>
      <c r="H2214">
        <v>26700</v>
      </c>
      <c r="I2214">
        <v>26700</v>
      </c>
      <c r="J2214" s="21">
        <v>46023</v>
      </c>
      <c r="K2214" t="s">
        <v>67</v>
      </c>
      <c r="L2214" t="s">
        <v>68</v>
      </c>
      <c r="M2214" t="s">
        <v>69</v>
      </c>
      <c r="O2214">
        <v>0</v>
      </c>
      <c r="P2214" t="s">
        <v>4059</v>
      </c>
      <c r="S2214" t="str">
        <f>TEXT(Table1[[#This Row],[Date]],"MMM-YY")</f>
        <v>Jan-26</v>
      </c>
      <c r="T2214">
        <f>_xlfn.ISOWEEKNUM(Table1[[#This Row],[Date]])</f>
        <v>3</v>
      </c>
    </row>
    <row r="2215" spans="1:20" hidden="1">
      <c r="A2215" s="1">
        <v>46036</v>
      </c>
      <c r="B2215" t="s">
        <v>4341</v>
      </c>
      <c r="C2215" t="s">
        <v>63</v>
      </c>
      <c r="D2215" t="s">
        <v>64</v>
      </c>
      <c r="E2215" t="s">
        <v>29</v>
      </c>
      <c r="F2215" t="s">
        <v>2779</v>
      </c>
      <c r="G2215" s="9" t="s">
        <v>4342</v>
      </c>
      <c r="H2215">
        <v>0</v>
      </c>
      <c r="I2215">
        <v>0</v>
      </c>
      <c r="J2215" s="21">
        <v>46023</v>
      </c>
      <c r="K2215" t="s">
        <v>67</v>
      </c>
      <c r="L2215" t="s">
        <v>68</v>
      </c>
      <c r="M2215" t="s">
        <v>69</v>
      </c>
      <c r="O2215">
        <v>0</v>
      </c>
      <c r="P2215" t="s">
        <v>70</v>
      </c>
      <c r="S2215" t="str">
        <f>TEXT(Table1[[#This Row],[Date]],"MMM-YY")</f>
        <v>Jan-26</v>
      </c>
      <c r="T2215">
        <f>_xlfn.ISOWEEKNUM(Table1[[#This Row],[Date]])</f>
        <v>3</v>
      </c>
    </row>
    <row r="2216" spans="1:20" hidden="1">
      <c r="A2216" s="1">
        <v>46037</v>
      </c>
      <c r="B2216" t="s">
        <v>4307</v>
      </c>
      <c r="C2216" t="s">
        <v>63</v>
      </c>
      <c r="D2216" t="s">
        <v>64</v>
      </c>
      <c r="E2216" t="s">
        <v>32</v>
      </c>
      <c r="F2216" t="s">
        <v>4308</v>
      </c>
      <c r="G2216" s="9" t="s">
        <v>4343</v>
      </c>
      <c r="H2216">
        <v>33675</v>
      </c>
      <c r="I2216">
        <v>33675</v>
      </c>
      <c r="J2216" s="21">
        <v>46023</v>
      </c>
      <c r="K2216" t="s">
        <v>67</v>
      </c>
      <c r="L2216" t="s">
        <v>68</v>
      </c>
      <c r="M2216" t="s">
        <v>69</v>
      </c>
      <c r="O2216">
        <v>0</v>
      </c>
      <c r="P2216" t="s">
        <v>4059</v>
      </c>
      <c r="S2216" t="str">
        <f>TEXT(Table1[[#This Row],[Date]],"MMM-YY")</f>
        <v>Jan-26</v>
      </c>
      <c r="T2216">
        <f>_xlfn.ISOWEEKNUM(Table1[[#This Row],[Date]])</f>
        <v>3</v>
      </c>
    </row>
    <row r="2217" spans="1:20" hidden="1">
      <c r="A2217" s="1">
        <v>46040</v>
      </c>
      <c r="B2217" t="s">
        <v>4307</v>
      </c>
      <c r="C2217" t="s">
        <v>63</v>
      </c>
      <c r="D2217" t="s">
        <v>64</v>
      </c>
      <c r="E2217" t="s">
        <v>32</v>
      </c>
      <c r="F2217" t="s">
        <v>4308</v>
      </c>
      <c r="G2217" s="9" t="s">
        <v>4344</v>
      </c>
      <c r="H2217">
        <v>20545</v>
      </c>
      <c r="I2217">
        <v>20545</v>
      </c>
      <c r="J2217" s="21">
        <v>46023</v>
      </c>
      <c r="K2217" t="s">
        <v>67</v>
      </c>
      <c r="L2217" t="s">
        <v>68</v>
      </c>
      <c r="M2217" t="s">
        <v>69</v>
      </c>
      <c r="O2217">
        <v>0</v>
      </c>
      <c r="P2217" t="s">
        <v>4059</v>
      </c>
      <c r="S2217" t="str">
        <f>TEXT(Table1[[#This Row],[Date]],"MMM-YY")</f>
        <v>Jan-26</v>
      </c>
      <c r="T2217">
        <f>_xlfn.ISOWEEKNUM(Table1[[#This Row],[Date]])</f>
        <v>3</v>
      </c>
    </row>
    <row r="2218" spans="1:20" hidden="1">
      <c r="A2218" s="1">
        <v>46041</v>
      </c>
      <c r="B2218" t="s">
        <v>382</v>
      </c>
      <c r="C2218" t="s">
        <v>63</v>
      </c>
      <c r="D2218" t="s">
        <v>64</v>
      </c>
      <c r="E2218" t="s">
        <v>28</v>
      </c>
      <c r="F2218" t="s">
        <v>196</v>
      </c>
      <c r="G2218" s="9" t="s">
        <v>4345</v>
      </c>
      <c r="H2218">
        <v>0</v>
      </c>
      <c r="I2218">
        <v>0</v>
      </c>
      <c r="J2218" s="21">
        <v>46023</v>
      </c>
      <c r="K2218" t="s">
        <v>67</v>
      </c>
      <c r="L2218" t="s">
        <v>68</v>
      </c>
      <c r="M2218" t="s">
        <v>69</v>
      </c>
      <c r="O2218">
        <v>0</v>
      </c>
      <c r="P2218" t="s">
        <v>108</v>
      </c>
      <c r="S2218" t="str">
        <f>TEXT(Table1[[#This Row],[Date]],"MMM-YY")</f>
        <v>Jan-26</v>
      </c>
      <c r="T2218">
        <f>_xlfn.ISOWEEKNUM(Table1[[#This Row],[Date]])</f>
        <v>4</v>
      </c>
    </row>
    <row r="2219" spans="1:20" hidden="1">
      <c r="A2219" s="1">
        <v>46041</v>
      </c>
      <c r="B2219" t="s">
        <v>4346</v>
      </c>
      <c r="C2219" t="s">
        <v>63</v>
      </c>
      <c r="D2219" t="s">
        <v>64</v>
      </c>
      <c r="E2219" t="s">
        <v>26</v>
      </c>
      <c r="F2219" t="s">
        <v>504</v>
      </c>
      <c r="G2219" s="9" t="s">
        <v>4347</v>
      </c>
      <c r="H2219">
        <v>20000</v>
      </c>
      <c r="I2219">
        <v>20000</v>
      </c>
      <c r="J2219" s="21">
        <v>46023</v>
      </c>
      <c r="K2219" t="s">
        <v>67</v>
      </c>
      <c r="L2219" t="s">
        <v>68</v>
      </c>
      <c r="M2219" t="s">
        <v>69</v>
      </c>
      <c r="O2219">
        <v>0</v>
      </c>
      <c r="P2219" t="s">
        <v>4059</v>
      </c>
      <c r="S2219" t="str">
        <f>TEXT(Table1[[#This Row],[Date]],"MMM-YY")</f>
        <v>Jan-26</v>
      </c>
      <c r="T2219">
        <f>_xlfn.ISOWEEKNUM(Table1[[#This Row],[Date]])</f>
        <v>4</v>
      </c>
    </row>
    <row r="2220" spans="1:20" hidden="1">
      <c r="A2220" s="1">
        <v>46042</v>
      </c>
      <c r="B2220" t="s">
        <v>2795</v>
      </c>
      <c r="C2220" t="s">
        <v>96</v>
      </c>
      <c r="D2220" t="s">
        <v>20</v>
      </c>
      <c r="E2220" t="s">
        <v>23</v>
      </c>
      <c r="F2220" t="s">
        <v>1761</v>
      </c>
      <c r="G2220" s="9" t="s">
        <v>4348</v>
      </c>
      <c r="H2220">
        <v>9500</v>
      </c>
      <c r="I2220">
        <v>9500</v>
      </c>
      <c r="J2220" s="21">
        <v>46023</v>
      </c>
      <c r="K2220" t="s">
        <v>67</v>
      </c>
      <c r="L2220" t="s">
        <v>68</v>
      </c>
      <c r="M2220" t="s">
        <v>69</v>
      </c>
      <c r="O2220">
        <v>0</v>
      </c>
      <c r="P2220" t="s">
        <v>70</v>
      </c>
      <c r="S2220" t="str">
        <f>TEXT(Table1[[#This Row],[Date]],"MMM-YY")</f>
        <v>Jan-26</v>
      </c>
      <c r="T2220">
        <f>_xlfn.ISOWEEKNUM(Table1[[#This Row],[Date]])</f>
        <v>4</v>
      </c>
    </row>
    <row r="2221" spans="1:20" hidden="1">
      <c r="A2221" s="1">
        <v>46042</v>
      </c>
      <c r="B2221" t="s">
        <v>4349</v>
      </c>
      <c r="C2221" t="s">
        <v>63</v>
      </c>
      <c r="D2221" t="s">
        <v>64</v>
      </c>
      <c r="E2221" t="s">
        <v>32</v>
      </c>
      <c r="F2221" t="s">
        <v>4350</v>
      </c>
      <c r="G2221" s="9" t="s">
        <v>4351</v>
      </c>
      <c r="H2221">
        <v>47000</v>
      </c>
      <c r="I2221">
        <v>47000</v>
      </c>
      <c r="J2221" s="21">
        <v>46023</v>
      </c>
      <c r="K2221" t="s">
        <v>67</v>
      </c>
      <c r="L2221" t="s">
        <v>68</v>
      </c>
      <c r="M2221" t="s">
        <v>69</v>
      </c>
      <c r="O2221">
        <v>0</v>
      </c>
      <c r="P2221" t="s">
        <v>70</v>
      </c>
      <c r="S2221" t="str">
        <f>TEXT(Table1[[#This Row],[Date]],"MMM-YY")</f>
        <v>Jan-26</v>
      </c>
      <c r="T2221">
        <f>_xlfn.ISOWEEKNUM(Table1[[#This Row],[Date]])</f>
        <v>4</v>
      </c>
    </row>
    <row r="2222" spans="1:20" hidden="1">
      <c r="A2222" s="1">
        <v>46042</v>
      </c>
      <c r="B2222" t="s">
        <v>659</v>
      </c>
      <c r="C2222" t="s">
        <v>63</v>
      </c>
      <c r="D2222" t="s">
        <v>64</v>
      </c>
      <c r="E2222" t="s">
        <v>27</v>
      </c>
      <c r="F2222" t="s">
        <v>1189</v>
      </c>
      <c r="G2222" s="9" t="s">
        <v>4352</v>
      </c>
      <c r="H2222">
        <v>0</v>
      </c>
      <c r="J2222" s="21">
        <v>46054</v>
      </c>
      <c r="K2222" t="s">
        <v>67</v>
      </c>
      <c r="L2222" t="s">
        <v>9</v>
      </c>
      <c r="M2222" t="s">
        <v>9</v>
      </c>
      <c r="O2222">
        <v>0</v>
      </c>
      <c r="P2222" t="s">
        <v>108</v>
      </c>
      <c r="S2222" t="str">
        <f>TEXT(Table1[[#This Row],[Date]],"MMM-YY")</f>
        <v>Jan-26</v>
      </c>
      <c r="T2222">
        <f>_xlfn.ISOWEEKNUM(Table1[[#This Row],[Date]])</f>
        <v>4</v>
      </c>
    </row>
    <row r="2223" spans="1:20">
      <c r="A2223" s="1">
        <v>46043</v>
      </c>
      <c r="B2223" s="67" t="s">
        <v>95</v>
      </c>
      <c r="C2223" t="s">
        <v>96</v>
      </c>
      <c r="D2223" t="s">
        <v>64</v>
      </c>
      <c r="E2223" t="s">
        <v>38</v>
      </c>
      <c r="F2223" t="s">
        <v>97</v>
      </c>
      <c r="G2223" s="69" t="s">
        <v>4353</v>
      </c>
      <c r="H2223">
        <v>19708</v>
      </c>
      <c r="I2223">
        <v>19708</v>
      </c>
      <c r="J2223" s="21">
        <v>46023</v>
      </c>
      <c r="K2223" t="s">
        <v>99</v>
      </c>
      <c r="L2223" t="s">
        <v>68</v>
      </c>
      <c r="M2223" t="s">
        <v>69</v>
      </c>
      <c r="O2223">
        <v>0</v>
      </c>
      <c r="P2223" t="s">
        <v>70</v>
      </c>
      <c r="S2223" t="str">
        <f>TEXT(Table1[[#This Row],[Date]],"MMM-YY")</f>
        <v>Jan-26</v>
      </c>
      <c r="T2223">
        <f>_xlfn.ISOWEEKNUM(Table1[[#This Row],[Date]])</f>
        <v>4</v>
      </c>
    </row>
    <row r="2224" spans="1:20" hidden="1">
      <c r="A2224" s="1">
        <v>46043</v>
      </c>
      <c r="B2224" t="s">
        <v>4354</v>
      </c>
      <c r="C2224" t="s">
        <v>163</v>
      </c>
      <c r="D2224" t="s">
        <v>64</v>
      </c>
      <c r="E2224" t="s">
        <v>21</v>
      </c>
      <c r="F2224" t="s">
        <v>4355</v>
      </c>
      <c r="G2224" s="9" t="s">
        <v>4356</v>
      </c>
      <c r="H2224" s="13">
        <v>70000</v>
      </c>
      <c r="J2224" s="21">
        <v>46054</v>
      </c>
      <c r="K2224" t="s">
        <v>67</v>
      </c>
      <c r="L2224" t="s">
        <v>9</v>
      </c>
      <c r="M2224" t="s">
        <v>9</v>
      </c>
      <c r="O2224">
        <v>0</v>
      </c>
      <c r="P2224" t="s">
        <v>70</v>
      </c>
      <c r="S2224" t="str">
        <f>TEXT(Table1[[#This Row],[Date]],"MMM-YY")</f>
        <v>Jan-26</v>
      </c>
      <c r="T2224">
        <f>_xlfn.ISOWEEKNUM(Table1[[#This Row],[Date]])</f>
        <v>4</v>
      </c>
    </row>
    <row r="2225" spans="1:20" hidden="1">
      <c r="A2225" s="1">
        <v>46043</v>
      </c>
      <c r="B2225" t="s">
        <v>4357</v>
      </c>
      <c r="C2225" t="s">
        <v>96</v>
      </c>
      <c r="D2225" t="s">
        <v>64</v>
      </c>
      <c r="E2225" t="s">
        <v>4358</v>
      </c>
      <c r="F2225" t="s">
        <v>2445</v>
      </c>
      <c r="G2225" s="9" t="s">
        <v>4359</v>
      </c>
      <c r="H2225">
        <v>80000</v>
      </c>
      <c r="J2225" s="21">
        <v>46054</v>
      </c>
      <c r="K2225" t="s">
        <v>99</v>
      </c>
      <c r="L2225" t="s">
        <v>9</v>
      </c>
      <c r="M2225" t="s">
        <v>9</v>
      </c>
      <c r="O2225">
        <v>0</v>
      </c>
      <c r="P2225" t="s">
        <v>4059</v>
      </c>
      <c r="S2225" t="str">
        <f>TEXT(Table1[[#This Row],[Date]],"MMM-YY")</f>
        <v>Jan-26</v>
      </c>
      <c r="T2225">
        <f>_xlfn.ISOWEEKNUM(Table1[[#This Row],[Date]])</f>
        <v>4</v>
      </c>
    </row>
    <row r="2226" spans="1:20" hidden="1">
      <c r="A2226" s="1">
        <v>46043</v>
      </c>
      <c r="B2226" t="s">
        <v>4360</v>
      </c>
      <c r="C2226" t="s">
        <v>63</v>
      </c>
      <c r="D2226" t="s">
        <v>105</v>
      </c>
      <c r="E2226" t="s">
        <v>18</v>
      </c>
      <c r="F2226" t="s">
        <v>4361</v>
      </c>
      <c r="G2226" s="9" t="s">
        <v>4362</v>
      </c>
      <c r="H2226">
        <v>70000</v>
      </c>
      <c r="J2226" s="21">
        <v>46023</v>
      </c>
      <c r="K2226" t="s">
        <v>67</v>
      </c>
      <c r="L2226" t="s">
        <v>9</v>
      </c>
      <c r="M2226" t="s">
        <v>9</v>
      </c>
      <c r="O2226">
        <v>0</v>
      </c>
      <c r="P2226" t="s">
        <v>4059</v>
      </c>
      <c r="S2226" t="str">
        <f>TEXT(Table1[[#This Row],[Date]],"MMM-YY")</f>
        <v>Jan-26</v>
      </c>
      <c r="T2226">
        <f>_xlfn.ISOWEEKNUM(Table1[[#This Row],[Date]])</f>
        <v>4</v>
      </c>
    </row>
    <row r="2227" spans="1:20" hidden="1">
      <c r="A2227" s="1">
        <v>46044</v>
      </c>
      <c r="B2227" t="s">
        <v>4363</v>
      </c>
      <c r="C2227" t="s">
        <v>63</v>
      </c>
      <c r="D2227" t="s">
        <v>64</v>
      </c>
      <c r="E2227" t="s">
        <v>32</v>
      </c>
      <c r="F2227" t="s">
        <v>1707</v>
      </c>
      <c r="G2227" s="9" t="s">
        <v>4364</v>
      </c>
      <c r="H2227">
        <v>14500</v>
      </c>
      <c r="I2227">
        <v>14500</v>
      </c>
      <c r="J2227" s="21">
        <v>46023</v>
      </c>
      <c r="K2227" t="s">
        <v>67</v>
      </c>
      <c r="L2227" t="s">
        <v>68</v>
      </c>
      <c r="M2227" t="s">
        <v>69</v>
      </c>
      <c r="O2227">
        <v>0</v>
      </c>
      <c r="P2227" t="s">
        <v>70</v>
      </c>
      <c r="S2227" t="str">
        <f>TEXT(Table1[[#This Row],[Date]],"MMM-YY")</f>
        <v>Jan-26</v>
      </c>
      <c r="T2227">
        <f>_xlfn.ISOWEEKNUM(Table1[[#This Row],[Date]])</f>
        <v>4</v>
      </c>
    </row>
    <row r="2228" spans="1:20" hidden="1">
      <c r="A2228" s="1">
        <v>46044</v>
      </c>
      <c r="B2228" t="s">
        <v>4365</v>
      </c>
      <c r="C2228" t="s">
        <v>96</v>
      </c>
      <c r="D2228" t="s">
        <v>64</v>
      </c>
      <c r="E2228" t="s">
        <v>32</v>
      </c>
      <c r="F2228" t="s">
        <v>153</v>
      </c>
      <c r="G2228" s="9" t="s">
        <v>4366</v>
      </c>
      <c r="H2228">
        <v>60000</v>
      </c>
      <c r="J2228" s="21">
        <v>46023</v>
      </c>
      <c r="K2228" t="s">
        <v>67</v>
      </c>
      <c r="L2228" t="s">
        <v>9</v>
      </c>
      <c r="M2228" t="s">
        <v>9</v>
      </c>
      <c r="O2228">
        <v>0</v>
      </c>
      <c r="P2228" t="s">
        <v>70</v>
      </c>
      <c r="S2228" t="str">
        <f>TEXT(Table1[[#This Row],[Date]],"MMM-YY")</f>
        <v>Jan-26</v>
      </c>
      <c r="T2228">
        <f>_xlfn.ISOWEEKNUM(Table1[[#This Row],[Date]])</f>
        <v>4</v>
      </c>
    </row>
    <row r="2229" spans="1:20" hidden="1">
      <c r="A2229" s="1">
        <v>46044</v>
      </c>
      <c r="B2229" t="s">
        <v>486</v>
      </c>
      <c r="C2229" t="s">
        <v>63</v>
      </c>
      <c r="D2229" t="s">
        <v>20</v>
      </c>
      <c r="E2229" t="s">
        <v>23</v>
      </c>
      <c r="F2229" t="s">
        <v>487</v>
      </c>
      <c r="G2229" s="9" t="s">
        <v>4367</v>
      </c>
      <c r="H2229">
        <v>5500</v>
      </c>
      <c r="J2229" s="21">
        <v>46054</v>
      </c>
      <c r="K2229" t="s">
        <v>67</v>
      </c>
      <c r="L2229" t="s">
        <v>9</v>
      </c>
      <c r="M2229" t="s">
        <v>9</v>
      </c>
      <c r="O2229">
        <v>0</v>
      </c>
      <c r="P2229" t="s">
        <v>70</v>
      </c>
      <c r="S2229" t="str">
        <f>TEXT(Table1[[#This Row],[Date]],"MMM-YY")</f>
        <v>Jan-26</v>
      </c>
      <c r="T2229">
        <f>_xlfn.ISOWEEKNUM(Table1[[#This Row],[Date]])</f>
        <v>4</v>
      </c>
    </row>
    <row r="2230" spans="1:20" hidden="1">
      <c r="A2230" s="1">
        <v>46044</v>
      </c>
      <c r="B2230" t="s">
        <v>1982</v>
      </c>
      <c r="C2230" t="s">
        <v>63</v>
      </c>
      <c r="D2230" t="s">
        <v>64</v>
      </c>
      <c r="E2230" t="s">
        <v>25</v>
      </c>
      <c r="F2230" t="s">
        <v>1613</v>
      </c>
      <c r="G2230" s="9" t="s">
        <v>2336</v>
      </c>
      <c r="H2230">
        <v>70000</v>
      </c>
      <c r="J2230" s="21">
        <v>46054</v>
      </c>
      <c r="K2230" t="s">
        <v>67</v>
      </c>
      <c r="L2230" t="s">
        <v>9</v>
      </c>
      <c r="M2230" t="s">
        <v>9</v>
      </c>
      <c r="O2230">
        <v>0</v>
      </c>
      <c r="P2230" t="s">
        <v>108</v>
      </c>
      <c r="S2230" t="str">
        <f>TEXT(Table1[[#This Row],[Date]],"MMM-YY")</f>
        <v>Jan-26</v>
      </c>
      <c r="T2230">
        <f>_xlfn.ISOWEEKNUM(Table1[[#This Row],[Date]])</f>
        <v>4</v>
      </c>
    </row>
    <row r="2231" spans="1:20" hidden="1">
      <c r="A2231" s="1">
        <v>46045</v>
      </c>
      <c r="B2231" t="s">
        <v>486</v>
      </c>
      <c r="C2231" t="s">
        <v>96</v>
      </c>
      <c r="D2231" t="s">
        <v>20</v>
      </c>
      <c r="E2231" t="s">
        <v>23</v>
      </c>
      <c r="F2231" t="s">
        <v>487</v>
      </c>
      <c r="G2231" s="9" t="s">
        <v>4368</v>
      </c>
      <c r="H2231">
        <v>5500</v>
      </c>
      <c r="I2231">
        <v>5500</v>
      </c>
      <c r="J2231" s="21">
        <v>46054</v>
      </c>
      <c r="K2231" t="s">
        <v>67</v>
      </c>
      <c r="L2231" t="s">
        <v>68</v>
      </c>
      <c r="M2231" t="s">
        <v>69</v>
      </c>
      <c r="O2231">
        <v>0</v>
      </c>
      <c r="P2231" t="s">
        <v>70</v>
      </c>
      <c r="S2231" t="str">
        <f>TEXT(Table1[[#This Row],[Date]],"MMM-YY")</f>
        <v>Jan-26</v>
      </c>
      <c r="T2231">
        <f>_xlfn.ISOWEEKNUM(Table1[[#This Row],[Date]])</f>
        <v>4</v>
      </c>
    </row>
    <row r="2232" spans="1:20" ht="29.1" hidden="1">
      <c r="A2232" s="1">
        <v>46045</v>
      </c>
      <c r="B2232" t="s">
        <v>382</v>
      </c>
      <c r="C2232" t="s">
        <v>63</v>
      </c>
      <c r="D2232" t="s">
        <v>64</v>
      </c>
      <c r="E2232" t="s">
        <v>28</v>
      </c>
      <c r="F2232" t="s">
        <v>2384</v>
      </c>
      <c r="G2232" s="9" t="s">
        <v>4369</v>
      </c>
      <c r="H2232">
        <v>0</v>
      </c>
      <c r="I2232">
        <v>0</v>
      </c>
      <c r="J2232" s="21">
        <v>46023</v>
      </c>
      <c r="K2232" t="s">
        <v>67</v>
      </c>
      <c r="L2232" t="s">
        <v>68</v>
      </c>
      <c r="M2232" t="s">
        <v>69</v>
      </c>
      <c r="O2232">
        <v>0</v>
      </c>
      <c r="P2232" t="s">
        <v>108</v>
      </c>
      <c r="S2232" t="str">
        <f>TEXT(Table1[[#This Row],[Date]],"MMM-YY")</f>
        <v>Jan-26</v>
      </c>
      <c r="T2232">
        <f>_xlfn.ISOWEEKNUM(Table1[[#This Row],[Date]])</f>
        <v>4</v>
      </c>
    </row>
    <row r="2233" spans="1:20" hidden="1">
      <c r="A2233" s="1">
        <v>46049</v>
      </c>
      <c r="B2233" t="s">
        <v>2773</v>
      </c>
      <c r="C2233" t="s">
        <v>63</v>
      </c>
      <c r="D2233" t="s">
        <v>64</v>
      </c>
      <c r="E2233" t="s">
        <v>28</v>
      </c>
      <c r="F2233" t="s">
        <v>4370</v>
      </c>
      <c r="G2233" s="9" t="s">
        <v>4371</v>
      </c>
      <c r="H2233">
        <v>0</v>
      </c>
      <c r="I2233">
        <v>0</v>
      </c>
      <c r="J2233" s="21">
        <v>46023</v>
      </c>
      <c r="K2233" t="s">
        <v>67</v>
      </c>
      <c r="L2233" t="s">
        <v>68</v>
      </c>
      <c r="M2233" t="s">
        <v>69</v>
      </c>
      <c r="O2233">
        <v>0</v>
      </c>
      <c r="P2233" t="s">
        <v>108</v>
      </c>
      <c r="S2233" t="str">
        <f>TEXT(Table1[[#This Row],[Date]],"MMM-YY")</f>
        <v>Jan-26</v>
      </c>
      <c r="T2233">
        <f>_xlfn.ISOWEEKNUM(Table1[[#This Row],[Date]])</f>
        <v>5</v>
      </c>
    </row>
    <row r="2234" spans="1:20" ht="29.1" hidden="1">
      <c r="A2234" s="1">
        <v>46049</v>
      </c>
      <c r="B2234" t="s">
        <v>309</v>
      </c>
      <c r="C2234" t="s">
        <v>96</v>
      </c>
      <c r="D2234" t="s">
        <v>64</v>
      </c>
      <c r="E2234" t="s">
        <v>28</v>
      </c>
      <c r="F2234" t="s">
        <v>4372</v>
      </c>
      <c r="G2234" s="9" t="s">
        <v>4373</v>
      </c>
      <c r="H2234">
        <v>32500</v>
      </c>
      <c r="I2234">
        <v>32500</v>
      </c>
      <c r="J2234" s="21">
        <v>46023</v>
      </c>
      <c r="K2234" t="s">
        <v>67</v>
      </c>
      <c r="L2234" t="s">
        <v>68</v>
      </c>
      <c r="M2234" t="s">
        <v>69</v>
      </c>
      <c r="O2234">
        <v>0</v>
      </c>
      <c r="P2234" t="s">
        <v>108</v>
      </c>
      <c r="S2234" t="str">
        <f>TEXT(Table1[[#This Row],[Date]],"MMM-YY")</f>
        <v>Jan-26</v>
      </c>
      <c r="T2234">
        <f>_xlfn.ISOWEEKNUM(Table1[[#This Row],[Date]])</f>
        <v>5</v>
      </c>
    </row>
    <row r="2235" spans="1:20" ht="29.1" hidden="1">
      <c r="A2235" s="1">
        <v>46049</v>
      </c>
      <c r="B2235" t="s">
        <v>4374</v>
      </c>
      <c r="C2235" t="s">
        <v>96</v>
      </c>
      <c r="D2235" t="s">
        <v>64</v>
      </c>
      <c r="E2235" t="s">
        <v>37</v>
      </c>
      <c r="F2235" t="s">
        <v>4375</v>
      </c>
      <c r="G2235" s="9" t="s">
        <v>4376</v>
      </c>
      <c r="H2235">
        <v>239550</v>
      </c>
      <c r="I2235">
        <v>239550</v>
      </c>
      <c r="J2235" s="21">
        <v>46054</v>
      </c>
      <c r="K2235" t="s">
        <v>67</v>
      </c>
      <c r="L2235" t="s">
        <v>68</v>
      </c>
      <c r="M2235" t="s">
        <v>69</v>
      </c>
      <c r="O2235">
        <v>0</v>
      </c>
      <c r="P2235" t="s">
        <v>388</v>
      </c>
      <c r="S2235" t="str">
        <f>TEXT(Table1[[#This Row],[Date]],"MMM-YY")</f>
        <v>Jan-26</v>
      </c>
      <c r="T2235">
        <f>_xlfn.ISOWEEKNUM(Table1[[#This Row],[Date]])</f>
        <v>5</v>
      </c>
    </row>
    <row r="2236" spans="1:20">
      <c r="A2236" s="1">
        <v>46050</v>
      </c>
      <c r="B2236" s="67" t="s">
        <v>95</v>
      </c>
      <c r="C2236" t="s">
        <v>96</v>
      </c>
      <c r="D2236" t="s">
        <v>64</v>
      </c>
      <c r="E2236" t="s">
        <v>38</v>
      </c>
      <c r="F2236" t="s">
        <v>97</v>
      </c>
      <c r="G2236" s="69" t="s">
        <v>4377</v>
      </c>
      <c r="H2236">
        <v>19708</v>
      </c>
      <c r="I2236">
        <v>19708</v>
      </c>
      <c r="J2236" s="21">
        <v>46023</v>
      </c>
      <c r="K2236" t="s">
        <v>99</v>
      </c>
      <c r="L2236" t="s">
        <v>68</v>
      </c>
      <c r="M2236" t="s">
        <v>69</v>
      </c>
      <c r="O2236">
        <v>0</v>
      </c>
      <c r="P2236" t="s">
        <v>70</v>
      </c>
      <c r="S2236" t="str">
        <f>TEXT(Table1[[#This Row],[Date]],"MMM-YY")</f>
        <v>Jan-26</v>
      </c>
      <c r="T2236">
        <f>_xlfn.ISOWEEKNUM(Table1[[#This Row],[Date]])</f>
        <v>5</v>
      </c>
    </row>
    <row r="2237" spans="1:20" ht="15" hidden="1" customHeight="1">
      <c r="A2237" s="1">
        <v>46050</v>
      </c>
      <c r="B2237" t="s">
        <v>382</v>
      </c>
      <c r="C2237" t="s">
        <v>63</v>
      </c>
      <c r="D2237" t="s">
        <v>64</v>
      </c>
      <c r="E2237" t="s">
        <v>28</v>
      </c>
      <c r="F2237" t="s">
        <v>2384</v>
      </c>
      <c r="G2237" s="9" t="s">
        <v>4369</v>
      </c>
      <c r="H2237">
        <v>0</v>
      </c>
      <c r="I2237">
        <v>0</v>
      </c>
      <c r="J2237" s="21">
        <v>46023</v>
      </c>
      <c r="K2237" t="s">
        <v>67</v>
      </c>
      <c r="L2237" t="s">
        <v>68</v>
      </c>
      <c r="M2237" t="s">
        <v>69</v>
      </c>
      <c r="O2237">
        <v>0</v>
      </c>
      <c r="P2237" t="s">
        <v>108</v>
      </c>
      <c r="S2237" t="str">
        <f>TEXT(Table1[[#This Row],[Date]],"MMM-YY")</f>
        <v>Jan-26</v>
      </c>
      <c r="T2237">
        <f>_xlfn.ISOWEEKNUM(Table1[[#This Row],[Date]])</f>
        <v>5</v>
      </c>
    </row>
    <row r="2238" spans="1:20" hidden="1">
      <c r="A2238" s="1">
        <v>46050</v>
      </c>
      <c r="B2238" t="s">
        <v>327</v>
      </c>
      <c r="C2238" t="s">
        <v>96</v>
      </c>
      <c r="D2238" t="s">
        <v>64</v>
      </c>
      <c r="E2238" t="s">
        <v>38</v>
      </c>
      <c r="F2238" t="s">
        <v>269</v>
      </c>
      <c r="G2238" s="9" t="s">
        <v>4378</v>
      </c>
      <c r="H2238">
        <v>45000</v>
      </c>
      <c r="J2238" s="21">
        <v>46054</v>
      </c>
      <c r="K2238" t="s">
        <v>67</v>
      </c>
      <c r="L2238" t="s">
        <v>9</v>
      </c>
      <c r="M2238" t="s">
        <v>9</v>
      </c>
      <c r="O2238">
        <v>0</v>
      </c>
      <c r="P2238" t="s">
        <v>70</v>
      </c>
      <c r="S2238" t="str">
        <f>TEXT(Table1[[#This Row],[Date]],"MMM-YY")</f>
        <v>Jan-26</v>
      </c>
      <c r="T2238">
        <f>_xlfn.ISOWEEKNUM(Table1[[#This Row],[Date]])</f>
        <v>5</v>
      </c>
    </row>
    <row r="2239" spans="1:20" hidden="1">
      <c r="A2239" s="1">
        <v>46051</v>
      </c>
      <c r="B2239" t="s">
        <v>304</v>
      </c>
      <c r="C2239" t="s">
        <v>96</v>
      </c>
      <c r="D2239" t="s">
        <v>20</v>
      </c>
      <c r="E2239" t="s">
        <v>23</v>
      </c>
      <c r="F2239" t="s">
        <v>233</v>
      </c>
      <c r="G2239" s="9" t="s">
        <v>4379</v>
      </c>
      <c r="H2239">
        <v>7500</v>
      </c>
      <c r="J2239" s="21">
        <v>46054</v>
      </c>
      <c r="K2239" t="s">
        <v>67</v>
      </c>
      <c r="L2239" t="s">
        <v>9</v>
      </c>
      <c r="M2239" t="s">
        <v>9</v>
      </c>
      <c r="O2239">
        <v>0</v>
      </c>
      <c r="P2239" t="s">
        <v>70</v>
      </c>
      <c r="S2239" t="str">
        <f>TEXT(Table1[[#This Row],[Date]],"MMM-YY")</f>
        <v>Jan-26</v>
      </c>
      <c r="T2239">
        <f>_xlfn.ISOWEEKNUM(Table1[[#This Row],[Date]])</f>
        <v>5</v>
      </c>
    </row>
    <row r="2240" spans="1:20" ht="29.1" hidden="1">
      <c r="A2240" s="1">
        <v>46051</v>
      </c>
      <c r="B2240" t="s">
        <v>4380</v>
      </c>
      <c r="C2240" t="s">
        <v>63</v>
      </c>
      <c r="D2240" t="s">
        <v>64</v>
      </c>
      <c r="E2240" t="s">
        <v>26</v>
      </c>
      <c r="F2240" t="s">
        <v>4381</v>
      </c>
      <c r="G2240" s="9" t="s">
        <v>4382</v>
      </c>
      <c r="H2240">
        <v>230000</v>
      </c>
      <c r="J2240" s="21">
        <v>46113</v>
      </c>
      <c r="K2240" t="s">
        <v>67</v>
      </c>
      <c r="L2240" t="s">
        <v>567</v>
      </c>
      <c r="M2240" t="s">
        <v>296</v>
      </c>
      <c r="O2240">
        <v>0</v>
      </c>
      <c r="P2240" t="s">
        <v>70</v>
      </c>
      <c r="S2240" t="str">
        <f>TEXT(Table1[[#This Row],[Date]],"MMM-YY")</f>
        <v>Jan-26</v>
      </c>
      <c r="T2240">
        <f>_xlfn.ISOWEEKNUM(Table1[[#This Row],[Date]])</f>
        <v>5</v>
      </c>
    </row>
    <row r="2241" spans="1:20" ht="29.1" hidden="1">
      <c r="A2241" s="1">
        <v>46055</v>
      </c>
      <c r="B2241" t="s">
        <v>4383</v>
      </c>
      <c r="C2241" t="s">
        <v>63</v>
      </c>
      <c r="D2241" t="s">
        <v>64</v>
      </c>
      <c r="E2241" t="s">
        <v>26</v>
      </c>
      <c r="F2241" t="s">
        <v>164</v>
      </c>
      <c r="G2241" s="9" t="s">
        <v>4384</v>
      </c>
      <c r="H2241">
        <v>500000</v>
      </c>
      <c r="I2241">
        <v>0</v>
      </c>
      <c r="J2241" s="21">
        <v>46054</v>
      </c>
      <c r="K2241" t="s">
        <v>67</v>
      </c>
      <c r="L2241" t="s">
        <v>9</v>
      </c>
      <c r="M2241" t="s">
        <v>9</v>
      </c>
      <c r="N2241" t="s">
        <v>4385</v>
      </c>
      <c r="O2241">
        <v>0</v>
      </c>
      <c r="P2241" t="s">
        <v>108</v>
      </c>
      <c r="S2241" t="str">
        <f>TEXT(Table1[[#This Row],[Date]],"MMM-YY")</f>
        <v>Feb-26</v>
      </c>
      <c r="T2241">
        <f>_xlfn.ISOWEEKNUM(Table1[[#This Row],[Date]])</f>
        <v>6</v>
      </c>
    </row>
    <row r="2242" spans="1:20" ht="17.25" hidden="1" customHeight="1">
      <c r="A2242" s="1">
        <v>46055</v>
      </c>
      <c r="B2242" t="s">
        <v>1763</v>
      </c>
      <c r="C2242" t="s">
        <v>96</v>
      </c>
      <c r="D2242" t="s">
        <v>64</v>
      </c>
      <c r="E2242" t="s">
        <v>39</v>
      </c>
      <c r="F2242" t="s">
        <v>4386</v>
      </c>
      <c r="G2242" s="9" t="s">
        <v>4387</v>
      </c>
      <c r="H2242">
        <v>15840</v>
      </c>
      <c r="I2242">
        <v>15840</v>
      </c>
      <c r="J2242" s="21">
        <v>46054</v>
      </c>
      <c r="K2242" t="s">
        <v>67</v>
      </c>
      <c r="L2242" t="s">
        <v>68</v>
      </c>
      <c r="M2242" t="s">
        <v>69</v>
      </c>
      <c r="O2242">
        <v>0</v>
      </c>
      <c r="P2242" t="s">
        <v>70</v>
      </c>
      <c r="S2242" t="str">
        <f>TEXT(Table1[[#This Row],[Date]],"MMM-YY")</f>
        <v>Feb-26</v>
      </c>
      <c r="T2242">
        <f>_xlfn.ISOWEEKNUM(Table1[[#This Row],[Date]])</f>
        <v>6</v>
      </c>
    </row>
    <row r="2243" spans="1:20" ht="17.25" customHeight="1">
      <c r="A2243" s="1">
        <v>46057</v>
      </c>
      <c r="B2243" s="67" t="s">
        <v>95</v>
      </c>
      <c r="C2243" t="s">
        <v>96</v>
      </c>
      <c r="D2243" t="s">
        <v>64</v>
      </c>
      <c r="E2243" t="s">
        <v>38</v>
      </c>
      <c r="F2243" t="s">
        <v>97</v>
      </c>
      <c r="G2243" s="69" t="s">
        <v>4388</v>
      </c>
      <c r="H2243">
        <v>21041</v>
      </c>
      <c r="I2243">
        <v>21041</v>
      </c>
      <c r="J2243" s="21">
        <v>46054</v>
      </c>
      <c r="K2243" t="s">
        <v>99</v>
      </c>
      <c r="L2243" t="s">
        <v>68</v>
      </c>
      <c r="M2243" t="s">
        <v>69</v>
      </c>
      <c r="O2243">
        <v>0</v>
      </c>
      <c r="P2243" t="s">
        <v>70</v>
      </c>
      <c r="S2243" t="str">
        <f>TEXT(Table1[[#This Row],[Date]],"MMM-YY")</f>
        <v>Feb-26</v>
      </c>
      <c r="T2243">
        <f>_xlfn.ISOWEEKNUM(Table1[[#This Row],[Date]])</f>
        <v>6</v>
      </c>
    </row>
    <row r="2244" spans="1:20" hidden="1">
      <c r="A2244" s="1">
        <v>46058</v>
      </c>
      <c r="B2244" t="s">
        <v>4389</v>
      </c>
      <c r="C2244" t="s">
        <v>96</v>
      </c>
      <c r="D2244" t="s">
        <v>64</v>
      </c>
      <c r="E2244" t="s">
        <v>26</v>
      </c>
      <c r="F2244" t="s">
        <v>396</v>
      </c>
      <c r="G2244" s="9" t="s">
        <v>4390</v>
      </c>
      <c r="H2244">
        <v>104260</v>
      </c>
      <c r="I2244">
        <v>104260</v>
      </c>
      <c r="J2244" s="21">
        <v>46054</v>
      </c>
      <c r="K2244" t="s">
        <v>67</v>
      </c>
      <c r="L2244" t="s">
        <v>68</v>
      </c>
      <c r="M2244" t="s">
        <v>69</v>
      </c>
      <c r="O2244">
        <v>0</v>
      </c>
      <c r="P2244" t="s">
        <v>388</v>
      </c>
      <c r="S2244" t="str">
        <f>TEXT(Table1[[#This Row],[Date]],"MMM-YY")</f>
        <v>Feb-26</v>
      </c>
      <c r="T2244">
        <f>_xlfn.ISOWEEKNUM(Table1[[#This Row],[Date]])</f>
        <v>6</v>
      </c>
    </row>
    <row r="2245" spans="1:20" hidden="1">
      <c r="A2245" s="1">
        <v>46059</v>
      </c>
      <c r="B2245" t="s">
        <v>4391</v>
      </c>
      <c r="C2245" t="s">
        <v>96</v>
      </c>
      <c r="D2245" t="s">
        <v>64</v>
      </c>
      <c r="E2245" t="s">
        <v>26</v>
      </c>
      <c r="F2245" t="s">
        <v>396</v>
      </c>
      <c r="G2245" s="9" t="s">
        <v>4392</v>
      </c>
      <c r="H2245">
        <v>21210</v>
      </c>
      <c r="I2245">
        <v>21210</v>
      </c>
      <c r="J2245" s="21">
        <v>46054</v>
      </c>
      <c r="K2245" t="s">
        <v>67</v>
      </c>
      <c r="L2245" t="s">
        <v>68</v>
      </c>
      <c r="M2245" t="s">
        <v>69</v>
      </c>
      <c r="O2245">
        <v>0</v>
      </c>
      <c r="P2245" t="s">
        <v>388</v>
      </c>
      <c r="S2245" t="str">
        <f>TEXT(Table1[[#This Row],[Date]],"MMM-YY")</f>
        <v>Feb-26</v>
      </c>
      <c r="T2245">
        <f>_xlfn.ISOWEEKNUM(Table1[[#This Row],[Date]])</f>
        <v>6</v>
      </c>
    </row>
    <row r="2246" spans="1:20">
      <c r="A2246" s="1">
        <v>46063</v>
      </c>
      <c r="B2246" t="s">
        <v>4393</v>
      </c>
      <c r="C2246" t="s">
        <v>96</v>
      </c>
      <c r="D2246" t="s">
        <v>64</v>
      </c>
      <c r="E2246" t="s">
        <v>26</v>
      </c>
      <c r="F2246" t="s">
        <v>2172</v>
      </c>
      <c r="G2246" s="9" t="s">
        <v>4394</v>
      </c>
      <c r="H2246">
        <v>71200</v>
      </c>
      <c r="I2246">
        <v>71200</v>
      </c>
      <c r="J2246" s="21">
        <v>46054</v>
      </c>
      <c r="K2246" t="s">
        <v>67</v>
      </c>
      <c r="L2246" t="s">
        <v>68</v>
      </c>
      <c r="M2246" t="s">
        <v>69</v>
      </c>
      <c r="O2246">
        <v>0</v>
      </c>
      <c r="P2246" t="s">
        <v>388</v>
      </c>
      <c r="S2246" t="str">
        <f>TEXT(Table1[[#This Row],[Date]],"MMM-YY")</f>
        <v>Feb-26</v>
      </c>
      <c r="T2246">
        <f>_xlfn.ISOWEEKNUM(Table1[[#This Row],[Date]])</f>
        <v>7</v>
      </c>
    </row>
    <row r="2247" spans="1:20">
      <c r="A2247" s="1">
        <v>46064</v>
      </c>
      <c r="B2247" s="67" t="s">
        <v>95</v>
      </c>
      <c r="C2247" t="s">
        <v>96</v>
      </c>
      <c r="D2247" t="s">
        <v>64</v>
      </c>
      <c r="E2247" t="s">
        <v>38</v>
      </c>
      <c r="F2247" t="s">
        <v>97</v>
      </c>
      <c r="G2247" s="69" t="s">
        <v>4395</v>
      </c>
      <c r="H2247">
        <v>23833</v>
      </c>
      <c r="I2247">
        <v>23833</v>
      </c>
      <c r="J2247" s="21">
        <v>46054</v>
      </c>
      <c r="K2247" t="s">
        <v>99</v>
      </c>
      <c r="L2247" t="s">
        <v>68</v>
      </c>
      <c r="M2247" t="s">
        <v>69</v>
      </c>
      <c r="O2247">
        <v>0</v>
      </c>
      <c r="P2247" t="s">
        <v>70</v>
      </c>
      <c r="S2247" t="str">
        <f>TEXT(Table1[[#This Row],[Date]],"MMM-YY")</f>
        <v>Feb-26</v>
      </c>
      <c r="T2247">
        <f>_xlfn.ISOWEEKNUM(Table1[[#This Row],[Date]])</f>
        <v>7</v>
      </c>
    </row>
    <row r="2248" spans="1:20">
      <c r="A2248" s="1">
        <v>46064</v>
      </c>
      <c r="B2248" t="s">
        <v>4393</v>
      </c>
      <c r="C2248" t="s">
        <v>96</v>
      </c>
      <c r="D2248" t="s">
        <v>64</v>
      </c>
      <c r="E2248" t="s">
        <v>26</v>
      </c>
      <c r="F2248" t="s">
        <v>2172</v>
      </c>
      <c r="G2248" s="9" t="s">
        <v>4396</v>
      </c>
      <c r="H2248">
        <v>96930</v>
      </c>
      <c r="I2248">
        <v>96930</v>
      </c>
      <c r="J2248" s="21">
        <v>46054</v>
      </c>
      <c r="K2248" t="s">
        <v>67</v>
      </c>
      <c r="L2248" t="s">
        <v>68</v>
      </c>
      <c r="M2248" t="s">
        <v>69</v>
      </c>
      <c r="O2248">
        <v>0</v>
      </c>
      <c r="P2248" t="s">
        <v>388</v>
      </c>
      <c r="S2248" t="str">
        <f>TEXT(Table1[[#This Row],[Date]],"MMM-YY")</f>
        <v>Feb-26</v>
      </c>
      <c r="T2248">
        <f>_xlfn.ISOWEEKNUM(Table1[[#This Row],[Date]])</f>
        <v>7</v>
      </c>
    </row>
    <row r="2249" spans="1:20" hidden="1">
      <c r="A2249" s="1">
        <v>46064</v>
      </c>
      <c r="B2249" t="s">
        <v>62</v>
      </c>
      <c r="C2249" t="s">
        <v>163</v>
      </c>
      <c r="D2249" t="s">
        <v>320</v>
      </c>
      <c r="E2249" t="s">
        <v>26</v>
      </c>
      <c r="F2249" t="s">
        <v>423</v>
      </c>
      <c r="G2249" s="9" t="s">
        <v>4397</v>
      </c>
      <c r="H2249">
        <v>900000</v>
      </c>
      <c r="I2249">
        <v>900000</v>
      </c>
      <c r="J2249" s="21">
        <v>46054</v>
      </c>
      <c r="K2249" t="s">
        <v>67</v>
      </c>
      <c r="L2249" t="s">
        <v>68</v>
      </c>
      <c r="M2249" t="s">
        <v>69</v>
      </c>
      <c r="O2249">
        <v>0</v>
      </c>
      <c r="P2249" t="s">
        <v>70</v>
      </c>
      <c r="S2249" t="str">
        <f>TEXT(Table1[[#This Row],[Date]],"MMM-YY")</f>
        <v>Feb-26</v>
      </c>
      <c r="T2249">
        <f>_xlfn.ISOWEEKNUM(Table1[[#This Row],[Date]])</f>
        <v>7</v>
      </c>
    </row>
    <row r="2250" spans="1:20">
      <c r="A2250" s="1">
        <v>46065</v>
      </c>
      <c r="B2250" t="s">
        <v>4393</v>
      </c>
      <c r="C2250" t="s">
        <v>63</v>
      </c>
      <c r="D2250" t="s">
        <v>64</v>
      </c>
      <c r="E2250" t="s">
        <v>26</v>
      </c>
      <c r="F2250" t="s">
        <v>2172</v>
      </c>
      <c r="G2250" s="9" t="s">
        <v>4398</v>
      </c>
      <c r="H2250">
        <v>97740</v>
      </c>
      <c r="I2250">
        <v>97740</v>
      </c>
      <c r="J2250" s="21">
        <v>46054</v>
      </c>
      <c r="K2250" t="s">
        <v>67</v>
      </c>
      <c r="L2250" t="s">
        <v>68</v>
      </c>
      <c r="M2250" t="s">
        <v>69</v>
      </c>
      <c r="O2250">
        <v>0</v>
      </c>
      <c r="P2250" t="s">
        <v>388</v>
      </c>
      <c r="S2250" t="str">
        <f>TEXT(Table1[[#This Row],[Date]],"MMM-YY")</f>
        <v>Feb-26</v>
      </c>
      <c r="T2250">
        <f>_xlfn.ISOWEEKNUM(Table1[[#This Row],[Date]])</f>
        <v>7</v>
      </c>
    </row>
    <row r="2251" spans="1:20" hidden="1">
      <c r="A2251" s="1">
        <v>46065</v>
      </c>
      <c r="B2251" t="s">
        <v>4399</v>
      </c>
      <c r="C2251" t="s">
        <v>63</v>
      </c>
      <c r="D2251" t="s">
        <v>64</v>
      </c>
      <c r="E2251" t="s">
        <v>26</v>
      </c>
      <c r="F2251" t="s">
        <v>545</v>
      </c>
      <c r="G2251" s="9" t="s">
        <v>4400</v>
      </c>
      <c r="H2251">
        <v>68500</v>
      </c>
      <c r="I2251">
        <v>68500</v>
      </c>
      <c r="J2251" s="21">
        <v>46054</v>
      </c>
      <c r="K2251" t="s">
        <v>67</v>
      </c>
      <c r="L2251" t="s">
        <v>68</v>
      </c>
      <c r="M2251" t="s">
        <v>69</v>
      </c>
      <c r="O2251">
        <v>0</v>
      </c>
      <c r="P2251" t="s">
        <v>70</v>
      </c>
      <c r="S2251" t="str">
        <f>TEXT(Table1[[#This Row],[Date]],"MMM-YY")</f>
        <v>Feb-26</v>
      </c>
      <c r="T2251">
        <f>_xlfn.ISOWEEKNUM(Table1[[#This Row],[Date]])</f>
        <v>7</v>
      </c>
    </row>
    <row r="2252" spans="1:20" hidden="1">
      <c r="A2252" s="1">
        <v>46066</v>
      </c>
      <c r="B2252" t="s">
        <v>4401</v>
      </c>
      <c r="C2252" t="s">
        <v>63</v>
      </c>
      <c r="D2252" t="s">
        <v>64</v>
      </c>
      <c r="E2252" t="s">
        <v>26</v>
      </c>
      <c r="F2252" t="s">
        <v>334</v>
      </c>
      <c r="G2252" s="9" t="s">
        <v>4402</v>
      </c>
      <c r="H2252">
        <v>450000</v>
      </c>
      <c r="J2252" s="21">
        <v>46113</v>
      </c>
      <c r="K2252" t="s">
        <v>67</v>
      </c>
      <c r="L2252" t="s">
        <v>295</v>
      </c>
      <c r="M2252" t="s">
        <v>296</v>
      </c>
      <c r="O2252">
        <v>0</v>
      </c>
      <c r="P2252" t="s">
        <v>388</v>
      </c>
      <c r="S2252" t="str">
        <f>TEXT(Table1[[#This Row],[Date]],"MMM-YY")</f>
        <v>Feb-26</v>
      </c>
      <c r="T2252">
        <f>_xlfn.ISOWEEKNUM(Table1[[#This Row],[Date]])</f>
        <v>7</v>
      </c>
    </row>
    <row r="2253" spans="1:20" hidden="1">
      <c r="A2253" s="1">
        <v>46066</v>
      </c>
      <c r="B2253" t="s">
        <v>4203</v>
      </c>
      <c r="C2253" t="s">
        <v>63</v>
      </c>
      <c r="D2253" t="s">
        <v>64</v>
      </c>
      <c r="E2253" t="s">
        <v>26</v>
      </c>
      <c r="F2253" t="s">
        <v>472</v>
      </c>
      <c r="G2253" s="9" t="s">
        <v>4403</v>
      </c>
      <c r="H2253">
        <v>150000</v>
      </c>
      <c r="J2253" s="21">
        <v>46113</v>
      </c>
      <c r="K2253" t="s">
        <v>67</v>
      </c>
      <c r="L2253" t="s">
        <v>295</v>
      </c>
      <c r="M2253" t="s">
        <v>296</v>
      </c>
      <c r="O2253">
        <v>0</v>
      </c>
      <c r="P2253" t="s">
        <v>388</v>
      </c>
      <c r="S2253" t="str">
        <f>TEXT(Table1[[#This Row],[Date]],"MMM-YY")</f>
        <v>Feb-26</v>
      </c>
      <c r="T2253">
        <f>_xlfn.ISOWEEKNUM(Table1[[#This Row],[Date]])</f>
        <v>7</v>
      </c>
    </row>
    <row r="2254" spans="1:20" ht="29.1" hidden="1">
      <c r="A2254" s="1">
        <v>46066</v>
      </c>
      <c r="B2254" t="s">
        <v>4404</v>
      </c>
      <c r="C2254" t="s">
        <v>96</v>
      </c>
      <c r="D2254" t="s">
        <v>64</v>
      </c>
      <c r="E2254" t="s">
        <v>26</v>
      </c>
      <c r="F2254" t="s">
        <v>396</v>
      </c>
      <c r="G2254" s="9" t="s">
        <v>4405</v>
      </c>
      <c r="H2254">
        <v>24030</v>
      </c>
      <c r="I2254">
        <v>24030</v>
      </c>
      <c r="J2254" s="21">
        <v>46054</v>
      </c>
      <c r="K2254" t="s">
        <v>67</v>
      </c>
      <c r="L2254" t="s">
        <v>68</v>
      </c>
      <c r="M2254" t="s">
        <v>69</v>
      </c>
      <c r="O2254">
        <v>0</v>
      </c>
      <c r="P2254" t="s">
        <v>388</v>
      </c>
      <c r="S2254" t="str">
        <f>TEXT(Table1[[#This Row],[Date]],"MMM-YY")</f>
        <v>Feb-26</v>
      </c>
      <c r="T2254">
        <f>_xlfn.ISOWEEKNUM(Table1[[#This Row],[Date]])</f>
        <v>7</v>
      </c>
    </row>
    <row r="2255" spans="1:20" hidden="1">
      <c r="A2255" s="1">
        <v>46067</v>
      </c>
      <c r="B2255" t="s">
        <v>4406</v>
      </c>
      <c r="C2255" t="s">
        <v>96</v>
      </c>
      <c r="D2255" t="s">
        <v>64</v>
      </c>
      <c r="E2255" t="s">
        <v>37</v>
      </c>
      <c r="F2255" t="s">
        <v>2842</v>
      </c>
      <c r="G2255" s="9" t="s">
        <v>4407</v>
      </c>
      <c r="H2255">
        <v>63025</v>
      </c>
      <c r="I2255">
        <v>63025</v>
      </c>
      <c r="J2255" s="21">
        <v>46054</v>
      </c>
      <c r="K2255" t="s">
        <v>67</v>
      </c>
      <c r="L2255" t="s">
        <v>68</v>
      </c>
      <c r="M2255" t="s">
        <v>69</v>
      </c>
      <c r="O2255">
        <v>0</v>
      </c>
      <c r="P2255" t="s">
        <v>388</v>
      </c>
      <c r="S2255" t="str">
        <f>TEXT(Table1[[#This Row],[Date]],"MMM-YY")</f>
        <v>Feb-26</v>
      </c>
      <c r="T2255">
        <f>_xlfn.ISOWEEKNUM(Table1[[#This Row],[Date]])</f>
        <v>7</v>
      </c>
    </row>
    <row r="2256" spans="1:20" hidden="1">
      <c r="A2256" s="1">
        <v>46068</v>
      </c>
      <c r="B2256" t="s">
        <v>4406</v>
      </c>
      <c r="C2256" t="s">
        <v>96</v>
      </c>
      <c r="D2256" t="s">
        <v>64</v>
      </c>
      <c r="E2256" t="s">
        <v>37</v>
      </c>
      <c r="F2256" t="s">
        <v>2842</v>
      </c>
      <c r="G2256" s="9" t="s">
        <v>4408</v>
      </c>
      <c r="H2256">
        <v>79075</v>
      </c>
      <c r="I2256">
        <v>79075</v>
      </c>
      <c r="J2256" s="21">
        <v>46054</v>
      </c>
      <c r="K2256" t="s">
        <v>67</v>
      </c>
      <c r="L2256" t="s">
        <v>68</v>
      </c>
      <c r="M2256" t="s">
        <v>69</v>
      </c>
      <c r="O2256">
        <v>0</v>
      </c>
      <c r="P2256" t="s">
        <v>388</v>
      </c>
      <c r="S2256" t="str">
        <f>TEXT(Table1[[#This Row],[Date]],"MMM-YY")</f>
        <v>Feb-26</v>
      </c>
      <c r="T2256">
        <f>_xlfn.ISOWEEKNUM(Table1[[#This Row],[Date]])</f>
        <v>7</v>
      </c>
    </row>
    <row r="2257" spans="1:20" hidden="1">
      <c r="A2257" s="1">
        <v>46069</v>
      </c>
      <c r="B2257" t="s">
        <v>385</v>
      </c>
      <c r="C2257" t="s">
        <v>63</v>
      </c>
      <c r="D2257" t="s">
        <v>64</v>
      </c>
      <c r="E2257" t="s">
        <v>26</v>
      </c>
      <c r="F2257" t="s">
        <v>386</v>
      </c>
      <c r="G2257" s="9" t="s">
        <v>4409</v>
      </c>
      <c r="H2257">
        <v>42000</v>
      </c>
      <c r="I2257">
        <v>42000</v>
      </c>
      <c r="J2257" s="21">
        <v>46054</v>
      </c>
      <c r="K2257" t="s">
        <v>67</v>
      </c>
      <c r="L2257" t="s">
        <v>68</v>
      </c>
      <c r="M2257" t="s">
        <v>69</v>
      </c>
      <c r="O2257">
        <v>0</v>
      </c>
      <c r="P2257" t="s">
        <v>388</v>
      </c>
      <c r="S2257" t="str">
        <f>TEXT(Table1[[#This Row],[Date]],"MMM-YY")</f>
        <v>Feb-26</v>
      </c>
      <c r="T2257">
        <f>_xlfn.ISOWEEKNUM(Table1[[#This Row],[Date]])</f>
        <v>8</v>
      </c>
    </row>
    <row r="2258" spans="1:20" hidden="1">
      <c r="A2258" s="1">
        <v>46069</v>
      </c>
      <c r="B2258" t="s">
        <v>4410</v>
      </c>
      <c r="C2258" t="s">
        <v>63</v>
      </c>
      <c r="D2258" t="s">
        <v>64</v>
      </c>
      <c r="E2258" t="s">
        <v>26</v>
      </c>
      <c r="F2258" t="s">
        <v>3838</v>
      </c>
      <c r="G2258" s="9" t="s">
        <v>4411</v>
      </c>
      <c r="H2258">
        <v>50000</v>
      </c>
      <c r="J2258" s="21">
        <v>46113</v>
      </c>
      <c r="K2258" t="s">
        <v>67</v>
      </c>
      <c r="L2258" t="s">
        <v>295</v>
      </c>
      <c r="M2258" t="s">
        <v>296</v>
      </c>
      <c r="O2258">
        <v>0</v>
      </c>
      <c r="P2258" t="s">
        <v>388</v>
      </c>
      <c r="S2258" t="str">
        <f>TEXT(Table1[[#This Row],[Date]],"MMM-YY")</f>
        <v>Feb-26</v>
      </c>
      <c r="T2258">
        <f>_xlfn.ISOWEEKNUM(Table1[[#This Row],[Date]])</f>
        <v>8</v>
      </c>
    </row>
    <row r="2259" spans="1:20" hidden="1">
      <c r="A2259" s="1">
        <v>46071</v>
      </c>
      <c r="B2259" t="s">
        <v>4412</v>
      </c>
      <c r="C2259" t="s">
        <v>63</v>
      </c>
      <c r="D2259" t="s">
        <v>64</v>
      </c>
      <c r="E2259" t="s">
        <v>26</v>
      </c>
      <c r="F2259" t="s">
        <v>472</v>
      </c>
      <c r="G2259" s="9" t="s">
        <v>4413</v>
      </c>
      <c r="H2259">
        <v>0</v>
      </c>
      <c r="I2259">
        <v>0</v>
      </c>
      <c r="J2259" s="21">
        <v>46113</v>
      </c>
      <c r="K2259" t="s">
        <v>67</v>
      </c>
      <c r="L2259" t="s">
        <v>68</v>
      </c>
      <c r="M2259" t="s">
        <v>69</v>
      </c>
      <c r="O2259">
        <v>0</v>
      </c>
      <c r="P2259" t="s">
        <v>388</v>
      </c>
      <c r="S2259" t="str">
        <f>TEXT(Table1[[#This Row],[Date]],"MMM-YY")</f>
        <v>Feb-26</v>
      </c>
      <c r="T2259">
        <f>_xlfn.ISOWEEKNUM(Table1[[#This Row],[Date]])</f>
        <v>8</v>
      </c>
    </row>
    <row r="2260" spans="1:20">
      <c r="A2260" s="1">
        <v>46071</v>
      </c>
      <c r="B2260" s="67" t="s">
        <v>95</v>
      </c>
      <c r="C2260" t="s">
        <v>96</v>
      </c>
      <c r="D2260" t="s">
        <v>64</v>
      </c>
      <c r="E2260" t="s">
        <v>38</v>
      </c>
      <c r="F2260" t="s">
        <v>97</v>
      </c>
      <c r="G2260" s="69" t="s">
        <v>4414</v>
      </c>
      <c r="H2260">
        <v>22500</v>
      </c>
      <c r="I2260">
        <v>22500</v>
      </c>
      <c r="J2260" s="21">
        <v>46054</v>
      </c>
      <c r="K2260" t="s">
        <v>99</v>
      </c>
      <c r="L2260" t="s">
        <v>68</v>
      </c>
      <c r="M2260" t="s">
        <v>69</v>
      </c>
      <c r="O2260">
        <v>0</v>
      </c>
      <c r="P2260" t="s">
        <v>388</v>
      </c>
      <c r="S2260" t="str">
        <f>TEXT(Table1[[#This Row],[Date]],"MMM-YY")</f>
        <v>Feb-26</v>
      </c>
      <c r="T2260">
        <f>_xlfn.ISOWEEKNUM(Table1[[#This Row],[Date]])</f>
        <v>8</v>
      </c>
    </row>
    <row r="2261" spans="1:20" hidden="1">
      <c r="A2261" s="1">
        <v>46072</v>
      </c>
      <c r="B2261" t="s">
        <v>4415</v>
      </c>
      <c r="C2261" t="s">
        <v>63</v>
      </c>
      <c r="D2261" t="s">
        <v>64</v>
      </c>
      <c r="E2261" t="s">
        <v>26</v>
      </c>
      <c r="F2261" t="s">
        <v>554</v>
      </c>
      <c r="G2261" s="9" t="s">
        <v>4416</v>
      </c>
      <c r="H2261">
        <v>200000</v>
      </c>
      <c r="J2261" s="21">
        <v>46082</v>
      </c>
      <c r="K2261" t="s">
        <v>67</v>
      </c>
      <c r="L2261" t="s">
        <v>9</v>
      </c>
      <c r="M2261" t="s">
        <v>9</v>
      </c>
      <c r="O2261">
        <v>0</v>
      </c>
      <c r="P2261" t="s">
        <v>388</v>
      </c>
      <c r="S2261" t="str">
        <f>TEXT(Table1[[#This Row],[Date]],"MMM-YY")</f>
        <v>Feb-26</v>
      </c>
      <c r="T2261">
        <f>_xlfn.ISOWEEKNUM(Table1[[#This Row],[Date]])</f>
        <v>8</v>
      </c>
    </row>
    <row r="2262" spans="1:20" hidden="1">
      <c r="A2262" s="1">
        <v>46072</v>
      </c>
      <c r="B2262" t="s">
        <v>4417</v>
      </c>
      <c r="C2262" t="s">
        <v>63</v>
      </c>
      <c r="D2262" t="s">
        <v>64</v>
      </c>
      <c r="E2262" t="s">
        <v>26</v>
      </c>
      <c r="F2262" t="s">
        <v>950</v>
      </c>
      <c r="G2262" s="9" t="s">
        <v>4418</v>
      </c>
      <c r="H2262">
        <v>35000</v>
      </c>
      <c r="J2262" s="21">
        <v>46113</v>
      </c>
      <c r="K2262" t="s">
        <v>67</v>
      </c>
      <c r="L2262" t="s">
        <v>567</v>
      </c>
      <c r="M2262" t="s">
        <v>3933</v>
      </c>
      <c r="O2262">
        <v>0</v>
      </c>
      <c r="P2262" t="s">
        <v>70</v>
      </c>
      <c r="S2262" t="str">
        <f>TEXT(Table1[[#This Row],[Date]],"MMM-YY")</f>
        <v>Feb-26</v>
      </c>
      <c r="T2262">
        <f>_xlfn.ISOWEEKNUM(Table1[[#This Row],[Date]])</f>
        <v>8</v>
      </c>
    </row>
    <row r="2263" spans="1:20" hidden="1">
      <c r="A2263" s="1">
        <v>46072</v>
      </c>
      <c r="B2263" t="s">
        <v>471</v>
      </c>
      <c r="C2263" t="s">
        <v>96</v>
      </c>
      <c r="D2263" t="s">
        <v>64</v>
      </c>
      <c r="E2263" t="s">
        <v>26</v>
      </c>
      <c r="F2263" t="s">
        <v>472</v>
      </c>
      <c r="G2263" s="9" t="s">
        <v>4419</v>
      </c>
      <c r="H2263">
        <v>12430</v>
      </c>
      <c r="I2263">
        <v>12430</v>
      </c>
      <c r="J2263" s="21">
        <v>46054</v>
      </c>
      <c r="K2263" t="s">
        <v>67</v>
      </c>
      <c r="L2263" t="s">
        <v>68</v>
      </c>
      <c r="M2263" t="s">
        <v>69</v>
      </c>
      <c r="O2263">
        <v>12430</v>
      </c>
      <c r="P2263" t="s">
        <v>388</v>
      </c>
      <c r="S2263" t="str">
        <f>TEXT(Table1[[#This Row],[Date]],"MMM-YY")</f>
        <v>Feb-26</v>
      </c>
      <c r="T2263">
        <f>_xlfn.ISOWEEKNUM(Table1[[#This Row],[Date]])</f>
        <v>8</v>
      </c>
    </row>
    <row r="2264" spans="1:20" hidden="1">
      <c r="A2264" s="1">
        <v>46072</v>
      </c>
      <c r="B2264" t="s">
        <v>506</v>
      </c>
      <c r="C2264" t="s">
        <v>96</v>
      </c>
      <c r="D2264" t="s">
        <v>64</v>
      </c>
      <c r="E2264" t="s">
        <v>26</v>
      </c>
      <c r="F2264" t="s">
        <v>504</v>
      </c>
      <c r="G2264" s="9" t="s">
        <v>4420</v>
      </c>
      <c r="H2264">
        <v>48360</v>
      </c>
      <c r="I2264">
        <v>48360</v>
      </c>
      <c r="J2264" s="21">
        <v>46054</v>
      </c>
      <c r="K2264" t="s">
        <v>67</v>
      </c>
      <c r="L2264" t="s">
        <v>68</v>
      </c>
      <c r="M2264" t="s">
        <v>69</v>
      </c>
      <c r="O2264">
        <v>0</v>
      </c>
      <c r="P2264" t="s">
        <v>388</v>
      </c>
      <c r="S2264" t="str">
        <f>TEXT(Table1[[#This Row],[Date]],"MMM-YY")</f>
        <v>Feb-26</v>
      </c>
      <c r="T2264">
        <f>_xlfn.ISOWEEKNUM(Table1[[#This Row],[Date]])</f>
        <v>8</v>
      </c>
    </row>
    <row r="2265" spans="1:20" hidden="1">
      <c r="A2265" s="1">
        <v>46073</v>
      </c>
      <c r="B2265" t="s">
        <v>471</v>
      </c>
      <c r="C2265" t="s">
        <v>96</v>
      </c>
      <c r="D2265" t="s">
        <v>64</v>
      </c>
      <c r="E2265" t="s">
        <v>26</v>
      </c>
      <c r="F2265" t="s">
        <v>472</v>
      </c>
      <c r="G2265" s="9" t="s">
        <v>4421</v>
      </c>
      <c r="H2265">
        <v>17050</v>
      </c>
      <c r="I2265">
        <v>17050</v>
      </c>
      <c r="J2265" s="21">
        <v>46054</v>
      </c>
      <c r="K2265" t="s">
        <v>67</v>
      </c>
      <c r="L2265" t="s">
        <v>68</v>
      </c>
      <c r="M2265" t="s">
        <v>69</v>
      </c>
      <c r="O2265">
        <v>17050</v>
      </c>
      <c r="P2265" t="s">
        <v>388</v>
      </c>
      <c r="S2265" t="str">
        <f>TEXT(Table1[[#This Row],[Date]],"MMM-YY")</f>
        <v>Feb-26</v>
      </c>
      <c r="T2265">
        <f>_xlfn.ISOWEEKNUM(Table1[[#This Row],[Date]])</f>
        <v>8</v>
      </c>
    </row>
    <row r="2266" spans="1:20" hidden="1">
      <c r="A2266" s="1">
        <v>46073</v>
      </c>
      <c r="B2266" t="s">
        <v>4221</v>
      </c>
      <c r="C2266" t="s">
        <v>96</v>
      </c>
      <c r="D2266" t="s">
        <v>64</v>
      </c>
      <c r="E2266" t="s">
        <v>21</v>
      </c>
      <c r="F2266" t="s">
        <v>1630</v>
      </c>
      <c r="G2266" s="9" t="s">
        <v>4422</v>
      </c>
      <c r="H2266">
        <v>3200</v>
      </c>
      <c r="I2266">
        <v>3200</v>
      </c>
      <c r="J2266" s="21">
        <v>46054</v>
      </c>
      <c r="K2266" t="s">
        <v>67</v>
      </c>
      <c r="L2266" t="s">
        <v>68</v>
      </c>
      <c r="M2266" t="s">
        <v>69</v>
      </c>
      <c r="O2266">
        <v>0</v>
      </c>
      <c r="P2266" t="s">
        <v>70</v>
      </c>
      <c r="S2266" t="str">
        <f>TEXT(Table1[[#This Row],[Date]],"MMM-YY")</f>
        <v>Feb-26</v>
      </c>
      <c r="T2266">
        <f>_xlfn.ISOWEEKNUM(Table1[[#This Row],[Date]])</f>
        <v>8</v>
      </c>
    </row>
    <row r="2267" spans="1:20" hidden="1">
      <c r="A2267" s="1">
        <v>46073</v>
      </c>
      <c r="B2267" t="s">
        <v>4423</v>
      </c>
      <c r="C2267" t="s">
        <v>63</v>
      </c>
      <c r="D2267" t="s">
        <v>64</v>
      </c>
      <c r="E2267" t="s">
        <v>26</v>
      </c>
      <c r="F2267" t="s">
        <v>1360</v>
      </c>
      <c r="G2267" s="9" t="s">
        <v>3723</v>
      </c>
      <c r="H2267">
        <v>0</v>
      </c>
      <c r="J2267" s="21">
        <v>46113</v>
      </c>
      <c r="K2267" t="s">
        <v>67</v>
      </c>
      <c r="L2267" t="s">
        <v>568</v>
      </c>
      <c r="M2267" t="s">
        <v>2878</v>
      </c>
      <c r="O2267">
        <v>0</v>
      </c>
      <c r="P2267" t="s">
        <v>108</v>
      </c>
      <c r="S2267" t="str">
        <f>TEXT(Table1[[#This Row],[Date]],"MMM-YY")</f>
        <v>Feb-26</v>
      </c>
      <c r="T2267">
        <f>_xlfn.ISOWEEKNUM(Table1[[#This Row],[Date]])</f>
        <v>8</v>
      </c>
    </row>
    <row r="2268" spans="1:20" hidden="1">
      <c r="A2268" s="1">
        <v>46076</v>
      </c>
      <c r="B2268" t="s">
        <v>471</v>
      </c>
      <c r="C2268" t="s">
        <v>96</v>
      </c>
      <c r="D2268" t="s">
        <v>64</v>
      </c>
      <c r="E2268" t="s">
        <v>26</v>
      </c>
      <c r="F2268" t="s">
        <v>472</v>
      </c>
      <c r="G2268" s="9" t="s">
        <v>4421</v>
      </c>
      <c r="H2268">
        <v>12560</v>
      </c>
      <c r="I2268">
        <v>12560</v>
      </c>
      <c r="J2268" s="21">
        <v>46054</v>
      </c>
      <c r="K2268" t="s">
        <v>67</v>
      </c>
      <c r="L2268" t="s">
        <v>68</v>
      </c>
      <c r="M2268" t="s">
        <v>69</v>
      </c>
      <c r="O2268">
        <v>12560</v>
      </c>
      <c r="P2268" t="s">
        <v>388</v>
      </c>
      <c r="S2268" t="str">
        <f>TEXT(Table1[[#This Row],[Date]],"MMM-YY")</f>
        <v>Feb-26</v>
      </c>
      <c r="T2268">
        <f>_xlfn.ISOWEEKNUM(Table1[[#This Row],[Date]])</f>
        <v>9</v>
      </c>
    </row>
    <row r="2269" spans="1:20" hidden="1">
      <c r="A2269" s="1">
        <v>46076</v>
      </c>
      <c r="B2269" t="s">
        <v>4399</v>
      </c>
      <c r="C2269" t="s">
        <v>63</v>
      </c>
      <c r="D2269" t="s">
        <v>64</v>
      </c>
      <c r="E2269" t="s">
        <v>26</v>
      </c>
      <c r="F2269" t="s">
        <v>545</v>
      </c>
      <c r="G2269" s="9" t="s">
        <v>4424</v>
      </c>
      <c r="H2269">
        <v>60000</v>
      </c>
      <c r="J2269" s="21">
        <v>46113</v>
      </c>
      <c r="K2269" t="s">
        <v>67</v>
      </c>
      <c r="L2269" t="s">
        <v>567</v>
      </c>
      <c r="M2269" t="s">
        <v>296</v>
      </c>
      <c r="O2269">
        <v>0</v>
      </c>
      <c r="P2269" t="s">
        <v>70</v>
      </c>
      <c r="S2269" t="str">
        <f>TEXT(Table1[[#This Row],[Date]],"MMM-YY")</f>
        <v>Feb-26</v>
      </c>
      <c r="T2269">
        <f>_xlfn.ISOWEEKNUM(Table1[[#This Row],[Date]])</f>
        <v>9</v>
      </c>
    </row>
    <row r="2270" spans="1:20" hidden="1">
      <c r="A2270" s="1">
        <v>46077</v>
      </c>
      <c r="B2270" t="s">
        <v>471</v>
      </c>
      <c r="C2270" t="s">
        <v>96</v>
      </c>
      <c r="D2270" t="s">
        <v>64</v>
      </c>
      <c r="E2270" t="s">
        <v>26</v>
      </c>
      <c r="F2270" t="s">
        <v>472</v>
      </c>
      <c r="G2270" s="9" t="s">
        <v>4425</v>
      </c>
      <c r="H2270">
        <v>15870</v>
      </c>
      <c r="I2270">
        <v>15870</v>
      </c>
      <c r="J2270" s="21">
        <v>46054</v>
      </c>
      <c r="K2270" t="s">
        <v>67</v>
      </c>
      <c r="L2270" t="s">
        <v>68</v>
      </c>
      <c r="M2270" t="s">
        <v>69</v>
      </c>
      <c r="O2270">
        <v>15870</v>
      </c>
      <c r="P2270" t="s">
        <v>388</v>
      </c>
      <c r="S2270" t="str">
        <f>TEXT(Table1[[#This Row],[Date]],"MMM-YY")</f>
        <v>Feb-26</v>
      </c>
      <c r="T2270">
        <f>_xlfn.ISOWEEKNUM(Table1[[#This Row],[Date]])</f>
        <v>9</v>
      </c>
    </row>
    <row r="2271" spans="1:20" hidden="1">
      <c r="A2271" s="1">
        <v>46077</v>
      </c>
      <c r="B2271" t="s">
        <v>553</v>
      </c>
      <c r="C2271" t="s">
        <v>96</v>
      </c>
      <c r="D2271" t="s">
        <v>64</v>
      </c>
      <c r="E2271" t="s">
        <v>26</v>
      </c>
      <c r="F2271" t="s">
        <v>472</v>
      </c>
      <c r="G2271" s="9" t="s">
        <v>4425</v>
      </c>
      <c r="H2271">
        <v>58129</v>
      </c>
      <c r="I2271">
        <v>58129</v>
      </c>
      <c r="J2271" s="21">
        <v>46054</v>
      </c>
      <c r="K2271" t="s">
        <v>67</v>
      </c>
      <c r="L2271" t="s">
        <v>68</v>
      </c>
      <c r="M2271" t="s">
        <v>69</v>
      </c>
      <c r="O2271">
        <v>58129</v>
      </c>
      <c r="P2271" t="s">
        <v>388</v>
      </c>
      <c r="S2271" t="str">
        <f>TEXT(Table1[[#This Row],[Date]],"MMM-YY")</f>
        <v>Feb-26</v>
      </c>
      <c r="T2271">
        <f>_xlfn.ISOWEEKNUM(Table1[[#This Row],[Date]])</f>
        <v>9</v>
      </c>
    </row>
    <row r="2272" spans="1:20" ht="29.1" hidden="1">
      <c r="A2272" s="1">
        <v>46077</v>
      </c>
      <c r="B2272" t="s">
        <v>536</v>
      </c>
      <c r="C2272" t="s">
        <v>96</v>
      </c>
      <c r="D2272" t="s">
        <v>64</v>
      </c>
      <c r="E2272" t="s">
        <v>26</v>
      </c>
      <c r="F2272" t="s">
        <v>537</v>
      </c>
      <c r="G2272" s="9" t="s">
        <v>4426</v>
      </c>
      <c r="H2272">
        <v>120000</v>
      </c>
      <c r="J2272" s="21">
        <v>46113</v>
      </c>
      <c r="K2272" t="s">
        <v>67</v>
      </c>
      <c r="L2272" t="s">
        <v>568</v>
      </c>
      <c r="M2272" t="s">
        <v>296</v>
      </c>
      <c r="O2272">
        <v>0</v>
      </c>
      <c r="P2272" t="s">
        <v>70</v>
      </c>
      <c r="S2272" t="str">
        <f>TEXT(Table1[[#This Row],[Date]],"MMM-YY")</f>
        <v>Feb-26</v>
      </c>
      <c r="T2272">
        <f>_xlfn.ISOWEEKNUM(Table1[[#This Row],[Date]])</f>
        <v>9</v>
      </c>
    </row>
    <row r="2273" spans="1:20" hidden="1">
      <c r="A2273" s="1">
        <v>46077</v>
      </c>
      <c r="B2273" t="s">
        <v>4427</v>
      </c>
      <c r="C2273" t="s">
        <v>96</v>
      </c>
      <c r="D2273" t="s">
        <v>64</v>
      </c>
      <c r="E2273" t="s">
        <v>26</v>
      </c>
      <c r="F2273" t="s">
        <v>396</v>
      </c>
      <c r="G2273" s="9" t="s">
        <v>4428</v>
      </c>
      <c r="H2273">
        <v>90000</v>
      </c>
      <c r="J2273" s="21">
        <v>46113</v>
      </c>
      <c r="K2273" t="s">
        <v>67</v>
      </c>
      <c r="L2273" t="s">
        <v>568</v>
      </c>
      <c r="M2273" t="s">
        <v>296</v>
      </c>
      <c r="O2273">
        <v>0</v>
      </c>
      <c r="P2273" t="s">
        <v>70</v>
      </c>
      <c r="S2273" t="str">
        <f>TEXT(Table1[[#This Row],[Date]],"MMM-YY")</f>
        <v>Feb-26</v>
      </c>
      <c r="T2273">
        <f>_xlfn.ISOWEEKNUM(Table1[[#This Row],[Date]])</f>
        <v>9</v>
      </c>
    </row>
    <row r="2274" spans="1:20" hidden="1">
      <c r="A2274" s="1">
        <v>46078</v>
      </c>
      <c r="B2274" t="s">
        <v>536</v>
      </c>
      <c r="C2274" t="s">
        <v>63</v>
      </c>
      <c r="D2274" t="s">
        <v>64</v>
      </c>
      <c r="E2274" t="s">
        <v>26</v>
      </c>
      <c r="F2274" t="s">
        <v>537</v>
      </c>
      <c r="G2274" s="9" t="s">
        <v>4429</v>
      </c>
      <c r="H2274">
        <v>90000</v>
      </c>
      <c r="J2274" s="21">
        <v>46113</v>
      </c>
      <c r="K2274" t="s">
        <v>67</v>
      </c>
      <c r="L2274" t="s">
        <v>295</v>
      </c>
      <c r="M2274" t="s">
        <v>296</v>
      </c>
      <c r="O2274">
        <v>0</v>
      </c>
      <c r="P2274" t="s">
        <v>70</v>
      </c>
      <c r="S2274" t="str">
        <f>TEXT(Table1[[#This Row],[Date]],"MMM-YY")</f>
        <v>Feb-26</v>
      </c>
      <c r="T2274">
        <f>_xlfn.ISOWEEKNUM(Table1[[#This Row],[Date]])</f>
        <v>9</v>
      </c>
    </row>
    <row r="2275" spans="1:20">
      <c r="A2275" s="1">
        <v>46078</v>
      </c>
      <c r="B2275" s="67" t="s">
        <v>95</v>
      </c>
      <c r="C2275" t="s">
        <v>96</v>
      </c>
      <c r="D2275" t="s">
        <v>64</v>
      </c>
      <c r="E2275" t="s">
        <v>38</v>
      </c>
      <c r="F2275" t="s">
        <v>97</v>
      </c>
      <c r="G2275" s="69" t="s">
        <v>4430</v>
      </c>
      <c r="H2275">
        <v>21312</v>
      </c>
      <c r="I2275">
        <v>21312</v>
      </c>
      <c r="J2275" s="21">
        <v>46054</v>
      </c>
      <c r="K2275" t="s">
        <v>99</v>
      </c>
      <c r="L2275" t="s">
        <v>68</v>
      </c>
      <c r="M2275" t="s">
        <v>69</v>
      </c>
      <c r="O2275">
        <v>0</v>
      </c>
      <c r="P2275" t="s">
        <v>388</v>
      </c>
      <c r="S2275" t="str">
        <f>TEXT(Table1[[#This Row],[Date]],"MMM-YY")</f>
        <v>Feb-26</v>
      </c>
      <c r="T2275">
        <f>_xlfn.ISOWEEKNUM(Table1[[#This Row],[Date]])</f>
        <v>9</v>
      </c>
    </row>
    <row r="2276" spans="1:20" hidden="1">
      <c r="A2276" s="1">
        <v>46078</v>
      </c>
      <c r="B2276" t="s">
        <v>471</v>
      </c>
      <c r="C2276" t="s">
        <v>96</v>
      </c>
      <c r="D2276" t="s">
        <v>64</v>
      </c>
      <c r="E2276" t="s">
        <v>26</v>
      </c>
      <c r="F2276" t="s">
        <v>472</v>
      </c>
      <c r="G2276" s="9" t="s">
        <v>4431</v>
      </c>
      <c r="H2276">
        <v>18470</v>
      </c>
      <c r="I2276">
        <v>18470</v>
      </c>
      <c r="J2276" s="21">
        <v>46054</v>
      </c>
      <c r="K2276" t="s">
        <v>67</v>
      </c>
      <c r="L2276" t="s">
        <v>68</v>
      </c>
      <c r="M2276" t="s">
        <v>69</v>
      </c>
      <c r="O2276">
        <v>18470</v>
      </c>
      <c r="P2276" t="s">
        <v>388</v>
      </c>
      <c r="S2276" t="str">
        <f>TEXT(Table1[[#This Row],[Date]],"MMM-YY")</f>
        <v>Feb-26</v>
      </c>
      <c r="T2276">
        <f>_xlfn.ISOWEEKNUM(Table1[[#This Row],[Date]])</f>
        <v>9</v>
      </c>
    </row>
    <row r="2277" spans="1:20" hidden="1">
      <c r="A2277" s="1">
        <v>46078</v>
      </c>
      <c r="B2277" t="s">
        <v>553</v>
      </c>
      <c r="C2277" t="s">
        <v>96</v>
      </c>
      <c r="D2277" t="s">
        <v>64</v>
      </c>
      <c r="E2277" t="s">
        <v>26</v>
      </c>
      <c r="F2277" t="s">
        <v>472</v>
      </c>
      <c r="G2277" s="9" t="s">
        <v>4431</v>
      </c>
      <c r="H2277">
        <v>57600</v>
      </c>
      <c r="I2277">
        <v>57600</v>
      </c>
      <c r="J2277" s="21">
        <v>46054</v>
      </c>
      <c r="K2277" t="s">
        <v>67</v>
      </c>
      <c r="L2277" t="s">
        <v>68</v>
      </c>
      <c r="M2277" t="s">
        <v>69</v>
      </c>
      <c r="O2277">
        <v>57600</v>
      </c>
      <c r="P2277" t="s">
        <v>388</v>
      </c>
      <c r="S2277" t="str">
        <f>TEXT(Table1[[#This Row],[Date]],"MMM-YY")</f>
        <v>Feb-26</v>
      </c>
      <c r="T2277">
        <f>_xlfn.ISOWEEKNUM(Table1[[#This Row],[Date]])</f>
        <v>9</v>
      </c>
    </row>
    <row r="2278" spans="1:20" hidden="1">
      <c r="A2278" s="1">
        <v>46078</v>
      </c>
      <c r="B2278" t="s">
        <v>385</v>
      </c>
      <c r="C2278" t="s">
        <v>63</v>
      </c>
      <c r="D2278" t="s">
        <v>64</v>
      </c>
      <c r="E2278" t="s">
        <v>26</v>
      </c>
      <c r="F2278" t="s">
        <v>386</v>
      </c>
      <c r="G2278" s="9" t="s">
        <v>4432</v>
      </c>
      <c r="H2278">
        <v>42930</v>
      </c>
      <c r="I2278">
        <v>42930</v>
      </c>
      <c r="J2278" s="21">
        <v>46054</v>
      </c>
      <c r="K2278" t="s">
        <v>67</v>
      </c>
      <c r="L2278" t="s">
        <v>68</v>
      </c>
      <c r="M2278" t="s">
        <v>69</v>
      </c>
      <c r="O2278">
        <v>42930</v>
      </c>
      <c r="P2278" t="s">
        <v>388</v>
      </c>
      <c r="S2278" t="str">
        <f>TEXT(Table1[[#This Row],[Date]],"MMM-YY")</f>
        <v>Feb-26</v>
      </c>
      <c r="T2278">
        <f>_xlfn.ISOWEEKNUM(Table1[[#This Row],[Date]])</f>
        <v>9</v>
      </c>
    </row>
    <row r="2279" spans="1:20" hidden="1">
      <c r="A2279" s="1">
        <v>46079</v>
      </c>
      <c r="B2279" t="s">
        <v>4433</v>
      </c>
      <c r="C2279" t="s">
        <v>63</v>
      </c>
      <c r="D2279" t="s">
        <v>64</v>
      </c>
      <c r="E2279" t="s">
        <v>26</v>
      </c>
      <c r="F2279" t="s">
        <v>396</v>
      </c>
      <c r="G2279" s="9" t="s">
        <v>4434</v>
      </c>
      <c r="H2279">
        <v>120000</v>
      </c>
      <c r="J2279" s="21">
        <v>46113</v>
      </c>
      <c r="K2279" t="s">
        <v>67</v>
      </c>
      <c r="L2279" t="s">
        <v>295</v>
      </c>
      <c r="M2279" t="s">
        <v>296</v>
      </c>
      <c r="O2279">
        <v>80000</v>
      </c>
      <c r="P2279" t="s">
        <v>70</v>
      </c>
      <c r="S2279" t="str">
        <f>TEXT(Table1[[#This Row],[Date]],"MMM-YY")</f>
        <v>Feb-26</v>
      </c>
      <c r="T2279">
        <f>_xlfn.ISOWEEKNUM(Table1[[#This Row],[Date]])</f>
        <v>9</v>
      </c>
    </row>
    <row r="2280" spans="1:20" hidden="1">
      <c r="A2280" s="1">
        <v>46079</v>
      </c>
      <c r="B2280" t="s">
        <v>471</v>
      </c>
      <c r="C2280" t="s">
        <v>96</v>
      </c>
      <c r="D2280" t="s">
        <v>64</v>
      </c>
      <c r="E2280" t="s">
        <v>26</v>
      </c>
      <c r="F2280" t="s">
        <v>472</v>
      </c>
      <c r="G2280" s="9" t="s">
        <v>4435</v>
      </c>
      <c r="H2280">
        <v>9207</v>
      </c>
      <c r="I2280">
        <v>9207</v>
      </c>
      <c r="J2280" s="21">
        <v>46054</v>
      </c>
      <c r="K2280" t="s">
        <v>67</v>
      </c>
      <c r="L2280" t="s">
        <v>68</v>
      </c>
      <c r="M2280" t="s">
        <v>69</v>
      </c>
      <c r="O2280">
        <v>9207</v>
      </c>
      <c r="P2280" t="s">
        <v>388</v>
      </c>
      <c r="S2280" t="str">
        <f>TEXT(Table1[[#This Row],[Date]],"MMM-YY")</f>
        <v>Feb-26</v>
      </c>
      <c r="T2280">
        <f>_xlfn.ISOWEEKNUM(Table1[[#This Row],[Date]])</f>
        <v>9</v>
      </c>
    </row>
    <row r="2281" spans="1:20" hidden="1">
      <c r="A2281" s="1">
        <v>46079</v>
      </c>
      <c r="B2281" t="s">
        <v>553</v>
      </c>
      <c r="C2281" t="s">
        <v>63</v>
      </c>
      <c r="D2281" t="s">
        <v>64</v>
      </c>
      <c r="E2281" t="s">
        <v>26</v>
      </c>
      <c r="F2281" t="s">
        <v>472</v>
      </c>
      <c r="G2281" s="9" t="s">
        <v>4435</v>
      </c>
      <c r="H2281">
        <v>37600</v>
      </c>
      <c r="I2281">
        <v>37600</v>
      </c>
      <c r="J2281" s="21">
        <v>46054</v>
      </c>
      <c r="K2281" t="s">
        <v>67</v>
      </c>
      <c r="L2281" t="s">
        <v>68</v>
      </c>
      <c r="M2281" t="s">
        <v>69</v>
      </c>
      <c r="O2281">
        <v>37600</v>
      </c>
      <c r="P2281" t="s">
        <v>388</v>
      </c>
      <c r="S2281" t="str">
        <f>TEXT(Table1[[#This Row],[Date]],"MMM-YY")</f>
        <v>Feb-26</v>
      </c>
      <c r="T2281">
        <f>_xlfn.ISOWEEKNUM(Table1[[#This Row],[Date]])</f>
        <v>9</v>
      </c>
    </row>
    <row r="2282" spans="1:20" hidden="1">
      <c r="A2282" s="1">
        <v>46079</v>
      </c>
      <c r="B2282" t="s">
        <v>385</v>
      </c>
      <c r="C2282" t="s">
        <v>63</v>
      </c>
      <c r="D2282" t="s">
        <v>64</v>
      </c>
      <c r="E2282" t="s">
        <v>26</v>
      </c>
      <c r="F2282" t="s">
        <v>386</v>
      </c>
      <c r="G2282" s="9" t="s">
        <v>4436</v>
      </c>
      <c r="H2282">
        <v>52500</v>
      </c>
      <c r="I2282">
        <v>52500</v>
      </c>
      <c r="J2282" s="21">
        <v>46054</v>
      </c>
      <c r="K2282" t="s">
        <v>67</v>
      </c>
      <c r="L2282" t="s">
        <v>68</v>
      </c>
      <c r="M2282" t="s">
        <v>69</v>
      </c>
      <c r="O2282">
        <v>52500</v>
      </c>
      <c r="P2282" t="s">
        <v>388</v>
      </c>
      <c r="S2282" t="str">
        <f>TEXT(Table1[[#This Row],[Date]],"MMM-YY")</f>
        <v>Feb-26</v>
      </c>
      <c r="T2282">
        <f>_xlfn.ISOWEEKNUM(Table1[[#This Row],[Date]])</f>
        <v>9</v>
      </c>
    </row>
    <row r="2283" spans="1:20" hidden="1">
      <c r="A2283" s="1">
        <v>46080</v>
      </c>
      <c r="B2283" t="s">
        <v>471</v>
      </c>
      <c r="C2283" t="s">
        <v>96</v>
      </c>
      <c r="D2283" t="s">
        <v>64</v>
      </c>
      <c r="E2283" t="s">
        <v>26</v>
      </c>
      <c r="F2283" t="s">
        <v>472</v>
      </c>
      <c r="G2283" s="9" t="s">
        <v>4437</v>
      </c>
      <c r="H2283">
        <v>9207</v>
      </c>
      <c r="I2283">
        <v>9207</v>
      </c>
      <c r="J2283" s="21">
        <v>46054</v>
      </c>
      <c r="K2283" t="s">
        <v>67</v>
      </c>
      <c r="L2283" t="s">
        <v>68</v>
      </c>
      <c r="M2283" t="s">
        <v>69</v>
      </c>
      <c r="O2283">
        <v>9207</v>
      </c>
      <c r="P2283" t="s">
        <v>388</v>
      </c>
      <c r="S2283" t="str">
        <f>TEXT(Table1[[#This Row],[Date]],"MMM-YY")</f>
        <v>Feb-26</v>
      </c>
      <c r="T2283">
        <f>_xlfn.ISOWEEKNUM(Table1[[#This Row],[Date]])</f>
        <v>9</v>
      </c>
    </row>
    <row r="2284" spans="1:20" hidden="1">
      <c r="A2284" s="1">
        <v>46080</v>
      </c>
      <c r="B2284" t="s">
        <v>553</v>
      </c>
      <c r="C2284" t="s">
        <v>63</v>
      </c>
      <c r="D2284" t="s">
        <v>64</v>
      </c>
      <c r="E2284" t="s">
        <v>26</v>
      </c>
      <c r="F2284" t="s">
        <v>472</v>
      </c>
      <c r="G2284" s="9" t="s">
        <v>4437</v>
      </c>
      <c r="H2284">
        <v>35500</v>
      </c>
      <c r="I2284">
        <v>35500</v>
      </c>
      <c r="J2284" s="21">
        <v>46054</v>
      </c>
      <c r="K2284" t="s">
        <v>67</v>
      </c>
      <c r="L2284" t="s">
        <v>68</v>
      </c>
      <c r="M2284" t="s">
        <v>69</v>
      </c>
      <c r="O2284">
        <v>35500</v>
      </c>
      <c r="P2284" t="s">
        <v>388</v>
      </c>
      <c r="S2284" t="str">
        <f>TEXT(Table1[[#This Row],[Date]],"MMM-YY")</f>
        <v>Feb-26</v>
      </c>
      <c r="T2284">
        <f>_xlfn.ISOWEEKNUM(Table1[[#This Row],[Date]])</f>
        <v>9</v>
      </c>
    </row>
    <row r="2285" spans="1:20" hidden="1">
      <c r="A2285" s="1">
        <v>46081</v>
      </c>
      <c r="B2285" t="s">
        <v>471</v>
      </c>
      <c r="C2285" t="s">
        <v>96</v>
      </c>
      <c r="D2285" t="s">
        <v>64</v>
      </c>
      <c r="E2285" t="s">
        <v>26</v>
      </c>
      <c r="F2285" t="s">
        <v>472</v>
      </c>
      <c r="G2285" s="9" t="s">
        <v>4438</v>
      </c>
      <c r="H2285">
        <v>5530</v>
      </c>
      <c r="I2285">
        <v>5530</v>
      </c>
      <c r="J2285" s="21">
        <v>46054</v>
      </c>
      <c r="K2285" t="s">
        <v>67</v>
      </c>
      <c r="L2285" t="s">
        <v>68</v>
      </c>
      <c r="M2285" t="s">
        <v>69</v>
      </c>
      <c r="O2285">
        <v>5530</v>
      </c>
      <c r="P2285" t="s">
        <v>388</v>
      </c>
      <c r="S2285" t="str">
        <f>TEXT(Table1[[#This Row],[Date]],"MMM-YY")</f>
        <v>Feb-26</v>
      </c>
      <c r="T2285">
        <f>_xlfn.ISOWEEKNUM(Table1[[#This Row],[Date]])</f>
        <v>9</v>
      </c>
    </row>
    <row r="2286" spans="1:20" hidden="1">
      <c r="A2286" s="1">
        <v>46081</v>
      </c>
      <c r="B2286" t="s">
        <v>553</v>
      </c>
      <c r="C2286" t="s">
        <v>63</v>
      </c>
      <c r="D2286" t="s">
        <v>64</v>
      </c>
      <c r="E2286" t="s">
        <v>26</v>
      </c>
      <c r="F2286" t="s">
        <v>554</v>
      </c>
      <c r="G2286" s="9" t="s">
        <v>4438</v>
      </c>
      <c r="H2286">
        <v>27300</v>
      </c>
      <c r="I2286">
        <v>27300</v>
      </c>
      <c r="J2286" s="21">
        <v>46054</v>
      </c>
      <c r="K2286" t="s">
        <v>67</v>
      </c>
      <c r="L2286" t="s">
        <v>68</v>
      </c>
      <c r="M2286" t="s">
        <v>69</v>
      </c>
      <c r="O2286">
        <v>27300</v>
      </c>
      <c r="P2286" t="s">
        <v>388</v>
      </c>
      <c r="S2286" t="str">
        <f>TEXT(Table1[[#This Row],[Date]],"MMM-YY")</f>
        <v>Feb-26</v>
      </c>
      <c r="T2286">
        <f>_xlfn.ISOWEEKNUM(Table1[[#This Row],[Date]])</f>
        <v>9</v>
      </c>
    </row>
    <row r="2287" spans="1:20" hidden="1">
      <c r="A2287" s="1">
        <v>46083</v>
      </c>
      <c r="B2287" t="s">
        <v>471</v>
      </c>
      <c r="C2287" t="s">
        <v>96</v>
      </c>
      <c r="D2287" t="s">
        <v>64</v>
      </c>
      <c r="E2287" t="s">
        <v>26</v>
      </c>
      <c r="F2287" t="s">
        <v>472</v>
      </c>
      <c r="G2287" s="9" t="s">
        <v>561</v>
      </c>
      <c r="H2287">
        <v>8571</v>
      </c>
      <c r="I2287">
        <v>8571</v>
      </c>
      <c r="J2287" s="21">
        <v>46082</v>
      </c>
      <c r="K2287" t="s">
        <v>67</v>
      </c>
      <c r="L2287" t="s">
        <v>68</v>
      </c>
      <c r="M2287" t="s">
        <v>69</v>
      </c>
      <c r="O2287">
        <v>8571</v>
      </c>
      <c r="P2287" t="s">
        <v>388</v>
      </c>
      <c r="S2287" t="str">
        <f>TEXT(Table1[[#This Row],[Date]],"MMM-YY")</f>
        <v>Mar-26</v>
      </c>
      <c r="T2287">
        <f>_xlfn.ISOWEEKNUM(Table1[[#This Row],[Date]])</f>
        <v>10</v>
      </c>
    </row>
    <row r="2288" spans="1:20" hidden="1">
      <c r="A2288" s="1">
        <v>46084</v>
      </c>
      <c r="B2288" t="s">
        <v>471</v>
      </c>
      <c r="C2288" t="s">
        <v>96</v>
      </c>
      <c r="D2288" t="s">
        <v>64</v>
      </c>
      <c r="E2288" t="s">
        <v>26</v>
      </c>
      <c r="F2288" t="s">
        <v>472</v>
      </c>
      <c r="G2288" s="9" t="s">
        <v>560</v>
      </c>
      <c r="H2288">
        <v>15500</v>
      </c>
      <c r="I2288">
        <v>15500</v>
      </c>
      <c r="J2288" s="21">
        <v>46082</v>
      </c>
      <c r="K2288" t="s">
        <v>67</v>
      </c>
      <c r="L2288" t="s">
        <v>68</v>
      </c>
      <c r="M2288" t="s">
        <v>69</v>
      </c>
      <c r="O2288">
        <v>15500</v>
      </c>
      <c r="P2288" t="s">
        <v>388</v>
      </c>
      <c r="S2288" t="str">
        <f>TEXT(Table1[[#This Row],[Date]],"MMM-YY")</f>
        <v>Mar-26</v>
      </c>
      <c r="T2288">
        <f>_xlfn.ISOWEEKNUM(Table1[[#This Row],[Date]])</f>
        <v>10</v>
      </c>
    </row>
    <row r="2289" spans="1:20" hidden="1">
      <c r="A2289" s="1">
        <v>46084</v>
      </c>
      <c r="B2289" t="s">
        <v>553</v>
      </c>
      <c r="C2289" t="s">
        <v>96</v>
      </c>
      <c r="D2289" t="s">
        <v>64</v>
      </c>
      <c r="E2289" t="s">
        <v>26</v>
      </c>
      <c r="F2289" t="s">
        <v>554</v>
      </c>
      <c r="G2289" s="9" t="s">
        <v>560</v>
      </c>
      <c r="H2289">
        <v>37500</v>
      </c>
      <c r="I2289">
        <v>37500</v>
      </c>
      <c r="J2289" s="21">
        <v>46082</v>
      </c>
      <c r="K2289" t="s">
        <v>67</v>
      </c>
      <c r="L2289" t="s">
        <v>68</v>
      </c>
      <c r="M2289" t="s">
        <v>69</v>
      </c>
      <c r="O2289">
        <v>37500</v>
      </c>
      <c r="P2289" t="s">
        <v>388</v>
      </c>
      <c r="S2289" t="str">
        <f>TEXT(Table1[[#This Row],[Date]],"MMM-YY")</f>
        <v>Mar-26</v>
      </c>
      <c r="T2289">
        <f>_xlfn.ISOWEEKNUM(Table1[[#This Row],[Date]])</f>
        <v>10</v>
      </c>
    </row>
    <row r="2290" spans="1:20" hidden="1">
      <c r="A2290" s="1">
        <v>46085</v>
      </c>
      <c r="B2290" t="s">
        <v>471</v>
      </c>
      <c r="C2290" t="s">
        <v>96</v>
      </c>
      <c r="D2290" t="s">
        <v>64</v>
      </c>
      <c r="E2290" t="s">
        <v>26</v>
      </c>
      <c r="F2290" t="s">
        <v>472</v>
      </c>
      <c r="G2290" s="9" t="s">
        <v>559</v>
      </c>
      <c r="H2290">
        <v>10500</v>
      </c>
      <c r="I2290">
        <v>10500</v>
      </c>
      <c r="J2290" s="21">
        <v>46082</v>
      </c>
      <c r="K2290" t="s">
        <v>67</v>
      </c>
      <c r="L2290" t="s">
        <v>68</v>
      </c>
      <c r="M2290" t="s">
        <v>69</v>
      </c>
      <c r="O2290">
        <v>10500</v>
      </c>
      <c r="P2290" t="s">
        <v>388</v>
      </c>
      <c r="S2290" t="str">
        <f>TEXT(Table1[[#This Row],[Date]],"MMM-YY")</f>
        <v>Mar-26</v>
      </c>
      <c r="T2290">
        <f>_xlfn.ISOWEEKNUM(Table1[[#This Row],[Date]])</f>
        <v>10</v>
      </c>
    </row>
    <row r="2291" spans="1:20" hidden="1">
      <c r="A2291" s="1">
        <v>46085</v>
      </c>
      <c r="B2291" t="s">
        <v>553</v>
      </c>
      <c r="C2291" t="s">
        <v>96</v>
      </c>
      <c r="D2291" t="s">
        <v>64</v>
      </c>
      <c r="E2291" t="s">
        <v>26</v>
      </c>
      <c r="F2291" t="s">
        <v>554</v>
      </c>
      <c r="G2291" s="9" t="s">
        <v>559</v>
      </c>
      <c r="H2291">
        <v>29600</v>
      </c>
      <c r="I2291">
        <v>29600</v>
      </c>
      <c r="J2291" s="21">
        <v>46082</v>
      </c>
      <c r="K2291" t="s">
        <v>67</v>
      </c>
      <c r="L2291" t="s">
        <v>68</v>
      </c>
      <c r="M2291" t="s">
        <v>69</v>
      </c>
      <c r="O2291">
        <v>29600</v>
      </c>
      <c r="P2291" t="s">
        <v>388</v>
      </c>
      <c r="S2291" t="str">
        <f>TEXT(Table1[[#This Row],[Date]],"MMM-YY")</f>
        <v>Mar-26</v>
      </c>
      <c r="T2291">
        <f>_xlfn.ISOWEEKNUM(Table1[[#This Row],[Date]])</f>
        <v>10</v>
      </c>
    </row>
    <row r="2292" spans="1:20">
      <c r="A2292" s="1">
        <v>46085</v>
      </c>
      <c r="B2292" s="67" t="s">
        <v>95</v>
      </c>
      <c r="C2292" t="s">
        <v>96</v>
      </c>
      <c r="D2292" t="s">
        <v>64</v>
      </c>
      <c r="E2292" t="s">
        <v>38</v>
      </c>
      <c r="F2292" t="s">
        <v>97</v>
      </c>
      <c r="G2292" s="69" t="s">
        <v>558</v>
      </c>
      <c r="H2292">
        <v>18333</v>
      </c>
      <c r="I2292">
        <v>18333</v>
      </c>
      <c r="J2292" s="21">
        <v>46082</v>
      </c>
      <c r="K2292" t="s">
        <v>99</v>
      </c>
      <c r="L2292" t="s">
        <v>68</v>
      </c>
      <c r="M2292" t="s">
        <v>69</v>
      </c>
      <c r="O2292">
        <v>0</v>
      </c>
      <c r="P2292" t="s">
        <v>70</v>
      </c>
      <c r="S2292" t="str">
        <f>TEXT(Table1[[#This Row],[Date]],"MMM-YY")</f>
        <v>Mar-26</v>
      </c>
      <c r="T2292">
        <f>_xlfn.ISOWEEKNUM(Table1[[#This Row],[Date]])</f>
        <v>10</v>
      </c>
    </row>
    <row r="2293" spans="1:20" hidden="1">
      <c r="A2293" s="1">
        <v>46086</v>
      </c>
      <c r="B2293" t="s">
        <v>471</v>
      </c>
      <c r="C2293" t="s">
        <v>96</v>
      </c>
      <c r="D2293" t="s">
        <v>64</v>
      </c>
      <c r="E2293" t="s">
        <v>26</v>
      </c>
      <c r="F2293" t="s">
        <v>472</v>
      </c>
      <c r="G2293" s="9" t="s">
        <v>557</v>
      </c>
      <c r="H2293">
        <v>11398</v>
      </c>
      <c r="I2293">
        <v>11398</v>
      </c>
      <c r="J2293" s="21">
        <v>46082</v>
      </c>
      <c r="K2293" t="s">
        <v>67</v>
      </c>
      <c r="L2293" t="s">
        <v>68</v>
      </c>
      <c r="M2293" t="s">
        <v>69</v>
      </c>
      <c r="O2293">
        <v>11398</v>
      </c>
      <c r="P2293" t="s">
        <v>388</v>
      </c>
      <c r="S2293" t="str">
        <f>TEXT(Table1[[#This Row],[Date]],"MMM-YY")</f>
        <v>Mar-26</v>
      </c>
      <c r="T2293">
        <f>_xlfn.ISOWEEKNUM(Table1[[#This Row],[Date]])</f>
        <v>10</v>
      </c>
    </row>
    <row r="2294" spans="1:20" hidden="1">
      <c r="A2294" s="1">
        <v>46086</v>
      </c>
      <c r="B2294" t="s">
        <v>553</v>
      </c>
      <c r="C2294" t="s">
        <v>96</v>
      </c>
      <c r="D2294" t="s">
        <v>64</v>
      </c>
      <c r="E2294" t="s">
        <v>26</v>
      </c>
      <c r="F2294" t="s">
        <v>554</v>
      </c>
      <c r="G2294" s="9" t="s">
        <v>557</v>
      </c>
      <c r="H2294">
        <v>34560</v>
      </c>
      <c r="I2294">
        <v>34560</v>
      </c>
      <c r="J2294" s="21">
        <v>46082</v>
      </c>
      <c r="K2294" t="s">
        <v>67</v>
      </c>
      <c r="L2294" t="s">
        <v>68</v>
      </c>
      <c r="M2294" t="s">
        <v>69</v>
      </c>
      <c r="O2294">
        <v>34560</v>
      </c>
      <c r="P2294" t="s">
        <v>388</v>
      </c>
      <c r="S2294" t="str">
        <f>TEXT(Table1[[#This Row],[Date]],"MMM-YY")</f>
        <v>Mar-26</v>
      </c>
      <c r="T2294">
        <f>_xlfn.ISOWEEKNUM(Table1[[#This Row],[Date]])</f>
        <v>10</v>
      </c>
    </row>
    <row r="2295" spans="1:20" hidden="1">
      <c r="A2295" s="1">
        <v>46086</v>
      </c>
      <c r="B2295" t="s">
        <v>506</v>
      </c>
      <c r="C2295" t="s">
        <v>96</v>
      </c>
      <c r="D2295" t="s">
        <v>64</v>
      </c>
      <c r="E2295" t="s">
        <v>26</v>
      </c>
      <c r="F2295" t="s">
        <v>504</v>
      </c>
      <c r="G2295" s="9" t="s">
        <v>556</v>
      </c>
      <c r="H2295">
        <v>22080</v>
      </c>
      <c r="I2295">
        <v>22080</v>
      </c>
      <c r="J2295" s="21">
        <v>46082</v>
      </c>
      <c r="K2295" t="s">
        <v>67</v>
      </c>
      <c r="L2295" t="s">
        <v>68</v>
      </c>
      <c r="M2295" t="s">
        <v>69</v>
      </c>
      <c r="O2295">
        <v>22080</v>
      </c>
      <c r="P2295" t="s">
        <v>388</v>
      </c>
      <c r="S2295" t="str">
        <f>TEXT(Table1[[#This Row],[Date]],"MMM-YY")</f>
        <v>Mar-26</v>
      </c>
      <c r="T2295">
        <f>_xlfn.ISOWEEKNUM(Table1[[#This Row],[Date]])</f>
        <v>10</v>
      </c>
    </row>
    <row r="2296" spans="1:20" hidden="1">
      <c r="A2296" s="1">
        <v>46086</v>
      </c>
      <c r="B2296" t="s">
        <v>503</v>
      </c>
      <c r="C2296" t="s">
        <v>96</v>
      </c>
      <c r="D2296" t="s">
        <v>64</v>
      </c>
      <c r="E2296" t="s">
        <v>26</v>
      </c>
      <c r="F2296" t="s">
        <v>504</v>
      </c>
      <c r="G2296" s="9" t="s">
        <v>556</v>
      </c>
      <c r="H2296">
        <v>22520</v>
      </c>
      <c r="I2296">
        <v>22520</v>
      </c>
      <c r="J2296" s="21">
        <v>46082</v>
      </c>
      <c r="K2296" t="s">
        <v>67</v>
      </c>
      <c r="L2296" t="s">
        <v>68</v>
      </c>
      <c r="M2296" t="s">
        <v>69</v>
      </c>
      <c r="O2296">
        <v>22520</v>
      </c>
      <c r="P2296" t="s">
        <v>388</v>
      </c>
      <c r="S2296" t="str">
        <f>TEXT(Table1[[#This Row],[Date]],"MMM-YY")</f>
        <v>Mar-26</v>
      </c>
      <c r="T2296">
        <f>_xlfn.ISOWEEKNUM(Table1[[#This Row],[Date]])</f>
        <v>10</v>
      </c>
    </row>
    <row r="2297" spans="1:20" hidden="1">
      <c r="A2297" s="1">
        <v>46087</v>
      </c>
      <c r="B2297" t="s">
        <v>471</v>
      </c>
      <c r="C2297" t="s">
        <v>96</v>
      </c>
      <c r="D2297" t="s">
        <v>64</v>
      </c>
      <c r="E2297" t="s">
        <v>26</v>
      </c>
      <c r="F2297" t="s">
        <v>472</v>
      </c>
      <c r="G2297" s="9" t="s">
        <v>555</v>
      </c>
      <c r="H2297">
        <v>5124</v>
      </c>
      <c r="I2297">
        <v>5124</v>
      </c>
      <c r="J2297" s="21">
        <v>46082</v>
      </c>
      <c r="K2297" t="s">
        <v>67</v>
      </c>
      <c r="L2297" t="s">
        <v>68</v>
      </c>
      <c r="M2297" t="s">
        <v>69</v>
      </c>
      <c r="O2297">
        <v>5124</v>
      </c>
      <c r="P2297" t="s">
        <v>388</v>
      </c>
      <c r="S2297" t="str">
        <f>TEXT(Table1[[#This Row],[Date]],"MMM-YY")</f>
        <v>Mar-26</v>
      </c>
      <c r="T2297">
        <f>_xlfn.ISOWEEKNUM(Table1[[#This Row],[Date]])</f>
        <v>10</v>
      </c>
    </row>
    <row r="2298" spans="1:20" hidden="1">
      <c r="A2298" s="1">
        <v>46087</v>
      </c>
      <c r="B2298" t="s">
        <v>553</v>
      </c>
      <c r="C2298" t="s">
        <v>96</v>
      </c>
      <c r="D2298" t="s">
        <v>64</v>
      </c>
      <c r="E2298" t="s">
        <v>26</v>
      </c>
      <c r="F2298" t="s">
        <v>554</v>
      </c>
      <c r="G2298" s="9" t="s">
        <v>555</v>
      </c>
      <c r="H2298">
        <v>32080</v>
      </c>
      <c r="I2298">
        <v>32080</v>
      </c>
      <c r="J2298" s="21">
        <v>46082</v>
      </c>
      <c r="K2298" t="s">
        <v>67</v>
      </c>
      <c r="L2298" t="s">
        <v>68</v>
      </c>
      <c r="M2298" t="s">
        <v>69</v>
      </c>
      <c r="O2298">
        <v>32080</v>
      </c>
      <c r="P2298" t="s">
        <v>388</v>
      </c>
      <c r="S2298" t="str">
        <f>TEXT(Table1[[#This Row],[Date]],"MMM-YY")</f>
        <v>Mar-26</v>
      </c>
      <c r="T2298">
        <f>_xlfn.ISOWEEKNUM(Table1[[#This Row],[Date]])</f>
        <v>10</v>
      </c>
    </row>
    <row r="2299" spans="1:20" hidden="1">
      <c r="A2299" s="1">
        <v>46087</v>
      </c>
      <c r="B2299" t="s">
        <v>506</v>
      </c>
      <c r="C2299" t="s">
        <v>96</v>
      </c>
      <c r="D2299" t="s">
        <v>64</v>
      </c>
      <c r="E2299" t="s">
        <v>26</v>
      </c>
      <c r="F2299" t="s">
        <v>504</v>
      </c>
      <c r="G2299" s="9" t="s">
        <v>552</v>
      </c>
      <c r="H2299">
        <v>15880</v>
      </c>
      <c r="I2299">
        <v>15880</v>
      </c>
      <c r="J2299" s="21">
        <v>46082</v>
      </c>
      <c r="K2299" t="s">
        <v>67</v>
      </c>
      <c r="L2299" t="s">
        <v>68</v>
      </c>
      <c r="M2299" t="s">
        <v>69</v>
      </c>
      <c r="O2299">
        <v>15880</v>
      </c>
      <c r="P2299" t="s">
        <v>388</v>
      </c>
      <c r="S2299" t="str">
        <f>TEXT(Table1[[#This Row],[Date]],"MMM-YY")</f>
        <v>Mar-26</v>
      </c>
      <c r="T2299">
        <f>_xlfn.ISOWEEKNUM(Table1[[#This Row],[Date]])</f>
        <v>10</v>
      </c>
    </row>
    <row r="2300" spans="1:20" hidden="1">
      <c r="A2300" s="1">
        <v>46087</v>
      </c>
      <c r="B2300" t="s">
        <v>503</v>
      </c>
      <c r="C2300" t="s">
        <v>96</v>
      </c>
      <c r="D2300" t="s">
        <v>64</v>
      </c>
      <c r="E2300" t="s">
        <v>26</v>
      </c>
      <c r="F2300" t="s">
        <v>504</v>
      </c>
      <c r="G2300" s="9" t="s">
        <v>552</v>
      </c>
      <c r="H2300">
        <v>11240</v>
      </c>
      <c r="I2300">
        <v>11240</v>
      </c>
      <c r="J2300" s="21">
        <v>46082</v>
      </c>
      <c r="K2300" t="s">
        <v>67</v>
      </c>
      <c r="L2300" t="s">
        <v>68</v>
      </c>
      <c r="M2300" t="s">
        <v>69</v>
      </c>
      <c r="O2300">
        <v>11240</v>
      </c>
      <c r="P2300" t="s">
        <v>388</v>
      </c>
      <c r="S2300" t="str">
        <f>TEXT(Table1[[#This Row],[Date]],"MMM-YY")</f>
        <v>Mar-26</v>
      </c>
      <c r="T2300">
        <f>_xlfn.ISOWEEKNUM(Table1[[#This Row],[Date]])</f>
        <v>10</v>
      </c>
    </row>
    <row r="2301" spans="1:20" hidden="1">
      <c r="A2301" s="1">
        <v>46088</v>
      </c>
      <c r="B2301" t="s">
        <v>549</v>
      </c>
      <c r="C2301" t="s">
        <v>63</v>
      </c>
      <c r="D2301" t="s">
        <v>64</v>
      </c>
      <c r="E2301" t="s">
        <v>33</v>
      </c>
      <c r="F2301" t="s">
        <v>550</v>
      </c>
      <c r="G2301" s="9" t="s">
        <v>551</v>
      </c>
      <c r="H2301">
        <v>56827</v>
      </c>
      <c r="I2301">
        <v>56827</v>
      </c>
      <c r="J2301" s="21">
        <v>46082</v>
      </c>
      <c r="K2301" t="s">
        <v>67</v>
      </c>
      <c r="L2301" t="s">
        <v>68</v>
      </c>
      <c r="M2301" t="s">
        <v>69</v>
      </c>
      <c r="O2301">
        <v>0</v>
      </c>
      <c r="P2301" t="s">
        <v>70</v>
      </c>
      <c r="S2301" t="str">
        <f>TEXT(Table1[[#This Row],[Date]],"MMM-YY")</f>
        <v>Mar-26</v>
      </c>
      <c r="T2301">
        <f>_xlfn.ISOWEEKNUM(Table1[[#This Row],[Date]])</f>
        <v>10</v>
      </c>
    </row>
    <row r="2302" spans="1:20" hidden="1">
      <c r="A2302" s="1">
        <v>46089</v>
      </c>
      <c r="B2302" t="s">
        <v>547</v>
      </c>
      <c r="C2302" t="s">
        <v>96</v>
      </c>
      <c r="D2302" t="s">
        <v>36</v>
      </c>
      <c r="E2302" t="s">
        <v>15</v>
      </c>
      <c r="F2302" t="s">
        <v>219</v>
      </c>
      <c r="G2302" s="9" t="s">
        <v>548</v>
      </c>
      <c r="H2302">
        <v>15600</v>
      </c>
      <c r="I2302">
        <v>15600</v>
      </c>
      <c r="J2302" s="21">
        <v>46082</v>
      </c>
      <c r="K2302" t="s">
        <v>67</v>
      </c>
      <c r="L2302" t="s">
        <v>68</v>
      </c>
      <c r="M2302" t="s">
        <v>69</v>
      </c>
      <c r="O2302">
        <v>0</v>
      </c>
      <c r="P2302" t="s">
        <v>70</v>
      </c>
      <c r="S2302" t="str">
        <f>TEXT(Table1[[#This Row],[Date]],"MMM-YY")</f>
        <v>Mar-26</v>
      </c>
      <c r="T2302">
        <f>_xlfn.ISOWEEKNUM(Table1[[#This Row],[Date]])</f>
        <v>10</v>
      </c>
    </row>
    <row r="2303" spans="1:20" hidden="1">
      <c r="A2303" s="1">
        <v>46090</v>
      </c>
      <c r="B2303" t="s">
        <v>544</v>
      </c>
      <c r="C2303" t="s">
        <v>63</v>
      </c>
      <c r="D2303" t="s">
        <v>64</v>
      </c>
      <c r="E2303" t="s">
        <v>26</v>
      </c>
      <c r="F2303" t="s">
        <v>545</v>
      </c>
      <c r="G2303" s="9" t="s">
        <v>546</v>
      </c>
      <c r="H2303">
        <v>85100</v>
      </c>
      <c r="I2303">
        <v>85100</v>
      </c>
      <c r="J2303" s="21">
        <v>46082</v>
      </c>
      <c r="K2303" t="s">
        <v>67</v>
      </c>
      <c r="L2303" t="s">
        <v>68</v>
      </c>
      <c r="M2303" t="s">
        <v>69</v>
      </c>
      <c r="O2303">
        <v>0</v>
      </c>
      <c r="P2303" t="s">
        <v>70</v>
      </c>
      <c r="S2303" t="str">
        <f>TEXT(Table1[[#This Row],[Date]],"MMM-YY")</f>
        <v>Mar-26</v>
      </c>
      <c r="T2303">
        <f>_xlfn.ISOWEEKNUM(Table1[[#This Row],[Date]])</f>
        <v>11</v>
      </c>
    </row>
    <row r="2304" spans="1:20">
      <c r="A2304" s="1">
        <v>46090</v>
      </c>
      <c r="B2304" t="s">
        <v>414</v>
      </c>
      <c r="C2304" t="s">
        <v>63</v>
      </c>
      <c r="D2304" t="s">
        <v>64</v>
      </c>
      <c r="E2304" t="s">
        <v>26</v>
      </c>
      <c r="F2304" t="s">
        <v>415</v>
      </c>
      <c r="G2304" s="9" t="s">
        <v>543</v>
      </c>
      <c r="H2304">
        <v>42500</v>
      </c>
      <c r="I2304">
        <v>42500</v>
      </c>
      <c r="J2304" s="21">
        <v>46082</v>
      </c>
      <c r="K2304" t="s">
        <v>67</v>
      </c>
      <c r="L2304" t="s">
        <v>68</v>
      </c>
      <c r="M2304" t="s">
        <v>69</v>
      </c>
      <c r="O2304">
        <v>0</v>
      </c>
      <c r="P2304" t="s">
        <v>388</v>
      </c>
      <c r="S2304" t="str">
        <f>TEXT(Table1[[#This Row],[Date]],"MMM-YY")</f>
        <v>Mar-26</v>
      </c>
      <c r="T2304">
        <f>_xlfn.ISOWEEKNUM(Table1[[#This Row],[Date]])</f>
        <v>11</v>
      </c>
    </row>
    <row r="2305" spans="1:20" hidden="1">
      <c r="A2305" s="1">
        <v>46090</v>
      </c>
      <c r="B2305" t="s">
        <v>471</v>
      </c>
      <c r="C2305" t="s">
        <v>96</v>
      </c>
      <c r="D2305" t="s">
        <v>64</v>
      </c>
      <c r="E2305" t="s">
        <v>26</v>
      </c>
      <c r="F2305" t="s">
        <v>472</v>
      </c>
      <c r="G2305" s="9" t="s">
        <v>542</v>
      </c>
      <c r="H2305">
        <v>5600</v>
      </c>
      <c r="I2305">
        <v>5600</v>
      </c>
      <c r="J2305" s="21">
        <v>46082</v>
      </c>
      <c r="K2305" t="s">
        <v>67</v>
      </c>
      <c r="L2305" t="s">
        <v>68</v>
      </c>
      <c r="M2305" t="s">
        <v>69</v>
      </c>
      <c r="O2305">
        <v>5124</v>
      </c>
      <c r="P2305" t="s">
        <v>388</v>
      </c>
      <c r="S2305" t="str">
        <f>TEXT(Table1[[#This Row],[Date]],"MMM-YY")</f>
        <v>Mar-26</v>
      </c>
      <c r="T2305">
        <f>_xlfn.ISOWEEKNUM(Table1[[#This Row],[Date]])</f>
        <v>11</v>
      </c>
    </row>
    <row r="2306" spans="1:20" hidden="1">
      <c r="A2306" s="1">
        <v>46091</v>
      </c>
      <c r="B2306" t="s">
        <v>471</v>
      </c>
      <c r="C2306" t="s">
        <v>96</v>
      </c>
      <c r="D2306" t="s">
        <v>64</v>
      </c>
      <c r="E2306" t="s">
        <v>26</v>
      </c>
      <c r="F2306" t="s">
        <v>472</v>
      </c>
      <c r="G2306" s="9" t="s">
        <v>541</v>
      </c>
      <c r="H2306">
        <v>6292</v>
      </c>
      <c r="I2306">
        <v>6292</v>
      </c>
      <c r="J2306" s="21">
        <v>46082</v>
      </c>
      <c r="K2306" t="s">
        <v>67</v>
      </c>
      <c r="L2306" t="s">
        <v>68</v>
      </c>
      <c r="M2306" t="s">
        <v>69</v>
      </c>
      <c r="O2306">
        <v>6292</v>
      </c>
      <c r="P2306" t="s">
        <v>388</v>
      </c>
      <c r="S2306" t="str">
        <f>TEXT(Table1[[#This Row],[Date]],"MMM-YY")</f>
        <v>Mar-26</v>
      </c>
      <c r="T2306">
        <f>_xlfn.ISOWEEKNUM(Table1[[#This Row],[Date]])</f>
        <v>11</v>
      </c>
    </row>
    <row r="2307" spans="1:20" ht="15" hidden="1" customHeight="1">
      <c r="A2307" s="1">
        <v>46091</v>
      </c>
      <c r="B2307" t="s">
        <v>528</v>
      </c>
      <c r="C2307" t="s">
        <v>63</v>
      </c>
      <c r="D2307" t="s">
        <v>64</v>
      </c>
      <c r="E2307" t="s">
        <v>26</v>
      </c>
      <c r="F2307" t="s">
        <v>529</v>
      </c>
      <c r="G2307" s="9" t="s">
        <v>540</v>
      </c>
      <c r="H2307">
        <v>8900</v>
      </c>
      <c r="I2307">
        <v>8900</v>
      </c>
      <c r="J2307" s="21">
        <v>46082</v>
      </c>
      <c r="K2307" t="s">
        <v>67</v>
      </c>
      <c r="L2307" t="s">
        <v>68</v>
      </c>
      <c r="M2307" t="s">
        <v>69</v>
      </c>
      <c r="O2307">
        <v>8900</v>
      </c>
      <c r="P2307" t="s">
        <v>388</v>
      </c>
      <c r="S2307" t="str">
        <f>TEXT(Table1[[#This Row],[Date]],"MMM-YY")</f>
        <v>Mar-26</v>
      </c>
      <c r="T2307">
        <f>_xlfn.ISOWEEKNUM(Table1[[#This Row],[Date]])</f>
        <v>11</v>
      </c>
    </row>
    <row r="2308" spans="1:20" ht="16.5" customHeight="1">
      <c r="A2308" s="1">
        <v>46091</v>
      </c>
      <c r="B2308" t="s">
        <v>414</v>
      </c>
      <c r="C2308" t="s">
        <v>63</v>
      </c>
      <c r="D2308" t="s">
        <v>64</v>
      </c>
      <c r="E2308" t="s">
        <v>26</v>
      </c>
      <c r="F2308" t="s">
        <v>415</v>
      </c>
      <c r="G2308" s="9" t="s">
        <v>539</v>
      </c>
      <c r="H2308">
        <v>75380</v>
      </c>
      <c r="I2308">
        <v>75380</v>
      </c>
      <c r="J2308" s="21">
        <v>46082</v>
      </c>
      <c r="K2308" t="s">
        <v>67</v>
      </c>
      <c r="L2308" t="s">
        <v>68</v>
      </c>
      <c r="M2308" t="s">
        <v>69</v>
      </c>
      <c r="O2308">
        <v>75380</v>
      </c>
      <c r="P2308" t="s">
        <v>388</v>
      </c>
      <c r="S2308" t="str">
        <f>TEXT(Table1[[#This Row],[Date]],"MMM-YY")</f>
        <v>Mar-26</v>
      </c>
      <c r="T2308">
        <f>_xlfn.ISOWEEKNUM(Table1[[#This Row],[Date]])</f>
        <v>11</v>
      </c>
    </row>
    <row r="2309" spans="1:20" ht="18" hidden="1" customHeight="1">
      <c r="A2309" s="1">
        <v>46091</v>
      </c>
      <c r="B2309" t="s">
        <v>536</v>
      </c>
      <c r="C2309" t="s">
        <v>63</v>
      </c>
      <c r="D2309" t="s">
        <v>64</v>
      </c>
      <c r="E2309" t="s">
        <v>26</v>
      </c>
      <c r="F2309" t="s">
        <v>537</v>
      </c>
      <c r="G2309" s="9" t="s">
        <v>538</v>
      </c>
      <c r="H2309">
        <v>104500</v>
      </c>
      <c r="I2309">
        <v>104500</v>
      </c>
      <c r="J2309" s="21">
        <v>46082</v>
      </c>
      <c r="K2309" t="s">
        <v>67</v>
      </c>
      <c r="L2309" t="s">
        <v>68</v>
      </c>
      <c r="M2309" t="s">
        <v>69</v>
      </c>
      <c r="O2309">
        <v>104500</v>
      </c>
      <c r="P2309" t="s">
        <v>70</v>
      </c>
      <c r="S2309" t="str">
        <f>TEXT(Table1[[#This Row],[Date]],"MMM-YY")</f>
        <v>Mar-26</v>
      </c>
      <c r="T2309">
        <f>_xlfn.ISOWEEKNUM(Table1[[#This Row],[Date]])</f>
        <v>11</v>
      </c>
    </row>
    <row r="2310" spans="1:20" hidden="1">
      <c r="A2310" s="1">
        <v>46091</v>
      </c>
      <c r="B2310" t="s">
        <v>532</v>
      </c>
      <c r="C2310" t="s">
        <v>163</v>
      </c>
      <c r="D2310" t="s">
        <v>533</v>
      </c>
      <c r="E2310" t="s">
        <v>20</v>
      </c>
      <c r="F2310" t="s">
        <v>534</v>
      </c>
      <c r="G2310" s="9" t="s">
        <v>535</v>
      </c>
      <c r="H2310">
        <v>47000</v>
      </c>
      <c r="I2310">
        <v>47000</v>
      </c>
      <c r="J2310" s="21">
        <v>46082</v>
      </c>
      <c r="K2310" t="s">
        <v>67</v>
      </c>
      <c r="L2310" t="s">
        <v>68</v>
      </c>
      <c r="M2310" t="s">
        <v>69</v>
      </c>
      <c r="O2310">
        <v>0</v>
      </c>
      <c r="P2310" t="s">
        <v>70</v>
      </c>
      <c r="S2310" t="str">
        <f>TEXT(Table1[[#This Row],[Date]],"MMM-YY")</f>
        <v>Mar-26</v>
      </c>
      <c r="T2310">
        <f>_xlfn.ISOWEEKNUM(Table1[[#This Row],[Date]])</f>
        <v>11</v>
      </c>
    </row>
    <row r="2311" spans="1:20" hidden="1">
      <c r="A2311" s="1">
        <v>46092</v>
      </c>
      <c r="B2311" t="s">
        <v>471</v>
      </c>
      <c r="C2311" t="s">
        <v>96</v>
      </c>
      <c r="D2311" t="s">
        <v>64</v>
      </c>
      <c r="E2311" t="s">
        <v>26</v>
      </c>
      <c r="F2311" t="s">
        <v>472</v>
      </c>
      <c r="G2311" s="9" t="s">
        <v>531</v>
      </c>
      <c r="H2311">
        <v>9200</v>
      </c>
      <c r="I2311">
        <v>9200</v>
      </c>
      <c r="J2311" s="21">
        <v>46082</v>
      </c>
      <c r="K2311" t="s">
        <v>67</v>
      </c>
      <c r="L2311" t="s">
        <v>68</v>
      </c>
      <c r="M2311" t="s">
        <v>69</v>
      </c>
      <c r="O2311">
        <v>9200</v>
      </c>
      <c r="P2311" t="s">
        <v>388</v>
      </c>
      <c r="S2311" t="str">
        <f>TEXT(Table1[[#This Row],[Date]],"MMM-YY")</f>
        <v>Mar-26</v>
      </c>
      <c r="T2311">
        <f>_xlfn.ISOWEEKNUM(Table1[[#This Row],[Date]])</f>
        <v>11</v>
      </c>
    </row>
    <row r="2312" spans="1:20" hidden="1">
      <c r="A2312" s="1">
        <v>46092</v>
      </c>
      <c r="B2312" t="s">
        <v>528</v>
      </c>
      <c r="C2312" t="s">
        <v>63</v>
      </c>
      <c r="D2312" t="s">
        <v>64</v>
      </c>
      <c r="E2312" t="s">
        <v>26</v>
      </c>
      <c r="F2312" t="s">
        <v>529</v>
      </c>
      <c r="G2312" s="9" t="s">
        <v>530</v>
      </c>
      <c r="H2312">
        <v>9000</v>
      </c>
      <c r="I2312">
        <v>9000</v>
      </c>
      <c r="J2312" s="21">
        <v>46082</v>
      </c>
      <c r="K2312" t="s">
        <v>67</v>
      </c>
      <c r="L2312" t="s">
        <v>68</v>
      </c>
      <c r="M2312" t="s">
        <v>69</v>
      </c>
      <c r="O2312">
        <v>9000</v>
      </c>
      <c r="P2312" t="s">
        <v>388</v>
      </c>
      <c r="S2312" t="str">
        <f>TEXT(Table1[[#This Row],[Date]],"MMM-YY")</f>
        <v>Mar-26</v>
      </c>
      <c r="T2312">
        <f>_xlfn.ISOWEEKNUM(Table1[[#This Row],[Date]])</f>
        <v>11</v>
      </c>
    </row>
    <row r="2313" spans="1:20">
      <c r="A2313" s="1">
        <v>46092</v>
      </c>
      <c r="B2313" t="s">
        <v>414</v>
      </c>
      <c r="C2313" t="s">
        <v>63</v>
      </c>
      <c r="D2313" t="s">
        <v>64</v>
      </c>
      <c r="E2313" t="s">
        <v>26</v>
      </c>
      <c r="F2313" t="s">
        <v>415</v>
      </c>
      <c r="G2313" s="9" t="s">
        <v>527</v>
      </c>
      <c r="H2313">
        <v>85000</v>
      </c>
      <c r="I2313">
        <v>85000</v>
      </c>
      <c r="J2313" s="21">
        <v>46082</v>
      </c>
      <c r="K2313" t="s">
        <v>67</v>
      </c>
      <c r="L2313" t="s">
        <v>68</v>
      </c>
      <c r="M2313" t="s">
        <v>69</v>
      </c>
      <c r="O2313">
        <v>85000</v>
      </c>
      <c r="P2313" t="s">
        <v>388</v>
      </c>
      <c r="S2313" t="str">
        <f>TEXT(Table1[[#This Row],[Date]],"MMM-YY")</f>
        <v>Mar-26</v>
      </c>
      <c r="T2313">
        <f>_xlfn.ISOWEEKNUM(Table1[[#This Row],[Date]])</f>
        <v>11</v>
      </c>
    </row>
    <row r="2314" spans="1:20" hidden="1">
      <c r="A2314" s="1">
        <v>46092</v>
      </c>
      <c r="B2314" t="s">
        <v>506</v>
      </c>
      <c r="C2314" t="s">
        <v>96</v>
      </c>
      <c r="D2314" t="s">
        <v>64</v>
      </c>
      <c r="E2314" t="s">
        <v>26</v>
      </c>
      <c r="F2314" t="s">
        <v>504</v>
      </c>
      <c r="G2314" s="9" t="s">
        <v>525</v>
      </c>
      <c r="H2314">
        <v>10480</v>
      </c>
      <c r="I2314">
        <v>10480</v>
      </c>
      <c r="J2314" s="21">
        <v>46082</v>
      </c>
      <c r="K2314" t="s">
        <v>67</v>
      </c>
      <c r="L2314" t="s">
        <v>68</v>
      </c>
      <c r="M2314" t="s">
        <v>69</v>
      </c>
      <c r="O2314">
        <v>10480</v>
      </c>
      <c r="P2314" t="s">
        <v>388</v>
      </c>
      <c r="S2314" t="str">
        <f>TEXT(Table1[[#This Row],[Date]],"MMM-YY")</f>
        <v>Mar-26</v>
      </c>
      <c r="T2314">
        <f>_xlfn.ISOWEEKNUM(Table1[[#This Row],[Date]])</f>
        <v>11</v>
      </c>
    </row>
    <row r="2315" spans="1:20" hidden="1">
      <c r="A2315" s="1">
        <v>46092</v>
      </c>
      <c r="B2315" t="s">
        <v>503</v>
      </c>
      <c r="C2315" t="s">
        <v>96</v>
      </c>
      <c r="D2315" t="s">
        <v>64</v>
      </c>
      <c r="E2315" t="s">
        <v>26</v>
      </c>
      <c r="F2315" t="s">
        <v>504</v>
      </c>
      <c r="G2315" s="9" t="s">
        <v>526</v>
      </c>
      <c r="H2315">
        <v>9280</v>
      </c>
      <c r="I2315">
        <v>9280</v>
      </c>
      <c r="J2315" s="21">
        <v>46082</v>
      </c>
      <c r="K2315" t="s">
        <v>67</v>
      </c>
      <c r="L2315" t="s">
        <v>68</v>
      </c>
      <c r="M2315" t="s">
        <v>69</v>
      </c>
      <c r="O2315">
        <v>9280</v>
      </c>
      <c r="P2315" t="s">
        <v>388</v>
      </c>
      <c r="S2315" t="str">
        <f>TEXT(Table1[[#This Row],[Date]],"MMM-YY")</f>
        <v>Mar-26</v>
      </c>
      <c r="T2315">
        <f>_xlfn.ISOWEEKNUM(Table1[[#This Row],[Date]])</f>
        <v>11</v>
      </c>
    </row>
    <row r="2316" spans="1:20" hidden="1">
      <c r="A2316" s="1">
        <v>46092</v>
      </c>
      <c r="B2316" t="s">
        <v>410</v>
      </c>
      <c r="C2316" t="s">
        <v>96</v>
      </c>
      <c r="D2316" t="s">
        <v>64</v>
      </c>
      <c r="E2316" t="s">
        <v>26</v>
      </c>
      <c r="F2316" t="s">
        <v>411</v>
      </c>
      <c r="G2316" s="9" t="s">
        <v>525</v>
      </c>
      <c r="H2316">
        <v>17300</v>
      </c>
      <c r="I2316">
        <v>17300</v>
      </c>
      <c r="J2316" s="21">
        <v>46082</v>
      </c>
      <c r="K2316" t="s">
        <v>67</v>
      </c>
      <c r="L2316" t="s">
        <v>68</v>
      </c>
      <c r="M2316" t="s">
        <v>69</v>
      </c>
      <c r="O2316">
        <v>17300</v>
      </c>
      <c r="P2316" t="s">
        <v>388</v>
      </c>
      <c r="S2316" t="str">
        <f>TEXT(Table1[[#This Row],[Date]],"MMM-YY")</f>
        <v>Mar-26</v>
      </c>
      <c r="T2316">
        <f>_xlfn.ISOWEEKNUM(Table1[[#This Row],[Date]])</f>
        <v>11</v>
      </c>
    </row>
    <row r="2317" spans="1:20" hidden="1">
      <c r="A2317" s="1">
        <v>46092</v>
      </c>
      <c r="B2317" t="s">
        <v>500</v>
      </c>
      <c r="C2317" t="s">
        <v>96</v>
      </c>
      <c r="D2317" t="s">
        <v>64</v>
      </c>
      <c r="E2317" t="s">
        <v>26</v>
      </c>
      <c r="F2317" t="s">
        <v>269</v>
      </c>
      <c r="G2317" s="9" t="s">
        <v>524</v>
      </c>
      <c r="H2317">
        <v>40580</v>
      </c>
      <c r="I2317">
        <v>40580</v>
      </c>
      <c r="J2317" s="21">
        <v>46082</v>
      </c>
      <c r="K2317" t="s">
        <v>67</v>
      </c>
      <c r="L2317" t="s">
        <v>68</v>
      </c>
      <c r="M2317" t="s">
        <v>69</v>
      </c>
      <c r="O2317">
        <v>40580</v>
      </c>
      <c r="P2317" t="s">
        <v>388</v>
      </c>
      <c r="S2317" t="str">
        <f>TEXT(Table1[[#This Row],[Date]],"MMM-YY")</f>
        <v>Mar-26</v>
      </c>
      <c r="T2317">
        <f>_xlfn.ISOWEEKNUM(Table1[[#This Row],[Date]])</f>
        <v>11</v>
      </c>
    </row>
    <row r="2318" spans="1:20">
      <c r="A2318" s="1">
        <v>46092</v>
      </c>
      <c r="B2318" s="67" t="s">
        <v>95</v>
      </c>
      <c r="C2318" t="s">
        <v>96</v>
      </c>
      <c r="D2318" t="s">
        <v>64</v>
      </c>
      <c r="E2318" t="s">
        <v>38</v>
      </c>
      <c r="F2318" t="s">
        <v>97</v>
      </c>
      <c r="G2318" s="69" t="s">
        <v>523</v>
      </c>
      <c r="H2318">
        <v>18333</v>
      </c>
      <c r="I2318">
        <v>18333</v>
      </c>
      <c r="J2318" s="21">
        <v>46082</v>
      </c>
      <c r="K2318" t="s">
        <v>99</v>
      </c>
      <c r="L2318" t="s">
        <v>68</v>
      </c>
      <c r="M2318" t="s">
        <v>69</v>
      </c>
      <c r="O2318">
        <v>0</v>
      </c>
      <c r="P2318" t="s">
        <v>70</v>
      </c>
      <c r="S2318" t="str">
        <f>TEXT(Table1[[#This Row],[Date]],"MMM-YY")</f>
        <v>Mar-26</v>
      </c>
      <c r="T2318">
        <f>_xlfn.ISOWEEKNUM(Table1[[#This Row],[Date]])</f>
        <v>11</v>
      </c>
    </row>
    <row r="2319" spans="1:20" hidden="1">
      <c r="A2319" s="1">
        <v>46093</v>
      </c>
      <c r="B2319" t="s">
        <v>471</v>
      </c>
      <c r="C2319" t="s">
        <v>96</v>
      </c>
      <c r="D2319" t="s">
        <v>64</v>
      </c>
      <c r="E2319" t="s">
        <v>26</v>
      </c>
      <c r="F2319" t="s">
        <v>472</v>
      </c>
      <c r="G2319" s="9" t="s">
        <v>522</v>
      </c>
      <c r="H2319">
        <v>9500</v>
      </c>
      <c r="I2319">
        <v>9500</v>
      </c>
      <c r="J2319" s="21">
        <v>46082</v>
      </c>
      <c r="K2319" t="s">
        <v>67</v>
      </c>
      <c r="L2319" t="s">
        <v>68</v>
      </c>
      <c r="M2319" t="s">
        <v>69</v>
      </c>
      <c r="O2319">
        <v>9500</v>
      </c>
      <c r="P2319" t="s">
        <v>388</v>
      </c>
      <c r="S2319" t="str">
        <f>TEXT(Table1[[#This Row],[Date]],"MMM-YY")</f>
        <v>Mar-26</v>
      </c>
      <c r="T2319">
        <f>_xlfn.ISOWEEKNUM(Table1[[#This Row],[Date]])</f>
        <v>11</v>
      </c>
    </row>
    <row r="2320" spans="1:20">
      <c r="A2320" s="1">
        <v>46093</v>
      </c>
      <c r="B2320" t="s">
        <v>414</v>
      </c>
      <c r="C2320" t="s">
        <v>96</v>
      </c>
      <c r="D2320" t="s">
        <v>64</v>
      </c>
      <c r="E2320" t="s">
        <v>26</v>
      </c>
      <c r="F2320" t="s">
        <v>415</v>
      </c>
      <c r="G2320" s="9" t="s">
        <v>521</v>
      </c>
      <c r="H2320">
        <v>55200</v>
      </c>
      <c r="I2320">
        <v>55200</v>
      </c>
      <c r="J2320" s="21">
        <v>46082</v>
      </c>
      <c r="K2320" t="s">
        <v>67</v>
      </c>
      <c r="L2320" t="s">
        <v>68</v>
      </c>
      <c r="M2320" t="s">
        <v>69</v>
      </c>
      <c r="O2320">
        <v>55200</v>
      </c>
      <c r="P2320" t="s">
        <v>388</v>
      </c>
      <c r="S2320" t="str">
        <f>TEXT(Table1[[#This Row],[Date]],"MMM-YY")</f>
        <v>Mar-26</v>
      </c>
      <c r="T2320">
        <f>_xlfn.ISOWEEKNUM(Table1[[#This Row],[Date]])</f>
        <v>11</v>
      </c>
    </row>
    <row r="2321" spans="1:20" hidden="1">
      <c r="A2321" s="1">
        <v>46093</v>
      </c>
      <c r="B2321" t="s">
        <v>395</v>
      </c>
      <c r="C2321" t="s">
        <v>96</v>
      </c>
      <c r="D2321" t="s">
        <v>64</v>
      </c>
      <c r="E2321" t="s">
        <v>26</v>
      </c>
      <c r="F2321" t="s">
        <v>396</v>
      </c>
      <c r="G2321" s="9" t="s">
        <v>519</v>
      </c>
      <c r="H2321">
        <v>7550</v>
      </c>
      <c r="I2321">
        <v>7550</v>
      </c>
      <c r="J2321" s="21">
        <v>46082</v>
      </c>
      <c r="K2321" t="s">
        <v>67</v>
      </c>
      <c r="L2321" t="s">
        <v>68</v>
      </c>
      <c r="M2321" t="s">
        <v>69</v>
      </c>
      <c r="O2321">
        <v>7550</v>
      </c>
      <c r="P2321" t="s">
        <v>388</v>
      </c>
      <c r="S2321" t="str">
        <f>TEXT(Table1[[#This Row],[Date]],"MMM-YY")</f>
        <v>Mar-26</v>
      </c>
      <c r="T2321">
        <f>_xlfn.ISOWEEKNUM(Table1[[#This Row],[Date]])</f>
        <v>11</v>
      </c>
    </row>
    <row r="2322" spans="1:20" hidden="1">
      <c r="A2322" s="1">
        <v>46093</v>
      </c>
      <c r="B2322" t="s">
        <v>506</v>
      </c>
      <c r="C2322" t="s">
        <v>96</v>
      </c>
      <c r="D2322" t="s">
        <v>64</v>
      </c>
      <c r="E2322" t="s">
        <v>26</v>
      </c>
      <c r="F2322" t="s">
        <v>504</v>
      </c>
      <c r="G2322" s="9" t="s">
        <v>519</v>
      </c>
      <c r="H2322">
        <v>15480</v>
      </c>
      <c r="I2322">
        <v>15480</v>
      </c>
      <c r="J2322" s="21">
        <v>46082</v>
      </c>
      <c r="K2322" t="s">
        <v>67</v>
      </c>
      <c r="L2322" t="s">
        <v>68</v>
      </c>
      <c r="M2322" t="s">
        <v>69</v>
      </c>
      <c r="O2322">
        <v>15480</v>
      </c>
      <c r="P2322" t="s">
        <v>388</v>
      </c>
      <c r="S2322" t="str">
        <f>TEXT(Table1[[#This Row],[Date]],"MMM-YY")</f>
        <v>Mar-26</v>
      </c>
      <c r="T2322">
        <f>_xlfn.ISOWEEKNUM(Table1[[#This Row],[Date]])</f>
        <v>11</v>
      </c>
    </row>
    <row r="2323" spans="1:20" hidden="1">
      <c r="A2323" s="1">
        <v>46093</v>
      </c>
      <c r="B2323" t="s">
        <v>503</v>
      </c>
      <c r="C2323" t="s">
        <v>96</v>
      </c>
      <c r="D2323" t="s">
        <v>64</v>
      </c>
      <c r="E2323" t="s">
        <v>26</v>
      </c>
      <c r="F2323" t="s">
        <v>504</v>
      </c>
      <c r="G2323" s="9" t="s">
        <v>520</v>
      </c>
      <c r="H2323">
        <v>7240</v>
      </c>
      <c r="I2323">
        <v>7240</v>
      </c>
      <c r="J2323" s="21">
        <v>46082</v>
      </c>
      <c r="K2323" t="s">
        <v>67</v>
      </c>
      <c r="L2323" t="s">
        <v>68</v>
      </c>
      <c r="M2323" t="s">
        <v>69</v>
      </c>
      <c r="O2323">
        <v>7240</v>
      </c>
      <c r="P2323" t="s">
        <v>388</v>
      </c>
      <c r="S2323" t="str">
        <f>TEXT(Table1[[#This Row],[Date]],"MMM-YY")</f>
        <v>Mar-26</v>
      </c>
      <c r="T2323">
        <f>_xlfn.ISOWEEKNUM(Table1[[#This Row],[Date]])</f>
        <v>11</v>
      </c>
    </row>
    <row r="2324" spans="1:20" hidden="1">
      <c r="A2324" s="1">
        <v>46093</v>
      </c>
      <c r="B2324" t="s">
        <v>410</v>
      </c>
      <c r="C2324" t="s">
        <v>96</v>
      </c>
      <c r="D2324" t="s">
        <v>64</v>
      </c>
      <c r="E2324" t="s">
        <v>26</v>
      </c>
      <c r="F2324" t="s">
        <v>411</v>
      </c>
      <c r="G2324" s="9" t="s">
        <v>519</v>
      </c>
      <c r="H2324">
        <v>17010</v>
      </c>
      <c r="I2324">
        <v>17010</v>
      </c>
      <c r="J2324" s="21">
        <v>46082</v>
      </c>
      <c r="K2324" t="s">
        <v>67</v>
      </c>
      <c r="L2324" t="s">
        <v>68</v>
      </c>
      <c r="M2324" t="s">
        <v>69</v>
      </c>
      <c r="O2324">
        <v>17010</v>
      </c>
      <c r="P2324" t="s">
        <v>388</v>
      </c>
      <c r="S2324" t="str">
        <f>TEXT(Table1[[#This Row],[Date]],"MMM-YY")</f>
        <v>Mar-26</v>
      </c>
      <c r="T2324">
        <f>_xlfn.ISOWEEKNUM(Table1[[#This Row],[Date]])</f>
        <v>11</v>
      </c>
    </row>
    <row r="2325" spans="1:20" hidden="1">
      <c r="A2325" s="1">
        <v>46093</v>
      </c>
      <c r="B2325" t="s">
        <v>500</v>
      </c>
      <c r="C2325" t="s">
        <v>96</v>
      </c>
      <c r="D2325" t="s">
        <v>64</v>
      </c>
      <c r="E2325" t="s">
        <v>26</v>
      </c>
      <c r="F2325" t="s">
        <v>269</v>
      </c>
      <c r="G2325" s="9" t="s">
        <v>518</v>
      </c>
      <c r="H2325">
        <v>39919</v>
      </c>
      <c r="I2325">
        <v>39919</v>
      </c>
      <c r="J2325" s="21">
        <v>46082</v>
      </c>
      <c r="K2325" t="s">
        <v>67</v>
      </c>
      <c r="L2325" t="s">
        <v>68</v>
      </c>
      <c r="M2325" t="s">
        <v>69</v>
      </c>
      <c r="O2325">
        <v>39919</v>
      </c>
      <c r="P2325" t="s">
        <v>388</v>
      </c>
      <c r="S2325" t="str">
        <f>TEXT(Table1[[#This Row],[Date]],"MMM-YY")</f>
        <v>Mar-26</v>
      </c>
      <c r="T2325">
        <f>_xlfn.ISOWEEKNUM(Table1[[#This Row],[Date]])</f>
        <v>11</v>
      </c>
    </row>
    <row r="2326" spans="1:20" hidden="1">
      <c r="A2326" s="1">
        <v>46093</v>
      </c>
      <c r="B2326" t="s">
        <v>392</v>
      </c>
      <c r="C2326" t="s">
        <v>63</v>
      </c>
      <c r="D2326" t="s">
        <v>320</v>
      </c>
      <c r="E2326" t="s">
        <v>26</v>
      </c>
      <c r="F2326" t="s">
        <v>393</v>
      </c>
      <c r="G2326" s="9" t="s">
        <v>517</v>
      </c>
      <c r="H2326">
        <v>53000</v>
      </c>
      <c r="I2326">
        <v>53000</v>
      </c>
      <c r="J2326" s="21">
        <v>46082</v>
      </c>
      <c r="K2326" t="s">
        <v>67</v>
      </c>
      <c r="L2326" t="s">
        <v>68</v>
      </c>
      <c r="M2326" t="s">
        <v>69</v>
      </c>
      <c r="O2326">
        <v>0</v>
      </c>
      <c r="P2326" t="s">
        <v>388</v>
      </c>
      <c r="S2326" t="str">
        <f>TEXT(Table1[[#This Row],[Date]],"MMM-YY")</f>
        <v>Mar-26</v>
      </c>
      <c r="T2326">
        <f>_xlfn.ISOWEEKNUM(Table1[[#This Row],[Date]])</f>
        <v>11</v>
      </c>
    </row>
    <row r="2327" spans="1:20" hidden="1">
      <c r="A2327" s="1">
        <v>46093</v>
      </c>
      <c r="B2327" t="s">
        <v>514</v>
      </c>
      <c r="C2327" t="s">
        <v>96</v>
      </c>
      <c r="D2327" t="s">
        <v>20</v>
      </c>
      <c r="E2327" t="s">
        <v>23</v>
      </c>
      <c r="F2327" t="s">
        <v>515</v>
      </c>
      <c r="G2327" s="9" t="s">
        <v>516</v>
      </c>
      <c r="H2327">
        <v>22400</v>
      </c>
      <c r="I2327">
        <v>22400</v>
      </c>
      <c r="J2327" s="21">
        <v>46082</v>
      </c>
      <c r="K2327" t="s">
        <v>67</v>
      </c>
      <c r="L2327" t="s">
        <v>68</v>
      </c>
      <c r="M2327" t="s">
        <v>69</v>
      </c>
      <c r="O2327">
        <v>22400</v>
      </c>
      <c r="P2327" t="s">
        <v>70</v>
      </c>
      <c r="S2327" t="str">
        <f>TEXT(Table1[[#This Row],[Date]],"MMM-YY")</f>
        <v>Mar-26</v>
      </c>
      <c r="T2327">
        <f>_xlfn.ISOWEEKNUM(Table1[[#This Row],[Date]])</f>
        <v>11</v>
      </c>
    </row>
    <row r="2328" spans="1:20">
      <c r="A2328" s="1">
        <v>46093</v>
      </c>
      <c r="B2328" t="s">
        <v>512</v>
      </c>
      <c r="C2328" t="s">
        <v>63</v>
      </c>
      <c r="D2328" t="s">
        <v>320</v>
      </c>
      <c r="E2328" t="s">
        <v>26</v>
      </c>
      <c r="F2328" t="s">
        <v>334</v>
      </c>
      <c r="G2328" s="9" t="s">
        <v>513</v>
      </c>
      <c r="H2328">
        <v>45000</v>
      </c>
      <c r="I2328">
        <v>45000</v>
      </c>
      <c r="J2328" s="21">
        <v>46082</v>
      </c>
      <c r="K2328" t="s">
        <v>67</v>
      </c>
      <c r="L2328" t="s">
        <v>68</v>
      </c>
      <c r="M2328" t="s">
        <v>69</v>
      </c>
      <c r="O2328">
        <v>45000</v>
      </c>
      <c r="P2328" t="s">
        <v>70</v>
      </c>
      <c r="S2328" t="str">
        <f>TEXT(Table1[[#This Row],[Date]],"MMM-YY")</f>
        <v>Mar-26</v>
      </c>
      <c r="T2328">
        <f>_xlfn.ISOWEEKNUM(Table1[[#This Row],[Date]])</f>
        <v>11</v>
      </c>
    </row>
    <row r="2329" spans="1:20" hidden="1">
      <c r="A2329" s="1">
        <v>46093</v>
      </c>
      <c r="B2329" t="s">
        <v>509</v>
      </c>
      <c r="C2329" t="s">
        <v>63</v>
      </c>
      <c r="D2329" t="s">
        <v>64</v>
      </c>
      <c r="E2329" t="s">
        <v>30</v>
      </c>
      <c r="F2329" t="s">
        <v>510</v>
      </c>
      <c r="G2329" s="9" t="s">
        <v>511</v>
      </c>
      <c r="H2329">
        <v>46450</v>
      </c>
      <c r="I2329">
        <v>46450</v>
      </c>
      <c r="J2329" s="21">
        <v>46082</v>
      </c>
      <c r="K2329" t="s">
        <v>67</v>
      </c>
      <c r="L2329" t="s">
        <v>68</v>
      </c>
      <c r="M2329" t="s">
        <v>69</v>
      </c>
      <c r="O2329">
        <v>0</v>
      </c>
      <c r="P2329" t="s">
        <v>70</v>
      </c>
      <c r="S2329" t="str">
        <f>TEXT(Table1[[#This Row],[Date]],"MMM-YY")</f>
        <v>Mar-26</v>
      </c>
      <c r="T2329">
        <f>_xlfn.ISOWEEKNUM(Table1[[#This Row],[Date]])</f>
        <v>11</v>
      </c>
    </row>
    <row r="2330" spans="1:20" hidden="1">
      <c r="A2330" s="1">
        <v>46094</v>
      </c>
      <c r="B2330" t="s">
        <v>471</v>
      </c>
      <c r="C2330" t="s">
        <v>96</v>
      </c>
      <c r="D2330" t="s">
        <v>64</v>
      </c>
      <c r="E2330" t="s">
        <v>26</v>
      </c>
      <c r="F2330" t="s">
        <v>472</v>
      </c>
      <c r="G2330" s="9" t="s">
        <v>508</v>
      </c>
      <c r="H2330">
        <v>8500</v>
      </c>
      <c r="I2330">
        <v>8500</v>
      </c>
      <c r="J2330" s="21">
        <v>46082</v>
      </c>
      <c r="K2330" t="s">
        <v>67</v>
      </c>
      <c r="L2330" t="s">
        <v>68</v>
      </c>
      <c r="M2330" t="s">
        <v>69</v>
      </c>
      <c r="O2330">
        <v>8500</v>
      </c>
      <c r="P2330" t="s">
        <v>388</v>
      </c>
      <c r="S2330" t="str">
        <f>TEXT(Table1[[#This Row],[Date]],"MMM-YY")</f>
        <v>Mar-26</v>
      </c>
      <c r="T2330">
        <f>_xlfn.ISOWEEKNUM(Table1[[#This Row],[Date]])</f>
        <v>11</v>
      </c>
    </row>
    <row r="2331" spans="1:20">
      <c r="A2331" s="1">
        <v>46094</v>
      </c>
      <c r="B2331" t="s">
        <v>414</v>
      </c>
      <c r="C2331" t="s">
        <v>96</v>
      </c>
      <c r="D2331" t="s">
        <v>64</v>
      </c>
      <c r="E2331" t="s">
        <v>26</v>
      </c>
      <c r="F2331" t="s">
        <v>415</v>
      </c>
      <c r="G2331" s="9" t="s">
        <v>507</v>
      </c>
      <c r="H2331">
        <v>48970</v>
      </c>
      <c r="I2331">
        <v>48970</v>
      </c>
      <c r="J2331" s="21">
        <v>46082</v>
      </c>
      <c r="K2331" t="s">
        <v>67</v>
      </c>
      <c r="L2331" t="s">
        <v>68</v>
      </c>
      <c r="M2331" t="s">
        <v>69</v>
      </c>
      <c r="O2331">
        <v>48970</v>
      </c>
      <c r="P2331" t="s">
        <v>388</v>
      </c>
      <c r="S2331" t="str">
        <f>TEXT(Table1[[#This Row],[Date]],"MMM-YY")</f>
        <v>Mar-26</v>
      </c>
      <c r="T2331">
        <f>_xlfn.ISOWEEKNUM(Table1[[#This Row],[Date]])</f>
        <v>11</v>
      </c>
    </row>
    <row r="2332" spans="1:20" hidden="1">
      <c r="A2332" s="1">
        <v>46094</v>
      </c>
      <c r="B2332" t="s">
        <v>395</v>
      </c>
      <c r="C2332" t="s">
        <v>96</v>
      </c>
      <c r="D2332" t="s">
        <v>64</v>
      </c>
      <c r="E2332" t="s">
        <v>26</v>
      </c>
      <c r="F2332" t="s">
        <v>396</v>
      </c>
      <c r="G2332" s="9" t="s">
        <v>502</v>
      </c>
      <c r="H2332">
        <v>5500</v>
      </c>
      <c r="I2332">
        <v>5500</v>
      </c>
      <c r="J2332" s="21">
        <v>46082</v>
      </c>
      <c r="K2332" t="s">
        <v>67</v>
      </c>
      <c r="L2332" t="s">
        <v>68</v>
      </c>
      <c r="M2332" t="s">
        <v>69</v>
      </c>
      <c r="O2332">
        <v>5500</v>
      </c>
      <c r="P2332" t="s">
        <v>388</v>
      </c>
      <c r="S2332" t="str">
        <f>TEXT(Table1[[#This Row],[Date]],"MMM-YY")</f>
        <v>Mar-26</v>
      </c>
      <c r="T2332">
        <f>_xlfn.ISOWEEKNUM(Table1[[#This Row],[Date]])</f>
        <v>11</v>
      </c>
    </row>
    <row r="2333" spans="1:20" hidden="1">
      <c r="A2333" s="1">
        <v>46094</v>
      </c>
      <c r="B2333" t="s">
        <v>506</v>
      </c>
      <c r="C2333" t="s">
        <v>96</v>
      </c>
      <c r="D2333" t="s">
        <v>64</v>
      </c>
      <c r="E2333" t="s">
        <v>26</v>
      </c>
      <c r="F2333" t="s">
        <v>504</v>
      </c>
      <c r="G2333" s="9" t="s">
        <v>502</v>
      </c>
      <c r="H2333">
        <v>12440</v>
      </c>
      <c r="I2333">
        <v>12440</v>
      </c>
      <c r="J2333" s="21">
        <v>46082</v>
      </c>
      <c r="K2333" t="s">
        <v>67</v>
      </c>
      <c r="L2333" t="s">
        <v>68</v>
      </c>
      <c r="M2333" t="s">
        <v>69</v>
      </c>
      <c r="O2333">
        <v>12440</v>
      </c>
      <c r="P2333" t="s">
        <v>388</v>
      </c>
      <c r="S2333" t="str">
        <f>TEXT(Table1[[#This Row],[Date]],"MMM-YY")</f>
        <v>Mar-26</v>
      </c>
      <c r="T2333">
        <f>_xlfn.ISOWEEKNUM(Table1[[#This Row],[Date]])</f>
        <v>11</v>
      </c>
    </row>
    <row r="2334" spans="1:20" hidden="1">
      <c r="A2334" s="1">
        <v>46094</v>
      </c>
      <c r="B2334" t="s">
        <v>503</v>
      </c>
      <c r="C2334" t="s">
        <v>96</v>
      </c>
      <c r="D2334" t="s">
        <v>64</v>
      </c>
      <c r="E2334" t="s">
        <v>26</v>
      </c>
      <c r="F2334" t="s">
        <v>504</v>
      </c>
      <c r="G2334" s="9" t="s">
        <v>505</v>
      </c>
      <c r="H2334">
        <v>5040</v>
      </c>
      <c r="I2334">
        <v>5040</v>
      </c>
      <c r="J2334" s="21">
        <v>46082</v>
      </c>
      <c r="K2334" t="s">
        <v>67</v>
      </c>
      <c r="L2334" t="s">
        <v>68</v>
      </c>
      <c r="M2334" t="s">
        <v>69</v>
      </c>
      <c r="O2334">
        <v>5040</v>
      </c>
      <c r="P2334" t="s">
        <v>388</v>
      </c>
      <c r="S2334" t="str">
        <f>TEXT(Table1[[#This Row],[Date]],"MMM-YY")</f>
        <v>Mar-26</v>
      </c>
      <c r="T2334">
        <f>_xlfn.ISOWEEKNUM(Table1[[#This Row],[Date]])</f>
        <v>11</v>
      </c>
    </row>
    <row r="2335" spans="1:20" hidden="1">
      <c r="A2335" s="1">
        <v>46094</v>
      </c>
      <c r="B2335" t="s">
        <v>410</v>
      </c>
      <c r="C2335" t="s">
        <v>96</v>
      </c>
      <c r="D2335" t="s">
        <v>64</v>
      </c>
      <c r="E2335" t="s">
        <v>26</v>
      </c>
      <c r="F2335" t="s">
        <v>411</v>
      </c>
      <c r="G2335" s="9" t="s">
        <v>502</v>
      </c>
      <c r="H2335">
        <v>26720</v>
      </c>
      <c r="I2335">
        <v>26720</v>
      </c>
      <c r="J2335" s="21">
        <v>46082</v>
      </c>
      <c r="K2335" t="s">
        <v>67</v>
      </c>
      <c r="L2335" t="s">
        <v>68</v>
      </c>
      <c r="M2335" t="s">
        <v>69</v>
      </c>
      <c r="O2335">
        <v>26720</v>
      </c>
      <c r="P2335" t="s">
        <v>388</v>
      </c>
      <c r="S2335" t="str">
        <f>TEXT(Table1[[#This Row],[Date]],"MMM-YY")</f>
        <v>Mar-26</v>
      </c>
      <c r="T2335">
        <f>_xlfn.ISOWEEKNUM(Table1[[#This Row],[Date]])</f>
        <v>11</v>
      </c>
    </row>
    <row r="2336" spans="1:20" hidden="1">
      <c r="A2336" s="1">
        <v>46094</v>
      </c>
      <c r="B2336" t="s">
        <v>500</v>
      </c>
      <c r="C2336" t="s">
        <v>96</v>
      </c>
      <c r="D2336" t="s">
        <v>64</v>
      </c>
      <c r="E2336" t="s">
        <v>26</v>
      </c>
      <c r="F2336" t="s">
        <v>269</v>
      </c>
      <c r="G2336" s="9" t="s">
        <v>501</v>
      </c>
      <c r="H2336">
        <v>40640</v>
      </c>
      <c r="I2336">
        <v>40640</v>
      </c>
      <c r="J2336" s="21">
        <v>46082</v>
      </c>
      <c r="K2336" t="s">
        <v>67</v>
      </c>
      <c r="L2336" t="s">
        <v>68</v>
      </c>
      <c r="M2336" t="s">
        <v>69</v>
      </c>
      <c r="O2336">
        <v>40640</v>
      </c>
      <c r="P2336" t="s">
        <v>388</v>
      </c>
      <c r="S2336" t="str">
        <f>TEXT(Table1[[#This Row],[Date]],"MMM-YY")</f>
        <v>Mar-26</v>
      </c>
      <c r="T2336">
        <f>_xlfn.ISOWEEKNUM(Table1[[#This Row],[Date]])</f>
        <v>11</v>
      </c>
    </row>
    <row r="2337" spans="1:20" hidden="1">
      <c r="A2337" s="1">
        <v>46094</v>
      </c>
      <c r="B2337" t="s">
        <v>392</v>
      </c>
      <c r="C2337" t="s">
        <v>63</v>
      </c>
      <c r="D2337" t="s">
        <v>320</v>
      </c>
      <c r="E2337" t="s">
        <v>26</v>
      </c>
      <c r="F2337" t="s">
        <v>393</v>
      </c>
      <c r="G2337" s="9" t="s">
        <v>499</v>
      </c>
      <c r="H2337">
        <v>62000</v>
      </c>
      <c r="I2337">
        <v>62000</v>
      </c>
      <c r="J2337" s="21">
        <v>46082</v>
      </c>
      <c r="K2337" t="s">
        <v>67</v>
      </c>
      <c r="L2337" t="s">
        <v>68</v>
      </c>
      <c r="M2337" t="s">
        <v>69</v>
      </c>
      <c r="O2337">
        <v>0</v>
      </c>
      <c r="P2337" t="s">
        <v>388</v>
      </c>
      <c r="S2337" t="str">
        <f>TEXT(Table1[[#This Row],[Date]],"MMM-YY")</f>
        <v>Mar-26</v>
      </c>
      <c r="T2337">
        <f>_xlfn.ISOWEEKNUM(Table1[[#This Row],[Date]])</f>
        <v>11</v>
      </c>
    </row>
    <row r="2338" spans="1:20" hidden="1">
      <c r="A2338" s="1">
        <v>46094</v>
      </c>
      <c r="B2338" t="s">
        <v>494</v>
      </c>
      <c r="C2338" t="s">
        <v>63</v>
      </c>
      <c r="D2338" t="s">
        <v>20</v>
      </c>
      <c r="E2338" t="s">
        <v>30</v>
      </c>
      <c r="F2338" t="s">
        <v>495</v>
      </c>
      <c r="G2338" s="9" t="s">
        <v>498</v>
      </c>
      <c r="H2338">
        <v>12500</v>
      </c>
      <c r="I2338">
        <v>12500</v>
      </c>
      <c r="J2338" s="21">
        <v>46082</v>
      </c>
      <c r="K2338" t="s">
        <v>67</v>
      </c>
      <c r="L2338" t="s">
        <v>68</v>
      </c>
      <c r="M2338" t="s">
        <v>69</v>
      </c>
      <c r="O2338">
        <v>12500</v>
      </c>
      <c r="P2338" t="s">
        <v>388</v>
      </c>
      <c r="S2338" t="str">
        <f>TEXT(Table1[[#This Row],[Date]],"MMM-YY")</f>
        <v>Mar-26</v>
      </c>
      <c r="T2338">
        <f>_xlfn.ISOWEEKNUM(Table1[[#This Row],[Date]])</f>
        <v>11</v>
      </c>
    </row>
    <row r="2339" spans="1:20" hidden="1">
      <c r="A2339" s="1">
        <v>46095</v>
      </c>
      <c r="B2339" t="s">
        <v>494</v>
      </c>
      <c r="C2339" t="s">
        <v>63</v>
      </c>
      <c r="D2339" t="s">
        <v>20</v>
      </c>
      <c r="E2339" t="s">
        <v>30</v>
      </c>
      <c r="F2339" t="s">
        <v>495</v>
      </c>
      <c r="G2339" s="9" t="s">
        <v>497</v>
      </c>
      <c r="H2339">
        <v>20200</v>
      </c>
      <c r="I2339">
        <v>20200</v>
      </c>
      <c r="J2339" s="21">
        <v>46082</v>
      </c>
      <c r="K2339" t="s">
        <v>67</v>
      </c>
      <c r="L2339" t="s">
        <v>68</v>
      </c>
      <c r="M2339" t="s">
        <v>69</v>
      </c>
      <c r="O2339">
        <v>20200</v>
      </c>
      <c r="P2339" t="s">
        <v>388</v>
      </c>
      <c r="S2339" t="str">
        <f>TEXT(Table1[[#This Row],[Date]],"MMM-YY")</f>
        <v>Mar-26</v>
      </c>
      <c r="T2339">
        <f>_xlfn.ISOWEEKNUM(Table1[[#This Row],[Date]])</f>
        <v>11</v>
      </c>
    </row>
    <row r="2340" spans="1:20" hidden="1">
      <c r="A2340" s="1">
        <v>46096</v>
      </c>
      <c r="B2340" t="s">
        <v>494</v>
      </c>
      <c r="C2340" t="s">
        <v>63</v>
      </c>
      <c r="D2340" t="s">
        <v>20</v>
      </c>
      <c r="E2340" t="s">
        <v>30</v>
      </c>
      <c r="F2340" t="s">
        <v>495</v>
      </c>
      <c r="G2340" s="9" t="s">
        <v>496</v>
      </c>
      <c r="H2340">
        <v>30100</v>
      </c>
      <c r="I2340">
        <v>30100</v>
      </c>
      <c r="J2340" s="21">
        <v>46082</v>
      </c>
      <c r="K2340" t="s">
        <v>67</v>
      </c>
      <c r="L2340" t="s">
        <v>68</v>
      </c>
      <c r="M2340" t="s">
        <v>69</v>
      </c>
      <c r="O2340">
        <v>30100</v>
      </c>
      <c r="P2340" t="s">
        <v>388</v>
      </c>
      <c r="S2340" t="str">
        <f>TEXT(Table1[[#This Row],[Date]],"MMM-YY")</f>
        <v>Mar-26</v>
      </c>
      <c r="T2340">
        <f>_xlfn.ISOWEEKNUM(Table1[[#This Row],[Date]])</f>
        <v>11</v>
      </c>
    </row>
    <row r="2341" spans="1:20" hidden="1">
      <c r="A2341" s="1">
        <v>46097</v>
      </c>
      <c r="B2341" t="s">
        <v>471</v>
      </c>
      <c r="C2341" t="s">
        <v>96</v>
      </c>
      <c r="D2341" t="s">
        <v>64</v>
      </c>
      <c r="E2341" t="s">
        <v>26</v>
      </c>
      <c r="F2341" t="s">
        <v>472</v>
      </c>
      <c r="G2341" s="9" t="s">
        <v>493</v>
      </c>
      <c r="H2341">
        <v>3116</v>
      </c>
      <c r="I2341">
        <v>3116</v>
      </c>
      <c r="J2341" s="21">
        <v>46082</v>
      </c>
      <c r="K2341" t="s">
        <v>67</v>
      </c>
      <c r="L2341" t="s">
        <v>68</v>
      </c>
      <c r="M2341" t="s">
        <v>69</v>
      </c>
      <c r="O2341">
        <v>3116</v>
      </c>
      <c r="P2341" t="s">
        <v>388</v>
      </c>
      <c r="S2341" t="str">
        <f>TEXT(Table1[[#This Row],[Date]],"MMM-YY")</f>
        <v>Mar-26</v>
      </c>
      <c r="T2341">
        <f>_xlfn.ISOWEEKNUM(Table1[[#This Row],[Date]])</f>
        <v>12</v>
      </c>
    </row>
    <row r="2342" spans="1:20">
      <c r="A2342" s="1">
        <v>46097</v>
      </c>
      <c r="B2342" t="s">
        <v>414</v>
      </c>
      <c r="C2342" t="s">
        <v>96</v>
      </c>
      <c r="D2342" t="s">
        <v>64</v>
      </c>
      <c r="E2342" t="s">
        <v>26</v>
      </c>
      <c r="F2342" t="s">
        <v>415</v>
      </c>
      <c r="G2342" s="9" t="s">
        <v>492</v>
      </c>
      <c r="H2342">
        <v>45500</v>
      </c>
      <c r="I2342">
        <v>45500</v>
      </c>
      <c r="J2342" s="21">
        <v>46082</v>
      </c>
      <c r="K2342" t="s">
        <v>67</v>
      </c>
      <c r="L2342" t="s">
        <v>68</v>
      </c>
      <c r="M2342" t="s">
        <v>69</v>
      </c>
      <c r="O2342">
        <v>45500</v>
      </c>
      <c r="P2342" t="s">
        <v>388</v>
      </c>
      <c r="S2342" t="str">
        <f>TEXT(Table1[[#This Row],[Date]],"MMM-YY")</f>
        <v>Mar-26</v>
      </c>
      <c r="T2342">
        <f>_xlfn.ISOWEEKNUM(Table1[[#This Row],[Date]])</f>
        <v>12</v>
      </c>
    </row>
    <row r="2343" spans="1:20" hidden="1">
      <c r="A2343" s="1">
        <v>46097</v>
      </c>
      <c r="B2343" t="s">
        <v>392</v>
      </c>
      <c r="C2343" t="s">
        <v>63</v>
      </c>
      <c r="D2343" t="s">
        <v>320</v>
      </c>
      <c r="E2343" t="s">
        <v>26</v>
      </c>
      <c r="F2343" t="s">
        <v>393</v>
      </c>
      <c r="G2343" s="9" t="s">
        <v>491</v>
      </c>
      <c r="H2343">
        <v>89650</v>
      </c>
      <c r="I2343">
        <v>89650</v>
      </c>
      <c r="J2343" s="21">
        <v>46082</v>
      </c>
      <c r="K2343" t="s">
        <v>67</v>
      </c>
      <c r="L2343" t="s">
        <v>68</v>
      </c>
      <c r="M2343" t="s">
        <v>69</v>
      </c>
      <c r="O2343">
        <v>0</v>
      </c>
      <c r="P2343" t="s">
        <v>388</v>
      </c>
      <c r="S2343" t="str">
        <f>TEXT(Table1[[#This Row],[Date]],"MMM-YY")</f>
        <v>Mar-26</v>
      </c>
      <c r="T2343">
        <f>_xlfn.ISOWEEKNUM(Table1[[#This Row],[Date]])</f>
        <v>12</v>
      </c>
    </row>
    <row r="2344" spans="1:20" hidden="1">
      <c r="A2344" s="1">
        <v>46097</v>
      </c>
      <c r="B2344" t="s">
        <v>410</v>
      </c>
      <c r="C2344" t="s">
        <v>96</v>
      </c>
      <c r="D2344" t="s">
        <v>64</v>
      </c>
      <c r="E2344" t="s">
        <v>26</v>
      </c>
      <c r="F2344" t="s">
        <v>411</v>
      </c>
      <c r="G2344" s="9" t="s">
        <v>490</v>
      </c>
      <c r="H2344">
        <v>64110</v>
      </c>
      <c r="I2344">
        <v>64110</v>
      </c>
      <c r="J2344" s="21">
        <v>46082</v>
      </c>
      <c r="K2344" t="s">
        <v>67</v>
      </c>
      <c r="L2344" t="s">
        <v>68</v>
      </c>
      <c r="M2344" t="s">
        <v>69</v>
      </c>
      <c r="O2344">
        <v>64110</v>
      </c>
      <c r="P2344" t="s">
        <v>388</v>
      </c>
      <c r="S2344" t="str">
        <f>TEXT(Table1[[#This Row],[Date]],"MMM-YY")</f>
        <v>Mar-26</v>
      </c>
      <c r="T2344">
        <f>_xlfn.ISOWEEKNUM(Table1[[#This Row],[Date]])</f>
        <v>12</v>
      </c>
    </row>
    <row r="2345" spans="1:20" ht="15.75" hidden="1" customHeight="1">
      <c r="A2345" s="1">
        <v>46097</v>
      </c>
      <c r="B2345" t="s">
        <v>62</v>
      </c>
      <c r="C2345" t="s">
        <v>163</v>
      </c>
      <c r="D2345" t="s">
        <v>320</v>
      </c>
      <c r="E2345" t="s">
        <v>26</v>
      </c>
      <c r="F2345" t="s">
        <v>423</v>
      </c>
      <c r="G2345" s="9" t="s">
        <v>489</v>
      </c>
      <c r="H2345">
        <v>0</v>
      </c>
      <c r="I2345">
        <v>0</v>
      </c>
      <c r="J2345" s="21">
        <v>46082</v>
      </c>
      <c r="K2345" t="s">
        <v>67</v>
      </c>
      <c r="L2345" t="s">
        <v>68</v>
      </c>
      <c r="M2345" t="s">
        <v>69</v>
      </c>
      <c r="O2345">
        <v>0</v>
      </c>
      <c r="P2345" t="s">
        <v>70</v>
      </c>
      <c r="S2345" t="str">
        <f>TEXT(Table1[[#This Row],[Date]],"MMM-YY")</f>
        <v>Mar-26</v>
      </c>
      <c r="T2345">
        <f>_xlfn.ISOWEEKNUM(Table1[[#This Row],[Date]])</f>
        <v>12</v>
      </c>
    </row>
    <row r="2346" spans="1:20" hidden="1">
      <c r="A2346" s="1">
        <v>46097</v>
      </c>
      <c r="B2346" t="s">
        <v>486</v>
      </c>
      <c r="C2346" t="s">
        <v>96</v>
      </c>
      <c r="D2346" t="s">
        <v>320</v>
      </c>
      <c r="E2346" t="s">
        <v>14</v>
      </c>
      <c r="F2346" t="s">
        <v>487</v>
      </c>
      <c r="G2346" s="9" t="s">
        <v>488</v>
      </c>
      <c r="H2346">
        <v>4000</v>
      </c>
      <c r="I2346">
        <v>4000</v>
      </c>
      <c r="J2346" s="21">
        <v>46082</v>
      </c>
      <c r="K2346" t="s">
        <v>67</v>
      </c>
      <c r="L2346" t="s">
        <v>68</v>
      </c>
      <c r="M2346" t="s">
        <v>69</v>
      </c>
      <c r="O2346">
        <v>0</v>
      </c>
      <c r="P2346" t="s">
        <v>70</v>
      </c>
      <c r="S2346" t="str">
        <f>TEXT(Table1[[#This Row],[Date]],"MMM-YY")</f>
        <v>Mar-26</v>
      </c>
      <c r="T2346">
        <f>_xlfn.ISOWEEKNUM(Table1[[#This Row],[Date]])</f>
        <v>12</v>
      </c>
    </row>
    <row r="2347" spans="1:20" hidden="1">
      <c r="A2347" s="1">
        <v>46098</v>
      </c>
      <c r="B2347" t="s">
        <v>471</v>
      </c>
      <c r="C2347" t="s">
        <v>96</v>
      </c>
      <c r="D2347" t="s">
        <v>64</v>
      </c>
      <c r="E2347" t="s">
        <v>26</v>
      </c>
      <c r="F2347" t="s">
        <v>472</v>
      </c>
      <c r="G2347" s="9" t="s">
        <v>485</v>
      </c>
      <c r="H2347">
        <v>7095</v>
      </c>
      <c r="I2347">
        <v>7095</v>
      </c>
      <c r="J2347" s="21">
        <v>46082</v>
      </c>
      <c r="K2347" t="s">
        <v>67</v>
      </c>
      <c r="L2347" t="s">
        <v>68</v>
      </c>
      <c r="M2347" t="s">
        <v>69</v>
      </c>
      <c r="O2347">
        <v>7095</v>
      </c>
      <c r="P2347" t="s">
        <v>388</v>
      </c>
      <c r="S2347" t="str">
        <f>TEXT(Table1[[#This Row],[Date]],"MMM-YY")</f>
        <v>Mar-26</v>
      </c>
      <c r="T2347">
        <f>_xlfn.ISOWEEKNUM(Table1[[#This Row],[Date]])</f>
        <v>12</v>
      </c>
    </row>
    <row r="2348" spans="1:20">
      <c r="A2348" s="1">
        <v>46098</v>
      </c>
      <c r="B2348" t="s">
        <v>414</v>
      </c>
      <c r="C2348" t="s">
        <v>96</v>
      </c>
      <c r="D2348" t="s">
        <v>64</v>
      </c>
      <c r="E2348" t="s">
        <v>26</v>
      </c>
      <c r="F2348" t="s">
        <v>415</v>
      </c>
      <c r="G2348" s="9" t="s">
        <v>477</v>
      </c>
      <c r="H2348">
        <v>55000</v>
      </c>
      <c r="I2348">
        <v>55000</v>
      </c>
      <c r="J2348" s="21">
        <v>46082</v>
      </c>
      <c r="K2348" t="s">
        <v>67</v>
      </c>
      <c r="L2348" t="s">
        <v>68</v>
      </c>
      <c r="M2348" t="s">
        <v>69</v>
      </c>
      <c r="O2348">
        <v>55000</v>
      </c>
      <c r="P2348" t="s">
        <v>388</v>
      </c>
      <c r="S2348" t="str">
        <f>TEXT(Table1[[#This Row],[Date]],"MMM-YY")</f>
        <v>Mar-26</v>
      </c>
      <c r="T2348">
        <f>_xlfn.ISOWEEKNUM(Table1[[#This Row],[Date]])</f>
        <v>12</v>
      </c>
    </row>
    <row r="2349" spans="1:20" hidden="1">
      <c r="A2349" s="1">
        <v>46098</v>
      </c>
      <c r="B2349" t="s">
        <v>392</v>
      </c>
      <c r="C2349" t="s">
        <v>63</v>
      </c>
      <c r="D2349" t="s">
        <v>320</v>
      </c>
      <c r="E2349" t="s">
        <v>26</v>
      </c>
      <c r="F2349" t="s">
        <v>393</v>
      </c>
      <c r="G2349" s="9" t="s">
        <v>484</v>
      </c>
      <c r="H2349">
        <v>103090</v>
      </c>
      <c r="I2349">
        <v>103090</v>
      </c>
      <c r="J2349" s="21">
        <v>46082</v>
      </c>
      <c r="K2349" t="s">
        <v>67</v>
      </c>
      <c r="L2349" t="s">
        <v>68</v>
      </c>
      <c r="M2349" t="s">
        <v>69</v>
      </c>
      <c r="O2349">
        <v>0</v>
      </c>
      <c r="P2349" t="s">
        <v>388</v>
      </c>
      <c r="S2349" t="str">
        <f>TEXT(Table1[[#This Row],[Date]],"MMM-YY")</f>
        <v>Mar-26</v>
      </c>
      <c r="T2349">
        <f>_xlfn.ISOWEEKNUM(Table1[[#This Row],[Date]])</f>
        <v>12</v>
      </c>
    </row>
    <row r="2350" spans="1:20" hidden="1">
      <c r="A2350" s="1">
        <v>46098</v>
      </c>
      <c r="B2350" t="s">
        <v>410</v>
      </c>
      <c r="C2350" t="s">
        <v>96</v>
      </c>
      <c r="D2350" t="s">
        <v>64</v>
      </c>
      <c r="E2350" t="s">
        <v>26</v>
      </c>
      <c r="F2350" t="s">
        <v>411</v>
      </c>
      <c r="G2350" s="9" t="s">
        <v>483</v>
      </c>
      <c r="H2350">
        <v>67590</v>
      </c>
      <c r="I2350">
        <v>67590</v>
      </c>
      <c r="J2350" s="21">
        <v>46082</v>
      </c>
      <c r="K2350" t="s">
        <v>67</v>
      </c>
      <c r="L2350" t="s">
        <v>68</v>
      </c>
      <c r="M2350" t="s">
        <v>69</v>
      </c>
      <c r="O2350">
        <v>67590</v>
      </c>
      <c r="P2350" t="s">
        <v>388</v>
      </c>
      <c r="S2350" t="str">
        <f>TEXT(Table1[[#This Row],[Date]],"MMM-YY")</f>
        <v>Mar-26</v>
      </c>
      <c r="T2350">
        <f>_xlfn.ISOWEEKNUM(Table1[[#This Row],[Date]])</f>
        <v>12</v>
      </c>
    </row>
    <row r="2351" spans="1:20">
      <c r="A2351" s="1">
        <v>46098</v>
      </c>
      <c r="B2351" t="s">
        <v>4439</v>
      </c>
      <c r="C2351" t="s">
        <v>63</v>
      </c>
      <c r="D2351" t="s">
        <v>64</v>
      </c>
      <c r="E2351" t="s">
        <v>26</v>
      </c>
      <c r="F2351" t="s">
        <v>164</v>
      </c>
      <c r="G2351" s="9" t="s">
        <v>482</v>
      </c>
      <c r="H2351">
        <v>228000</v>
      </c>
      <c r="I2351">
        <v>228000</v>
      </c>
      <c r="J2351" s="21">
        <v>46082</v>
      </c>
      <c r="K2351" t="s">
        <v>67</v>
      </c>
      <c r="L2351" t="s">
        <v>68</v>
      </c>
      <c r="M2351" t="s">
        <v>69</v>
      </c>
      <c r="O2351">
        <v>228000</v>
      </c>
      <c r="P2351" t="s">
        <v>70</v>
      </c>
      <c r="S2351" t="str">
        <f>TEXT(Table1[[#This Row],[Date]],"MMM-YY")</f>
        <v>Mar-26</v>
      </c>
      <c r="T2351">
        <f>_xlfn.ISOWEEKNUM(Table1[[#This Row],[Date]])</f>
        <v>12</v>
      </c>
    </row>
    <row r="2352" spans="1:20">
      <c r="A2352" s="1">
        <v>46098</v>
      </c>
      <c r="B2352" t="s">
        <v>478</v>
      </c>
      <c r="C2352" t="s">
        <v>96</v>
      </c>
      <c r="D2352" t="s">
        <v>320</v>
      </c>
      <c r="E2352" t="s">
        <v>26</v>
      </c>
      <c r="F2352" t="s">
        <v>479</v>
      </c>
      <c r="G2352" s="9" t="s">
        <v>480</v>
      </c>
      <c r="H2352">
        <v>9460</v>
      </c>
      <c r="I2352">
        <v>9460</v>
      </c>
      <c r="J2352" s="21">
        <v>46082</v>
      </c>
      <c r="K2352" t="s">
        <v>67</v>
      </c>
      <c r="L2352" t="s">
        <v>68</v>
      </c>
      <c r="M2352" t="s">
        <v>69</v>
      </c>
      <c r="O2352">
        <v>0</v>
      </c>
      <c r="P2352" t="s">
        <v>70</v>
      </c>
      <c r="S2352" t="str">
        <f>TEXT(Table1[[#This Row],[Date]],"MMM-YY")</f>
        <v>Mar-26</v>
      </c>
      <c r="T2352">
        <f>_xlfn.ISOWEEKNUM(Table1[[#This Row],[Date]])</f>
        <v>12</v>
      </c>
    </row>
    <row r="2353" spans="1:20">
      <c r="A2353" s="1">
        <v>46098</v>
      </c>
      <c r="B2353" t="s">
        <v>466</v>
      </c>
      <c r="C2353" t="s">
        <v>96</v>
      </c>
      <c r="D2353" t="s">
        <v>64</v>
      </c>
      <c r="E2353" t="s">
        <v>26</v>
      </c>
      <c r="F2353" t="s">
        <v>334</v>
      </c>
      <c r="G2353" s="9" t="s">
        <v>477</v>
      </c>
      <c r="H2353">
        <v>67000</v>
      </c>
      <c r="I2353">
        <v>67000</v>
      </c>
      <c r="J2353" s="21">
        <v>46082</v>
      </c>
      <c r="K2353" t="s">
        <v>67</v>
      </c>
      <c r="L2353" t="s">
        <v>68</v>
      </c>
      <c r="M2353" t="s">
        <v>69</v>
      </c>
      <c r="O2353">
        <v>67000</v>
      </c>
      <c r="P2353" t="s">
        <v>468</v>
      </c>
      <c r="S2353" t="str">
        <f>TEXT(Table1[[#This Row],[Date]],"MMM-YY")</f>
        <v>Mar-26</v>
      </c>
      <c r="T2353">
        <f>_xlfn.ISOWEEKNUM(Table1[[#This Row],[Date]])</f>
        <v>12</v>
      </c>
    </row>
    <row r="2354" spans="1:20">
      <c r="A2354" s="1">
        <v>46098</v>
      </c>
      <c r="B2354" t="s">
        <v>463</v>
      </c>
      <c r="C2354" t="s">
        <v>96</v>
      </c>
      <c r="D2354" t="s">
        <v>320</v>
      </c>
      <c r="E2354" t="s">
        <v>26</v>
      </c>
      <c r="F2354" t="s">
        <v>464</v>
      </c>
      <c r="G2354" s="9" t="s">
        <v>476</v>
      </c>
      <c r="H2354">
        <v>32470</v>
      </c>
      <c r="I2354">
        <v>32470</v>
      </c>
      <c r="J2354" s="21">
        <v>46082</v>
      </c>
      <c r="K2354" t="s">
        <v>67</v>
      </c>
      <c r="L2354" t="s">
        <v>68</v>
      </c>
      <c r="M2354" t="s">
        <v>69</v>
      </c>
      <c r="O2354">
        <v>26980</v>
      </c>
      <c r="P2354" t="s">
        <v>388</v>
      </c>
      <c r="S2354" t="str">
        <f>TEXT(Table1[[#This Row],[Date]],"MMM-YY")</f>
        <v>Mar-26</v>
      </c>
      <c r="T2354">
        <f>_xlfn.ISOWEEKNUM(Table1[[#This Row],[Date]])</f>
        <v>12</v>
      </c>
    </row>
    <row r="2355" spans="1:20" hidden="1">
      <c r="A2355" s="1">
        <v>46098</v>
      </c>
      <c r="B2355" t="s">
        <v>474</v>
      </c>
      <c r="C2355" t="s">
        <v>96</v>
      </c>
      <c r="D2355" t="s">
        <v>64</v>
      </c>
      <c r="E2355" t="s">
        <v>26</v>
      </c>
      <c r="F2355" t="s">
        <v>371</v>
      </c>
      <c r="G2355" s="9" t="s">
        <v>475</v>
      </c>
      <c r="H2355">
        <v>39900</v>
      </c>
      <c r="I2355">
        <v>39900</v>
      </c>
      <c r="J2355" s="21">
        <v>46082</v>
      </c>
      <c r="K2355" t="s">
        <v>67</v>
      </c>
      <c r="L2355" t="s">
        <v>68</v>
      </c>
      <c r="M2355" t="s">
        <v>69</v>
      </c>
      <c r="O2355">
        <v>39900</v>
      </c>
      <c r="P2355" t="s">
        <v>388</v>
      </c>
      <c r="S2355" t="str">
        <f>TEXT(Table1[[#This Row],[Date]],"MMM-YY")</f>
        <v>Mar-26</v>
      </c>
      <c r="T2355">
        <f>_xlfn.ISOWEEKNUM(Table1[[#This Row],[Date]])</f>
        <v>12</v>
      </c>
    </row>
    <row r="2356" spans="1:20" hidden="1">
      <c r="A2356" s="1">
        <v>46099</v>
      </c>
      <c r="B2356" t="s">
        <v>471</v>
      </c>
      <c r="C2356" t="s">
        <v>96</v>
      </c>
      <c r="D2356" t="s">
        <v>64</v>
      </c>
      <c r="E2356" t="s">
        <v>26</v>
      </c>
      <c r="F2356" t="s">
        <v>472</v>
      </c>
      <c r="G2356" s="9" t="s">
        <v>473</v>
      </c>
      <c r="H2356">
        <v>8500</v>
      </c>
      <c r="I2356">
        <v>8500</v>
      </c>
      <c r="J2356" s="21">
        <v>46082</v>
      </c>
      <c r="K2356" t="s">
        <v>67</v>
      </c>
      <c r="L2356" t="s">
        <v>68</v>
      </c>
      <c r="M2356" t="s">
        <v>69</v>
      </c>
      <c r="O2356">
        <v>8500</v>
      </c>
      <c r="P2356" t="s">
        <v>388</v>
      </c>
      <c r="S2356" t="str">
        <f>TEXT(Table1[[#This Row],[Date]],"MMM-YY")</f>
        <v>Mar-26</v>
      </c>
      <c r="T2356">
        <f>_xlfn.ISOWEEKNUM(Table1[[#This Row],[Date]])</f>
        <v>12</v>
      </c>
    </row>
    <row r="2357" spans="1:20">
      <c r="A2357" s="1">
        <v>46099</v>
      </c>
      <c r="B2357" t="s">
        <v>414</v>
      </c>
      <c r="C2357" t="s">
        <v>96</v>
      </c>
      <c r="D2357" t="s">
        <v>64</v>
      </c>
      <c r="E2357" t="s">
        <v>26</v>
      </c>
      <c r="F2357" t="s">
        <v>415</v>
      </c>
      <c r="G2357" s="9" t="s">
        <v>467</v>
      </c>
      <c r="H2357">
        <v>54200</v>
      </c>
      <c r="I2357">
        <v>54200</v>
      </c>
      <c r="J2357" s="21">
        <v>46082</v>
      </c>
      <c r="K2357" t="s">
        <v>67</v>
      </c>
      <c r="L2357" t="s">
        <v>68</v>
      </c>
      <c r="M2357" t="s">
        <v>69</v>
      </c>
      <c r="O2357">
        <v>54200</v>
      </c>
      <c r="P2357" t="s">
        <v>388</v>
      </c>
      <c r="S2357" t="str">
        <f>TEXT(Table1[[#This Row],[Date]],"MMM-YY")</f>
        <v>Mar-26</v>
      </c>
      <c r="T2357">
        <f>_xlfn.ISOWEEKNUM(Table1[[#This Row],[Date]])</f>
        <v>12</v>
      </c>
    </row>
    <row r="2358" spans="1:20" hidden="1">
      <c r="A2358" s="1">
        <v>46099</v>
      </c>
      <c r="B2358" t="s">
        <v>392</v>
      </c>
      <c r="C2358" t="s">
        <v>63</v>
      </c>
      <c r="D2358" t="s">
        <v>320</v>
      </c>
      <c r="E2358" t="s">
        <v>26</v>
      </c>
      <c r="F2358" t="s">
        <v>393</v>
      </c>
      <c r="G2358" s="9" t="s">
        <v>470</v>
      </c>
      <c r="H2358">
        <v>56500</v>
      </c>
      <c r="I2358">
        <v>56500</v>
      </c>
      <c r="J2358" s="21">
        <v>46082</v>
      </c>
      <c r="K2358" t="s">
        <v>67</v>
      </c>
      <c r="L2358" t="s">
        <v>68</v>
      </c>
      <c r="M2358" t="s">
        <v>69</v>
      </c>
      <c r="O2358">
        <v>0</v>
      </c>
      <c r="P2358" t="s">
        <v>388</v>
      </c>
      <c r="S2358" t="str">
        <f>TEXT(Table1[[#This Row],[Date]],"MMM-YY")</f>
        <v>Mar-26</v>
      </c>
      <c r="T2358">
        <f>_xlfn.ISOWEEKNUM(Table1[[#This Row],[Date]])</f>
        <v>12</v>
      </c>
    </row>
    <row r="2359" spans="1:20" hidden="1">
      <c r="A2359" s="1">
        <v>46099</v>
      </c>
      <c r="B2359" t="s">
        <v>410</v>
      </c>
      <c r="C2359" t="s">
        <v>96</v>
      </c>
      <c r="D2359" t="s">
        <v>64</v>
      </c>
      <c r="E2359" t="s">
        <v>26</v>
      </c>
      <c r="F2359" t="s">
        <v>411</v>
      </c>
      <c r="G2359" s="9" t="s">
        <v>469</v>
      </c>
      <c r="H2359">
        <v>52500</v>
      </c>
      <c r="I2359">
        <v>52500</v>
      </c>
      <c r="J2359" s="21">
        <v>46082</v>
      </c>
      <c r="K2359" t="s">
        <v>67</v>
      </c>
      <c r="L2359" t="s">
        <v>68</v>
      </c>
      <c r="M2359" t="s">
        <v>69</v>
      </c>
      <c r="O2359">
        <v>52500</v>
      </c>
      <c r="P2359" t="s">
        <v>388</v>
      </c>
      <c r="S2359" t="str">
        <f>TEXT(Table1[[#This Row],[Date]],"MMM-YY")</f>
        <v>Mar-26</v>
      </c>
      <c r="T2359">
        <f>_xlfn.ISOWEEKNUM(Table1[[#This Row],[Date]])</f>
        <v>12</v>
      </c>
    </row>
    <row r="2360" spans="1:20">
      <c r="A2360" s="1">
        <v>46099</v>
      </c>
      <c r="B2360" t="s">
        <v>466</v>
      </c>
      <c r="C2360" t="s">
        <v>96</v>
      </c>
      <c r="D2360" t="s">
        <v>64</v>
      </c>
      <c r="E2360" t="s">
        <v>26</v>
      </c>
      <c r="F2360" t="s">
        <v>334</v>
      </c>
      <c r="G2360" s="9" t="s">
        <v>467</v>
      </c>
      <c r="H2360">
        <v>56650</v>
      </c>
      <c r="I2360">
        <v>56650</v>
      </c>
      <c r="J2360" s="21">
        <v>46082</v>
      </c>
      <c r="K2360" t="s">
        <v>67</v>
      </c>
      <c r="L2360" t="s">
        <v>68</v>
      </c>
      <c r="M2360" t="s">
        <v>69</v>
      </c>
      <c r="O2360">
        <v>56650</v>
      </c>
      <c r="P2360" t="s">
        <v>468</v>
      </c>
      <c r="S2360" t="str">
        <f>TEXT(Table1[[#This Row],[Date]],"MMM-YY")</f>
        <v>Mar-26</v>
      </c>
      <c r="T2360">
        <f>_xlfn.ISOWEEKNUM(Table1[[#This Row],[Date]])</f>
        <v>12</v>
      </c>
    </row>
    <row r="2361" spans="1:20">
      <c r="A2361" s="1">
        <v>46099</v>
      </c>
      <c r="B2361" t="s">
        <v>463</v>
      </c>
      <c r="C2361" t="s">
        <v>96</v>
      </c>
      <c r="D2361" t="s">
        <v>320</v>
      </c>
      <c r="E2361" t="s">
        <v>26</v>
      </c>
      <c r="F2361" t="s">
        <v>464</v>
      </c>
      <c r="G2361" s="9" t="s">
        <v>465</v>
      </c>
      <c r="H2361">
        <v>34200</v>
      </c>
      <c r="I2361">
        <v>34200</v>
      </c>
      <c r="J2361" s="21">
        <v>46082</v>
      </c>
      <c r="K2361" t="s">
        <v>67</v>
      </c>
      <c r="L2361" t="s">
        <v>68</v>
      </c>
      <c r="M2361" t="s">
        <v>69</v>
      </c>
      <c r="O2361">
        <v>34200</v>
      </c>
      <c r="P2361" t="s">
        <v>388</v>
      </c>
      <c r="S2361" t="str">
        <f>TEXT(Table1[[#This Row],[Date]],"MMM-YY")</f>
        <v>Mar-26</v>
      </c>
      <c r="T2361">
        <f>_xlfn.ISOWEEKNUM(Table1[[#This Row],[Date]])</f>
        <v>12</v>
      </c>
    </row>
    <row r="2362" spans="1:20">
      <c r="A2362" s="1">
        <v>46099</v>
      </c>
      <c r="B2362" t="s">
        <v>460</v>
      </c>
      <c r="C2362" t="s">
        <v>96</v>
      </c>
      <c r="D2362" t="s">
        <v>64</v>
      </c>
      <c r="E2362" t="s">
        <v>26</v>
      </c>
      <c r="F2362" t="s">
        <v>461</v>
      </c>
      <c r="G2362" s="9" t="s">
        <v>462</v>
      </c>
      <c r="H2362">
        <v>59500</v>
      </c>
      <c r="I2362">
        <v>59500</v>
      </c>
      <c r="J2362" s="21">
        <v>46082</v>
      </c>
      <c r="K2362" t="s">
        <v>67</v>
      </c>
      <c r="L2362" t="s">
        <v>68</v>
      </c>
      <c r="M2362" t="s">
        <v>69</v>
      </c>
      <c r="O2362">
        <v>59500</v>
      </c>
      <c r="P2362" t="s">
        <v>70</v>
      </c>
      <c r="S2362" t="str">
        <f>TEXT(Table1[[#This Row],[Date]],"MMM-YY")</f>
        <v>Mar-26</v>
      </c>
      <c r="T2362">
        <f>_xlfn.ISOWEEKNUM(Table1[[#This Row],[Date]])</f>
        <v>12</v>
      </c>
    </row>
    <row r="2363" spans="1:20">
      <c r="A2363" s="1">
        <v>46099</v>
      </c>
      <c r="B2363" s="67" t="s">
        <v>95</v>
      </c>
      <c r="C2363" t="s">
        <v>96</v>
      </c>
      <c r="D2363" t="s">
        <v>64</v>
      </c>
      <c r="E2363" t="s">
        <v>38</v>
      </c>
      <c r="F2363" t="s">
        <v>97</v>
      </c>
      <c r="G2363" s="69" t="s">
        <v>459</v>
      </c>
      <c r="H2363">
        <v>16729</v>
      </c>
      <c r="I2363">
        <v>16729</v>
      </c>
      <c r="J2363" s="21">
        <v>46082</v>
      </c>
      <c r="K2363" t="s">
        <v>99</v>
      </c>
      <c r="L2363" t="s">
        <v>68</v>
      </c>
      <c r="M2363" t="s">
        <v>69</v>
      </c>
      <c r="O2363">
        <v>0</v>
      </c>
      <c r="P2363" t="s">
        <v>70</v>
      </c>
      <c r="S2363" t="str">
        <f>TEXT(Table1[[#This Row],[Date]],"MMM-YY")</f>
        <v>Mar-26</v>
      </c>
      <c r="T2363">
        <f>_xlfn.ISOWEEKNUM(Table1[[#This Row],[Date]])</f>
        <v>12</v>
      </c>
    </row>
    <row r="2364" spans="1:20" hidden="1">
      <c r="A2364" s="1">
        <v>46099</v>
      </c>
      <c r="B2364" s="72" t="s">
        <v>456</v>
      </c>
      <c r="C2364" t="s">
        <v>163</v>
      </c>
      <c r="D2364" t="s">
        <v>20</v>
      </c>
      <c r="E2364" t="s">
        <v>23</v>
      </c>
      <c r="F2364" t="s">
        <v>457</v>
      </c>
      <c r="G2364" s="73" t="s">
        <v>458</v>
      </c>
      <c r="H2364">
        <v>34553</v>
      </c>
      <c r="I2364">
        <v>34553</v>
      </c>
      <c r="J2364" s="21">
        <v>46082</v>
      </c>
      <c r="K2364" t="s">
        <v>99</v>
      </c>
      <c r="L2364" t="s">
        <v>68</v>
      </c>
      <c r="M2364" t="s">
        <v>69</v>
      </c>
      <c r="O2364">
        <v>30000</v>
      </c>
      <c r="P2364" t="s">
        <v>70</v>
      </c>
      <c r="S2364" t="str">
        <f>TEXT(Table1[[#This Row],[Date]],"MMM-YY")</f>
        <v>Mar-26</v>
      </c>
      <c r="T2364">
        <f>_xlfn.ISOWEEKNUM(Table1[[#This Row],[Date]])</f>
        <v>12</v>
      </c>
    </row>
    <row r="2365" spans="1:20" hidden="1">
      <c r="A2365" s="1">
        <v>46100</v>
      </c>
      <c r="B2365" t="s">
        <v>410</v>
      </c>
      <c r="C2365" t="s">
        <v>96</v>
      </c>
      <c r="D2365" t="s">
        <v>64</v>
      </c>
      <c r="E2365" t="s">
        <v>26</v>
      </c>
      <c r="F2365" t="s">
        <v>411</v>
      </c>
      <c r="G2365" s="9" t="s">
        <v>455</v>
      </c>
      <c r="H2365">
        <v>32100</v>
      </c>
      <c r="I2365">
        <v>32100</v>
      </c>
      <c r="J2365" s="21">
        <v>46082</v>
      </c>
      <c r="K2365" t="s">
        <v>67</v>
      </c>
      <c r="L2365" t="s">
        <v>68</v>
      </c>
      <c r="M2365" t="s">
        <v>69</v>
      </c>
      <c r="O2365">
        <v>32100</v>
      </c>
      <c r="P2365" t="s">
        <v>388</v>
      </c>
      <c r="S2365" t="str">
        <f>TEXT(Table1[[#This Row],[Date]],"MMM-YY")</f>
        <v>Mar-26</v>
      </c>
      <c r="T2365">
        <f>_xlfn.ISOWEEKNUM(Table1[[#This Row],[Date]])</f>
        <v>12</v>
      </c>
    </row>
    <row r="2366" spans="1:20" hidden="1">
      <c r="A2366" s="1">
        <v>46101</v>
      </c>
      <c r="B2366" t="s">
        <v>392</v>
      </c>
      <c r="C2366" t="s">
        <v>63</v>
      </c>
      <c r="D2366" t="s">
        <v>320</v>
      </c>
      <c r="E2366" t="s">
        <v>26</v>
      </c>
      <c r="F2366" t="s">
        <v>393</v>
      </c>
      <c r="G2366" s="9" t="s">
        <v>454</v>
      </c>
      <c r="H2366">
        <v>36500</v>
      </c>
      <c r="I2366">
        <v>36500</v>
      </c>
      <c r="J2366" s="21">
        <v>46082</v>
      </c>
      <c r="K2366" t="s">
        <v>67</v>
      </c>
      <c r="L2366" t="s">
        <v>68</v>
      </c>
      <c r="M2366" t="s">
        <v>69</v>
      </c>
      <c r="O2366">
        <v>0</v>
      </c>
      <c r="P2366" t="s">
        <v>388</v>
      </c>
      <c r="S2366" t="str">
        <f>TEXT(Table1[[#This Row],[Date]],"MMM-YY")</f>
        <v>Mar-26</v>
      </c>
      <c r="T2366">
        <f>_xlfn.ISOWEEKNUM(Table1[[#This Row],[Date]])</f>
        <v>12</v>
      </c>
    </row>
    <row r="2367" spans="1:20" hidden="1">
      <c r="A2367" s="1">
        <v>46101</v>
      </c>
      <c r="B2367" t="s">
        <v>183</v>
      </c>
      <c r="C2367" t="s">
        <v>96</v>
      </c>
      <c r="D2367" t="s">
        <v>64</v>
      </c>
      <c r="E2367" t="s">
        <v>14</v>
      </c>
      <c r="F2367" t="s">
        <v>184</v>
      </c>
      <c r="G2367" s="9" t="s">
        <v>453</v>
      </c>
      <c r="H2367">
        <v>6500</v>
      </c>
      <c r="I2367">
        <v>6500</v>
      </c>
      <c r="J2367" s="21">
        <v>46082</v>
      </c>
      <c r="K2367" t="s">
        <v>67</v>
      </c>
      <c r="L2367" t="s">
        <v>68</v>
      </c>
      <c r="M2367" t="s">
        <v>69</v>
      </c>
      <c r="O2367">
        <v>0</v>
      </c>
      <c r="P2367" t="s">
        <v>70</v>
      </c>
      <c r="S2367" t="str">
        <f>TEXT(Table1[[#This Row],[Date]],"MMM-YY")</f>
        <v>Mar-26</v>
      </c>
      <c r="T2367">
        <f>_xlfn.ISOWEEKNUM(Table1[[#This Row],[Date]])</f>
        <v>12</v>
      </c>
    </row>
    <row r="2368" spans="1:20" hidden="1">
      <c r="A2368" s="1">
        <v>46102</v>
      </c>
      <c r="B2368" t="s">
        <v>451</v>
      </c>
      <c r="C2368" t="s">
        <v>163</v>
      </c>
      <c r="D2368" t="s">
        <v>20</v>
      </c>
      <c r="E2368" t="s">
        <v>23</v>
      </c>
      <c r="F2368" t="s">
        <v>444</v>
      </c>
      <c r="G2368" s="9" t="s">
        <v>452</v>
      </c>
      <c r="H2368">
        <v>7500</v>
      </c>
      <c r="I2368">
        <v>7500</v>
      </c>
      <c r="J2368" s="21">
        <v>46082</v>
      </c>
      <c r="K2368" t="s">
        <v>67</v>
      </c>
      <c r="L2368" t="s">
        <v>68</v>
      </c>
      <c r="M2368" t="s">
        <v>69</v>
      </c>
      <c r="O2368">
        <v>7500</v>
      </c>
      <c r="P2368" t="s">
        <v>70</v>
      </c>
      <c r="S2368" t="str">
        <f>TEXT(Table1[[#This Row],[Date]],"MMM-YY")</f>
        <v>Mar-26</v>
      </c>
      <c r="T2368">
        <f>_xlfn.ISOWEEKNUM(Table1[[#This Row],[Date]])</f>
        <v>12</v>
      </c>
    </row>
    <row r="2369" spans="1:20" hidden="1">
      <c r="A2369" s="1">
        <v>46103</v>
      </c>
      <c r="B2369" t="s">
        <v>449</v>
      </c>
      <c r="C2369" t="s">
        <v>96</v>
      </c>
      <c r="D2369" t="s">
        <v>20</v>
      </c>
      <c r="E2369" t="s">
        <v>37</v>
      </c>
      <c r="F2369" t="s">
        <v>219</v>
      </c>
      <c r="G2369" s="9" t="s">
        <v>450</v>
      </c>
      <c r="H2369">
        <v>6000</v>
      </c>
      <c r="I2369">
        <v>6000</v>
      </c>
      <c r="J2369" s="21">
        <v>46082</v>
      </c>
      <c r="K2369" t="s">
        <v>67</v>
      </c>
      <c r="L2369" t="s">
        <v>68</v>
      </c>
      <c r="M2369" t="s">
        <v>69</v>
      </c>
      <c r="O2369">
        <v>4000</v>
      </c>
      <c r="P2369" t="s">
        <v>388</v>
      </c>
      <c r="S2369" t="str">
        <f>TEXT(Table1[[#This Row],[Date]],"MMM-YY")</f>
        <v>Mar-26</v>
      </c>
      <c r="T2369">
        <f>_xlfn.ISOWEEKNUM(Table1[[#This Row],[Date]])</f>
        <v>12</v>
      </c>
    </row>
    <row r="2370" spans="1:20" hidden="1">
      <c r="A2370" s="1">
        <v>46103</v>
      </c>
      <c r="B2370" t="s">
        <v>446</v>
      </c>
      <c r="C2370" t="s">
        <v>163</v>
      </c>
      <c r="D2370" t="s">
        <v>64</v>
      </c>
      <c r="E2370" t="s">
        <v>237</v>
      </c>
      <c r="F2370" t="s">
        <v>447</v>
      </c>
      <c r="G2370" s="9" t="s">
        <v>448</v>
      </c>
      <c r="H2370">
        <v>19000</v>
      </c>
      <c r="I2370">
        <v>19000</v>
      </c>
      <c r="J2370" s="21">
        <v>46082</v>
      </c>
      <c r="K2370" t="s">
        <v>67</v>
      </c>
      <c r="L2370" t="s">
        <v>68</v>
      </c>
      <c r="M2370" t="s">
        <v>69</v>
      </c>
      <c r="O2370">
        <v>0</v>
      </c>
      <c r="P2370" t="s">
        <v>70</v>
      </c>
      <c r="S2370" t="str">
        <f>TEXT(Table1[[#This Row],[Date]],"MMM-YY")</f>
        <v>Mar-26</v>
      </c>
      <c r="T2370">
        <f>_xlfn.ISOWEEKNUM(Table1[[#This Row],[Date]])</f>
        <v>12</v>
      </c>
    </row>
    <row r="2371" spans="1:20" hidden="1">
      <c r="A2371" s="1">
        <v>46104</v>
      </c>
      <c r="B2371" t="s">
        <v>443</v>
      </c>
      <c r="C2371" t="s">
        <v>96</v>
      </c>
      <c r="D2371" t="s">
        <v>64</v>
      </c>
      <c r="E2371" t="s">
        <v>26</v>
      </c>
      <c r="F2371" t="s">
        <v>444</v>
      </c>
      <c r="G2371" s="9" t="s">
        <v>445</v>
      </c>
      <c r="H2371">
        <v>16500</v>
      </c>
      <c r="I2371">
        <v>16500</v>
      </c>
      <c r="J2371" s="21">
        <v>46082</v>
      </c>
      <c r="K2371" t="s">
        <v>67</v>
      </c>
      <c r="L2371" t="s">
        <v>68</v>
      </c>
      <c r="M2371" t="s">
        <v>69</v>
      </c>
      <c r="O2371">
        <v>16500</v>
      </c>
      <c r="P2371" t="s">
        <v>70</v>
      </c>
      <c r="S2371" t="str">
        <f>TEXT(Table1[[#This Row],[Date]],"MMM-YY")</f>
        <v>Mar-26</v>
      </c>
      <c r="T2371">
        <f>_xlfn.ISOWEEKNUM(Table1[[#This Row],[Date]])</f>
        <v>13</v>
      </c>
    </row>
    <row r="2372" spans="1:20" hidden="1">
      <c r="A2372" s="1">
        <v>46104</v>
      </c>
      <c r="B2372" t="s">
        <v>440</v>
      </c>
      <c r="C2372" t="s">
        <v>96</v>
      </c>
      <c r="D2372" t="s">
        <v>64</v>
      </c>
      <c r="E2372" t="s">
        <v>38</v>
      </c>
      <c r="F2372" t="s">
        <v>441</v>
      </c>
      <c r="G2372" s="9" t="s">
        <v>442</v>
      </c>
      <c r="H2372">
        <v>21000</v>
      </c>
      <c r="I2372">
        <v>21000</v>
      </c>
      <c r="J2372" s="21">
        <v>46082</v>
      </c>
      <c r="K2372" t="s">
        <v>67</v>
      </c>
      <c r="L2372" t="s">
        <v>68</v>
      </c>
      <c r="M2372" t="s">
        <v>69</v>
      </c>
      <c r="O2372">
        <v>21000</v>
      </c>
      <c r="P2372" t="s">
        <v>388</v>
      </c>
      <c r="S2372" t="str">
        <f>TEXT(Table1[[#This Row],[Date]],"MMM-YY")</f>
        <v>Mar-26</v>
      </c>
      <c r="T2372">
        <f>_xlfn.ISOWEEKNUM(Table1[[#This Row],[Date]])</f>
        <v>13</v>
      </c>
    </row>
    <row r="2373" spans="1:20">
      <c r="A2373" s="1">
        <v>46104</v>
      </c>
      <c r="B2373" t="s">
        <v>414</v>
      </c>
      <c r="C2373" t="s">
        <v>96</v>
      </c>
      <c r="D2373" t="s">
        <v>64</v>
      </c>
      <c r="E2373" t="s">
        <v>26</v>
      </c>
      <c r="F2373" t="s">
        <v>415</v>
      </c>
      <c r="G2373" s="9" t="s">
        <v>439</v>
      </c>
      <c r="H2373">
        <v>14000</v>
      </c>
      <c r="I2373">
        <v>14000</v>
      </c>
      <c r="J2373" s="21">
        <v>46082</v>
      </c>
      <c r="K2373" t="s">
        <v>67</v>
      </c>
      <c r="L2373" t="s">
        <v>68</v>
      </c>
      <c r="M2373" t="s">
        <v>69</v>
      </c>
      <c r="O2373">
        <v>14000</v>
      </c>
      <c r="P2373" t="s">
        <v>388</v>
      </c>
      <c r="S2373" t="str">
        <f>TEXT(Table1[[#This Row],[Date]],"MMM-YY")</f>
        <v>Mar-26</v>
      </c>
      <c r="T2373">
        <f>_xlfn.ISOWEEKNUM(Table1[[#This Row],[Date]])</f>
        <v>13</v>
      </c>
    </row>
    <row r="2374" spans="1:20" hidden="1">
      <c r="A2374" s="1">
        <v>46104</v>
      </c>
      <c r="B2374" t="s">
        <v>392</v>
      </c>
      <c r="C2374" t="s">
        <v>63</v>
      </c>
      <c r="D2374" t="s">
        <v>320</v>
      </c>
      <c r="E2374" t="s">
        <v>26</v>
      </c>
      <c r="F2374" t="s">
        <v>393</v>
      </c>
      <c r="G2374" s="9" t="s">
        <v>438</v>
      </c>
      <c r="H2374">
        <v>41600</v>
      </c>
      <c r="I2374">
        <v>41600</v>
      </c>
      <c r="J2374" s="21">
        <v>46082</v>
      </c>
      <c r="K2374" t="s">
        <v>67</v>
      </c>
      <c r="L2374" t="s">
        <v>68</v>
      </c>
      <c r="M2374" t="s">
        <v>69</v>
      </c>
      <c r="O2374">
        <v>41600</v>
      </c>
      <c r="P2374" t="s">
        <v>388</v>
      </c>
      <c r="S2374" t="str">
        <f>TEXT(Table1[[#This Row],[Date]],"MMM-YY")</f>
        <v>Mar-26</v>
      </c>
      <c r="T2374">
        <f>_xlfn.ISOWEEKNUM(Table1[[#This Row],[Date]])</f>
        <v>13</v>
      </c>
    </row>
    <row r="2375" spans="1:20" hidden="1">
      <c r="A2375" s="1">
        <v>46104</v>
      </c>
      <c r="B2375" t="s">
        <v>410</v>
      </c>
      <c r="C2375" t="s">
        <v>96</v>
      </c>
      <c r="D2375" t="s">
        <v>64</v>
      </c>
      <c r="E2375" t="s">
        <v>26</v>
      </c>
      <c r="F2375" t="s">
        <v>411</v>
      </c>
      <c r="G2375" s="9" t="s">
        <v>437</v>
      </c>
      <c r="H2375">
        <v>29940</v>
      </c>
      <c r="I2375">
        <v>29940</v>
      </c>
      <c r="J2375" s="21">
        <v>46082</v>
      </c>
      <c r="K2375" t="s">
        <v>67</v>
      </c>
      <c r="L2375" t="s">
        <v>68</v>
      </c>
      <c r="M2375" t="s">
        <v>69</v>
      </c>
      <c r="O2375">
        <v>0</v>
      </c>
      <c r="P2375" t="s">
        <v>388</v>
      </c>
      <c r="S2375" t="str">
        <f>TEXT(Table1[[#This Row],[Date]],"MMM-YY")</f>
        <v>Mar-26</v>
      </c>
      <c r="T2375">
        <f>_xlfn.ISOWEEKNUM(Table1[[#This Row],[Date]])</f>
        <v>13</v>
      </c>
    </row>
    <row r="2376" spans="1:20">
      <c r="A2376" s="1">
        <v>46105</v>
      </c>
      <c r="B2376" t="s">
        <v>414</v>
      </c>
      <c r="C2376" t="s">
        <v>96</v>
      </c>
      <c r="D2376" t="s">
        <v>64</v>
      </c>
      <c r="E2376" t="s">
        <v>26</v>
      </c>
      <c r="F2376" t="s">
        <v>415</v>
      </c>
      <c r="G2376" s="9" t="s">
        <v>436</v>
      </c>
      <c r="H2376">
        <v>40100</v>
      </c>
      <c r="I2376">
        <v>40100</v>
      </c>
      <c r="J2376" s="21">
        <v>46082</v>
      </c>
      <c r="K2376" t="s">
        <v>67</v>
      </c>
      <c r="L2376" t="s">
        <v>68</v>
      </c>
      <c r="M2376" t="s">
        <v>69</v>
      </c>
      <c r="O2376">
        <v>40100</v>
      </c>
      <c r="P2376" t="s">
        <v>388</v>
      </c>
      <c r="S2376" t="str">
        <f>TEXT(Table1[[#This Row],[Date]],"MMM-YY")</f>
        <v>Mar-26</v>
      </c>
      <c r="T2376">
        <f>_xlfn.ISOWEEKNUM(Table1[[#This Row],[Date]])</f>
        <v>13</v>
      </c>
    </row>
    <row r="2377" spans="1:20" hidden="1">
      <c r="A2377" s="1">
        <v>46105</v>
      </c>
      <c r="B2377" t="s">
        <v>392</v>
      </c>
      <c r="C2377" t="s">
        <v>63</v>
      </c>
      <c r="D2377" t="s">
        <v>320</v>
      </c>
      <c r="E2377" t="s">
        <v>26</v>
      </c>
      <c r="F2377" t="s">
        <v>393</v>
      </c>
      <c r="G2377" s="9" t="s">
        <v>435</v>
      </c>
      <c r="H2377">
        <v>64900</v>
      </c>
      <c r="I2377">
        <v>64900</v>
      </c>
      <c r="J2377" s="21">
        <v>46082</v>
      </c>
      <c r="K2377" t="s">
        <v>67</v>
      </c>
      <c r="L2377" t="s">
        <v>68</v>
      </c>
      <c r="M2377" t="s">
        <v>69</v>
      </c>
      <c r="O2377">
        <v>0</v>
      </c>
      <c r="P2377" t="s">
        <v>388</v>
      </c>
      <c r="S2377" t="str">
        <f>TEXT(Table1[[#This Row],[Date]],"MMM-YY")</f>
        <v>Mar-26</v>
      </c>
      <c r="T2377">
        <f>_xlfn.ISOWEEKNUM(Table1[[#This Row],[Date]])</f>
        <v>13</v>
      </c>
    </row>
    <row r="2378" spans="1:20" hidden="1">
      <c r="A2378" s="1">
        <v>46105</v>
      </c>
      <c r="B2378" t="s">
        <v>410</v>
      </c>
      <c r="C2378" t="s">
        <v>96</v>
      </c>
      <c r="D2378" t="s">
        <v>64</v>
      </c>
      <c r="E2378" t="s">
        <v>26</v>
      </c>
      <c r="F2378" t="s">
        <v>411</v>
      </c>
      <c r="G2378" s="9" t="s">
        <v>434</v>
      </c>
      <c r="H2378">
        <v>56330</v>
      </c>
      <c r="I2378">
        <v>56330</v>
      </c>
      <c r="J2378" s="21">
        <v>46082</v>
      </c>
      <c r="K2378" t="s">
        <v>67</v>
      </c>
      <c r="L2378" t="s">
        <v>68</v>
      </c>
      <c r="M2378" t="s">
        <v>69</v>
      </c>
      <c r="O2378">
        <v>56330</v>
      </c>
      <c r="P2378" t="s">
        <v>388</v>
      </c>
      <c r="S2378" t="str">
        <f>TEXT(Table1[[#This Row],[Date]],"MMM-YY")</f>
        <v>Mar-26</v>
      </c>
      <c r="T2378">
        <f>_xlfn.ISOWEEKNUM(Table1[[#This Row],[Date]])</f>
        <v>13</v>
      </c>
    </row>
    <row r="2379" spans="1:20">
      <c r="A2379" s="1">
        <v>46105</v>
      </c>
      <c r="B2379" t="s">
        <v>4440</v>
      </c>
      <c r="C2379" t="s">
        <v>63</v>
      </c>
      <c r="D2379" t="s">
        <v>64</v>
      </c>
      <c r="E2379" t="s">
        <v>26</v>
      </c>
      <c r="F2379" t="s">
        <v>408</v>
      </c>
      <c r="G2379" s="9" t="s">
        <v>4441</v>
      </c>
      <c r="H2379">
        <v>0</v>
      </c>
      <c r="I2379">
        <v>0</v>
      </c>
      <c r="J2379" s="21">
        <v>46113</v>
      </c>
      <c r="K2379" t="s">
        <v>67</v>
      </c>
      <c r="L2379" t="s">
        <v>568</v>
      </c>
      <c r="M2379" t="s">
        <v>296</v>
      </c>
      <c r="O2379">
        <v>0</v>
      </c>
      <c r="P2379" t="s">
        <v>70</v>
      </c>
      <c r="S2379" t="str">
        <f>TEXT(Table1[[#This Row],[Date]],"MMM-YY")</f>
        <v>Mar-26</v>
      </c>
      <c r="T2379">
        <f>_xlfn.ISOWEEKNUM(Table1[[#This Row],[Date]])</f>
        <v>13</v>
      </c>
    </row>
    <row r="2380" spans="1:20">
      <c r="A2380" s="1">
        <v>46106</v>
      </c>
      <c r="B2380" t="s">
        <v>414</v>
      </c>
      <c r="C2380" t="s">
        <v>96</v>
      </c>
      <c r="D2380" t="s">
        <v>64</v>
      </c>
      <c r="E2380" t="s">
        <v>26</v>
      </c>
      <c r="F2380" t="s">
        <v>415</v>
      </c>
      <c r="G2380" s="9" t="s">
        <v>433</v>
      </c>
      <c r="H2380">
        <v>36200</v>
      </c>
      <c r="I2380">
        <v>36200</v>
      </c>
      <c r="J2380" s="21">
        <v>46082</v>
      </c>
      <c r="K2380" t="s">
        <v>67</v>
      </c>
      <c r="L2380" t="s">
        <v>68</v>
      </c>
      <c r="M2380" t="s">
        <v>69</v>
      </c>
      <c r="O2380">
        <v>36200</v>
      </c>
      <c r="P2380" t="s">
        <v>388</v>
      </c>
      <c r="S2380" t="str">
        <f>TEXT(Table1[[#This Row],[Date]],"MMM-YY")</f>
        <v>Mar-26</v>
      </c>
      <c r="T2380">
        <f>_xlfn.ISOWEEKNUM(Table1[[#This Row],[Date]])</f>
        <v>13</v>
      </c>
    </row>
    <row r="2381" spans="1:20" hidden="1">
      <c r="A2381" s="1">
        <v>46106</v>
      </c>
      <c r="B2381" t="s">
        <v>392</v>
      </c>
      <c r="C2381" t="s">
        <v>63</v>
      </c>
      <c r="D2381" t="s">
        <v>320</v>
      </c>
      <c r="E2381" t="s">
        <v>26</v>
      </c>
      <c r="F2381" t="s">
        <v>393</v>
      </c>
      <c r="G2381" s="9" t="s">
        <v>432</v>
      </c>
      <c r="H2381">
        <v>66500</v>
      </c>
      <c r="I2381">
        <v>66500</v>
      </c>
      <c r="J2381" s="21">
        <v>46082</v>
      </c>
      <c r="K2381" t="s">
        <v>67</v>
      </c>
      <c r="L2381" t="s">
        <v>68</v>
      </c>
      <c r="M2381" t="s">
        <v>69</v>
      </c>
      <c r="O2381">
        <v>0</v>
      </c>
      <c r="P2381" t="s">
        <v>388</v>
      </c>
      <c r="S2381" t="str">
        <f>TEXT(Table1[[#This Row],[Date]],"MMM-YY")</f>
        <v>Mar-26</v>
      </c>
      <c r="T2381">
        <f>_xlfn.ISOWEEKNUM(Table1[[#This Row],[Date]])</f>
        <v>13</v>
      </c>
    </row>
    <row r="2382" spans="1:20" hidden="1">
      <c r="A2382" s="1">
        <v>46106</v>
      </c>
      <c r="B2382" t="s">
        <v>410</v>
      </c>
      <c r="C2382" t="s">
        <v>96</v>
      </c>
      <c r="D2382" t="s">
        <v>64</v>
      </c>
      <c r="E2382" t="s">
        <v>26</v>
      </c>
      <c r="F2382" t="s">
        <v>411</v>
      </c>
      <c r="G2382" s="9" t="s">
        <v>431</v>
      </c>
      <c r="H2382">
        <v>63370</v>
      </c>
      <c r="I2382">
        <v>63370</v>
      </c>
      <c r="J2382" s="21">
        <v>46082</v>
      </c>
      <c r="K2382" t="s">
        <v>67</v>
      </c>
      <c r="L2382" t="s">
        <v>68</v>
      </c>
      <c r="M2382" t="s">
        <v>69</v>
      </c>
      <c r="O2382">
        <v>63370</v>
      </c>
      <c r="P2382" t="s">
        <v>388</v>
      </c>
      <c r="S2382" t="str">
        <f>TEXT(Table1[[#This Row],[Date]],"MMM-YY")</f>
        <v>Mar-26</v>
      </c>
      <c r="T2382">
        <f>_xlfn.ISOWEEKNUM(Table1[[#This Row],[Date]])</f>
        <v>13</v>
      </c>
    </row>
    <row r="2383" spans="1:20" hidden="1">
      <c r="A2383" s="1">
        <v>46106</v>
      </c>
      <c r="B2383" t="s">
        <v>395</v>
      </c>
      <c r="C2383" t="s">
        <v>96</v>
      </c>
      <c r="D2383" t="s">
        <v>64</v>
      </c>
      <c r="E2383" t="s">
        <v>26</v>
      </c>
      <c r="F2383" t="s">
        <v>396</v>
      </c>
      <c r="G2383" s="9" t="s">
        <v>430</v>
      </c>
      <c r="H2383">
        <v>13200</v>
      </c>
      <c r="I2383">
        <v>13200</v>
      </c>
      <c r="J2383" s="21">
        <v>46082</v>
      </c>
      <c r="K2383" t="s">
        <v>67</v>
      </c>
      <c r="L2383" t="s">
        <v>68</v>
      </c>
      <c r="M2383" t="s">
        <v>69</v>
      </c>
      <c r="O2383">
        <v>13200</v>
      </c>
      <c r="P2383" t="s">
        <v>388</v>
      </c>
      <c r="S2383" t="str">
        <f>TEXT(Table1[[#This Row],[Date]],"MMM-YY")</f>
        <v>Mar-26</v>
      </c>
      <c r="T2383">
        <f>_xlfn.ISOWEEKNUM(Table1[[#This Row],[Date]])</f>
        <v>13</v>
      </c>
    </row>
    <row r="2384" spans="1:20" hidden="1">
      <c r="A2384" s="1">
        <v>46106</v>
      </c>
      <c r="B2384" t="s">
        <v>407</v>
      </c>
      <c r="C2384" t="s">
        <v>96</v>
      </c>
      <c r="D2384" t="s">
        <v>64</v>
      </c>
      <c r="E2384" t="s">
        <v>26</v>
      </c>
      <c r="F2384" t="s">
        <v>408</v>
      </c>
      <c r="G2384" s="9" t="s">
        <v>429</v>
      </c>
      <c r="H2384">
        <v>43490</v>
      </c>
      <c r="I2384">
        <v>43490</v>
      </c>
      <c r="J2384" s="21">
        <v>46082</v>
      </c>
      <c r="K2384" t="s">
        <v>67</v>
      </c>
      <c r="L2384" t="s">
        <v>68</v>
      </c>
      <c r="M2384" t="s">
        <v>69</v>
      </c>
      <c r="O2384">
        <v>43490</v>
      </c>
      <c r="P2384" t="s">
        <v>388</v>
      </c>
      <c r="S2384" t="str">
        <f>TEXT(Table1[[#This Row],[Date]],"MMM-YY")</f>
        <v>Mar-26</v>
      </c>
      <c r="T2384">
        <f>_xlfn.ISOWEEKNUM(Table1[[#This Row],[Date]])</f>
        <v>13</v>
      </c>
    </row>
    <row r="2385" spans="1:20" hidden="1">
      <c r="A2385" s="1">
        <v>46106</v>
      </c>
      <c r="B2385" t="s">
        <v>406</v>
      </c>
      <c r="C2385" t="s">
        <v>96</v>
      </c>
      <c r="D2385" t="s">
        <v>64</v>
      </c>
      <c r="E2385" t="s">
        <v>26</v>
      </c>
      <c r="F2385" t="s">
        <v>120</v>
      </c>
      <c r="G2385" s="9" t="s">
        <v>425</v>
      </c>
      <c r="H2385">
        <v>44950</v>
      </c>
      <c r="I2385">
        <v>44950</v>
      </c>
      <c r="J2385" s="21">
        <v>46082</v>
      </c>
      <c r="K2385" t="s">
        <v>67</v>
      </c>
      <c r="L2385" t="s">
        <v>68</v>
      </c>
      <c r="M2385" t="s">
        <v>69</v>
      </c>
      <c r="O2385">
        <v>44950</v>
      </c>
      <c r="P2385" t="s">
        <v>388</v>
      </c>
      <c r="S2385" t="str">
        <f>TEXT(Table1[[#This Row],[Date]],"MMM-YY")</f>
        <v>Mar-26</v>
      </c>
      <c r="T2385">
        <f>_xlfn.ISOWEEKNUM(Table1[[#This Row],[Date]])</f>
        <v>13</v>
      </c>
    </row>
    <row r="2386" spans="1:20">
      <c r="A2386" s="1">
        <v>46106</v>
      </c>
      <c r="B2386" t="s">
        <v>426</v>
      </c>
      <c r="C2386" t="s">
        <v>63</v>
      </c>
      <c r="D2386" t="s">
        <v>320</v>
      </c>
      <c r="E2386" t="s">
        <v>26</v>
      </c>
      <c r="F2386" t="s">
        <v>427</v>
      </c>
      <c r="G2386" s="9" t="s">
        <v>428</v>
      </c>
      <c r="H2386">
        <v>61900</v>
      </c>
      <c r="I2386">
        <v>61900</v>
      </c>
      <c r="J2386" s="21">
        <v>46082</v>
      </c>
      <c r="K2386" t="s">
        <v>67</v>
      </c>
      <c r="L2386" t="s">
        <v>68</v>
      </c>
      <c r="M2386" t="s">
        <v>69</v>
      </c>
      <c r="O2386">
        <v>0</v>
      </c>
      <c r="P2386" t="s">
        <v>70</v>
      </c>
      <c r="S2386" t="str">
        <f>TEXT(Table1[[#This Row],[Date]],"MMM-YY")</f>
        <v>Mar-26</v>
      </c>
      <c r="T2386">
        <f>_xlfn.ISOWEEKNUM(Table1[[#This Row],[Date]])</f>
        <v>13</v>
      </c>
    </row>
    <row r="2387" spans="1:20" hidden="1">
      <c r="A2387" s="1">
        <v>46106</v>
      </c>
      <c r="B2387" t="s">
        <v>404</v>
      </c>
      <c r="C2387" t="s">
        <v>96</v>
      </c>
      <c r="D2387" t="s">
        <v>64</v>
      </c>
      <c r="E2387" t="s">
        <v>26</v>
      </c>
      <c r="F2387" t="s">
        <v>120</v>
      </c>
      <c r="G2387" s="9" t="s">
        <v>425</v>
      </c>
      <c r="H2387">
        <v>13200</v>
      </c>
      <c r="I2387">
        <v>13200</v>
      </c>
      <c r="J2387" s="21">
        <v>46082</v>
      </c>
      <c r="K2387" t="s">
        <v>67</v>
      </c>
      <c r="L2387" t="s">
        <v>68</v>
      </c>
      <c r="M2387" t="s">
        <v>69</v>
      </c>
      <c r="O2387">
        <v>13200</v>
      </c>
      <c r="P2387" t="s">
        <v>388</v>
      </c>
      <c r="S2387" t="str">
        <f>TEXT(Table1[[#This Row],[Date]],"MMM-YY")</f>
        <v>Mar-26</v>
      </c>
      <c r="T2387">
        <f>_xlfn.ISOWEEKNUM(Table1[[#This Row],[Date]])</f>
        <v>13</v>
      </c>
    </row>
    <row r="2388" spans="1:20" hidden="1">
      <c r="A2388" s="1">
        <v>46106</v>
      </c>
      <c r="B2388" t="s">
        <v>422</v>
      </c>
      <c r="C2388" t="s">
        <v>63</v>
      </c>
      <c r="D2388" t="s">
        <v>64</v>
      </c>
      <c r="E2388" t="s">
        <v>26</v>
      </c>
      <c r="F2388" t="s">
        <v>423</v>
      </c>
      <c r="G2388" s="9" t="s">
        <v>424</v>
      </c>
      <c r="H2388">
        <v>219195</v>
      </c>
      <c r="I2388">
        <v>219195</v>
      </c>
      <c r="J2388" s="21">
        <v>46082</v>
      </c>
      <c r="K2388" t="s">
        <v>67</v>
      </c>
      <c r="L2388" t="s">
        <v>68</v>
      </c>
      <c r="M2388" t="s">
        <v>69</v>
      </c>
      <c r="O2388">
        <v>219195</v>
      </c>
      <c r="P2388" t="s">
        <v>70</v>
      </c>
      <c r="S2388" t="str">
        <f>TEXT(Table1[[#This Row],[Date]],"MMM-YY")</f>
        <v>Mar-26</v>
      </c>
      <c r="T2388">
        <f>_xlfn.ISOWEEKNUM(Table1[[#This Row],[Date]])</f>
        <v>13</v>
      </c>
    </row>
    <row r="2389" spans="1:20">
      <c r="A2389" s="1">
        <v>46106</v>
      </c>
      <c r="B2389" s="67" t="s">
        <v>95</v>
      </c>
      <c r="C2389" t="s">
        <v>96</v>
      </c>
      <c r="D2389" t="s">
        <v>64</v>
      </c>
      <c r="E2389" t="s">
        <v>38</v>
      </c>
      <c r="F2389" t="s">
        <v>97</v>
      </c>
      <c r="G2389" s="69" t="s">
        <v>421</v>
      </c>
      <c r="H2389">
        <v>22456</v>
      </c>
      <c r="I2389">
        <v>22456</v>
      </c>
      <c r="J2389" s="21">
        <v>46082</v>
      </c>
      <c r="K2389" t="s">
        <v>99</v>
      </c>
      <c r="L2389" t="s">
        <v>68</v>
      </c>
      <c r="M2389" t="s">
        <v>69</v>
      </c>
      <c r="O2389">
        <v>0</v>
      </c>
      <c r="P2389" t="s">
        <v>70</v>
      </c>
      <c r="S2389" t="str">
        <f>TEXT(Table1[[#This Row],[Date]],"MMM-YY")</f>
        <v>Mar-26</v>
      </c>
      <c r="T2389">
        <f>_xlfn.ISOWEEKNUM(Table1[[#This Row],[Date]])</f>
        <v>13</v>
      </c>
    </row>
    <row r="2390" spans="1:20">
      <c r="A2390" s="1">
        <v>46107</v>
      </c>
      <c r="B2390" t="s">
        <v>414</v>
      </c>
      <c r="C2390" t="s">
        <v>96</v>
      </c>
      <c r="D2390" t="s">
        <v>64</v>
      </c>
      <c r="E2390" t="s">
        <v>26</v>
      </c>
      <c r="F2390" t="s">
        <v>415</v>
      </c>
      <c r="G2390" s="9" t="s">
        <v>420</v>
      </c>
      <c r="H2390">
        <v>22750</v>
      </c>
      <c r="I2390">
        <v>22750</v>
      </c>
      <c r="J2390" s="21">
        <v>46082</v>
      </c>
      <c r="K2390" t="s">
        <v>67</v>
      </c>
      <c r="L2390" t="s">
        <v>68</v>
      </c>
      <c r="M2390" t="s">
        <v>69</v>
      </c>
      <c r="O2390">
        <v>22750</v>
      </c>
      <c r="P2390" t="s">
        <v>388</v>
      </c>
      <c r="S2390" t="str">
        <f>TEXT(Table1[[#This Row],[Date]],"MMM-YY")</f>
        <v>Mar-26</v>
      </c>
      <c r="T2390">
        <f>_xlfn.ISOWEEKNUM(Table1[[#This Row],[Date]])</f>
        <v>13</v>
      </c>
    </row>
    <row r="2391" spans="1:20" hidden="1">
      <c r="A2391" s="1">
        <v>46107</v>
      </c>
      <c r="B2391" t="s">
        <v>392</v>
      </c>
      <c r="C2391" t="s">
        <v>63</v>
      </c>
      <c r="D2391" t="s">
        <v>320</v>
      </c>
      <c r="E2391" t="s">
        <v>26</v>
      </c>
      <c r="F2391" t="s">
        <v>393</v>
      </c>
      <c r="G2391" s="9" t="s">
        <v>419</v>
      </c>
      <c r="H2391">
        <v>65930</v>
      </c>
      <c r="I2391">
        <v>65930</v>
      </c>
      <c r="J2391" s="21">
        <v>46082</v>
      </c>
      <c r="K2391" t="s">
        <v>67</v>
      </c>
      <c r="L2391" t="s">
        <v>68</v>
      </c>
      <c r="M2391" t="s">
        <v>69</v>
      </c>
      <c r="O2391">
        <v>0</v>
      </c>
      <c r="P2391" t="s">
        <v>388</v>
      </c>
      <c r="S2391" t="str">
        <f>TEXT(Table1[[#This Row],[Date]],"MMM-YY")</f>
        <v>Mar-26</v>
      </c>
      <c r="T2391">
        <f>_xlfn.ISOWEEKNUM(Table1[[#This Row],[Date]])</f>
        <v>13</v>
      </c>
    </row>
    <row r="2392" spans="1:20" hidden="1">
      <c r="A2392" s="1">
        <v>46107</v>
      </c>
      <c r="B2392" t="s">
        <v>410</v>
      </c>
      <c r="C2392" t="s">
        <v>96</v>
      </c>
      <c r="D2392" t="s">
        <v>64</v>
      </c>
      <c r="E2392" t="s">
        <v>26</v>
      </c>
      <c r="F2392" t="s">
        <v>411</v>
      </c>
      <c r="G2392" s="9" t="s">
        <v>412</v>
      </c>
      <c r="H2392">
        <v>87500</v>
      </c>
      <c r="I2392">
        <v>87500</v>
      </c>
      <c r="J2392" s="21">
        <v>46082</v>
      </c>
      <c r="K2392" t="s">
        <v>67</v>
      </c>
      <c r="L2392" t="s">
        <v>68</v>
      </c>
      <c r="M2392" t="s">
        <v>69</v>
      </c>
      <c r="O2392">
        <v>87500</v>
      </c>
      <c r="P2392" t="s">
        <v>388</v>
      </c>
      <c r="S2392" t="str">
        <f>TEXT(Table1[[#This Row],[Date]],"MMM-YY")</f>
        <v>Mar-26</v>
      </c>
      <c r="T2392">
        <f>_xlfn.ISOWEEKNUM(Table1[[#This Row],[Date]])</f>
        <v>13</v>
      </c>
    </row>
    <row r="2393" spans="1:20" hidden="1">
      <c r="A2393" s="1">
        <v>46107</v>
      </c>
      <c r="B2393" t="s">
        <v>407</v>
      </c>
      <c r="C2393" t="s">
        <v>96</v>
      </c>
      <c r="D2393" t="s">
        <v>64</v>
      </c>
      <c r="E2393" t="s">
        <v>26</v>
      </c>
      <c r="F2393" t="s">
        <v>408</v>
      </c>
      <c r="G2393" s="9" t="s">
        <v>418</v>
      </c>
      <c r="H2393">
        <v>39400</v>
      </c>
      <c r="I2393">
        <v>39400</v>
      </c>
      <c r="J2393" s="21">
        <v>46082</v>
      </c>
      <c r="K2393" t="s">
        <v>67</v>
      </c>
      <c r="L2393" t="s">
        <v>68</v>
      </c>
      <c r="M2393" t="s">
        <v>69</v>
      </c>
      <c r="O2393">
        <v>39400</v>
      </c>
      <c r="P2393" t="s">
        <v>388</v>
      </c>
      <c r="S2393" t="str">
        <f>TEXT(Table1[[#This Row],[Date]],"MMM-YY")</f>
        <v>Mar-26</v>
      </c>
      <c r="T2393">
        <f>_xlfn.ISOWEEKNUM(Table1[[#This Row],[Date]])</f>
        <v>13</v>
      </c>
    </row>
    <row r="2394" spans="1:20" hidden="1">
      <c r="A2394" s="1">
        <v>46107</v>
      </c>
      <c r="B2394" t="s">
        <v>406</v>
      </c>
      <c r="C2394" t="s">
        <v>96</v>
      </c>
      <c r="D2394" t="s">
        <v>64</v>
      </c>
      <c r="E2394" t="s">
        <v>26</v>
      </c>
      <c r="F2394" t="s">
        <v>120</v>
      </c>
      <c r="G2394" s="9" t="s">
        <v>417</v>
      </c>
      <c r="H2394">
        <v>70635</v>
      </c>
      <c r="I2394">
        <v>70635</v>
      </c>
      <c r="J2394" s="21">
        <v>46082</v>
      </c>
      <c r="K2394" t="s">
        <v>67</v>
      </c>
      <c r="L2394" t="s">
        <v>68</v>
      </c>
      <c r="M2394" t="s">
        <v>69</v>
      </c>
      <c r="O2394">
        <v>70635</v>
      </c>
      <c r="P2394" t="s">
        <v>388</v>
      </c>
      <c r="S2394" t="str">
        <f>TEXT(Table1[[#This Row],[Date]],"MMM-YY")</f>
        <v>Mar-26</v>
      </c>
      <c r="T2394">
        <f>_xlfn.ISOWEEKNUM(Table1[[#This Row],[Date]])</f>
        <v>13</v>
      </c>
    </row>
    <row r="2395" spans="1:20" hidden="1">
      <c r="A2395" s="1">
        <v>46107</v>
      </c>
      <c r="B2395" t="s">
        <v>404</v>
      </c>
      <c r="C2395" t="s">
        <v>96</v>
      </c>
      <c r="D2395" t="s">
        <v>64</v>
      </c>
      <c r="E2395" t="s">
        <v>26</v>
      </c>
      <c r="F2395" t="s">
        <v>120</v>
      </c>
      <c r="G2395" s="9" t="s">
        <v>417</v>
      </c>
      <c r="H2395">
        <v>30273</v>
      </c>
      <c r="I2395">
        <v>30273</v>
      </c>
      <c r="J2395" s="21">
        <v>46082</v>
      </c>
      <c r="K2395" t="s">
        <v>67</v>
      </c>
      <c r="L2395" t="s">
        <v>68</v>
      </c>
      <c r="M2395" t="s">
        <v>69</v>
      </c>
      <c r="O2395">
        <v>30273</v>
      </c>
      <c r="P2395" t="s">
        <v>388</v>
      </c>
      <c r="S2395" t="str">
        <f>TEXT(Table1[[#This Row],[Date]],"MMM-YY")</f>
        <v>Mar-26</v>
      </c>
      <c r="T2395">
        <f>_xlfn.ISOWEEKNUM(Table1[[#This Row],[Date]])</f>
        <v>13</v>
      </c>
    </row>
    <row r="2396" spans="1:20">
      <c r="A2396" s="1">
        <v>46108</v>
      </c>
      <c r="B2396" t="s">
        <v>414</v>
      </c>
      <c r="C2396" t="s">
        <v>96</v>
      </c>
      <c r="D2396" t="s">
        <v>64</v>
      </c>
      <c r="E2396" t="s">
        <v>26</v>
      </c>
      <c r="F2396" t="s">
        <v>415</v>
      </c>
      <c r="G2396" s="9" t="s">
        <v>416</v>
      </c>
      <c r="H2396">
        <v>16510</v>
      </c>
      <c r="I2396">
        <v>16510</v>
      </c>
      <c r="J2396" s="21">
        <v>46082</v>
      </c>
      <c r="K2396" t="s">
        <v>67</v>
      </c>
      <c r="L2396" t="s">
        <v>68</v>
      </c>
      <c r="M2396" t="s">
        <v>69</v>
      </c>
      <c r="O2396">
        <v>16510</v>
      </c>
      <c r="P2396" t="s">
        <v>388</v>
      </c>
      <c r="S2396" t="str">
        <f>TEXT(Table1[[#This Row],[Date]],"MMM-YY")</f>
        <v>Mar-26</v>
      </c>
      <c r="T2396">
        <f>_xlfn.ISOWEEKNUM(Table1[[#This Row],[Date]])</f>
        <v>13</v>
      </c>
    </row>
    <row r="2397" spans="1:20" hidden="1">
      <c r="A2397" s="1">
        <v>46108</v>
      </c>
      <c r="B2397" t="s">
        <v>392</v>
      </c>
      <c r="C2397" t="s">
        <v>63</v>
      </c>
      <c r="D2397" t="s">
        <v>320</v>
      </c>
      <c r="E2397" t="s">
        <v>26</v>
      </c>
      <c r="F2397" t="s">
        <v>393</v>
      </c>
      <c r="G2397" s="9" t="s">
        <v>413</v>
      </c>
      <c r="H2397">
        <v>38100</v>
      </c>
      <c r="I2397">
        <v>38100</v>
      </c>
      <c r="J2397" s="21">
        <v>46082</v>
      </c>
      <c r="K2397" t="s">
        <v>67</v>
      </c>
      <c r="L2397" t="s">
        <v>68</v>
      </c>
      <c r="M2397" t="s">
        <v>69</v>
      </c>
      <c r="O2397">
        <v>0</v>
      </c>
      <c r="P2397" t="s">
        <v>388</v>
      </c>
      <c r="S2397" t="str">
        <f>TEXT(Table1[[#This Row],[Date]],"MMM-YY")</f>
        <v>Mar-26</v>
      </c>
      <c r="T2397">
        <f>_xlfn.ISOWEEKNUM(Table1[[#This Row],[Date]])</f>
        <v>13</v>
      </c>
    </row>
    <row r="2398" spans="1:20" hidden="1">
      <c r="A2398" s="1">
        <v>46108</v>
      </c>
      <c r="B2398" t="s">
        <v>410</v>
      </c>
      <c r="C2398" t="s">
        <v>96</v>
      </c>
      <c r="D2398" t="s">
        <v>64</v>
      </c>
      <c r="E2398" t="s">
        <v>26</v>
      </c>
      <c r="F2398" t="s">
        <v>411</v>
      </c>
      <c r="G2398" s="9" t="s">
        <v>412</v>
      </c>
      <c r="H2398">
        <v>48160</v>
      </c>
      <c r="I2398">
        <v>48160</v>
      </c>
      <c r="J2398" s="21">
        <v>46082</v>
      </c>
      <c r="K2398" t="s">
        <v>67</v>
      </c>
      <c r="L2398" t="s">
        <v>68</v>
      </c>
      <c r="M2398" t="s">
        <v>69</v>
      </c>
      <c r="O2398">
        <v>48160</v>
      </c>
      <c r="P2398" t="s">
        <v>388</v>
      </c>
      <c r="S2398" t="str">
        <f>TEXT(Table1[[#This Row],[Date]],"MMM-YY")</f>
        <v>Mar-26</v>
      </c>
      <c r="T2398">
        <f>_xlfn.ISOWEEKNUM(Table1[[#This Row],[Date]])</f>
        <v>13</v>
      </c>
    </row>
    <row r="2399" spans="1:20" hidden="1">
      <c r="A2399" s="1">
        <v>46108</v>
      </c>
      <c r="B2399" t="s">
        <v>407</v>
      </c>
      <c r="C2399" t="s">
        <v>96</v>
      </c>
      <c r="D2399" t="s">
        <v>64</v>
      </c>
      <c r="E2399" t="s">
        <v>26</v>
      </c>
      <c r="F2399" t="s">
        <v>408</v>
      </c>
      <c r="G2399" s="9" t="s">
        <v>409</v>
      </c>
      <c r="H2399">
        <v>16430</v>
      </c>
      <c r="I2399">
        <v>16430</v>
      </c>
      <c r="J2399" s="21">
        <v>46082</v>
      </c>
      <c r="K2399" t="s">
        <v>67</v>
      </c>
      <c r="L2399" t="s">
        <v>68</v>
      </c>
      <c r="M2399" t="s">
        <v>69</v>
      </c>
      <c r="O2399">
        <v>16430</v>
      </c>
      <c r="P2399" t="s">
        <v>388</v>
      </c>
      <c r="S2399" t="str">
        <f>TEXT(Table1[[#This Row],[Date]],"MMM-YY")</f>
        <v>Mar-26</v>
      </c>
      <c r="T2399">
        <f>_xlfn.ISOWEEKNUM(Table1[[#This Row],[Date]])</f>
        <v>13</v>
      </c>
    </row>
    <row r="2400" spans="1:20" hidden="1">
      <c r="A2400" s="1">
        <v>46108</v>
      </c>
      <c r="B2400" t="s">
        <v>406</v>
      </c>
      <c r="C2400" t="s">
        <v>96</v>
      </c>
      <c r="D2400" t="s">
        <v>64</v>
      </c>
      <c r="E2400" t="s">
        <v>26</v>
      </c>
      <c r="F2400" t="s">
        <v>120</v>
      </c>
      <c r="G2400" s="9" t="s">
        <v>405</v>
      </c>
      <c r="H2400">
        <v>21413</v>
      </c>
      <c r="I2400">
        <v>21413</v>
      </c>
      <c r="J2400" s="21">
        <v>46082</v>
      </c>
      <c r="K2400" t="s">
        <v>67</v>
      </c>
      <c r="L2400" t="s">
        <v>68</v>
      </c>
      <c r="M2400" t="s">
        <v>69</v>
      </c>
      <c r="O2400">
        <v>21413</v>
      </c>
      <c r="P2400" t="s">
        <v>388</v>
      </c>
      <c r="S2400" t="str">
        <f>TEXT(Table1[[#This Row],[Date]],"MMM-YY")</f>
        <v>Mar-26</v>
      </c>
      <c r="T2400">
        <f>_xlfn.ISOWEEKNUM(Table1[[#This Row],[Date]])</f>
        <v>13</v>
      </c>
    </row>
    <row r="2401" spans="1:20" hidden="1">
      <c r="A2401" s="1">
        <v>46108</v>
      </c>
      <c r="B2401" t="s">
        <v>404</v>
      </c>
      <c r="C2401" t="s">
        <v>96</v>
      </c>
      <c r="D2401" t="s">
        <v>64</v>
      </c>
      <c r="E2401" t="s">
        <v>26</v>
      </c>
      <c r="F2401" t="s">
        <v>120</v>
      </c>
      <c r="G2401" s="9" t="s">
        <v>405</v>
      </c>
      <c r="H2401">
        <v>9175</v>
      </c>
      <c r="I2401">
        <v>9175</v>
      </c>
      <c r="J2401" s="21">
        <v>46082</v>
      </c>
      <c r="K2401" t="s">
        <v>67</v>
      </c>
      <c r="L2401" t="s">
        <v>68</v>
      </c>
      <c r="M2401" t="s">
        <v>69</v>
      </c>
      <c r="O2401">
        <v>9175</v>
      </c>
      <c r="P2401" t="s">
        <v>388</v>
      </c>
      <c r="S2401" t="str">
        <f>TEXT(Table1[[#This Row],[Date]],"MMM-YY")</f>
        <v>Mar-26</v>
      </c>
      <c r="T2401">
        <f>_xlfn.ISOWEEKNUM(Table1[[#This Row],[Date]])</f>
        <v>13</v>
      </c>
    </row>
    <row r="2402" spans="1:20" hidden="1">
      <c r="A2402" s="1">
        <v>46109</v>
      </c>
      <c r="B2402" t="s">
        <v>401</v>
      </c>
      <c r="C2402" t="s">
        <v>96</v>
      </c>
      <c r="D2402" t="s">
        <v>20</v>
      </c>
      <c r="E2402" t="s">
        <v>23</v>
      </c>
      <c r="F2402" t="s">
        <v>402</v>
      </c>
      <c r="G2402" s="9" t="s">
        <v>403</v>
      </c>
      <c r="H2402">
        <v>6500</v>
      </c>
      <c r="I2402">
        <v>6500</v>
      </c>
      <c r="J2402" s="21">
        <v>46082</v>
      </c>
      <c r="K2402" t="s">
        <v>67</v>
      </c>
      <c r="L2402" t="s">
        <v>68</v>
      </c>
      <c r="M2402" t="s">
        <v>69</v>
      </c>
      <c r="O2402">
        <v>0</v>
      </c>
      <c r="P2402" t="s">
        <v>70</v>
      </c>
      <c r="S2402" t="str">
        <f>TEXT(Table1[[#This Row],[Date]],"MMM-YY")</f>
        <v>Mar-26</v>
      </c>
      <c r="T2402">
        <f>_xlfn.ISOWEEKNUM(Table1[[#This Row],[Date]])</f>
        <v>13</v>
      </c>
    </row>
    <row r="2403" spans="1:20" hidden="1">
      <c r="A2403" s="1">
        <v>46110</v>
      </c>
      <c r="B2403" t="s">
        <v>399</v>
      </c>
      <c r="C2403" t="s">
        <v>96</v>
      </c>
      <c r="D2403" t="s">
        <v>20</v>
      </c>
      <c r="E2403" t="s">
        <v>23</v>
      </c>
      <c r="F2403" t="s">
        <v>334</v>
      </c>
      <c r="G2403" s="9" t="s">
        <v>400</v>
      </c>
      <c r="H2403">
        <v>18500</v>
      </c>
      <c r="I2403">
        <v>18500</v>
      </c>
      <c r="J2403" s="21">
        <v>46082</v>
      </c>
      <c r="K2403" t="s">
        <v>67</v>
      </c>
      <c r="L2403" t="s">
        <v>68</v>
      </c>
      <c r="M2403" t="s">
        <v>69</v>
      </c>
      <c r="O2403">
        <v>0</v>
      </c>
      <c r="P2403" t="s">
        <v>70</v>
      </c>
      <c r="S2403" t="str">
        <f>TEXT(Table1[[#This Row],[Date]],"MMM-YY")</f>
        <v>Mar-26</v>
      </c>
      <c r="T2403">
        <f>_xlfn.ISOWEEKNUM(Table1[[#This Row],[Date]])</f>
        <v>13</v>
      </c>
    </row>
    <row r="2404" spans="1:20" ht="15" hidden="1" customHeight="1">
      <c r="A2404" s="1">
        <v>46111</v>
      </c>
      <c r="B2404" t="s">
        <v>395</v>
      </c>
      <c r="C2404" t="s">
        <v>96</v>
      </c>
      <c r="D2404" t="s">
        <v>64</v>
      </c>
      <c r="E2404" t="s">
        <v>26</v>
      </c>
      <c r="F2404" t="s">
        <v>396</v>
      </c>
      <c r="G2404" s="9" t="s">
        <v>398</v>
      </c>
      <c r="H2404">
        <v>8700</v>
      </c>
      <c r="I2404">
        <v>8700</v>
      </c>
      <c r="J2404" s="21">
        <v>46082</v>
      </c>
      <c r="K2404" t="s">
        <v>67</v>
      </c>
      <c r="L2404" t="s">
        <v>68</v>
      </c>
      <c r="M2404" t="s">
        <v>69</v>
      </c>
      <c r="O2404">
        <v>8700</v>
      </c>
      <c r="P2404" t="s">
        <v>388</v>
      </c>
      <c r="S2404" t="str">
        <f>TEXT(Table1[[#This Row],[Date]],"MMM-YY")</f>
        <v>Mar-26</v>
      </c>
      <c r="T2404">
        <f>_xlfn.ISOWEEKNUM(Table1[[#This Row],[Date]])</f>
        <v>14</v>
      </c>
    </row>
    <row r="2405" spans="1:20" hidden="1">
      <c r="A2405" s="1">
        <v>46111</v>
      </c>
      <c r="B2405" t="s">
        <v>392</v>
      </c>
      <c r="C2405" t="s">
        <v>63</v>
      </c>
      <c r="D2405" t="s">
        <v>320</v>
      </c>
      <c r="E2405" t="s">
        <v>26</v>
      </c>
      <c r="F2405" t="s">
        <v>393</v>
      </c>
      <c r="G2405" s="9" t="s">
        <v>394</v>
      </c>
      <c r="H2405">
        <v>42780</v>
      </c>
      <c r="I2405">
        <v>42780</v>
      </c>
      <c r="J2405" s="21">
        <v>46082</v>
      </c>
      <c r="K2405" t="s">
        <v>67</v>
      </c>
      <c r="L2405" t="s">
        <v>68</v>
      </c>
      <c r="M2405" t="s">
        <v>69</v>
      </c>
      <c r="O2405">
        <v>0</v>
      </c>
      <c r="P2405" t="s">
        <v>388</v>
      </c>
      <c r="S2405" t="str">
        <f>TEXT(Table1[[#This Row],[Date]],"MMM-YY")</f>
        <v>Mar-26</v>
      </c>
      <c r="T2405">
        <f>_xlfn.ISOWEEKNUM(Table1[[#This Row],[Date]])</f>
        <v>14</v>
      </c>
    </row>
    <row r="2406" spans="1:20" ht="14.25" hidden="1" customHeight="1">
      <c r="A2406" s="1">
        <v>46112</v>
      </c>
      <c r="B2406" t="s">
        <v>395</v>
      </c>
      <c r="C2406" t="s">
        <v>96</v>
      </c>
      <c r="D2406" t="s">
        <v>64</v>
      </c>
      <c r="E2406" t="s">
        <v>26</v>
      </c>
      <c r="F2406" t="s">
        <v>396</v>
      </c>
      <c r="G2406" s="9" t="s">
        <v>397</v>
      </c>
      <c r="H2406">
        <v>10200</v>
      </c>
      <c r="I2406">
        <v>10200</v>
      </c>
      <c r="J2406" s="21">
        <v>46082</v>
      </c>
      <c r="K2406" t="s">
        <v>67</v>
      </c>
      <c r="L2406" t="s">
        <v>68</v>
      </c>
      <c r="M2406" t="s">
        <v>69</v>
      </c>
      <c r="O2406">
        <v>0</v>
      </c>
      <c r="P2406" t="s">
        <v>388</v>
      </c>
      <c r="S2406" t="str">
        <f>TEXT(Table1[[#This Row],[Date]],"MMM-YY")</f>
        <v>Mar-26</v>
      </c>
      <c r="T2406">
        <f>_xlfn.ISOWEEKNUM(Table1[[#This Row],[Date]])</f>
        <v>14</v>
      </c>
    </row>
    <row r="2407" spans="1:20" hidden="1">
      <c r="A2407" s="1">
        <v>46112</v>
      </c>
      <c r="B2407" t="s">
        <v>392</v>
      </c>
      <c r="C2407" t="s">
        <v>63</v>
      </c>
      <c r="D2407" t="s">
        <v>320</v>
      </c>
      <c r="E2407" t="s">
        <v>26</v>
      </c>
      <c r="F2407" t="s">
        <v>393</v>
      </c>
      <c r="G2407" s="9" t="s">
        <v>394</v>
      </c>
      <c r="H2407">
        <v>66650</v>
      </c>
      <c r="I2407">
        <v>66650</v>
      </c>
      <c r="J2407" s="21">
        <v>46082</v>
      </c>
      <c r="K2407" t="s">
        <v>67</v>
      </c>
      <c r="L2407" t="s">
        <v>68</v>
      </c>
      <c r="M2407" t="s">
        <v>69</v>
      </c>
      <c r="O2407">
        <v>0</v>
      </c>
      <c r="P2407" t="s">
        <v>388</v>
      </c>
      <c r="S2407" t="str">
        <f>TEXT(Table1[[#This Row],[Date]],"MMM-YY")</f>
        <v>Mar-26</v>
      </c>
      <c r="T2407">
        <f>_xlfn.ISOWEEKNUM(Table1[[#This Row],[Date]])</f>
        <v>14</v>
      </c>
    </row>
    <row r="2408" spans="1:20">
      <c r="A2408" s="1">
        <v>46112</v>
      </c>
      <c r="B2408" t="s">
        <v>390</v>
      </c>
      <c r="C2408" t="s">
        <v>63</v>
      </c>
      <c r="D2408" t="s">
        <v>64</v>
      </c>
      <c r="E2408" t="s">
        <v>26</v>
      </c>
      <c r="F2408" t="s">
        <v>196</v>
      </c>
      <c r="G2408" s="9" t="s">
        <v>391</v>
      </c>
      <c r="H2408">
        <v>115000</v>
      </c>
      <c r="I2408">
        <v>115000</v>
      </c>
      <c r="J2408" s="21">
        <v>46082</v>
      </c>
      <c r="K2408" t="s">
        <v>67</v>
      </c>
      <c r="L2408" t="s">
        <v>68</v>
      </c>
      <c r="M2408" t="s">
        <v>69</v>
      </c>
      <c r="O2408">
        <v>0</v>
      </c>
      <c r="P2408" t="s">
        <v>388</v>
      </c>
      <c r="S2408" t="str">
        <f>TEXT(Table1[[#This Row],[Date]],"MMM-YY")</f>
        <v>Mar-26</v>
      </c>
      <c r="T2408">
        <f>_xlfn.ISOWEEKNUM(Table1[[#This Row],[Date]])</f>
        <v>14</v>
      </c>
    </row>
    <row r="2409" spans="1:20" hidden="1">
      <c r="A2409" s="1">
        <v>46112</v>
      </c>
      <c r="B2409" t="s">
        <v>385</v>
      </c>
      <c r="C2409" t="s">
        <v>63</v>
      </c>
      <c r="D2409" t="s">
        <v>64</v>
      </c>
      <c r="E2409" t="s">
        <v>26</v>
      </c>
      <c r="F2409" t="s">
        <v>386</v>
      </c>
      <c r="G2409" s="9" t="s">
        <v>387</v>
      </c>
      <c r="H2409">
        <v>39800</v>
      </c>
      <c r="I2409">
        <v>39800</v>
      </c>
      <c r="J2409" s="21">
        <v>46082</v>
      </c>
      <c r="K2409" t="s">
        <v>67</v>
      </c>
      <c r="L2409" t="s">
        <v>68</v>
      </c>
      <c r="M2409" t="s">
        <v>69</v>
      </c>
      <c r="O2409">
        <v>0</v>
      </c>
      <c r="P2409" t="s">
        <v>388</v>
      </c>
      <c r="S2409" t="str">
        <f>TEXT(Table1[[#This Row],[Date]],"MMM-YY")</f>
        <v>Mar-26</v>
      </c>
      <c r="T2409">
        <f>_xlfn.ISOWEEKNUM(Table1[[#This Row],[Date]])</f>
        <v>14</v>
      </c>
    </row>
    <row r="2410" spans="1:20" hidden="1">
      <c r="A2410" s="1">
        <v>46113</v>
      </c>
      <c r="B2410" t="s">
        <v>395</v>
      </c>
      <c r="C2410" t="s">
        <v>96</v>
      </c>
      <c r="D2410" t="s">
        <v>64</v>
      </c>
      <c r="E2410" t="s">
        <v>26</v>
      </c>
      <c r="F2410" t="s">
        <v>396</v>
      </c>
      <c r="G2410" s="9" t="s">
        <v>4442</v>
      </c>
      <c r="H2410">
        <v>7200</v>
      </c>
      <c r="I2410">
        <v>7200</v>
      </c>
      <c r="J2410" s="21">
        <v>46113</v>
      </c>
      <c r="K2410" t="s">
        <v>67</v>
      </c>
      <c r="L2410" t="s">
        <v>68</v>
      </c>
      <c r="M2410" t="s">
        <v>69</v>
      </c>
      <c r="O2410">
        <v>0</v>
      </c>
      <c r="P2410" t="s">
        <v>3381</v>
      </c>
      <c r="S2410" t="str">
        <f>TEXT(Table1[[#This Row],[Date]],"MMM-YY")</f>
        <v>Apr-26</v>
      </c>
      <c r="T2410">
        <f>_xlfn.ISOWEEKNUM(Table1[[#This Row],[Date]])</f>
        <v>14</v>
      </c>
    </row>
    <row r="2411" spans="1:20" hidden="1">
      <c r="A2411" s="1">
        <v>46113</v>
      </c>
      <c r="B2411" t="s">
        <v>392</v>
      </c>
      <c r="C2411" t="s">
        <v>63</v>
      </c>
      <c r="D2411" t="s">
        <v>320</v>
      </c>
      <c r="E2411" t="s">
        <v>26</v>
      </c>
      <c r="F2411" t="s">
        <v>393</v>
      </c>
      <c r="G2411" s="9" t="s">
        <v>4443</v>
      </c>
      <c r="H2411">
        <v>72790</v>
      </c>
      <c r="I2411">
        <v>72790</v>
      </c>
      <c r="J2411" s="21">
        <v>46113</v>
      </c>
      <c r="K2411" t="s">
        <v>67</v>
      </c>
      <c r="L2411" t="s">
        <v>68</v>
      </c>
      <c r="M2411" t="s">
        <v>69</v>
      </c>
      <c r="O2411">
        <v>0</v>
      </c>
      <c r="P2411" t="s">
        <v>3381</v>
      </c>
      <c r="S2411" t="str">
        <f>TEXT(Table1[[#This Row],[Date]],"MMM-YY")</f>
        <v>Apr-26</v>
      </c>
      <c r="T2411">
        <f>_xlfn.ISOWEEKNUM(Table1[[#This Row],[Date]])</f>
        <v>14</v>
      </c>
    </row>
    <row r="2412" spans="1:20" hidden="1">
      <c r="A2412" s="1">
        <v>46113</v>
      </c>
      <c r="B2412" t="s">
        <v>385</v>
      </c>
      <c r="C2412" t="s">
        <v>63</v>
      </c>
      <c r="D2412" t="s">
        <v>64</v>
      </c>
      <c r="E2412" t="s">
        <v>26</v>
      </c>
      <c r="F2412" t="s">
        <v>386</v>
      </c>
      <c r="G2412" s="9" t="s">
        <v>4444</v>
      </c>
      <c r="H2412">
        <v>38810</v>
      </c>
      <c r="I2412">
        <v>38810</v>
      </c>
      <c r="J2412" s="21">
        <v>46113</v>
      </c>
      <c r="K2412" t="s">
        <v>67</v>
      </c>
      <c r="L2412" t="s">
        <v>68</v>
      </c>
      <c r="M2412" t="s">
        <v>69</v>
      </c>
      <c r="O2412">
        <v>0</v>
      </c>
      <c r="P2412" t="s">
        <v>3381</v>
      </c>
      <c r="S2412" t="str">
        <f>TEXT(Table1[[#This Row],[Date]],"MMM-YY")</f>
        <v>Apr-26</v>
      </c>
      <c r="T2412">
        <f>_xlfn.ISOWEEKNUM(Table1[[#This Row],[Date]])</f>
        <v>14</v>
      </c>
    </row>
    <row r="2413" spans="1:20" hidden="1">
      <c r="A2413" s="1">
        <v>46113</v>
      </c>
      <c r="B2413" s="67" t="s">
        <v>95</v>
      </c>
      <c r="C2413" t="s">
        <v>96</v>
      </c>
      <c r="D2413" t="s">
        <v>64</v>
      </c>
      <c r="E2413" t="s">
        <v>38</v>
      </c>
      <c r="F2413" t="s">
        <v>97</v>
      </c>
      <c r="G2413" s="69" t="s">
        <v>4445</v>
      </c>
      <c r="H2413">
        <v>22456</v>
      </c>
      <c r="I2413">
        <v>22456</v>
      </c>
      <c r="J2413" s="21">
        <v>46113</v>
      </c>
      <c r="K2413" t="s">
        <v>99</v>
      </c>
      <c r="L2413" t="s">
        <v>68</v>
      </c>
      <c r="M2413" t="s">
        <v>69</v>
      </c>
      <c r="O2413">
        <v>0</v>
      </c>
      <c r="P2413" t="s">
        <v>70</v>
      </c>
      <c r="S2413" t="str">
        <f>TEXT(Table1[[#This Row],[Date]],"MMM-YY")</f>
        <v>Apr-26</v>
      </c>
      <c r="T2413">
        <f>_xlfn.ISOWEEKNUM(Table1[[#This Row],[Date]])</f>
        <v>14</v>
      </c>
    </row>
    <row r="2414" spans="1:20" hidden="1">
      <c r="A2414" s="1">
        <v>46113</v>
      </c>
      <c r="B2414" t="s">
        <v>426</v>
      </c>
      <c r="C2414" t="s">
        <v>96</v>
      </c>
      <c r="D2414" t="s">
        <v>64</v>
      </c>
      <c r="E2414" t="s">
        <v>38</v>
      </c>
      <c r="F2414" t="s">
        <v>427</v>
      </c>
      <c r="G2414" s="9" t="s">
        <v>4446</v>
      </c>
      <c r="H2414">
        <v>54200</v>
      </c>
      <c r="I2414">
        <v>54200</v>
      </c>
      <c r="J2414" s="21">
        <v>46113</v>
      </c>
      <c r="K2414" t="s">
        <v>67</v>
      </c>
      <c r="L2414" t="s">
        <v>68</v>
      </c>
      <c r="M2414" t="s">
        <v>69</v>
      </c>
      <c r="O2414">
        <v>0</v>
      </c>
      <c r="P2414" t="s">
        <v>70</v>
      </c>
      <c r="S2414" t="str">
        <f>TEXT(Table1[[#This Row],[Date]],"MMM-YY")</f>
        <v>Apr-26</v>
      </c>
      <c r="T2414">
        <f>_xlfn.ISOWEEKNUM(Table1[[#This Row],[Date]])</f>
        <v>14</v>
      </c>
    </row>
    <row r="2415" spans="1:20" hidden="1">
      <c r="A2415" s="1">
        <v>46114</v>
      </c>
      <c r="B2415" t="s">
        <v>392</v>
      </c>
      <c r="C2415" t="s">
        <v>63</v>
      </c>
      <c r="D2415" t="s">
        <v>320</v>
      </c>
      <c r="E2415" t="s">
        <v>38</v>
      </c>
      <c r="F2415" t="s">
        <v>393</v>
      </c>
      <c r="G2415" s="9" t="s">
        <v>4447</v>
      </c>
      <c r="H2415">
        <v>48640</v>
      </c>
      <c r="I2415">
        <v>48640</v>
      </c>
      <c r="J2415" s="21">
        <v>46113</v>
      </c>
      <c r="K2415" t="s">
        <v>67</v>
      </c>
      <c r="L2415" t="s">
        <v>68</v>
      </c>
      <c r="M2415" t="s">
        <v>69</v>
      </c>
      <c r="O2415">
        <v>0</v>
      </c>
      <c r="P2415" t="s">
        <v>3381</v>
      </c>
      <c r="S2415" t="str">
        <f>TEXT(Table1[[#This Row],[Date]],"MMM-YY")</f>
        <v>Apr-26</v>
      </c>
      <c r="T2415">
        <f>_xlfn.ISOWEEKNUM(Table1[[#This Row],[Date]])</f>
        <v>14</v>
      </c>
    </row>
    <row r="2416" spans="1:20" hidden="1">
      <c r="A2416" s="1">
        <v>46114</v>
      </c>
      <c r="B2416" t="s">
        <v>385</v>
      </c>
      <c r="C2416" t="s">
        <v>63</v>
      </c>
      <c r="D2416" t="s">
        <v>64</v>
      </c>
      <c r="E2416" t="s">
        <v>38</v>
      </c>
      <c r="F2416" t="s">
        <v>386</v>
      </c>
      <c r="G2416" s="9" t="s">
        <v>4448</v>
      </c>
      <c r="H2416">
        <v>42480</v>
      </c>
      <c r="I2416">
        <v>42480</v>
      </c>
      <c r="J2416" s="21">
        <v>46113</v>
      </c>
      <c r="K2416" t="s">
        <v>67</v>
      </c>
      <c r="L2416" t="s">
        <v>68</v>
      </c>
      <c r="M2416" t="s">
        <v>69</v>
      </c>
      <c r="O2416">
        <v>0</v>
      </c>
      <c r="P2416" t="s">
        <v>3381</v>
      </c>
      <c r="S2416" t="str">
        <f>TEXT(Table1[[#This Row],[Date]],"MMM-YY")</f>
        <v>Apr-26</v>
      </c>
      <c r="T2416">
        <f>_xlfn.ISOWEEKNUM(Table1[[#This Row],[Date]])</f>
        <v>14</v>
      </c>
    </row>
    <row r="2417" spans="1:20" hidden="1">
      <c r="A2417" s="1">
        <v>46114</v>
      </c>
      <c r="B2417" t="s">
        <v>395</v>
      </c>
      <c r="C2417" t="s">
        <v>96</v>
      </c>
      <c r="D2417" t="s">
        <v>64</v>
      </c>
      <c r="E2417" t="s">
        <v>38</v>
      </c>
      <c r="F2417" t="s">
        <v>396</v>
      </c>
      <c r="G2417" s="9" t="s">
        <v>4449</v>
      </c>
      <c r="H2417">
        <v>8500</v>
      </c>
      <c r="I2417">
        <v>8500</v>
      </c>
      <c r="J2417" s="21">
        <v>46113</v>
      </c>
      <c r="K2417" t="s">
        <v>67</v>
      </c>
      <c r="L2417" t="s">
        <v>68</v>
      </c>
      <c r="M2417" t="s">
        <v>69</v>
      </c>
      <c r="O2417">
        <v>0</v>
      </c>
      <c r="P2417" t="s">
        <v>3381</v>
      </c>
      <c r="S2417" t="str">
        <f>TEXT(Table1[[#This Row],[Date]],"MMM-YY")</f>
        <v>Apr-26</v>
      </c>
      <c r="T2417">
        <f>_xlfn.ISOWEEKNUM(Table1[[#This Row],[Date]])</f>
        <v>14</v>
      </c>
    </row>
    <row r="2418" spans="1:20" hidden="1">
      <c r="A2418" s="1">
        <v>46115</v>
      </c>
      <c r="B2418" t="s">
        <v>4450</v>
      </c>
      <c r="C2418" t="s">
        <v>96</v>
      </c>
      <c r="D2418" t="s">
        <v>64</v>
      </c>
      <c r="E2418" t="s">
        <v>38</v>
      </c>
      <c r="F2418" t="s">
        <v>504</v>
      </c>
      <c r="G2418" s="9" t="s">
        <v>4451</v>
      </c>
      <c r="H2418">
        <v>72210</v>
      </c>
      <c r="I2418">
        <v>72210</v>
      </c>
      <c r="J2418" s="21">
        <v>46113</v>
      </c>
      <c r="K2418" t="s">
        <v>67</v>
      </c>
      <c r="L2418" t="s">
        <v>68</v>
      </c>
      <c r="M2418" t="s">
        <v>69</v>
      </c>
      <c r="O2418">
        <v>0</v>
      </c>
      <c r="P2418" t="s">
        <v>3381</v>
      </c>
      <c r="S2418" t="str">
        <f>TEXT(Table1[[#This Row],[Date]],"MMM-YY")</f>
        <v>Apr-26</v>
      </c>
      <c r="T2418">
        <f>_xlfn.ISOWEEKNUM(Table1[[#This Row],[Date]])</f>
        <v>14</v>
      </c>
    </row>
    <row r="2419" spans="1:20" hidden="1">
      <c r="A2419" s="1">
        <v>46115</v>
      </c>
      <c r="B2419" t="s">
        <v>4265</v>
      </c>
      <c r="C2419" t="s">
        <v>96</v>
      </c>
      <c r="D2419" t="s">
        <v>64</v>
      </c>
      <c r="E2419" t="s">
        <v>38</v>
      </c>
      <c r="F2419" t="s">
        <v>504</v>
      </c>
      <c r="G2419" s="9" t="s">
        <v>4452</v>
      </c>
      <c r="H2419">
        <v>19250</v>
      </c>
      <c r="I2419">
        <v>19250</v>
      </c>
      <c r="J2419" s="21">
        <v>46113</v>
      </c>
      <c r="K2419" t="s">
        <v>67</v>
      </c>
      <c r="L2419" t="s">
        <v>68</v>
      </c>
      <c r="M2419" t="s">
        <v>69</v>
      </c>
      <c r="O2419">
        <v>0</v>
      </c>
      <c r="P2419" t="s">
        <v>3381</v>
      </c>
      <c r="S2419" t="str">
        <f>TEXT(Table1[[#This Row],[Date]],"MMM-YY")</f>
        <v>Apr-26</v>
      </c>
      <c r="T2419">
        <f>_xlfn.ISOWEEKNUM(Table1[[#This Row],[Date]])</f>
        <v>14</v>
      </c>
    </row>
    <row r="2420" spans="1:20" hidden="1">
      <c r="A2420" s="1">
        <v>46115</v>
      </c>
      <c r="B2420" t="s">
        <v>392</v>
      </c>
      <c r="C2420" t="s">
        <v>63</v>
      </c>
      <c r="D2420" t="s">
        <v>320</v>
      </c>
      <c r="E2420" t="s">
        <v>38</v>
      </c>
      <c r="F2420" t="s">
        <v>393</v>
      </c>
      <c r="G2420" s="9" t="s">
        <v>4453</v>
      </c>
      <c r="H2420">
        <v>50320</v>
      </c>
      <c r="I2420">
        <v>50320</v>
      </c>
      <c r="J2420" s="21">
        <v>46113</v>
      </c>
      <c r="K2420" t="s">
        <v>67</v>
      </c>
      <c r="L2420" t="s">
        <v>68</v>
      </c>
      <c r="M2420" t="s">
        <v>69</v>
      </c>
      <c r="O2420">
        <v>0</v>
      </c>
      <c r="P2420" t="s">
        <v>3381</v>
      </c>
      <c r="S2420" t="str">
        <f>TEXT(Table1[[#This Row],[Date]],"MMM-YY")</f>
        <v>Apr-26</v>
      </c>
      <c r="T2420">
        <f>_xlfn.ISOWEEKNUM(Table1[[#This Row],[Date]])</f>
        <v>14</v>
      </c>
    </row>
    <row r="2421" spans="1:20" hidden="1">
      <c r="A2421" s="1">
        <v>46115</v>
      </c>
      <c r="B2421" t="s">
        <v>395</v>
      </c>
      <c r="C2421" t="s">
        <v>96</v>
      </c>
      <c r="D2421" t="s">
        <v>64</v>
      </c>
      <c r="E2421" t="s">
        <v>38</v>
      </c>
      <c r="F2421" t="s">
        <v>396</v>
      </c>
      <c r="G2421" s="9" t="s">
        <v>4454</v>
      </c>
      <c r="H2421">
        <v>10200</v>
      </c>
      <c r="I2421">
        <v>10200</v>
      </c>
      <c r="J2421" s="21">
        <v>46113</v>
      </c>
      <c r="K2421" t="s">
        <v>67</v>
      </c>
      <c r="L2421" t="s">
        <v>68</v>
      </c>
      <c r="M2421" t="s">
        <v>69</v>
      </c>
      <c r="O2421">
        <v>0</v>
      </c>
      <c r="P2421" t="s">
        <v>3381</v>
      </c>
      <c r="S2421" t="str">
        <f>TEXT(Table1[[#This Row],[Date]],"MMM-YY")</f>
        <v>Apr-26</v>
      </c>
      <c r="T2421">
        <f>_xlfn.ISOWEEKNUM(Table1[[#This Row],[Date]])</f>
        <v>14</v>
      </c>
    </row>
    <row r="2422" spans="1:20" hidden="1">
      <c r="A2422" s="1">
        <v>46116</v>
      </c>
      <c r="B2422" t="s">
        <v>4455</v>
      </c>
      <c r="C2422" t="s">
        <v>63</v>
      </c>
      <c r="D2422" t="s">
        <v>64</v>
      </c>
      <c r="E2422" t="s">
        <v>28</v>
      </c>
      <c r="F2422" t="s">
        <v>4456</v>
      </c>
      <c r="G2422" s="9" t="s">
        <v>4457</v>
      </c>
      <c r="H2422">
        <v>34120</v>
      </c>
      <c r="I2422">
        <v>34120</v>
      </c>
      <c r="J2422" s="21">
        <v>46113</v>
      </c>
      <c r="K2422" t="s">
        <v>67</v>
      </c>
      <c r="L2422" t="s">
        <v>68</v>
      </c>
      <c r="M2422" t="s">
        <v>69</v>
      </c>
      <c r="O2422">
        <v>0</v>
      </c>
      <c r="P2422" t="s">
        <v>3381</v>
      </c>
      <c r="S2422" t="str">
        <f>TEXT(Table1[[#This Row],[Date]],"MMM-YY")</f>
        <v>Apr-26</v>
      </c>
      <c r="T2422">
        <f>_xlfn.ISOWEEKNUM(Table1[[#This Row],[Date]])</f>
        <v>14</v>
      </c>
    </row>
    <row r="2423" spans="1:20" hidden="1">
      <c r="A2423" s="1">
        <v>46116</v>
      </c>
      <c r="B2423" t="s">
        <v>4458</v>
      </c>
      <c r="C2423" t="s">
        <v>96</v>
      </c>
      <c r="D2423" t="s">
        <v>64</v>
      </c>
      <c r="E2423" t="s">
        <v>28</v>
      </c>
      <c r="F2423" t="s">
        <v>479</v>
      </c>
      <c r="G2423" s="9" t="s">
        <v>4459</v>
      </c>
      <c r="H2423">
        <v>24800</v>
      </c>
      <c r="I2423">
        <v>24800</v>
      </c>
      <c r="J2423" s="21">
        <v>46113</v>
      </c>
      <c r="K2423" t="s">
        <v>67</v>
      </c>
      <c r="L2423" t="s">
        <v>68</v>
      </c>
      <c r="M2423" t="s">
        <v>69</v>
      </c>
      <c r="O2423">
        <v>0</v>
      </c>
      <c r="P2423" t="s">
        <v>3381</v>
      </c>
      <c r="S2423" t="str">
        <f>TEXT(Table1[[#This Row],[Date]],"MMM-YY")</f>
        <v>Apr-26</v>
      </c>
      <c r="T2423">
        <f>_xlfn.ISOWEEKNUM(Table1[[#This Row],[Date]])</f>
        <v>14</v>
      </c>
    </row>
    <row r="2424" spans="1:20" hidden="1">
      <c r="A2424" s="1">
        <v>46117</v>
      </c>
      <c r="B2424" t="s">
        <v>1417</v>
      </c>
      <c r="C2424" t="s">
        <v>96</v>
      </c>
      <c r="D2424" t="s">
        <v>20</v>
      </c>
      <c r="E2424" t="s">
        <v>28</v>
      </c>
      <c r="F2424" t="s">
        <v>4460</v>
      </c>
      <c r="G2424" s="9" t="s">
        <v>4461</v>
      </c>
      <c r="H2424">
        <v>8800</v>
      </c>
      <c r="I2424">
        <v>8800</v>
      </c>
      <c r="J2424" s="21">
        <v>46113</v>
      </c>
      <c r="K2424" t="s">
        <v>67</v>
      </c>
      <c r="L2424" t="s">
        <v>68</v>
      </c>
      <c r="M2424" t="s">
        <v>69</v>
      </c>
      <c r="O2424">
        <v>0</v>
      </c>
      <c r="P2424" t="s">
        <v>3381</v>
      </c>
      <c r="S2424" t="str">
        <f>TEXT(Table1[[#This Row],[Date]],"MMM-YY")</f>
        <v>Apr-26</v>
      </c>
      <c r="T2424">
        <f>_xlfn.ISOWEEKNUM(Table1[[#This Row],[Date]])</f>
        <v>14</v>
      </c>
    </row>
    <row r="2425" spans="1:20" hidden="1">
      <c r="A2425" s="1">
        <v>46117</v>
      </c>
      <c r="B2425" t="s">
        <v>4455</v>
      </c>
      <c r="C2425" t="s">
        <v>96</v>
      </c>
      <c r="D2425" t="s">
        <v>64</v>
      </c>
      <c r="E2425" t="s">
        <v>38</v>
      </c>
      <c r="F2425" t="s">
        <v>4456</v>
      </c>
      <c r="G2425" s="9" t="s">
        <v>4462</v>
      </c>
      <c r="H2425">
        <v>52350</v>
      </c>
      <c r="I2425">
        <v>52350</v>
      </c>
      <c r="J2425" s="21">
        <v>46113</v>
      </c>
      <c r="K2425" t="s">
        <v>67</v>
      </c>
      <c r="L2425" t="s">
        <v>68</v>
      </c>
      <c r="M2425" t="s">
        <v>69</v>
      </c>
      <c r="O2425">
        <v>0</v>
      </c>
      <c r="P2425" t="s">
        <v>3381</v>
      </c>
      <c r="S2425" t="str">
        <f>TEXT(Table1[[#This Row],[Date]],"MMM-YY")</f>
        <v>Apr-26</v>
      </c>
      <c r="T2425">
        <f>_xlfn.ISOWEEKNUM(Table1[[#This Row],[Date]])</f>
        <v>14</v>
      </c>
    </row>
    <row r="2426" spans="1:20" hidden="1">
      <c r="A2426" s="1">
        <v>46118</v>
      </c>
      <c r="B2426" t="s">
        <v>4455</v>
      </c>
      <c r="C2426" t="s">
        <v>63</v>
      </c>
      <c r="D2426" t="s">
        <v>64</v>
      </c>
      <c r="E2426" t="s">
        <v>38</v>
      </c>
      <c r="F2426" t="s">
        <v>4456</v>
      </c>
      <c r="G2426" s="9" t="s">
        <v>4463</v>
      </c>
      <c r="H2426">
        <v>27150</v>
      </c>
      <c r="I2426">
        <v>27150</v>
      </c>
      <c r="J2426" s="21">
        <v>46113</v>
      </c>
      <c r="K2426" t="s">
        <v>67</v>
      </c>
      <c r="L2426" t="s">
        <v>68</v>
      </c>
      <c r="M2426" t="s">
        <v>69</v>
      </c>
      <c r="O2426">
        <v>0</v>
      </c>
      <c r="P2426" t="s">
        <v>3381</v>
      </c>
      <c r="S2426" t="str">
        <f>TEXT(Table1[[#This Row],[Date]],"MMM-YY")</f>
        <v>Apr-26</v>
      </c>
      <c r="T2426">
        <f>_xlfn.ISOWEEKNUM(Table1[[#This Row],[Date]])</f>
        <v>15</v>
      </c>
    </row>
    <row r="2427" spans="1:20" hidden="1">
      <c r="A2427" s="1">
        <v>46118</v>
      </c>
      <c r="B2427" t="s">
        <v>392</v>
      </c>
      <c r="C2427" t="s">
        <v>63</v>
      </c>
      <c r="D2427" t="s">
        <v>320</v>
      </c>
      <c r="E2427" t="s">
        <v>38</v>
      </c>
      <c r="F2427" t="s">
        <v>393</v>
      </c>
      <c r="G2427" s="9" t="s">
        <v>4464</v>
      </c>
      <c r="H2427">
        <v>33665</v>
      </c>
      <c r="I2427">
        <v>33665</v>
      </c>
      <c r="J2427" s="21">
        <v>46113</v>
      </c>
      <c r="K2427" t="s">
        <v>67</v>
      </c>
      <c r="L2427" t="s">
        <v>68</v>
      </c>
      <c r="M2427" t="s">
        <v>69</v>
      </c>
      <c r="O2427">
        <v>0</v>
      </c>
      <c r="P2427" t="s">
        <v>3381</v>
      </c>
      <c r="S2427" t="str">
        <f>TEXT(Table1[[#This Row],[Date]],"MMM-YY")</f>
        <v>Apr-26</v>
      </c>
      <c r="T2427">
        <f>_xlfn.ISOWEEKNUM(Table1[[#This Row],[Date]])</f>
        <v>15</v>
      </c>
    </row>
    <row r="2428" spans="1:20" hidden="1">
      <c r="A2428" s="1">
        <v>46119</v>
      </c>
      <c r="B2428" t="s">
        <v>4450</v>
      </c>
      <c r="C2428" t="s">
        <v>96</v>
      </c>
      <c r="D2428" t="s">
        <v>64</v>
      </c>
      <c r="E2428" t="s">
        <v>38</v>
      </c>
      <c r="F2428" t="s">
        <v>504</v>
      </c>
      <c r="G2428" s="9" t="s">
        <v>4465</v>
      </c>
      <c r="H2428">
        <v>57290</v>
      </c>
      <c r="I2428">
        <v>57290</v>
      </c>
      <c r="J2428" s="21">
        <v>46113</v>
      </c>
      <c r="K2428" t="s">
        <v>67</v>
      </c>
      <c r="L2428" t="s">
        <v>68</v>
      </c>
      <c r="M2428" t="s">
        <v>69</v>
      </c>
      <c r="O2428">
        <v>0</v>
      </c>
      <c r="P2428" t="s">
        <v>3381</v>
      </c>
      <c r="S2428" t="str">
        <f>TEXT(Table1[[#This Row],[Date]],"MMM-YY")</f>
        <v>Apr-26</v>
      </c>
      <c r="T2428">
        <f>_xlfn.ISOWEEKNUM(Table1[[#This Row],[Date]])</f>
        <v>15</v>
      </c>
    </row>
    <row r="2429" spans="1:20" hidden="1">
      <c r="A2429" s="1">
        <v>46119</v>
      </c>
      <c r="B2429" t="s">
        <v>4265</v>
      </c>
      <c r="C2429" t="s">
        <v>96</v>
      </c>
      <c r="D2429" t="s">
        <v>64</v>
      </c>
      <c r="E2429" t="s">
        <v>38</v>
      </c>
      <c r="F2429" t="s">
        <v>504</v>
      </c>
      <c r="G2429" s="9" t="s">
        <v>4466</v>
      </c>
      <c r="H2429">
        <v>21980</v>
      </c>
      <c r="I2429">
        <v>21980</v>
      </c>
      <c r="J2429" s="21">
        <v>46113</v>
      </c>
      <c r="K2429" t="s">
        <v>67</v>
      </c>
      <c r="L2429" t="s">
        <v>68</v>
      </c>
      <c r="M2429" t="s">
        <v>69</v>
      </c>
      <c r="O2429">
        <v>0</v>
      </c>
      <c r="P2429" t="s">
        <v>3381</v>
      </c>
      <c r="S2429" t="str">
        <f>TEXT(Table1[[#This Row],[Date]],"MMM-YY")</f>
        <v>Apr-26</v>
      </c>
      <c r="T2429">
        <f>_xlfn.ISOWEEKNUM(Table1[[#This Row],[Date]])</f>
        <v>15</v>
      </c>
    </row>
    <row r="2430" spans="1:20" hidden="1">
      <c r="A2430" s="1">
        <v>46119</v>
      </c>
      <c r="B2430" t="s">
        <v>392</v>
      </c>
      <c r="C2430" t="s">
        <v>63</v>
      </c>
      <c r="D2430" t="s">
        <v>320</v>
      </c>
      <c r="E2430" t="s">
        <v>38</v>
      </c>
      <c r="F2430" t="s">
        <v>393</v>
      </c>
      <c r="G2430" s="9" t="s">
        <v>4467</v>
      </c>
      <c r="H2430">
        <v>57406</v>
      </c>
      <c r="I2430">
        <v>57406</v>
      </c>
      <c r="J2430" s="21">
        <v>46113</v>
      </c>
      <c r="K2430" t="s">
        <v>67</v>
      </c>
      <c r="L2430" t="s">
        <v>68</v>
      </c>
      <c r="M2430" t="s">
        <v>69</v>
      </c>
      <c r="O2430">
        <v>0</v>
      </c>
      <c r="P2430" t="s">
        <v>3381</v>
      </c>
      <c r="S2430" t="str">
        <f>TEXT(Table1[[#This Row],[Date]],"MMM-YY")</f>
        <v>Apr-26</v>
      </c>
      <c r="T2430">
        <f>_xlfn.ISOWEEKNUM(Table1[[#This Row],[Date]])</f>
        <v>15</v>
      </c>
    </row>
    <row r="2431" spans="1:20" hidden="1">
      <c r="A2431" s="1">
        <v>46120</v>
      </c>
      <c r="B2431" t="s">
        <v>4450</v>
      </c>
      <c r="C2431" t="s">
        <v>96</v>
      </c>
      <c r="D2431" t="s">
        <v>64</v>
      </c>
      <c r="E2431" t="s">
        <v>38</v>
      </c>
      <c r="F2431" t="s">
        <v>504</v>
      </c>
      <c r="G2431" s="9" t="s">
        <v>4468</v>
      </c>
      <c r="H2431">
        <v>58360</v>
      </c>
      <c r="I2431">
        <v>58360</v>
      </c>
      <c r="J2431" s="21">
        <v>46113</v>
      </c>
      <c r="K2431" t="s">
        <v>67</v>
      </c>
      <c r="L2431" t="s">
        <v>68</v>
      </c>
      <c r="M2431" t="s">
        <v>69</v>
      </c>
      <c r="O2431">
        <v>0</v>
      </c>
      <c r="P2431" t="s">
        <v>3381</v>
      </c>
      <c r="S2431" t="str">
        <f>TEXT(Table1[[#This Row],[Date]],"MMM-YY")</f>
        <v>Apr-26</v>
      </c>
      <c r="T2431">
        <f>_xlfn.ISOWEEKNUM(Table1[[#This Row],[Date]])</f>
        <v>15</v>
      </c>
    </row>
    <row r="2432" spans="1:20" hidden="1">
      <c r="A2432" s="1">
        <v>46120</v>
      </c>
      <c r="B2432" t="s">
        <v>4265</v>
      </c>
      <c r="C2432" t="s">
        <v>96</v>
      </c>
      <c r="D2432" t="s">
        <v>64</v>
      </c>
      <c r="E2432" t="s">
        <v>38</v>
      </c>
      <c r="F2432" t="s">
        <v>504</v>
      </c>
      <c r="G2432" s="9" t="s">
        <v>4469</v>
      </c>
      <c r="H2432">
        <v>16140</v>
      </c>
      <c r="I2432">
        <v>16140</v>
      </c>
      <c r="J2432" s="21">
        <v>46113</v>
      </c>
      <c r="K2432" t="s">
        <v>67</v>
      </c>
      <c r="L2432" t="s">
        <v>68</v>
      </c>
      <c r="M2432" t="s">
        <v>69</v>
      </c>
      <c r="O2432">
        <v>0</v>
      </c>
      <c r="P2432" t="s">
        <v>3381</v>
      </c>
      <c r="S2432" t="str">
        <f>TEXT(Table1[[#This Row],[Date]],"MMM-YY")</f>
        <v>Apr-26</v>
      </c>
      <c r="T2432">
        <f>_xlfn.ISOWEEKNUM(Table1[[#This Row],[Date]])</f>
        <v>15</v>
      </c>
    </row>
    <row r="2433" spans="1:20" hidden="1">
      <c r="A2433" s="1">
        <v>46120</v>
      </c>
      <c r="B2433" t="s">
        <v>392</v>
      </c>
      <c r="C2433" t="s">
        <v>63</v>
      </c>
      <c r="D2433" t="s">
        <v>320</v>
      </c>
      <c r="E2433" t="s">
        <v>38</v>
      </c>
      <c r="F2433" t="s">
        <v>393</v>
      </c>
      <c r="G2433" s="9" t="s">
        <v>4470</v>
      </c>
      <c r="H2433">
        <v>61550</v>
      </c>
      <c r="I2433">
        <v>61550</v>
      </c>
      <c r="J2433" s="21">
        <v>46113</v>
      </c>
      <c r="K2433" t="s">
        <v>67</v>
      </c>
      <c r="L2433" t="s">
        <v>68</v>
      </c>
      <c r="M2433" t="s">
        <v>69</v>
      </c>
      <c r="O2433">
        <v>0</v>
      </c>
      <c r="P2433" t="s">
        <v>3381</v>
      </c>
      <c r="S2433" t="str">
        <f>TEXT(Table1[[#This Row],[Date]],"MMM-YY")</f>
        <v>Apr-26</v>
      </c>
      <c r="T2433">
        <f>_xlfn.ISOWEEKNUM(Table1[[#This Row],[Date]])</f>
        <v>15</v>
      </c>
    </row>
    <row r="2434" spans="1:20" hidden="1">
      <c r="A2434" s="1">
        <v>46120</v>
      </c>
      <c r="B2434" s="67" t="s">
        <v>95</v>
      </c>
      <c r="C2434" t="s">
        <v>96</v>
      </c>
      <c r="D2434" t="s">
        <v>64</v>
      </c>
      <c r="E2434" t="s">
        <v>38</v>
      </c>
      <c r="F2434" t="s">
        <v>97</v>
      </c>
      <c r="G2434" s="69" t="s">
        <v>4471</v>
      </c>
      <c r="H2434">
        <v>22456</v>
      </c>
      <c r="I2434">
        <v>22456</v>
      </c>
      <c r="J2434" s="21">
        <v>46113</v>
      </c>
      <c r="K2434" t="s">
        <v>99</v>
      </c>
      <c r="L2434" t="s">
        <v>68</v>
      </c>
      <c r="M2434" t="s">
        <v>69</v>
      </c>
      <c r="O2434">
        <v>0</v>
      </c>
      <c r="P2434" t="s">
        <v>70</v>
      </c>
      <c r="S2434" t="str">
        <f>TEXT(Table1[[#This Row],[Date]],"MMM-YY")</f>
        <v>Apr-26</v>
      </c>
      <c r="T2434">
        <f>_xlfn.ISOWEEKNUM(Table1[[#This Row],[Date]])</f>
        <v>15</v>
      </c>
    </row>
    <row r="2435" spans="1:20" hidden="1">
      <c r="A2435" s="1">
        <v>46121</v>
      </c>
      <c r="B2435" t="s">
        <v>4450</v>
      </c>
      <c r="C2435" t="s">
        <v>96</v>
      </c>
      <c r="D2435" t="s">
        <v>64</v>
      </c>
      <c r="E2435" t="s">
        <v>38</v>
      </c>
      <c r="F2435" t="s">
        <v>504</v>
      </c>
      <c r="G2435" s="9" t="s">
        <v>4472</v>
      </c>
      <c r="H2435">
        <v>70450</v>
      </c>
      <c r="I2435">
        <v>70450</v>
      </c>
      <c r="J2435" s="21">
        <v>46113</v>
      </c>
      <c r="K2435" t="s">
        <v>67</v>
      </c>
      <c r="L2435" t="s">
        <v>68</v>
      </c>
      <c r="M2435" t="s">
        <v>69</v>
      </c>
      <c r="O2435">
        <v>0</v>
      </c>
      <c r="P2435" t="s">
        <v>3381</v>
      </c>
      <c r="S2435" t="str">
        <f>TEXT(Table1[[#This Row],[Date]],"MMM-YY")</f>
        <v>Apr-26</v>
      </c>
      <c r="T2435">
        <f>_xlfn.ISOWEEKNUM(Table1[[#This Row],[Date]])</f>
        <v>15</v>
      </c>
    </row>
    <row r="2436" spans="1:20" hidden="1">
      <c r="A2436" s="1">
        <v>46121</v>
      </c>
      <c r="B2436" t="s">
        <v>4265</v>
      </c>
      <c r="C2436" t="s">
        <v>96</v>
      </c>
      <c r="D2436" t="s">
        <v>64</v>
      </c>
      <c r="E2436" t="s">
        <v>38</v>
      </c>
      <c r="F2436" t="s">
        <v>504</v>
      </c>
      <c r="G2436" s="9" t="s">
        <v>4473</v>
      </c>
      <c r="H2436">
        <v>17320</v>
      </c>
      <c r="I2436">
        <v>17320</v>
      </c>
      <c r="J2436" s="21">
        <v>46113</v>
      </c>
      <c r="K2436" t="s">
        <v>67</v>
      </c>
      <c r="L2436" t="s">
        <v>68</v>
      </c>
      <c r="M2436" t="s">
        <v>69</v>
      </c>
      <c r="O2436">
        <v>0</v>
      </c>
      <c r="P2436" t="s">
        <v>3381</v>
      </c>
      <c r="S2436" t="str">
        <f>TEXT(Table1[[#This Row],[Date]],"MMM-YY")</f>
        <v>Apr-26</v>
      </c>
      <c r="T2436">
        <f>_xlfn.ISOWEEKNUM(Table1[[#This Row],[Date]])</f>
        <v>15</v>
      </c>
    </row>
    <row r="2437" spans="1:20" hidden="1">
      <c r="A2437" s="1">
        <v>46121</v>
      </c>
      <c r="B2437" t="s">
        <v>392</v>
      </c>
      <c r="C2437" t="s">
        <v>63</v>
      </c>
      <c r="D2437" t="s">
        <v>320</v>
      </c>
      <c r="E2437" t="s">
        <v>38</v>
      </c>
      <c r="F2437" t="s">
        <v>393</v>
      </c>
      <c r="G2437" s="9" t="s">
        <v>4474</v>
      </c>
      <c r="H2437">
        <v>63812</v>
      </c>
      <c r="I2437">
        <v>63812</v>
      </c>
      <c r="J2437" s="21">
        <v>46113</v>
      </c>
      <c r="K2437" t="s">
        <v>67</v>
      </c>
      <c r="L2437" t="s">
        <v>68</v>
      </c>
      <c r="M2437" t="s">
        <v>69</v>
      </c>
      <c r="O2437">
        <v>0</v>
      </c>
      <c r="P2437" t="s">
        <v>3381</v>
      </c>
      <c r="S2437" t="str">
        <f>TEXT(Table1[[#This Row],[Date]],"MMM-YY")</f>
        <v>Apr-26</v>
      </c>
      <c r="T2437">
        <f>_xlfn.ISOWEEKNUM(Table1[[#This Row],[Date]])</f>
        <v>15</v>
      </c>
    </row>
    <row r="2438" spans="1:20" hidden="1">
      <c r="A2438" s="1">
        <v>46122</v>
      </c>
      <c r="B2438" t="s">
        <v>4450</v>
      </c>
      <c r="C2438" t="s">
        <v>96</v>
      </c>
      <c r="D2438" t="s">
        <v>64</v>
      </c>
      <c r="E2438" t="s">
        <v>38</v>
      </c>
      <c r="F2438" t="s">
        <v>504</v>
      </c>
      <c r="G2438" s="9" t="s">
        <v>4475</v>
      </c>
      <c r="H2438">
        <v>83720</v>
      </c>
      <c r="I2438">
        <v>83720</v>
      </c>
      <c r="J2438" s="21">
        <v>46113</v>
      </c>
      <c r="K2438" t="s">
        <v>67</v>
      </c>
      <c r="L2438" t="s">
        <v>68</v>
      </c>
      <c r="M2438" t="s">
        <v>69</v>
      </c>
      <c r="O2438">
        <v>0</v>
      </c>
      <c r="P2438" t="s">
        <v>3381</v>
      </c>
      <c r="S2438" t="str">
        <f>TEXT(Table1[[#This Row],[Date]],"MMM-YY")</f>
        <v>Apr-26</v>
      </c>
      <c r="T2438">
        <f>_xlfn.ISOWEEKNUM(Table1[[#This Row],[Date]])</f>
        <v>15</v>
      </c>
    </row>
    <row r="2439" spans="1:20" hidden="1">
      <c r="A2439" s="1">
        <v>46122</v>
      </c>
      <c r="B2439" t="s">
        <v>4265</v>
      </c>
      <c r="C2439" t="s">
        <v>96</v>
      </c>
      <c r="D2439" t="s">
        <v>64</v>
      </c>
      <c r="E2439" t="s">
        <v>38</v>
      </c>
      <c r="F2439" t="s">
        <v>504</v>
      </c>
      <c r="G2439" s="9" t="s">
        <v>4476</v>
      </c>
      <c r="H2439">
        <v>19120</v>
      </c>
      <c r="I2439">
        <v>19120</v>
      </c>
      <c r="J2439" s="21">
        <v>46113</v>
      </c>
      <c r="K2439" t="s">
        <v>67</v>
      </c>
      <c r="L2439" t="s">
        <v>68</v>
      </c>
      <c r="M2439" t="s">
        <v>69</v>
      </c>
      <c r="O2439">
        <v>0</v>
      </c>
      <c r="P2439" t="s">
        <v>3381</v>
      </c>
      <c r="S2439" t="str">
        <f>TEXT(Table1[[#This Row],[Date]],"MMM-YY")</f>
        <v>Apr-26</v>
      </c>
      <c r="T2439">
        <f>_xlfn.ISOWEEKNUM(Table1[[#This Row],[Date]])</f>
        <v>15</v>
      </c>
    </row>
    <row r="2440" spans="1:20" hidden="1">
      <c r="A2440" s="1">
        <v>46122</v>
      </c>
      <c r="B2440" t="s">
        <v>392</v>
      </c>
      <c r="C2440" t="s">
        <v>63</v>
      </c>
      <c r="D2440" t="s">
        <v>320</v>
      </c>
      <c r="E2440" t="s">
        <v>38</v>
      </c>
      <c r="F2440" t="s">
        <v>393</v>
      </c>
      <c r="G2440" s="9" t="s">
        <v>4477</v>
      </c>
      <c r="H2440">
        <v>49754</v>
      </c>
      <c r="I2440">
        <v>49754</v>
      </c>
      <c r="J2440" s="21">
        <v>46113</v>
      </c>
      <c r="K2440" t="s">
        <v>67</v>
      </c>
      <c r="L2440" t="s">
        <v>68</v>
      </c>
      <c r="M2440" t="s">
        <v>69</v>
      </c>
      <c r="O2440">
        <v>0</v>
      </c>
      <c r="P2440" t="s">
        <v>3381</v>
      </c>
      <c r="S2440" t="str">
        <f>TEXT(Table1[[#This Row],[Date]],"MMM-YY")</f>
        <v>Apr-26</v>
      </c>
      <c r="T2440">
        <f>_xlfn.ISOWEEKNUM(Table1[[#This Row],[Date]])</f>
        <v>15</v>
      </c>
    </row>
    <row r="2441" spans="1:20" hidden="1">
      <c r="A2441" s="1">
        <v>46123</v>
      </c>
      <c r="B2441" t="s">
        <v>4478</v>
      </c>
      <c r="C2441" t="s">
        <v>96</v>
      </c>
      <c r="D2441" t="s">
        <v>20</v>
      </c>
      <c r="E2441" t="s">
        <v>23</v>
      </c>
      <c r="F2441" t="s">
        <v>1797</v>
      </c>
      <c r="G2441" s="9" t="s">
        <v>4479</v>
      </c>
      <c r="H2441">
        <v>6500</v>
      </c>
      <c r="I2441">
        <v>6500</v>
      </c>
      <c r="J2441" s="21">
        <v>46113</v>
      </c>
      <c r="K2441" t="s">
        <v>67</v>
      </c>
      <c r="L2441" t="s">
        <v>68</v>
      </c>
      <c r="M2441" t="s">
        <v>69</v>
      </c>
      <c r="O2441">
        <v>0</v>
      </c>
      <c r="P2441" t="s">
        <v>70</v>
      </c>
      <c r="S2441" t="str">
        <f>TEXT(Table1[[#This Row],[Date]],"MMM-YY")</f>
        <v>Apr-26</v>
      </c>
      <c r="T2441">
        <f>_xlfn.ISOWEEKNUM(Table1[[#This Row],[Date]])</f>
        <v>15</v>
      </c>
    </row>
    <row r="2442" spans="1:20" hidden="1">
      <c r="A2442" s="1">
        <v>46125</v>
      </c>
      <c r="B2442" t="s">
        <v>4480</v>
      </c>
      <c r="C2442" t="s">
        <v>96</v>
      </c>
      <c r="D2442" t="s">
        <v>4481</v>
      </c>
      <c r="E2442" t="s">
        <v>23</v>
      </c>
      <c r="F2442" t="s">
        <v>4482</v>
      </c>
      <c r="G2442" s="9" t="s">
        <v>4483</v>
      </c>
      <c r="H2442">
        <v>16500</v>
      </c>
      <c r="I2442">
        <v>16500</v>
      </c>
      <c r="J2442" s="21">
        <v>46113</v>
      </c>
      <c r="K2442" t="s">
        <v>67</v>
      </c>
      <c r="L2442" t="s">
        <v>68</v>
      </c>
      <c r="M2442" t="s">
        <v>69</v>
      </c>
      <c r="O2442">
        <v>0</v>
      </c>
      <c r="P2442" t="s">
        <v>70</v>
      </c>
      <c r="S2442" t="str">
        <f>TEXT(Table1[[#This Row],[Date]],"MMM-YY")</f>
        <v>Apr-26</v>
      </c>
      <c r="T2442">
        <f>_xlfn.ISOWEEKNUM(Table1[[#This Row],[Date]])</f>
        <v>16</v>
      </c>
    </row>
    <row r="2443" spans="1:20" hidden="1">
      <c r="A2443" s="1">
        <v>46125</v>
      </c>
      <c r="B2443" t="s">
        <v>4450</v>
      </c>
      <c r="C2443" t="s">
        <v>96</v>
      </c>
      <c r="D2443" t="s">
        <v>64</v>
      </c>
      <c r="E2443" t="s">
        <v>38</v>
      </c>
      <c r="F2443" t="s">
        <v>504</v>
      </c>
      <c r="G2443" s="9" t="s">
        <v>4484</v>
      </c>
      <c r="H2443">
        <v>40960</v>
      </c>
      <c r="I2443">
        <v>40960</v>
      </c>
      <c r="J2443" s="21">
        <v>46113</v>
      </c>
      <c r="K2443" t="s">
        <v>67</v>
      </c>
      <c r="L2443" t="s">
        <v>68</v>
      </c>
      <c r="M2443" t="s">
        <v>69</v>
      </c>
      <c r="O2443">
        <v>0</v>
      </c>
      <c r="P2443" t="s">
        <v>3381</v>
      </c>
      <c r="S2443" t="str">
        <f>TEXT(Table1[[#This Row],[Date]],"MMM-YY")</f>
        <v>Apr-26</v>
      </c>
      <c r="T2443">
        <f>_xlfn.ISOWEEKNUM(Table1[[#This Row],[Date]])</f>
        <v>16</v>
      </c>
    </row>
    <row r="2444" spans="1:20" hidden="1">
      <c r="A2444" s="1">
        <v>46125</v>
      </c>
      <c r="B2444" t="s">
        <v>4265</v>
      </c>
      <c r="C2444" t="s">
        <v>96</v>
      </c>
      <c r="D2444" t="s">
        <v>64</v>
      </c>
      <c r="E2444" t="s">
        <v>38</v>
      </c>
      <c r="F2444" t="s">
        <v>504</v>
      </c>
      <c r="G2444" s="9" t="s">
        <v>4485</v>
      </c>
      <c r="H2444">
        <v>9440</v>
      </c>
      <c r="I2444">
        <v>9440</v>
      </c>
      <c r="J2444" s="21">
        <v>46113</v>
      </c>
      <c r="K2444" t="s">
        <v>67</v>
      </c>
      <c r="L2444" t="s">
        <v>68</v>
      </c>
      <c r="M2444" t="s">
        <v>69</v>
      </c>
      <c r="O2444">
        <v>0</v>
      </c>
      <c r="P2444" t="s">
        <v>3381</v>
      </c>
      <c r="S2444" t="str">
        <f>TEXT(Table1[[#This Row],[Date]],"MMM-YY")</f>
        <v>Apr-26</v>
      </c>
      <c r="T2444">
        <f>_xlfn.ISOWEEKNUM(Table1[[#This Row],[Date]])</f>
        <v>16</v>
      </c>
    </row>
    <row r="2445" spans="1:20" hidden="1">
      <c r="A2445" s="1">
        <v>46126</v>
      </c>
      <c r="B2445" t="s">
        <v>4450</v>
      </c>
      <c r="C2445" t="s">
        <v>96</v>
      </c>
      <c r="D2445" t="s">
        <v>64</v>
      </c>
      <c r="E2445" t="s">
        <v>38</v>
      </c>
      <c r="F2445" t="s">
        <v>504</v>
      </c>
      <c r="G2445" s="9" t="s">
        <v>4486</v>
      </c>
      <c r="H2445">
        <v>45220</v>
      </c>
      <c r="I2445">
        <v>45220</v>
      </c>
      <c r="J2445" s="21">
        <v>46113</v>
      </c>
      <c r="K2445" t="s">
        <v>67</v>
      </c>
      <c r="L2445" t="s">
        <v>68</v>
      </c>
      <c r="M2445" t="s">
        <v>69</v>
      </c>
      <c r="O2445">
        <v>0</v>
      </c>
      <c r="P2445" t="s">
        <v>3381</v>
      </c>
      <c r="S2445" t="str">
        <f>TEXT(Table1[[#This Row],[Date]],"MMM-YY")</f>
        <v>Apr-26</v>
      </c>
      <c r="T2445">
        <f>_xlfn.ISOWEEKNUM(Table1[[#This Row],[Date]])</f>
        <v>16</v>
      </c>
    </row>
    <row r="2446" spans="1:20" hidden="1">
      <c r="A2446" s="1">
        <v>46126</v>
      </c>
      <c r="B2446" t="s">
        <v>4265</v>
      </c>
      <c r="C2446" t="s">
        <v>96</v>
      </c>
      <c r="D2446" t="s">
        <v>64</v>
      </c>
      <c r="E2446" t="s">
        <v>38</v>
      </c>
      <c r="F2446" t="s">
        <v>504</v>
      </c>
      <c r="G2446" s="9" t="s">
        <v>4487</v>
      </c>
      <c r="H2446">
        <v>17180</v>
      </c>
      <c r="I2446">
        <v>17180</v>
      </c>
      <c r="J2446" s="21">
        <v>46113</v>
      </c>
      <c r="K2446" t="s">
        <v>67</v>
      </c>
      <c r="L2446" t="s">
        <v>68</v>
      </c>
      <c r="M2446" t="s">
        <v>69</v>
      </c>
      <c r="O2446">
        <v>0</v>
      </c>
      <c r="P2446" t="s">
        <v>3381</v>
      </c>
      <c r="S2446" t="str">
        <f>TEXT(Table1[[#This Row],[Date]],"MMM-YY")</f>
        <v>Apr-26</v>
      </c>
      <c r="T2446">
        <f>_xlfn.ISOWEEKNUM(Table1[[#This Row],[Date]])</f>
        <v>16</v>
      </c>
    </row>
    <row r="2447" spans="1:20" hidden="1">
      <c r="A2447" s="1">
        <v>46127</v>
      </c>
      <c r="B2447" t="s">
        <v>410</v>
      </c>
      <c r="C2447" t="s">
        <v>96</v>
      </c>
      <c r="D2447" t="s">
        <v>64</v>
      </c>
      <c r="E2447" t="s">
        <v>26</v>
      </c>
      <c r="F2447" t="s">
        <v>411</v>
      </c>
      <c r="G2447" s="9" t="s">
        <v>4488</v>
      </c>
      <c r="H2447">
        <v>19150</v>
      </c>
      <c r="I2447">
        <v>19150</v>
      </c>
      <c r="J2447" s="21">
        <v>46113</v>
      </c>
      <c r="K2447" t="s">
        <v>67</v>
      </c>
      <c r="L2447" t="s">
        <v>68</v>
      </c>
      <c r="M2447" t="s">
        <v>69</v>
      </c>
      <c r="O2447">
        <v>0</v>
      </c>
      <c r="P2447" t="s">
        <v>3381</v>
      </c>
      <c r="S2447" t="str">
        <f>TEXT(Table1[[#This Row],[Date]],"MMM-YY")</f>
        <v>Apr-26</v>
      </c>
      <c r="T2447">
        <f>_xlfn.ISOWEEKNUM(Table1[[#This Row],[Date]])</f>
        <v>16</v>
      </c>
    </row>
    <row r="2448" spans="1:20" hidden="1">
      <c r="A2448" s="1">
        <v>46127</v>
      </c>
      <c r="B2448" t="s">
        <v>4450</v>
      </c>
      <c r="C2448" t="s">
        <v>96</v>
      </c>
      <c r="D2448" t="s">
        <v>64</v>
      </c>
      <c r="E2448" t="s">
        <v>38</v>
      </c>
      <c r="F2448" t="s">
        <v>504</v>
      </c>
      <c r="G2448" s="9" t="s">
        <v>4489</v>
      </c>
      <c r="H2448">
        <v>54120</v>
      </c>
      <c r="I2448">
        <v>54120</v>
      </c>
      <c r="J2448" s="21">
        <v>46113</v>
      </c>
      <c r="K2448" t="s">
        <v>67</v>
      </c>
      <c r="L2448" t="s">
        <v>68</v>
      </c>
      <c r="M2448" t="s">
        <v>69</v>
      </c>
      <c r="O2448">
        <v>0</v>
      </c>
      <c r="P2448" t="s">
        <v>3381</v>
      </c>
      <c r="S2448" t="str">
        <f>TEXT(Table1[[#This Row],[Date]],"MMM-YY")</f>
        <v>Apr-26</v>
      </c>
      <c r="T2448">
        <f>_xlfn.ISOWEEKNUM(Table1[[#This Row],[Date]])</f>
        <v>16</v>
      </c>
    </row>
    <row r="2449" spans="1:20" hidden="1">
      <c r="A2449" s="1">
        <v>46127</v>
      </c>
      <c r="B2449" t="s">
        <v>4265</v>
      </c>
      <c r="C2449" t="s">
        <v>96</v>
      </c>
      <c r="D2449" t="s">
        <v>64</v>
      </c>
      <c r="E2449" t="s">
        <v>38</v>
      </c>
      <c r="F2449" t="s">
        <v>504</v>
      </c>
      <c r="G2449" s="9" t="s">
        <v>4490</v>
      </c>
      <c r="H2449">
        <v>18500</v>
      </c>
      <c r="I2449">
        <v>18500</v>
      </c>
      <c r="J2449" s="21">
        <v>46113</v>
      </c>
      <c r="K2449" t="s">
        <v>67</v>
      </c>
      <c r="L2449" t="s">
        <v>68</v>
      </c>
      <c r="M2449" t="s">
        <v>69</v>
      </c>
      <c r="O2449">
        <v>0</v>
      </c>
      <c r="P2449" t="s">
        <v>3381</v>
      </c>
      <c r="S2449" t="str">
        <f>TEXT(Table1[[#This Row],[Date]],"MMM-YY")</f>
        <v>Apr-26</v>
      </c>
      <c r="T2449">
        <f>_xlfn.ISOWEEKNUM(Table1[[#This Row],[Date]])</f>
        <v>16</v>
      </c>
    </row>
    <row r="2450" spans="1:20" hidden="1">
      <c r="A2450" s="1">
        <v>46127</v>
      </c>
      <c r="B2450" s="67" t="s">
        <v>95</v>
      </c>
      <c r="C2450" t="s">
        <v>96</v>
      </c>
      <c r="D2450" t="s">
        <v>64</v>
      </c>
      <c r="E2450" t="s">
        <v>38</v>
      </c>
      <c r="F2450" t="s">
        <v>97</v>
      </c>
      <c r="G2450" s="69" t="s">
        <v>4491</v>
      </c>
      <c r="H2450">
        <v>25208</v>
      </c>
      <c r="I2450">
        <v>25208</v>
      </c>
      <c r="J2450" s="21">
        <v>46113</v>
      </c>
      <c r="K2450" t="s">
        <v>99</v>
      </c>
      <c r="L2450" t="s">
        <v>68</v>
      </c>
      <c r="M2450" t="s">
        <v>69</v>
      </c>
      <c r="O2450">
        <v>0</v>
      </c>
      <c r="P2450" t="s">
        <v>70</v>
      </c>
      <c r="S2450" t="str">
        <f>TEXT(Table1[[#This Row],[Date]],"MMM-YY")</f>
        <v>Apr-26</v>
      </c>
      <c r="T2450">
        <f>_xlfn.ISOWEEKNUM(Table1[[#This Row],[Date]])</f>
        <v>16</v>
      </c>
    </row>
    <row r="2451" spans="1:20" hidden="1">
      <c r="A2451" s="1">
        <v>46128</v>
      </c>
      <c r="B2451" t="s">
        <v>410</v>
      </c>
      <c r="C2451" t="s">
        <v>96</v>
      </c>
      <c r="D2451" t="s">
        <v>64</v>
      </c>
      <c r="E2451" t="s">
        <v>26</v>
      </c>
      <c r="F2451" t="s">
        <v>411</v>
      </c>
      <c r="G2451" s="9" t="s">
        <v>4492</v>
      </c>
      <c r="H2451">
        <v>65980</v>
      </c>
      <c r="I2451">
        <v>65980</v>
      </c>
      <c r="J2451" s="21">
        <v>46113</v>
      </c>
      <c r="K2451" t="s">
        <v>67</v>
      </c>
      <c r="L2451" t="s">
        <v>68</v>
      </c>
      <c r="M2451" t="s">
        <v>69</v>
      </c>
      <c r="O2451">
        <v>0</v>
      </c>
      <c r="P2451" t="s">
        <v>3381</v>
      </c>
      <c r="S2451" t="str">
        <f>TEXT(Table1[[#This Row],[Date]],"MMM-YY")</f>
        <v>Apr-26</v>
      </c>
      <c r="T2451">
        <f>_xlfn.ISOWEEKNUM(Table1[[#This Row],[Date]])</f>
        <v>16</v>
      </c>
    </row>
    <row r="2452" spans="1:20" hidden="1">
      <c r="A2452" s="1">
        <v>46128</v>
      </c>
      <c r="B2452" t="s">
        <v>4450</v>
      </c>
      <c r="C2452" t="s">
        <v>96</v>
      </c>
      <c r="D2452" t="s">
        <v>64</v>
      </c>
      <c r="E2452" t="s">
        <v>38</v>
      </c>
      <c r="F2452" t="s">
        <v>504</v>
      </c>
      <c r="G2452" s="9" t="s">
        <v>4493</v>
      </c>
      <c r="H2452">
        <v>64620</v>
      </c>
      <c r="I2452">
        <v>64620</v>
      </c>
      <c r="J2452" s="21">
        <v>46113</v>
      </c>
      <c r="K2452" t="s">
        <v>67</v>
      </c>
      <c r="L2452" t="s">
        <v>68</v>
      </c>
      <c r="M2452" t="s">
        <v>69</v>
      </c>
      <c r="O2452">
        <v>0</v>
      </c>
      <c r="P2452" t="s">
        <v>3381</v>
      </c>
      <c r="S2452" t="str">
        <f>TEXT(Table1[[#This Row],[Date]],"MMM-YY")</f>
        <v>Apr-26</v>
      </c>
      <c r="T2452">
        <f>_xlfn.ISOWEEKNUM(Table1[[#This Row],[Date]])</f>
        <v>16</v>
      </c>
    </row>
    <row r="2453" spans="1:20" hidden="1">
      <c r="A2453" s="1">
        <v>46128</v>
      </c>
      <c r="B2453" t="s">
        <v>4265</v>
      </c>
      <c r="C2453" t="s">
        <v>96</v>
      </c>
      <c r="D2453" t="s">
        <v>64</v>
      </c>
      <c r="E2453" t="s">
        <v>38</v>
      </c>
      <c r="F2453" t="s">
        <v>504</v>
      </c>
      <c r="G2453" s="9" t="s">
        <v>4494</v>
      </c>
      <c r="H2453">
        <v>17240</v>
      </c>
      <c r="I2453">
        <v>17240</v>
      </c>
      <c r="J2453" s="21">
        <v>46113</v>
      </c>
      <c r="K2453" t="s">
        <v>67</v>
      </c>
      <c r="L2453" t="s">
        <v>68</v>
      </c>
      <c r="M2453" t="s">
        <v>69</v>
      </c>
      <c r="O2453">
        <v>0</v>
      </c>
      <c r="P2453" t="s">
        <v>3381</v>
      </c>
      <c r="S2453" t="str">
        <f>TEXT(Table1[[#This Row],[Date]],"MMM-YY")</f>
        <v>Apr-26</v>
      </c>
      <c r="T2453">
        <f>_xlfn.ISOWEEKNUM(Table1[[#This Row],[Date]])</f>
        <v>16</v>
      </c>
    </row>
    <row r="2454" spans="1:20" ht="17.25" hidden="1" customHeight="1">
      <c r="A2454" s="1">
        <v>46129</v>
      </c>
      <c r="B2454" t="s">
        <v>4440</v>
      </c>
      <c r="C2454" t="s">
        <v>63</v>
      </c>
      <c r="D2454" t="s">
        <v>64</v>
      </c>
      <c r="E2454" t="s">
        <v>30</v>
      </c>
      <c r="F2454" t="s">
        <v>4495</v>
      </c>
      <c r="G2454" s="9" t="s">
        <v>4496</v>
      </c>
      <c r="H2454">
        <v>100240</v>
      </c>
      <c r="I2454">
        <v>100240</v>
      </c>
      <c r="J2454" s="21">
        <v>46113</v>
      </c>
      <c r="K2454" t="s">
        <v>67</v>
      </c>
      <c r="L2454" t="s">
        <v>68</v>
      </c>
      <c r="M2454" t="s">
        <v>69</v>
      </c>
      <c r="O2454">
        <v>0</v>
      </c>
      <c r="P2454" t="s">
        <v>70</v>
      </c>
      <c r="S2454" t="str">
        <f>TEXT(Table1[[#This Row],[Date]],"MMM-YY")</f>
        <v>Apr-26</v>
      </c>
      <c r="T2454">
        <f>_xlfn.ISOWEEKNUM(Table1[[#This Row],[Date]])</f>
        <v>16</v>
      </c>
    </row>
    <row r="2455" spans="1:20" ht="17.25" hidden="1" customHeight="1">
      <c r="A2455" s="1">
        <v>46129</v>
      </c>
      <c r="B2455" t="s">
        <v>4497</v>
      </c>
      <c r="C2455" t="s">
        <v>63</v>
      </c>
      <c r="D2455" t="s">
        <v>64</v>
      </c>
      <c r="E2455" t="s">
        <v>20</v>
      </c>
      <c r="F2455" t="s">
        <v>1237</v>
      </c>
      <c r="G2455" s="9" t="s">
        <v>4498</v>
      </c>
      <c r="H2455">
        <v>12524</v>
      </c>
      <c r="I2455">
        <v>12524</v>
      </c>
      <c r="J2455" s="21">
        <v>46113</v>
      </c>
      <c r="K2455" t="s">
        <v>67</v>
      </c>
      <c r="L2455" t="s">
        <v>68</v>
      </c>
      <c r="M2455" t="s">
        <v>69</v>
      </c>
      <c r="O2455">
        <v>0</v>
      </c>
      <c r="P2455" t="s">
        <v>70</v>
      </c>
      <c r="S2455" t="str">
        <f>TEXT(Table1[[#This Row],[Date]],"MMM-YY")</f>
        <v>Apr-26</v>
      </c>
      <c r="T2455">
        <f>_xlfn.ISOWEEKNUM(Table1[[#This Row],[Date]])</f>
        <v>16</v>
      </c>
    </row>
    <row r="2456" spans="1:20" hidden="1">
      <c r="A2456" s="1">
        <v>46129</v>
      </c>
      <c r="B2456" t="s">
        <v>410</v>
      </c>
      <c r="C2456" t="s">
        <v>96</v>
      </c>
      <c r="D2456" t="s">
        <v>64</v>
      </c>
      <c r="E2456" t="s">
        <v>26</v>
      </c>
      <c r="F2456" t="s">
        <v>411</v>
      </c>
      <c r="G2456" s="9" t="s">
        <v>4499</v>
      </c>
      <c r="H2456">
        <v>70930</v>
      </c>
      <c r="I2456">
        <v>70930</v>
      </c>
      <c r="J2456" s="21">
        <v>46113</v>
      </c>
      <c r="K2456" t="s">
        <v>67</v>
      </c>
      <c r="L2456" t="s">
        <v>68</v>
      </c>
      <c r="M2456" t="s">
        <v>69</v>
      </c>
      <c r="O2456">
        <v>0</v>
      </c>
      <c r="P2456" t="s">
        <v>3381</v>
      </c>
      <c r="S2456" t="str">
        <f>TEXT(Table1[[#This Row],[Date]],"MMM-YY")</f>
        <v>Apr-26</v>
      </c>
      <c r="T2456">
        <f>_xlfn.ISOWEEKNUM(Table1[[#This Row],[Date]])</f>
        <v>16</v>
      </c>
    </row>
    <row r="2457" spans="1:20" hidden="1">
      <c r="A2457" s="1">
        <v>46129</v>
      </c>
      <c r="B2457" t="s">
        <v>4450</v>
      </c>
      <c r="C2457" t="s">
        <v>96</v>
      </c>
      <c r="D2457" t="s">
        <v>64</v>
      </c>
      <c r="E2457" t="s">
        <v>38</v>
      </c>
      <c r="F2457" t="s">
        <v>504</v>
      </c>
      <c r="G2457" s="9" t="s">
        <v>4500</v>
      </c>
      <c r="H2457">
        <v>86350</v>
      </c>
      <c r="I2457">
        <v>86350</v>
      </c>
      <c r="J2457" s="21">
        <v>46113</v>
      </c>
      <c r="K2457" t="s">
        <v>67</v>
      </c>
      <c r="L2457" t="s">
        <v>68</v>
      </c>
      <c r="M2457" t="s">
        <v>69</v>
      </c>
      <c r="O2457">
        <v>0</v>
      </c>
      <c r="P2457" t="s">
        <v>3381</v>
      </c>
      <c r="S2457" t="str">
        <f>TEXT(Table1[[#This Row],[Date]],"MMM-YY")</f>
        <v>Apr-26</v>
      </c>
      <c r="T2457">
        <f>_xlfn.ISOWEEKNUM(Table1[[#This Row],[Date]])</f>
        <v>16</v>
      </c>
    </row>
    <row r="2458" spans="1:20" hidden="1">
      <c r="A2458" s="1">
        <v>46129</v>
      </c>
      <c r="B2458" t="s">
        <v>4265</v>
      </c>
      <c r="C2458" t="s">
        <v>96</v>
      </c>
      <c r="D2458" t="s">
        <v>64</v>
      </c>
      <c r="E2458" t="s">
        <v>38</v>
      </c>
      <c r="F2458" t="s">
        <v>504</v>
      </c>
      <c r="G2458" s="9" t="s">
        <v>4501</v>
      </c>
      <c r="H2458">
        <v>19180</v>
      </c>
      <c r="I2458">
        <v>19180</v>
      </c>
      <c r="J2458" s="21">
        <v>46113</v>
      </c>
      <c r="K2458" t="s">
        <v>67</v>
      </c>
      <c r="L2458" t="s">
        <v>68</v>
      </c>
      <c r="M2458" t="s">
        <v>69</v>
      </c>
      <c r="O2458">
        <v>0</v>
      </c>
      <c r="P2458" t="s">
        <v>3381</v>
      </c>
      <c r="S2458" t="str">
        <f>TEXT(Table1[[#This Row],[Date]],"MMM-YY")</f>
        <v>Apr-26</v>
      </c>
      <c r="T2458">
        <f>_xlfn.ISOWEEKNUM(Table1[[#This Row],[Date]])</f>
        <v>16</v>
      </c>
    </row>
    <row r="2459" spans="1:20" hidden="1">
      <c r="A2459" s="1">
        <v>46130</v>
      </c>
      <c r="B2459" t="s">
        <v>4502</v>
      </c>
      <c r="C2459" t="s">
        <v>63</v>
      </c>
      <c r="D2459" t="s">
        <v>64</v>
      </c>
      <c r="E2459" t="s">
        <v>32</v>
      </c>
      <c r="F2459" t="s">
        <v>4503</v>
      </c>
      <c r="G2459" s="9" t="s">
        <v>4504</v>
      </c>
      <c r="H2459">
        <v>35495</v>
      </c>
      <c r="I2459">
        <v>35495</v>
      </c>
      <c r="J2459" s="21">
        <v>46113</v>
      </c>
      <c r="K2459" t="s">
        <v>67</v>
      </c>
      <c r="L2459" t="s">
        <v>68</v>
      </c>
      <c r="M2459" t="s">
        <v>69</v>
      </c>
      <c r="O2459">
        <v>0</v>
      </c>
      <c r="P2459" t="s">
        <v>70</v>
      </c>
      <c r="S2459" t="str">
        <f>TEXT(Table1[[#This Row],[Date]],"MMM-YY")</f>
        <v>Apr-26</v>
      </c>
      <c r="T2459">
        <f>_xlfn.ISOWEEKNUM(Table1[[#This Row],[Date]])</f>
        <v>16</v>
      </c>
    </row>
    <row r="2460" spans="1:20" hidden="1">
      <c r="A2460" s="1">
        <v>46132</v>
      </c>
      <c r="B2460" t="s">
        <v>4450</v>
      </c>
      <c r="C2460" t="s">
        <v>96</v>
      </c>
      <c r="D2460" t="s">
        <v>64</v>
      </c>
      <c r="E2460" t="s">
        <v>38</v>
      </c>
      <c r="F2460" t="s">
        <v>504</v>
      </c>
      <c r="G2460" s="9" t="s">
        <v>4505</v>
      </c>
      <c r="H2460">
        <v>45590</v>
      </c>
      <c r="I2460">
        <v>45590</v>
      </c>
      <c r="J2460" s="21">
        <v>46113</v>
      </c>
      <c r="K2460" t="s">
        <v>67</v>
      </c>
      <c r="L2460" t="s">
        <v>68</v>
      </c>
      <c r="M2460" t="s">
        <v>69</v>
      </c>
      <c r="O2460">
        <v>0</v>
      </c>
      <c r="P2460" t="s">
        <v>3381</v>
      </c>
      <c r="S2460" t="str">
        <f>TEXT(Table1[[#This Row],[Date]],"MMM-YY")</f>
        <v>Apr-26</v>
      </c>
      <c r="T2460">
        <f>_xlfn.ISOWEEKNUM(Table1[[#This Row],[Date]])</f>
        <v>17</v>
      </c>
    </row>
    <row r="2461" spans="1:20" hidden="1">
      <c r="A2461" s="1">
        <v>46132</v>
      </c>
      <c r="B2461" t="s">
        <v>4265</v>
      </c>
      <c r="C2461" t="s">
        <v>96</v>
      </c>
      <c r="D2461" t="s">
        <v>64</v>
      </c>
      <c r="E2461" t="s">
        <v>38</v>
      </c>
      <c r="F2461" t="s">
        <v>504</v>
      </c>
      <c r="G2461" s="9" t="s">
        <v>4506</v>
      </c>
      <c r="H2461">
        <v>11189</v>
      </c>
      <c r="I2461">
        <v>11189</v>
      </c>
      <c r="J2461" s="21">
        <v>46113</v>
      </c>
      <c r="K2461" t="s">
        <v>67</v>
      </c>
      <c r="L2461" t="s">
        <v>68</v>
      </c>
      <c r="M2461" t="s">
        <v>69</v>
      </c>
      <c r="O2461">
        <v>0</v>
      </c>
      <c r="P2461" t="s">
        <v>3381</v>
      </c>
      <c r="S2461" t="str">
        <f>TEXT(Table1[[#This Row],[Date]],"MMM-YY")</f>
        <v>Apr-26</v>
      </c>
      <c r="T2461">
        <f>_xlfn.ISOWEEKNUM(Table1[[#This Row],[Date]])</f>
        <v>17</v>
      </c>
    </row>
    <row r="2462" spans="1:20" hidden="1">
      <c r="A2462" s="1">
        <v>46132</v>
      </c>
      <c r="B2462" t="s">
        <v>4458</v>
      </c>
      <c r="C2462" t="s">
        <v>96</v>
      </c>
      <c r="D2462" t="s">
        <v>64</v>
      </c>
      <c r="E2462" t="s">
        <v>38</v>
      </c>
      <c r="F2462" t="s">
        <v>479</v>
      </c>
      <c r="G2462" s="9" t="s">
        <v>4507</v>
      </c>
      <c r="H2462">
        <v>18200</v>
      </c>
      <c r="I2462">
        <v>18200</v>
      </c>
      <c r="J2462" s="21">
        <v>46113</v>
      </c>
      <c r="K2462" t="s">
        <v>67</v>
      </c>
      <c r="L2462" t="s">
        <v>68</v>
      </c>
      <c r="M2462" t="s">
        <v>69</v>
      </c>
      <c r="O2462">
        <v>0</v>
      </c>
      <c r="P2462" t="s">
        <v>70</v>
      </c>
      <c r="S2462" t="str">
        <f>TEXT(Table1[[#This Row],[Date]],"MMM-YY")</f>
        <v>Apr-26</v>
      </c>
      <c r="T2462">
        <f>_xlfn.ISOWEEKNUM(Table1[[#This Row],[Date]])</f>
        <v>17</v>
      </c>
    </row>
    <row r="2463" spans="1:20" hidden="1">
      <c r="A2463" s="1">
        <v>46133</v>
      </c>
      <c r="B2463" t="s">
        <v>4450</v>
      </c>
      <c r="C2463" t="s">
        <v>96</v>
      </c>
      <c r="D2463" t="s">
        <v>64</v>
      </c>
      <c r="E2463" t="s">
        <v>38</v>
      </c>
      <c r="F2463" t="s">
        <v>504</v>
      </c>
      <c r="G2463" s="9" t="s">
        <v>4508</v>
      </c>
      <c r="H2463">
        <v>52920</v>
      </c>
      <c r="I2463">
        <v>52920</v>
      </c>
      <c r="J2463" s="21">
        <v>46113</v>
      </c>
      <c r="K2463" t="s">
        <v>67</v>
      </c>
      <c r="L2463" t="s">
        <v>68</v>
      </c>
      <c r="M2463" t="s">
        <v>69</v>
      </c>
      <c r="O2463">
        <v>0</v>
      </c>
      <c r="P2463" t="s">
        <v>3381</v>
      </c>
      <c r="S2463" t="str">
        <f>TEXT(Table1[[#This Row],[Date]],"MMM-YY")</f>
        <v>Apr-26</v>
      </c>
      <c r="T2463">
        <f>_xlfn.ISOWEEKNUM(Table1[[#This Row],[Date]])</f>
        <v>17</v>
      </c>
    </row>
    <row r="2464" spans="1:20" hidden="1">
      <c r="A2464" s="1">
        <v>46133</v>
      </c>
      <c r="B2464" t="s">
        <v>4265</v>
      </c>
      <c r="C2464" t="s">
        <v>96</v>
      </c>
      <c r="D2464" t="s">
        <v>64</v>
      </c>
      <c r="E2464" t="s">
        <v>38</v>
      </c>
      <c r="F2464" t="s">
        <v>504</v>
      </c>
      <c r="G2464" s="9" t="s">
        <v>4509</v>
      </c>
      <c r="H2464">
        <v>9650</v>
      </c>
      <c r="I2464">
        <v>9650</v>
      </c>
      <c r="J2464" s="21">
        <v>46113</v>
      </c>
      <c r="K2464" t="s">
        <v>67</v>
      </c>
      <c r="L2464" t="s">
        <v>68</v>
      </c>
      <c r="M2464" t="s">
        <v>69</v>
      </c>
      <c r="O2464">
        <v>0</v>
      </c>
      <c r="P2464" t="s">
        <v>3381</v>
      </c>
      <c r="S2464" t="str">
        <f>TEXT(Table1[[#This Row],[Date]],"MMM-YY")</f>
        <v>Apr-26</v>
      </c>
      <c r="T2464">
        <f>_xlfn.ISOWEEKNUM(Table1[[#This Row],[Date]])</f>
        <v>17</v>
      </c>
    </row>
    <row r="2465" spans="1:20" hidden="1">
      <c r="A2465" s="1">
        <v>46133</v>
      </c>
      <c r="B2465" t="s">
        <v>385</v>
      </c>
      <c r="C2465" t="s">
        <v>96</v>
      </c>
      <c r="D2465" t="s">
        <v>64</v>
      </c>
      <c r="E2465" t="s">
        <v>26</v>
      </c>
      <c r="F2465" t="s">
        <v>386</v>
      </c>
      <c r="G2465" s="9" t="s">
        <v>4510</v>
      </c>
      <c r="H2465">
        <v>38280</v>
      </c>
      <c r="I2465">
        <v>38280</v>
      </c>
      <c r="J2465" s="21">
        <v>46113</v>
      </c>
      <c r="K2465" t="s">
        <v>67</v>
      </c>
      <c r="L2465" t="s">
        <v>68</v>
      </c>
      <c r="M2465" t="s">
        <v>69</v>
      </c>
      <c r="O2465">
        <v>0</v>
      </c>
      <c r="P2465" t="s">
        <v>3381</v>
      </c>
      <c r="S2465" t="str">
        <f>TEXT(Table1[[#This Row],[Date]],"MMM-YY")</f>
        <v>Apr-26</v>
      </c>
      <c r="T2465">
        <f>_xlfn.ISOWEEKNUM(Table1[[#This Row],[Date]])</f>
        <v>17</v>
      </c>
    </row>
    <row r="2466" spans="1:20" hidden="1">
      <c r="A2466" s="1">
        <v>46133</v>
      </c>
      <c r="B2466" t="s">
        <v>4511</v>
      </c>
      <c r="C2466" t="s">
        <v>96</v>
      </c>
      <c r="D2466" t="s">
        <v>64</v>
      </c>
      <c r="E2466" t="s">
        <v>4512</v>
      </c>
      <c r="F2466" t="s">
        <v>1061</v>
      </c>
      <c r="G2466" s="9" t="s">
        <v>4513</v>
      </c>
      <c r="H2466">
        <v>17220</v>
      </c>
      <c r="I2466">
        <v>17220</v>
      </c>
      <c r="J2466" s="21">
        <v>46113</v>
      </c>
      <c r="K2466" t="s">
        <v>67</v>
      </c>
      <c r="L2466" t="s">
        <v>68</v>
      </c>
      <c r="M2466" t="s">
        <v>69</v>
      </c>
      <c r="O2466">
        <v>0</v>
      </c>
      <c r="P2466" t="s">
        <v>70</v>
      </c>
      <c r="S2466" t="str">
        <f>TEXT(Table1[[#This Row],[Date]],"MMM-YY")</f>
        <v>Apr-26</v>
      </c>
      <c r="T2466">
        <f>_xlfn.ISOWEEKNUM(Table1[[#This Row],[Date]])</f>
        <v>17</v>
      </c>
    </row>
    <row r="2467" spans="1:20" hidden="1">
      <c r="A2467" s="1">
        <v>46134</v>
      </c>
      <c r="B2467" t="s">
        <v>4450</v>
      </c>
      <c r="C2467" t="s">
        <v>96</v>
      </c>
      <c r="D2467" t="s">
        <v>64</v>
      </c>
      <c r="E2467" t="s">
        <v>38</v>
      </c>
      <c r="F2467" t="s">
        <v>504</v>
      </c>
      <c r="G2467" s="9" t="s">
        <v>4514</v>
      </c>
      <c r="H2467">
        <v>56660</v>
      </c>
      <c r="I2467">
        <v>56660</v>
      </c>
      <c r="J2467" s="21">
        <v>46113</v>
      </c>
      <c r="K2467" t="s">
        <v>67</v>
      </c>
      <c r="L2467" t="s">
        <v>68</v>
      </c>
      <c r="M2467" t="s">
        <v>69</v>
      </c>
      <c r="O2467">
        <v>0</v>
      </c>
      <c r="P2467" t="s">
        <v>3381</v>
      </c>
      <c r="S2467" t="str">
        <f>TEXT(Table1[[#This Row],[Date]],"MMM-YY")</f>
        <v>Apr-26</v>
      </c>
      <c r="T2467">
        <f>_xlfn.ISOWEEKNUM(Table1[[#This Row],[Date]])</f>
        <v>17</v>
      </c>
    </row>
    <row r="2468" spans="1:20" hidden="1">
      <c r="A2468" s="1">
        <v>46134</v>
      </c>
      <c r="B2468" t="s">
        <v>4265</v>
      </c>
      <c r="C2468" t="s">
        <v>96</v>
      </c>
      <c r="D2468" t="s">
        <v>64</v>
      </c>
      <c r="E2468" t="s">
        <v>38</v>
      </c>
      <c r="F2468" t="s">
        <v>504</v>
      </c>
      <c r="G2468" s="9" t="s">
        <v>4515</v>
      </c>
      <c r="H2468">
        <v>14310</v>
      </c>
      <c r="I2468">
        <v>14310</v>
      </c>
      <c r="J2468" s="21">
        <v>46113</v>
      </c>
      <c r="K2468" t="s">
        <v>67</v>
      </c>
      <c r="L2468" t="s">
        <v>68</v>
      </c>
      <c r="M2468" t="s">
        <v>69</v>
      </c>
      <c r="O2468">
        <v>0</v>
      </c>
      <c r="P2468" t="s">
        <v>3381</v>
      </c>
      <c r="S2468" t="str">
        <f>TEXT(Table1[[#This Row],[Date]],"MMM-YY")</f>
        <v>Apr-26</v>
      </c>
      <c r="T2468">
        <f>_xlfn.ISOWEEKNUM(Table1[[#This Row],[Date]])</f>
        <v>17</v>
      </c>
    </row>
    <row r="2469" spans="1:20" hidden="1">
      <c r="A2469" s="1">
        <v>46134</v>
      </c>
      <c r="B2469" t="s">
        <v>385</v>
      </c>
      <c r="C2469" t="s">
        <v>96</v>
      </c>
      <c r="D2469" t="s">
        <v>64</v>
      </c>
      <c r="E2469" t="s">
        <v>26</v>
      </c>
      <c r="F2469" t="s">
        <v>386</v>
      </c>
      <c r="G2469" s="9" t="s">
        <v>4516</v>
      </c>
      <c r="H2469">
        <v>51000</v>
      </c>
      <c r="I2469">
        <v>51000</v>
      </c>
      <c r="J2469" s="21">
        <v>46113</v>
      </c>
      <c r="K2469" t="s">
        <v>67</v>
      </c>
      <c r="L2469" t="s">
        <v>68</v>
      </c>
      <c r="M2469" t="s">
        <v>69</v>
      </c>
      <c r="O2469">
        <v>0</v>
      </c>
      <c r="P2469" t="s">
        <v>3381</v>
      </c>
      <c r="S2469" t="str">
        <f>TEXT(Table1[[#This Row],[Date]],"MMM-YY")</f>
        <v>Apr-26</v>
      </c>
      <c r="T2469">
        <f>_xlfn.ISOWEEKNUM(Table1[[#This Row],[Date]])</f>
        <v>17</v>
      </c>
    </row>
    <row r="2470" spans="1:20" hidden="1">
      <c r="A2470" s="1">
        <v>46134</v>
      </c>
      <c r="B2470" t="s">
        <v>4517</v>
      </c>
      <c r="C2470" t="s">
        <v>63</v>
      </c>
      <c r="D2470" t="s">
        <v>64</v>
      </c>
      <c r="E2470" t="s">
        <v>26</v>
      </c>
      <c r="F2470" t="s">
        <v>545</v>
      </c>
      <c r="G2470" s="9" t="s">
        <v>4518</v>
      </c>
      <c r="H2470">
        <v>66280</v>
      </c>
      <c r="I2470">
        <v>66280</v>
      </c>
      <c r="J2470" s="21">
        <v>46113</v>
      </c>
      <c r="K2470" t="s">
        <v>67</v>
      </c>
      <c r="L2470" t="s">
        <v>68</v>
      </c>
      <c r="M2470" t="s">
        <v>69</v>
      </c>
      <c r="O2470">
        <v>0</v>
      </c>
      <c r="P2470" t="s">
        <v>70</v>
      </c>
      <c r="S2470" t="str">
        <f>TEXT(Table1[[#This Row],[Date]],"MMM-YY")</f>
        <v>Apr-26</v>
      </c>
      <c r="T2470">
        <f>_xlfn.ISOWEEKNUM(Table1[[#This Row],[Date]])</f>
        <v>17</v>
      </c>
    </row>
    <row r="2471" spans="1:20" hidden="1">
      <c r="A2471" s="1">
        <v>46134</v>
      </c>
      <c r="B2471" t="s">
        <v>4519</v>
      </c>
      <c r="C2471" t="s">
        <v>96</v>
      </c>
      <c r="D2471" t="s">
        <v>64</v>
      </c>
      <c r="E2471" t="s">
        <v>38</v>
      </c>
      <c r="F2471" t="s">
        <v>4520</v>
      </c>
      <c r="G2471" s="9" t="s">
        <v>4521</v>
      </c>
      <c r="H2471">
        <v>20160</v>
      </c>
      <c r="I2471">
        <v>20160</v>
      </c>
      <c r="J2471" s="21">
        <v>46113</v>
      </c>
      <c r="K2471" t="s">
        <v>67</v>
      </c>
      <c r="L2471" t="s">
        <v>68</v>
      </c>
      <c r="M2471" t="s">
        <v>69</v>
      </c>
      <c r="O2471">
        <v>0</v>
      </c>
      <c r="P2471" t="s">
        <v>70</v>
      </c>
      <c r="S2471" t="str">
        <f>TEXT(Table1[[#This Row],[Date]],"MMM-YY")</f>
        <v>Apr-26</v>
      </c>
      <c r="T2471">
        <f>_xlfn.ISOWEEKNUM(Table1[[#This Row],[Date]])</f>
        <v>17</v>
      </c>
    </row>
    <row r="2472" spans="1:20" hidden="1">
      <c r="A2472" s="1">
        <v>46134</v>
      </c>
      <c r="B2472" s="67" t="s">
        <v>95</v>
      </c>
      <c r="C2472" t="s">
        <v>96</v>
      </c>
      <c r="D2472" t="s">
        <v>64</v>
      </c>
      <c r="E2472" t="s">
        <v>38</v>
      </c>
      <c r="F2472" t="s">
        <v>97</v>
      </c>
      <c r="G2472" s="69" t="s">
        <v>4522</v>
      </c>
      <c r="H2472">
        <v>24062</v>
      </c>
      <c r="I2472">
        <v>24062</v>
      </c>
      <c r="J2472" s="21">
        <v>46113</v>
      </c>
      <c r="K2472" t="s">
        <v>99</v>
      </c>
      <c r="L2472" t="s">
        <v>68</v>
      </c>
      <c r="M2472" t="s">
        <v>69</v>
      </c>
      <c r="O2472">
        <v>0</v>
      </c>
      <c r="P2472" t="s">
        <v>70</v>
      </c>
      <c r="S2472" t="str">
        <f>TEXT(Table1[[#This Row],[Date]],"MMM-YY")</f>
        <v>Apr-26</v>
      </c>
      <c r="T2472">
        <f>_xlfn.ISOWEEKNUM(Table1[[#This Row],[Date]])</f>
        <v>17</v>
      </c>
    </row>
    <row r="2473" spans="1:20" hidden="1">
      <c r="A2473" s="1">
        <v>46135</v>
      </c>
      <c r="B2473" t="s">
        <v>4450</v>
      </c>
      <c r="C2473" t="s">
        <v>96</v>
      </c>
      <c r="D2473" t="s">
        <v>64</v>
      </c>
      <c r="E2473" t="s">
        <v>38</v>
      </c>
      <c r="F2473" t="s">
        <v>504</v>
      </c>
      <c r="G2473" s="9" t="s">
        <v>4523</v>
      </c>
      <c r="H2473">
        <v>69280</v>
      </c>
      <c r="I2473">
        <v>69280</v>
      </c>
      <c r="J2473" s="21">
        <v>46113</v>
      </c>
      <c r="K2473" t="s">
        <v>67</v>
      </c>
      <c r="L2473" t="s">
        <v>68</v>
      </c>
      <c r="M2473" t="s">
        <v>69</v>
      </c>
      <c r="O2473">
        <v>0</v>
      </c>
      <c r="P2473" t="s">
        <v>3381</v>
      </c>
      <c r="S2473" t="str">
        <f>TEXT(Table1[[#This Row],[Date]],"MMM-YY")</f>
        <v>Apr-26</v>
      </c>
      <c r="T2473">
        <f>_xlfn.ISOWEEKNUM(Table1[[#This Row],[Date]])</f>
        <v>17</v>
      </c>
    </row>
    <row r="2474" spans="1:20" hidden="1">
      <c r="A2474" s="1">
        <v>46135</v>
      </c>
      <c r="B2474" t="s">
        <v>4265</v>
      </c>
      <c r="C2474" t="s">
        <v>96</v>
      </c>
      <c r="D2474" t="s">
        <v>64</v>
      </c>
      <c r="E2474" t="s">
        <v>38</v>
      </c>
      <c r="F2474" t="s">
        <v>504</v>
      </c>
      <c r="G2474" s="9" t="s">
        <v>4524</v>
      </c>
      <c r="H2474">
        <v>10110</v>
      </c>
      <c r="I2474">
        <v>10110</v>
      </c>
      <c r="J2474" s="21">
        <v>46113</v>
      </c>
      <c r="K2474" t="s">
        <v>67</v>
      </c>
      <c r="L2474" t="s">
        <v>68</v>
      </c>
      <c r="M2474" t="s">
        <v>69</v>
      </c>
      <c r="O2474">
        <v>0</v>
      </c>
      <c r="P2474" t="s">
        <v>3381</v>
      </c>
      <c r="S2474" t="str">
        <f>TEXT(Table1[[#This Row],[Date]],"MMM-YY")</f>
        <v>Apr-26</v>
      </c>
      <c r="T2474">
        <f>_xlfn.ISOWEEKNUM(Table1[[#This Row],[Date]])</f>
        <v>17</v>
      </c>
    </row>
    <row r="2475" spans="1:20" hidden="1">
      <c r="A2475" s="1">
        <v>46135</v>
      </c>
      <c r="B2475" t="s">
        <v>385</v>
      </c>
      <c r="C2475" t="s">
        <v>96</v>
      </c>
      <c r="D2475" t="s">
        <v>64</v>
      </c>
      <c r="E2475" t="s">
        <v>26</v>
      </c>
      <c r="F2475" t="s">
        <v>386</v>
      </c>
      <c r="G2475" s="9" t="s">
        <v>4525</v>
      </c>
      <c r="H2475">
        <v>44750</v>
      </c>
      <c r="I2475">
        <v>44750</v>
      </c>
      <c r="J2475" s="21">
        <v>46113</v>
      </c>
      <c r="K2475" t="s">
        <v>67</v>
      </c>
      <c r="L2475" t="s">
        <v>68</v>
      </c>
      <c r="M2475" t="s">
        <v>69</v>
      </c>
      <c r="O2475">
        <v>0</v>
      </c>
      <c r="P2475" t="s">
        <v>3381</v>
      </c>
      <c r="S2475" t="str">
        <f>TEXT(Table1[[#This Row],[Date]],"MMM-YY")</f>
        <v>Apr-26</v>
      </c>
      <c r="T2475">
        <f>_xlfn.ISOWEEKNUM(Table1[[#This Row],[Date]])</f>
        <v>17</v>
      </c>
    </row>
    <row r="2476" spans="1:20" hidden="1">
      <c r="A2476" s="1">
        <v>46136</v>
      </c>
      <c r="B2476" t="s">
        <v>4450</v>
      </c>
      <c r="C2476" t="s">
        <v>96</v>
      </c>
      <c r="D2476" t="s">
        <v>64</v>
      </c>
      <c r="E2476" t="s">
        <v>38</v>
      </c>
      <c r="F2476" t="s">
        <v>504</v>
      </c>
      <c r="G2476" s="9" t="s">
        <v>4526</v>
      </c>
      <c r="H2476">
        <v>72490</v>
      </c>
      <c r="I2476">
        <v>72490</v>
      </c>
      <c r="J2476" s="21">
        <v>46113</v>
      </c>
      <c r="K2476" t="s">
        <v>67</v>
      </c>
      <c r="L2476" t="s">
        <v>68</v>
      </c>
      <c r="M2476" t="s">
        <v>69</v>
      </c>
      <c r="O2476">
        <v>0</v>
      </c>
      <c r="P2476" t="s">
        <v>3381</v>
      </c>
      <c r="S2476" t="str">
        <f>TEXT(Table1[[#This Row],[Date]],"MMM-YY")</f>
        <v>Apr-26</v>
      </c>
      <c r="T2476">
        <f>_xlfn.ISOWEEKNUM(Table1[[#This Row],[Date]])</f>
        <v>17</v>
      </c>
    </row>
    <row r="2477" spans="1:20" hidden="1">
      <c r="A2477" s="1">
        <v>46136</v>
      </c>
      <c r="B2477" t="s">
        <v>4265</v>
      </c>
      <c r="C2477" t="s">
        <v>96</v>
      </c>
      <c r="D2477" t="s">
        <v>64</v>
      </c>
      <c r="E2477" t="s">
        <v>38</v>
      </c>
      <c r="F2477" t="s">
        <v>504</v>
      </c>
      <c r="G2477" s="9" t="s">
        <v>4527</v>
      </c>
      <c r="H2477">
        <v>18050</v>
      </c>
      <c r="I2477">
        <v>18050</v>
      </c>
      <c r="J2477" s="21">
        <v>46113</v>
      </c>
      <c r="K2477" t="s">
        <v>67</v>
      </c>
      <c r="L2477" t="s">
        <v>68</v>
      </c>
      <c r="M2477" t="s">
        <v>69</v>
      </c>
      <c r="O2477">
        <v>0</v>
      </c>
      <c r="P2477" t="s">
        <v>3381</v>
      </c>
      <c r="S2477" t="str">
        <f>TEXT(Table1[[#This Row],[Date]],"MMM-YY")</f>
        <v>Apr-26</v>
      </c>
      <c r="T2477">
        <f>_xlfn.ISOWEEKNUM(Table1[[#This Row],[Date]])</f>
        <v>17</v>
      </c>
    </row>
    <row r="2478" spans="1:20" hidden="1">
      <c r="A2478" s="1">
        <v>46137</v>
      </c>
      <c r="B2478" t="s">
        <v>4528</v>
      </c>
      <c r="C2478" t="s">
        <v>96</v>
      </c>
      <c r="D2478" t="s">
        <v>20</v>
      </c>
      <c r="E2478" t="s">
        <v>23</v>
      </c>
      <c r="F2478" t="s">
        <v>2828</v>
      </c>
      <c r="G2478" s="9" t="s">
        <v>4529</v>
      </c>
      <c r="H2478">
        <v>5564</v>
      </c>
      <c r="I2478">
        <v>5564</v>
      </c>
      <c r="J2478" s="21">
        <v>46113</v>
      </c>
      <c r="K2478" t="s">
        <v>67</v>
      </c>
      <c r="L2478" t="s">
        <v>68</v>
      </c>
      <c r="M2478" t="s">
        <v>69</v>
      </c>
      <c r="O2478">
        <v>0</v>
      </c>
      <c r="P2478" t="s">
        <v>70</v>
      </c>
      <c r="S2478" t="str">
        <f>TEXT(Table1[[#This Row],[Date]],"MMM-YY")</f>
        <v>Apr-26</v>
      </c>
      <c r="T2478">
        <f>_xlfn.ISOWEEKNUM(Table1[[#This Row],[Date]])</f>
        <v>17</v>
      </c>
    </row>
    <row r="2479" spans="1:20" hidden="1">
      <c r="A2479" s="1">
        <v>46139</v>
      </c>
      <c r="B2479" t="s">
        <v>2581</v>
      </c>
      <c r="C2479" t="s">
        <v>96</v>
      </c>
      <c r="D2479" t="s">
        <v>4481</v>
      </c>
      <c r="E2479" t="s">
        <v>23</v>
      </c>
      <c r="F2479" t="s">
        <v>1218</v>
      </c>
      <c r="G2479" s="9" t="s">
        <v>4530</v>
      </c>
      <c r="H2479">
        <v>5856</v>
      </c>
      <c r="I2479">
        <v>5856</v>
      </c>
      <c r="J2479" s="21">
        <v>46113</v>
      </c>
      <c r="K2479" t="s">
        <v>67</v>
      </c>
      <c r="L2479" t="s">
        <v>68</v>
      </c>
      <c r="M2479" t="s">
        <v>69</v>
      </c>
      <c r="O2479">
        <v>0</v>
      </c>
      <c r="P2479" t="s">
        <v>70</v>
      </c>
      <c r="S2479" t="str">
        <f>TEXT(Table1[[#This Row],[Date]],"MMM-YY")</f>
        <v>Apr-26</v>
      </c>
      <c r="T2479">
        <f>_xlfn.ISOWEEKNUM(Table1[[#This Row],[Date]])</f>
        <v>18</v>
      </c>
    </row>
    <row r="2480" spans="1:20" hidden="1">
      <c r="A2480" s="1">
        <v>46139</v>
      </c>
      <c r="B2480" t="s">
        <v>4450</v>
      </c>
      <c r="C2480" t="s">
        <v>96</v>
      </c>
      <c r="D2480" t="s">
        <v>64</v>
      </c>
      <c r="E2480" t="s">
        <v>38</v>
      </c>
      <c r="F2480" t="s">
        <v>504</v>
      </c>
      <c r="G2480" s="9" t="s">
        <v>4531</v>
      </c>
      <c r="H2480">
        <v>51600</v>
      </c>
      <c r="I2480">
        <v>51600</v>
      </c>
      <c r="J2480" s="21">
        <v>46113</v>
      </c>
      <c r="K2480" t="s">
        <v>67</v>
      </c>
      <c r="L2480" t="s">
        <v>68</v>
      </c>
      <c r="M2480" t="s">
        <v>69</v>
      </c>
      <c r="O2480">
        <v>0</v>
      </c>
      <c r="P2480" t="s">
        <v>3381</v>
      </c>
      <c r="S2480" t="str">
        <f>TEXT(Table1[[#This Row],[Date]],"MMM-YY")</f>
        <v>Apr-26</v>
      </c>
      <c r="T2480">
        <f>_xlfn.ISOWEEKNUM(Table1[[#This Row],[Date]])</f>
        <v>18</v>
      </c>
    </row>
    <row r="2481" spans="1:20" hidden="1">
      <c r="A2481" s="1">
        <v>46139</v>
      </c>
      <c r="B2481" t="s">
        <v>4265</v>
      </c>
      <c r="C2481" t="s">
        <v>96</v>
      </c>
      <c r="D2481" t="s">
        <v>64</v>
      </c>
      <c r="E2481" t="s">
        <v>38</v>
      </c>
      <c r="F2481" t="s">
        <v>504</v>
      </c>
      <c r="G2481" s="9" t="s">
        <v>4532</v>
      </c>
      <c r="H2481">
        <v>9470</v>
      </c>
      <c r="I2481">
        <v>9470</v>
      </c>
      <c r="J2481" s="21">
        <v>46113</v>
      </c>
      <c r="K2481" t="s">
        <v>67</v>
      </c>
      <c r="L2481" t="s">
        <v>68</v>
      </c>
      <c r="M2481" t="s">
        <v>69</v>
      </c>
      <c r="O2481">
        <v>0</v>
      </c>
      <c r="P2481" t="s">
        <v>3381</v>
      </c>
      <c r="S2481" t="str">
        <f>TEXT(Table1[[#This Row],[Date]],"MMM-YY")</f>
        <v>Apr-26</v>
      </c>
      <c r="T2481">
        <f>_xlfn.ISOWEEKNUM(Table1[[#This Row],[Date]])</f>
        <v>18</v>
      </c>
    </row>
    <row r="2482" spans="1:20" hidden="1">
      <c r="A2482" s="1">
        <v>46139</v>
      </c>
      <c r="B2482" t="s">
        <v>309</v>
      </c>
      <c r="C2482" t="s">
        <v>63</v>
      </c>
      <c r="D2482" t="s">
        <v>64</v>
      </c>
      <c r="E2482" t="s">
        <v>28</v>
      </c>
      <c r="F2482" t="s">
        <v>310</v>
      </c>
      <c r="G2482" s="9" t="s">
        <v>4533</v>
      </c>
      <c r="H2482">
        <v>40000</v>
      </c>
      <c r="J2482" s="21">
        <v>46113</v>
      </c>
      <c r="K2482" t="s">
        <v>67</v>
      </c>
      <c r="L2482" t="s">
        <v>295</v>
      </c>
      <c r="M2482" t="s">
        <v>296</v>
      </c>
      <c r="O2482">
        <v>0</v>
      </c>
      <c r="P2482" t="s">
        <v>70</v>
      </c>
      <c r="S2482" t="str">
        <f>TEXT(Table1[[#This Row],[Date]],"MMM-YY")</f>
        <v>Apr-26</v>
      </c>
      <c r="T2482">
        <f>_xlfn.ISOWEEKNUM(Table1[[#This Row],[Date]])</f>
        <v>18</v>
      </c>
    </row>
    <row r="2483" spans="1:20" hidden="1">
      <c r="A2483" s="1">
        <v>46140</v>
      </c>
      <c r="B2483" t="s">
        <v>4450</v>
      </c>
      <c r="C2483" t="s">
        <v>96</v>
      </c>
      <c r="D2483" t="s">
        <v>64</v>
      </c>
      <c r="E2483" t="s">
        <v>38</v>
      </c>
      <c r="F2483" t="s">
        <v>504</v>
      </c>
      <c r="G2483" s="9" t="s">
        <v>4534</v>
      </c>
      <c r="H2483">
        <v>52880</v>
      </c>
      <c r="I2483">
        <v>52880</v>
      </c>
      <c r="J2483" s="21">
        <v>46113</v>
      </c>
      <c r="K2483" t="s">
        <v>67</v>
      </c>
      <c r="L2483" t="s">
        <v>68</v>
      </c>
      <c r="M2483" t="s">
        <v>69</v>
      </c>
      <c r="O2483">
        <v>0</v>
      </c>
      <c r="P2483" t="s">
        <v>3381</v>
      </c>
      <c r="S2483" t="str">
        <f>TEXT(Table1[[#This Row],[Date]],"MMM-YY")</f>
        <v>Apr-26</v>
      </c>
      <c r="T2483">
        <f>_xlfn.ISOWEEKNUM(Table1[[#This Row],[Date]])</f>
        <v>18</v>
      </c>
    </row>
    <row r="2484" spans="1:20" hidden="1">
      <c r="A2484" s="1">
        <v>46140</v>
      </c>
      <c r="B2484" t="s">
        <v>4265</v>
      </c>
      <c r="C2484" t="s">
        <v>96</v>
      </c>
      <c r="D2484" t="s">
        <v>64</v>
      </c>
      <c r="E2484" t="s">
        <v>38</v>
      </c>
      <c r="F2484" t="s">
        <v>504</v>
      </c>
      <c r="G2484" s="9" t="s">
        <v>4535</v>
      </c>
      <c r="H2484">
        <v>12340</v>
      </c>
      <c r="I2484">
        <v>12340</v>
      </c>
      <c r="J2484" s="21">
        <v>46113</v>
      </c>
      <c r="K2484" t="s">
        <v>67</v>
      </c>
      <c r="L2484" t="s">
        <v>68</v>
      </c>
      <c r="M2484" t="s">
        <v>69</v>
      </c>
      <c r="O2484">
        <v>0</v>
      </c>
      <c r="P2484" t="s">
        <v>3381</v>
      </c>
      <c r="S2484" t="str">
        <f>TEXT(Table1[[#This Row],[Date]],"MMM-YY")</f>
        <v>Apr-26</v>
      </c>
      <c r="T2484">
        <f>_xlfn.ISOWEEKNUM(Table1[[#This Row],[Date]])</f>
        <v>18</v>
      </c>
    </row>
    <row r="2485" spans="1:20" hidden="1">
      <c r="A2485" s="1">
        <v>46141</v>
      </c>
      <c r="B2485" t="s">
        <v>4450</v>
      </c>
      <c r="C2485" t="s">
        <v>96</v>
      </c>
      <c r="D2485" t="s">
        <v>64</v>
      </c>
      <c r="E2485" t="s">
        <v>38</v>
      </c>
      <c r="F2485" t="s">
        <v>504</v>
      </c>
      <c r="G2485" s="9" t="s">
        <v>4536</v>
      </c>
      <c r="H2485">
        <v>64990</v>
      </c>
      <c r="I2485">
        <v>64990</v>
      </c>
      <c r="J2485" s="21">
        <v>46113</v>
      </c>
      <c r="K2485" t="s">
        <v>67</v>
      </c>
      <c r="L2485" t="s">
        <v>68</v>
      </c>
      <c r="M2485" t="s">
        <v>69</v>
      </c>
      <c r="O2485">
        <v>0</v>
      </c>
      <c r="P2485" t="s">
        <v>3381</v>
      </c>
      <c r="S2485" t="str">
        <f>TEXT(Table1[[#This Row],[Date]],"MMM-YY")</f>
        <v>Apr-26</v>
      </c>
      <c r="T2485">
        <f>_xlfn.ISOWEEKNUM(Table1[[#This Row],[Date]])</f>
        <v>18</v>
      </c>
    </row>
    <row r="2486" spans="1:20" hidden="1">
      <c r="A2486" s="1">
        <v>46141</v>
      </c>
      <c r="B2486" t="s">
        <v>4265</v>
      </c>
      <c r="C2486" t="s">
        <v>96</v>
      </c>
      <c r="D2486" t="s">
        <v>64</v>
      </c>
      <c r="E2486" t="s">
        <v>38</v>
      </c>
      <c r="F2486" t="s">
        <v>504</v>
      </c>
      <c r="G2486" s="9" t="s">
        <v>4537</v>
      </c>
      <c r="H2486">
        <v>11940</v>
      </c>
      <c r="I2486">
        <v>11940</v>
      </c>
      <c r="J2486" s="21">
        <v>46113</v>
      </c>
      <c r="K2486" t="s">
        <v>67</v>
      </c>
      <c r="L2486" t="s">
        <v>68</v>
      </c>
      <c r="M2486" t="s">
        <v>69</v>
      </c>
      <c r="O2486">
        <v>0</v>
      </c>
      <c r="P2486" t="s">
        <v>3381</v>
      </c>
      <c r="S2486" t="str">
        <f>TEXT(Table1[[#This Row],[Date]],"MMM-YY")</f>
        <v>Apr-26</v>
      </c>
      <c r="T2486">
        <f>_xlfn.ISOWEEKNUM(Table1[[#This Row],[Date]])</f>
        <v>18</v>
      </c>
    </row>
    <row r="2487" spans="1:20" hidden="1">
      <c r="A2487" s="1">
        <v>46141</v>
      </c>
      <c r="B2487" t="s">
        <v>4538</v>
      </c>
      <c r="C2487" t="s">
        <v>96</v>
      </c>
      <c r="D2487" t="s">
        <v>64</v>
      </c>
      <c r="E2487" t="s">
        <v>25</v>
      </c>
      <c r="F2487" t="s">
        <v>1537</v>
      </c>
      <c r="G2487" s="9" t="s">
        <v>4539</v>
      </c>
      <c r="H2487">
        <v>9324</v>
      </c>
      <c r="I2487">
        <v>9324</v>
      </c>
      <c r="J2487" s="21">
        <v>46113</v>
      </c>
      <c r="K2487" t="s">
        <v>67</v>
      </c>
      <c r="L2487" t="s">
        <v>68</v>
      </c>
      <c r="M2487" t="s">
        <v>69</v>
      </c>
      <c r="O2487">
        <v>0</v>
      </c>
      <c r="P2487" t="s">
        <v>70</v>
      </c>
      <c r="S2487" t="str">
        <f>TEXT(Table1[[#This Row],[Date]],"MMM-YY")</f>
        <v>Apr-26</v>
      </c>
      <c r="T2487">
        <f>_xlfn.ISOWEEKNUM(Table1[[#This Row],[Date]])</f>
        <v>18</v>
      </c>
    </row>
    <row r="2488" spans="1:20" hidden="1">
      <c r="A2488" s="1">
        <v>46141</v>
      </c>
      <c r="B2488" s="67" t="s">
        <v>95</v>
      </c>
      <c r="C2488" t="s">
        <v>96</v>
      </c>
      <c r="D2488" t="s">
        <v>64</v>
      </c>
      <c r="E2488" t="s">
        <v>38</v>
      </c>
      <c r="F2488" t="s">
        <v>97</v>
      </c>
      <c r="G2488" s="69" t="s">
        <v>4522</v>
      </c>
      <c r="H2488">
        <v>20166</v>
      </c>
      <c r="I2488">
        <v>20166</v>
      </c>
      <c r="J2488" s="21">
        <v>46113</v>
      </c>
      <c r="K2488" t="s">
        <v>99</v>
      </c>
      <c r="L2488" t="s">
        <v>68</v>
      </c>
      <c r="M2488" t="s">
        <v>69</v>
      </c>
      <c r="O2488">
        <v>0</v>
      </c>
      <c r="P2488" t="s">
        <v>70</v>
      </c>
      <c r="S2488" t="str">
        <f>TEXT(Table1[[#This Row],[Date]],"MMM-YY")</f>
        <v>Apr-26</v>
      </c>
      <c r="T2488">
        <f>_xlfn.ISOWEEKNUM(Table1[[#This Row],[Date]])</f>
        <v>18</v>
      </c>
    </row>
    <row r="2489" spans="1:20" hidden="1">
      <c r="A2489" s="1">
        <v>46142</v>
      </c>
      <c r="B2489" t="s">
        <v>4450</v>
      </c>
      <c r="C2489" t="s">
        <v>96</v>
      </c>
      <c r="D2489" t="s">
        <v>64</v>
      </c>
      <c r="E2489" t="s">
        <v>38</v>
      </c>
      <c r="F2489" t="s">
        <v>504</v>
      </c>
      <c r="G2489" s="9" t="s">
        <v>4540</v>
      </c>
      <c r="H2489">
        <v>76320</v>
      </c>
      <c r="I2489">
        <v>76320</v>
      </c>
      <c r="J2489" s="21">
        <v>46113</v>
      </c>
      <c r="K2489" t="s">
        <v>67</v>
      </c>
      <c r="L2489" t="s">
        <v>68</v>
      </c>
      <c r="M2489" t="s">
        <v>69</v>
      </c>
      <c r="O2489">
        <v>0</v>
      </c>
      <c r="P2489" t="s">
        <v>3381</v>
      </c>
      <c r="S2489" t="str">
        <f>TEXT(Table1[[#This Row],[Date]],"MMM-YY")</f>
        <v>Apr-26</v>
      </c>
      <c r="T2489">
        <f>_xlfn.ISOWEEKNUM(Table1[[#This Row],[Date]])</f>
        <v>18</v>
      </c>
    </row>
    <row r="2490" spans="1:20" hidden="1">
      <c r="A2490" s="1">
        <v>46142</v>
      </c>
      <c r="B2490" t="s">
        <v>4265</v>
      </c>
      <c r="C2490" t="s">
        <v>96</v>
      </c>
      <c r="D2490" t="s">
        <v>64</v>
      </c>
      <c r="E2490" t="s">
        <v>38</v>
      </c>
      <c r="F2490" t="s">
        <v>504</v>
      </c>
      <c r="G2490" s="9" t="s">
        <v>4541</v>
      </c>
      <c r="H2490">
        <v>12350</v>
      </c>
      <c r="I2490">
        <v>12350</v>
      </c>
      <c r="J2490" s="21">
        <v>46113</v>
      </c>
      <c r="K2490" t="s">
        <v>67</v>
      </c>
      <c r="L2490" t="s">
        <v>68</v>
      </c>
      <c r="M2490" t="s">
        <v>69</v>
      </c>
      <c r="O2490">
        <v>0</v>
      </c>
      <c r="P2490" t="s">
        <v>3381</v>
      </c>
      <c r="S2490" t="str">
        <f>TEXT(Table1[[#This Row],[Date]],"MMM-YY")</f>
        <v>Apr-26</v>
      </c>
      <c r="T2490">
        <f>_xlfn.ISOWEEKNUM(Table1[[#This Row],[Date]])</f>
        <v>18</v>
      </c>
    </row>
    <row r="2491" spans="1:20" hidden="1">
      <c r="A2491" s="1">
        <v>46142</v>
      </c>
      <c r="B2491" t="s">
        <v>4542</v>
      </c>
      <c r="C2491" t="s">
        <v>63</v>
      </c>
      <c r="D2491" t="s">
        <v>20</v>
      </c>
      <c r="E2491" t="s">
        <v>23</v>
      </c>
      <c r="F2491" t="s">
        <v>2384</v>
      </c>
      <c r="G2491" s="9" t="s">
        <v>4543</v>
      </c>
      <c r="H2491">
        <v>9808</v>
      </c>
      <c r="I2491">
        <v>9808</v>
      </c>
      <c r="J2491" s="21">
        <v>46143</v>
      </c>
      <c r="K2491" t="s">
        <v>67</v>
      </c>
      <c r="L2491" t="s">
        <v>68</v>
      </c>
      <c r="M2491" t="s">
        <v>69</v>
      </c>
      <c r="O2491">
        <v>0</v>
      </c>
      <c r="P2491" t="s">
        <v>70</v>
      </c>
      <c r="S2491" t="str">
        <f>TEXT(Table1[[#This Row],[Date]],"MMM-YY")</f>
        <v>Apr-26</v>
      </c>
      <c r="T2491">
        <f>_xlfn.ISOWEEKNUM(Table1[[#This Row],[Date]])</f>
        <v>18</v>
      </c>
    </row>
    <row r="2492" spans="1:20" hidden="1">
      <c r="A2492" s="1"/>
      <c r="O2492">
        <v>0</v>
      </c>
      <c r="S2492" t="str">
        <f>TEXT(Table1[[#This Row],[Date]],"MMM-YY")</f>
        <v>Jan-00</v>
      </c>
      <c r="T2492">
        <f>_xlfn.ISOWEEKNUM(Table1[[#This Row],[Date]])</f>
        <v>52</v>
      </c>
    </row>
    <row r="2493" spans="1:20" hidden="1">
      <c r="A2493" s="1"/>
      <c r="O2493">
        <v>0</v>
      </c>
      <c r="S2493" t="str">
        <f>TEXT(Table1[[#This Row],[Date]],"MMM-YY")</f>
        <v>Jan-00</v>
      </c>
      <c r="T2493">
        <f>_xlfn.ISOWEEKNUM(Table1[[#This Row],[Date]])</f>
        <v>52</v>
      </c>
    </row>
    <row r="2494" spans="1:20" hidden="1">
      <c r="A2494" s="1"/>
      <c r="O2494">
        <v>0</v>
      </c>
      <c r="S2494" t="str">
        <f>TEXT(Table1[[#This Row],[Date]],"MMM-YY")</f>
        <v>Jan-00</v>
      </c>
      <c r="T2494">
        <f>_xlfn.ISOWEEKNUM(Table1[[#This Row],[Date]])</f>
        <v>52</v>
      </c>
    </row>
    <row r="2495" spans="1:20" hidden="1">
      <c r="A2495" s="1"/>
      <c r="O2495">
        <v>0</v>
      </c>
      <c r="S2495" t="str">
        <f>TEXT(Table1[[#This Row],[Date]],"MMM-YY")</f>
        <v>Jan-00</v>
      </c>
      <c r="T2495">
        <f>_xlfn.ISOWEEKNUM(Table1[[#This Row],[Date]])</f>
        <v>52</v>
      </c>
    </row>
    <row r="2496" spans="1:20" hidden="1">
      <c r="A2496" s="1"/>
      <c r="O2496">
        <v>0</v>
      </c>
      <c r="S2496" t="str">
        <f>TEXT(Table1[[#This Row],[Date]],"MMM-YY")</f>
        <v>Jan-00</v>
      </c>
      <c r="T2496">
        <f>_xlfn.ISOWEEKNUM(Table1[[#This Row],[Date]])</f>
        <v>52</v>
      </c>
    </row>
    <row r="2497" spans="1:20" hidden="1">
      <c r="A2497" s="1"/>
      <c r="O2497">
        <v>0</v>
      </c>
      <c r="S2497" t="str">
        <f>TEXT(Table1[[#This Row],[Date]],"MMM-YY")</f>
        <v>Jan-00</v>
      </c>
      <c r="T2497">
        <f>_xlfn.ISOWEEKNUM(Table1[[#This Row],[Date]])</f>
        <v>52</v>
      </c>
    </row>
    <row r="2498" spans="1:20" hidden="1">
      <c r="A2498" s="1"/>
      <c r="O2498">
        <v>0</v>
      </c>
      <c r="S2498" t="str">
        <f>TEXT(Table1[[#This Row],[Date]],"MMM-YY")</f>
        <v>Jan-00</v>
      </c>
      <c r="T2498">
        <f>_xlfn.ISOWEEKNUM(Table1[[#This Row],[Date]])</f>
        <v>52</v>
      </c>
    </row>
    <row r="2499" spans="1:20" hidden="1">
      <c r="A2499" s="1"/>
      <c r="O2499">
        <v>0</v>
      </c>
      <c r="S2499" t="str">
        <f>TEXT(Table1[[#This Row],[Date]],"MMM-YY")</f>
        <v>Jan-00</v>
      </c>
      <c r="T2499">
        <f>_xlfn.ISOWEEKNUM(Table1[[#This Row],[Date]])</f>
        <v>52</v>
      </c>
    </row>
    <row r="2500" spans="1:20" hidden="1">
      <c r="A2500" s="1"/>
      <c r="O2500">
        <v>0</v>
      </c>
      <c r="S2500" t="str">
        <f>TEXT(Table1[[#This Row],[Date]],"MMM-YY")</f>
        <v>Jan-00</v>
      </c>
      <c r="T2500">
        <f>_xlfn.ISOWEEKNUM(Table1[[#This Row],[Date]])</f>
        <v>52</v>
      </c>
    </row>
    <row r="2501" spans="1:20" hidden="1">
      <c r="A2501" s="1"/>
      <c r="O2501">
        <v>0</v>
      </c>
      <c r="S2501" t="str">
        <f>TEXT(Table1[[#This Row],[Date]],"MMM-YY")</f>
        <v>Jan-00</v>
      </c>
      <c r="T2501">
        <f>_xlfn.ISOWEEKNUM(Table1[[#This Row],[Date]])</f>
        <v>52</v>
      </c>
    </row>
    <row r="2502" spans="1:20" hidden="1">
      <c r="A2502" s="1"/>
      <c r="O2502">
        <v>0</v>
      </c>
      <c r="S2502" t="str">
        <f>TEXT(Table1[[#This Row],[Date]],"MMM-YY")</f>
        <v>Jan-00</v>
      </c>
      <c r="T2502">
        <f>_xlfn.ISOWEEKNUM(Table1[[#This Row],[Date]])</f>
        <v>52</v>
      </c>
    </row>
    <row r="2503" spans="1:20" hidden="1">
      <c r="A2503" s="1"/>
      <c r="O2503">
        <v>0</v>
      </c>
      <c r="S2503" t="str">
        <f>TEXT(Table1[[#This Row],[Date]],"MMM-YY")</f>
        <v>Jan-00</v>
      </c>
      <c r="T2503">
        <f>_xlfn.ISOWEEKNUM(Table1[[#This Row],[Date]])</f>
        <v>52</v>
      </c>
    </row>
    <row r="2504" spans="1:20" hidden="1">
      <c r="A2504" s="1"/>
      <c r="O2504">
        <v>0</v>
      </c>
      <c r="S2504" t="str">
        <f>TEXT(Table1[[#This Row],[Date]],"MMM-YY")</f>
        <v>Jan-00</v>
      </c>
      <c r="T2504">
        <f>_xlfn.ISOWEEKNUM(Table1[[#This Row],[Date]])</f>
        <v>52</v>
      </c>
    </row>
    <row r="2505" spans="1:20" hidden="1">
      <c r="A2505" s="1"/>
      <c r="O2505">
        <v>0</v>
      </c>
      <c r="S2505" t="str">
        <f>TEXT(Table1[[#This Row],[Date]],"MMM-YY")</f>
        <v>Jan-00</v>
      </c>
      <c r="T2505">
        <f>_xlfn.ISOWEEKNUM(Table1[[#This Row],[Date]])</f>
        <v>52</v>
      </c>
    </row>
    <row r="2506" spans="1:20" hidden="1">
      <c r="A2506" s="1"/>
      <c r="O2506">
        <v>0</v>
      </c>
      <c r="S2506" t="str">
        <f>TEXT(Table1[[#This Row],[Date]],"MMM-YY")</f>
        <v>Jan-00</v>
      </c>
      <c r="T2506">
        <f>_xlfn.ISOWEEKNUM(Table1[[#This Row],[Date]])</f>
        <v>52</v>
      </c>
    </row>
    <row r="2507" spans="1:20" hidden="1">
      <c r="A2507" s="1"/>
      <c r="O2507">
        <v>0</v>
      </c>
      <c r="S2507" t="str">
        <f>TEXT(Table1[[#This Row],[Date]],"MMM-YY")</f>
        <v>Jan-00</v>
      </c>
      <c r="T2507">
        <f>_xlfn.ISOWEEKNUM(Table1[[#This Row],[Date]])</f>
        <v>52</v>
      </c>
    </row>
    <row r="2508" spans="1:20" hidden="1">
      <c r="A2508" s="1"/>
      <c r="O2508">
        <v>0</v>
      </c>
      <c r="S2508" t="str">
        <f>TEXT(Table1[[#This Row],[Date]],"MMM-YY")</f>
        <v>Jan-00</v>
      </c>
      <c r="T2508">
        <f>_xlfn.ISOWEEKNUM(Table1[[#This Row],[Date]])</f>
        <v>52</v>
      </c>
    </row>
    <row r="2509" spans="1:20" hidden="1">
      <c r="A2509" s="1"/>
      <c r="O2509">
        <v>0</v>
      </c>
      <c r="S2509" t="str">
        <f>TEXT(Table1[[#This Row],[Date]],"MMM-YY")</f>
        <v>Jan-00</v>
      </c>
      <c r="T2509">
        <f>_xlfn.ISOWEEKNUM(Table1[[#This Row],[Date]])</f>
        <v>52</v>
      </c>
    </row>
    <row r="2510" spans="1:20" hidden="1">
      <c r="A2510" s="1"/>
      <c r="O2510">
        <v>0</v>
      </c>
      <c r="S2510" t="str">
        <f>TEXT(Table1[[#This Row],[Date]],"MMM-YY")</f>
        <v>Jan-00</v>
      </c>
      <c r="T2510">
        <f>_xlfn.ISOWEEKNUM(Table1[[#This Row],[Date]])</f>
        <v>52</v>
      </c>
    </row>
    <row r="2511" spans="1:20" hidden="1">
      <c r="A2511" s="1"/>
      <c r="O2511">
        <v>0</v>
      </c>
      <c r="S2511" t="str">
        <f>TEXT(Table1[[#This Row],[Date]],"MMM-YY")</f>
        <v>Jan-00</v>
      </c>
      <c r="T2511">
        <f>_xlfn.ISOWEEKNUM(Table1[[#This Row],[Date]])</f>
        <v>52</v>
      </c>
    </row>
    <row r="2512" spans="1:20" hidden="1">
      <c r="A2512" s="1"/>
      <c r="O2512">
        <v>0</v>
      </c>
      <c r="S2512" t="str">
        <f>TEXT(Table1[[#This Row],[Date]],"MMM-YY")</f>
        <v>Jan-00</v>
      </c>
      <c r="T2512">
        <f>_xlfn.ISOWEEKNUM(Table1[[#This Row],[Date]])</f>
        <v>52</v>
      </c>
    </row>
    <row r="2513" spans="1:20" hidden="1">
      <c r="A2513" s="1"/>
      <c r="O2513">
        <v>0</v>
      </c>
      <c r="S2513" t="str">
        <f>TEXT(Table1[[#This Row],[Date]],"MMM-YY")</f>
        <v>Jan-00</v>
      </c>
      <c r="T2513">
        <f>_xlfn.ISOWEEKNUM(Table1[[#This Row],[Date]])</f>
        <v>52</v>
      </c>
    </row>
    <row r="2514" spans="1:20" hidden="1">
      <c r="A2514" s="1"/>
      <c r="O2514">
        <v>0</v>
      </c>
      <c r="S2514" t="str">
        <f>TEXT(Table1[[#This Row],[Date]],"MMM-YY")</f>
        <v>Jan-00</v>
      </c>
      <c r="T2514">
        <f>_xlfn.ISOWEEKNUM(Table1[[#This Row],[Date]])</f>
        <v>52</v>
      </c>
    </row>
    <row r="2515" spans="1:20" hidden="1">
      <c r="A2515" s="1"/>
      <c r="O2515">
        <v>0</v>
      </c>
      <c r="S2515" t="str">
        <f>TEXT(Table1[[#This Row],[Date]],"MMM-YY")</f>
        <v>Jan-00</v>
      </c>
      <c r="T2515">
        <f>_xlfn.ISOWEEKNUM(Table1[[#This Row],[Date]])</f>
        <v>52</v>
      </c>
    </row>
    <row r="2516" spans="1:20" hidden="1">
      <c r="A2516" s="1"/>
      <c r="O2516">
        <v>0</v>
      </c>
      <c r="S2516" t="str">
        <f>TEXT(Table1[[#This Row],[Date]],"MMM-YY")</f>
        <v>Jan-00</v>
      </c>
      <c r="T2516">
        <f>_xlfn.ISOWEEKNUM(Table1[[#This Row],[Date]])</f>
        <v>52</v>
      </c>
    </row>
    <row r="2517" spans="1:20" hidden="1">
      <c r="A2517" s="1"/>
      <c r="O2517">
        <v>0</v>
      </c>
      <c r="S2517" t="str">
        <f>TEXT(Table1[[#This Row],[Date]],"MMM-YY")</f>
        <v>Jan-00</v>
      </c>
      <c r="T2517">
        <f>_xlfn.ISOWEEKNUM(Table1[[#This Row],[Date]])</f>
        <v>52</v>
      </c>
    </row>
    <row r="2518" spans="1:20" hidden="1">
      <c r="A2518" s="1"/>
      <c r="O2518">
        <v>0</v>
      </c>
      <c r="S2518" t="str">
        <f>TEXT(Table1[[#This Row],[Date]],"MMM-YY")</f>
        <v>Jan-00</v>
      </c>
      <c r="T2518">
        <f>_xlfn.ISOWEEKNUM(Table1[[#This Row],[Date]])</f>
        <v>52</v>
      </c>
    </row>
    <row r="2519" spans="1:20" hidden="1">
      <c r="A2519" s="1"/>
      <c r="O2519">
        <v>0</v>
      </c>
      <c r="S2519" t="str">
        <f>TEXT(Table1[[#This Row],[Date]],"MMM-YY")</f>
        <v>Jan-00</v>
      </c>
      <c r="T2519">
        <f>_xlfn.ISOWEEKNUM(Table1[[#This Row],[Date]])</f>
        <v>52</v>
      </c>
    </row>
    <row r="2520" spans="1:20" hidden="1">
      <c r="A2520" s="1"/>
      <c r="O2520">
        <v>0</v>
      </c>
      <c r="S2520" t="str">
        <f>TEXT(Table1[[#This Row],[Date]],"MMM-YY")</f>
        <v>Jan-00</v>
      </c>
      <c r="T2520">
        <f>_xlfn.ISOWEEKNUM(Table1[[#This Row],[Date]])</f>
        <v>52</v>
      </c>
    </row>
    <row r="2521" spans="1:20" hidden="1">
      <c r="A2521" s="1"/>
      <c r="O2521">
        <v>0</v>
      </c>
      <c r="S2521" t="str">
        <f>TEXT(Table1[[#This Row],[Date]],"MMM-YY")</f>
        <v>Jan-00</v>
      </c>
      <c r="T2521">
        <f>_xlfn.ISOWEEKNUM(Table1[[#This Row],[Date]])</f>
        <v>52</v>
      </c>
    </row>
    <row r="2522" spans="1:20" hidden="1">
      <c r="A2522" s="1"/>
      <c r="O2522">
        <v>0</v>
      </c>
      <c r="S2522" t="str">
        <f>TEXT(Table1[[#This Row],[Date]],"MMM-YY")</f>
        <v>Jan-00</v>
      </c>
      <c r="T2522">
        <f>_xlfn.ISOWEEKNUM(Table1[[#This Row],[Date]])</f>
        <v>52</v>
      </c>
    </row>
    <row r="2523" spans="1:20" hidden="1">
      <c r="A2523" s="1"/>
      <c r="O2523">
        <v>0</v>
      </c>
      <c r="S2523" t="str">
        <f>TEXT(Table1[[#This Row],[Date]],"MMM-YY")</f>
        <v>Jan-00</v>
      </c>
      <c r="T2523">
        <f>_xlfn.ISOWEEKNUM(Table1[[#This Row],[Date]])</f>
        <v>52</v>
      </c>
    </row>
    <row r="2524" spans="1:20" hidden="1">
      <c r="A2524" s="1"/>
      <c r="O2524">
        <v>0</v>
      </c>
      <c r="S2524" t="str">
        <f>TEXT(Table1[[#This Row],[Date]],"MMM-YY")</f>
        <v>Jan-00</v>
      </c>
      <c r="T2524">
        <f>_xlfn.ISOWEEKNUM(Table1[[#This Row],[Date]])</f>
        <v>52</v>
      </c>
    </row>
    <row r="2525" spans="1:20" hidden="1">
      <c r="A2525" s="1"/>
      <c r="O2525">
        <v>0</v>
      </c>
      <c r="S2525" t="str">
        <f>TEXT(Table1[[#This Row],[Date]],"MMM-YY")</f>
        <v>Jan-00</v>
      </c>
      <c r="T2525">
        <f>_xlfn.ISOWEEKNUM(Table1[[#This Row],[Date]])</f>
        <v>52</v>
      </c>
    </row>
    <row r="2526" spans="1:20" hidden="1">
      <c r="A2526" s="1"/>
      <c r="O2526">
        <v>0</v>
      </c>
      <c r="S2526" t="str">
        <f>TEXT(Table1[[#This Row],[Date]],"MMM-YY")</f>
        <v>Jan-00</v>
      </c>
      <c r="T2526">
        <f>_xlfn.ISOWEEKNUM(Table1[[#This Row],[Date]])</f>
        <v>52</v>
      </c>
    </row>
    <row r="2527" spans="1:20" hidden="1">
      <c r="A2527" s="1"/>
      <c r="O2527">
        <v>0</v>
      </c>
      <c r="S2527" t="str">
        <f>TEXT(Table1[[#This Row],[Date]],"MMM-YY")</f>
        <v>Jan-00</v>
      </c>
      <c r="T2527">
        <f>_xlfn.ISOWEEKNUM(Table1[[#This Row],[Date]])</f>
        <v>52</v>
      </c>
    </row>
    <row r="2528" spans="1:20" hidden="1">
      <c r="A2528" s="1"/>
      <c r="O2528">
        <v>0</v>
      </c>
      <c r="S2528" t="str">
        <f>TEXT(Table1[[#This Row],[Date]],"MMM-YY")</f>
        <v>Jan-00</v>
      </c>
      <c r="T2528">
        <f>_xlfn.ISOWEEKNUM(Table1[[#This Row],[Date]])</f>
        <v>52</v>
      </c>
    </row>
    <row r="2529" spans="1:20" hidden="1">
      <c r="A2529" s="1"/>
      <c r="O2529">
        <v>0</v>
      </c>
      <c r="S2529" t="str">
        <f>TEXT(Table1[[#This Row],[Date]],"MMM-YY")</f>
        <v>Jan-00</v>
      </c>
      <c r="T2529">
        <f>_xlfn.ISOWEEKNUM(Table1[[#This Row],[Date]])</f>
        <v>52</v>
      </c>
    </row>
    <row r="2530" spans="1:20" hidden="1">
      <c r="A2530" s="1"/>
      <c r="O2530">
        <v>0</v>
      </c>
      <c r="S2530" t="str">
        <f>TEXT(Table1[[#This Row],[Date]],"MMM-YY")</f>
        <v>Jan-00</v>
      </c>
      <c r="T2530">
        <f>_xlfn.ISOWEEKNUM(Table1[[#This Row],[Date]])</f>
        <v>52</v>
      </c>
    </row>
    <row r="2531" spans="1:20" hidden="1">
      <c r="A2531" s="1"/>
      <c r="O2531">
        <v>0</v>
      </c>
      <c r="S2531" t="str">
        <f>TEXT(Table1[[#This Row],[Date]],"MMM-YY")</f>
        <v>Jan-00</v>
      </c>
      <c r="T2531">
        <f>_xlfn.ISOWEEKNUM(Table1[[#This Row],[Date]])</f>
        <v>52</v>
      </c>
    </row>
    <row r="2532" spans="1:20" hidden="1">
      <c r="A2532" s="1"/>
      <c r="O2532">
        <v>0</v>
      </c>
      <c r="S2532" t="str">
        <f>TEXT(Table1[[#This Row],[Date]],"MMM-YY")</f>
        <v>Jan-00</v>
      </c>
      <c r="T2532">
        <f>_xlfn.ISOWEEKNUM(Table1[[#This Row],[Date]])</f>
        <v>52</v>
      </c>
    </row>
    <row r="2533" spans="1:20" hidden="1">
      <c r="A2533" s="1"/>
      <c r="O2533">
        <v>0</v>
      </c>
      <c r="S2533" t="str">
        <f>TEXT(Table1[[#This Row],[Date]],"MMM-YY")</f>
        <v>Jan-00</v>
      </c>
      <c r="T2533">
        <f>_xlfn.ISOWEEKNUM(Table1[[#This Row],[Date]])</f>
        <v>52</v>
      </c>
    </row>
    <row r="2534" spans="1:20" hidden="1">
      <c r="A2534" s="1"/>
      <c r="O2534">
        <v>0</v>
      </c>
      <c r="S2534" t="str">
        <f>TEXT(Table1[[#This Row],[Date]],"MMM-YY")</f>
        <v>Jan-00</v>
      </c>
      <c r="T2534">
        <f>_xlfn.ISOWEEKNUM(Table1[[#This Row],[Date]])</f>
        <v>52</v>
      </c>
    </row>
    <row r="2535" spans="1:20" hidden="1">
      <c r="A2535" s="1"/>
      <c r="O2535">
        <v>0</v>
      </c>
      <c r="S2535" t="str">
        <f>TEXT(Table1[[#This Row],[Date]],"MMM-YY")</f>
        <v>Jan-00</v>
      </c>
      <c r="T2535">
        <f>_xlfn.ISOWEEKNUM(Table1[[#This Row],[Date]])</f>
        <v>52</v>
      </c>
    </row>
    <row r="2536" spans="1:20" hidden="1">
      <c r="A2536" s="1"/>
      <c r="O2536">
        <v>0</v>
      </c>
      <c r="S2536" t="str">
        <f>TEXT(Table1[[#This Row],[Date]],"MMM-YY")</f>
        <v>Jan-00</v>
      </c>
      <c r="T2536">
        <f>_xlfn.ISOWEEKNUM(Table1[[#This Row],[Date]])</f>
        <v>52</v>
      </c>
    </row>
    <row r="2537" spans="1:20" hidden="1">
      <c r="A2537" s="1"/>
      <c r="O2537">
        <v>0</v>
      </c>
      <c r="S2537" t="str">
        <f>TEXT(Table1[[#This Row],[Date]],"MMM-YY")</f>
        <v>Jan-00</v>
      </c>
      <c r="T2537">
        <f>_xlfn.ISOWEEKNUM(Table1[[#This Row],[Date]])</f>
        <v>52</v>
      </c>
    </row>
    <row r="2538" spans="1:20" hidden="1">
      <c r="A2538" s="1"/>
      <c r="O2538">
        <v>0</v>
      </c>
      <c r="S2538" t="str">
        <f>TEXT(Table1[[#This Row],[Date]],"MMM-YY")</f>
        <v>Jan-00</v>
      </c>
      <c r="T2538">
        <f>_xlfn.ISOWEEKNUM(Table1[[#This Row],[Date]])</f>
        <v>52</v>
      </c>
    </row>
    <row r="2539" spans="1:20" hidden="1">
      <c r="A2539" s="1"/>
      <c r="O2539">
        <v>0</v>
      </c>
      <c r="S2539" t="str">
        <f>TEXT(Table1[[#This Row],[Date]],"MMM-YY")</f>
        <v>Jan-00</v>
      </c>
      <c r="T2539">
        <f>_xlfn.ISOWEEKNUM(Table1[[#This Row],[Date]])</f>
        <v>52</v>
      </c>
    </row>
    <row r="2540" spans="1:20" hidden="1">
      <c r="A2540" s="1"/>
      <c r="O2540">
        <v>0</v>
      </c>
      <c r="S2540" t="str">
        <f>TEXT(Table1[[#This Row],[Date]],"MMM-YY")</f>
        <v>Jan-00</v>
      </c>
      <c r="T2540">
        <f>_xlfn.ISOWEEKNUM(Table1[[#This Row],[Date]])</f>
        <v>52</v>
      </c>
    </row>
    <row r="2541" spans="1:20" hidden="1">
      <c r="A2541" s="1"/>
      <c r="O2541">
        <v>0</v>
      </c>
      <c r="S2541" t="str">
        <f>TEXT(Table1[[#This Row],[Date]],"MMM-YY")</f>
        <v>Jan-00</v>
      </c>
      <c r="T2541">
        <f>_xlfn.ISOWEEKNUM(Table1[[#This Row],[Date]])</f>
        <v>52</v>
      </c>
    </row>
    <row r="2542" spans="1:20" hidden="1">
      <c r="A2542" s="1"/>
      <c r="O2542">
        <v>0</v>
      </c>
      <c r="S2542" t="str">
        <f>TEXT(Table1[[#This Row],[Date]],"MMM-YY")</f>
        <v>Jan-00</v>
      </c>
      <c r="T2542">
        <f>_xlfn.ISOWEEKNUM(Table1[[#This Row],[Date]])</f>
        <v>52</v>
      </c>
    </row>
    <row r="2543" spans="1:20" hidden="1">
      <c r="A2543" s="1"/>
      <c r="O2543">
        <v>0</v>
      </c>
      <c r="S2543" t="str">
        <f>TEXT(Table1[[#This Row],[Date]],"MMM-YY")</f>
        <v>Jan-00</v>
      </c>
      <c r="T2543">
        <f>_xlfn.ISOWEEKNUM(Table1[[#This Row],[Date]])</f>
        <v>52</v>
      </c>
    </row>
    <row r="2544" spans="1:20" hidden="1">
      <c r="A2544" s="1"/>
      <c r="O2544">
        <v>0</v>
      </c>
      <c r="S2544" t="str">
        <f>TEXT(Table1[[#This Row],[Date]],"MMM-YY")</f>
        <v>Jan-00</v>
      </c>
      <c r="T2544">
        <f>_xlfn.ISOWEEKNUM(Table1[[#This Row],[Date]])</f>
        <v>52</v>
      </c>
    </row>
    <row r="2545" spans="1:20" hidden="1">
      <c r="A2545" s="1"/>
      <c r="O2545">
        <v>0</v>
      </c>
      <c r="S2545" t="str">
        <f>TEXT(Table1[[#This Row],[Date]],"MMM-YY")</f>
        <v>Jan-00</v>
      </c>
      <c r="T2545">
        <f>_xlfn.ISOWEEKNUM(Table1[[#This Row],[Date]])</f>
        <v>52</v>
      </c>
    </row>
    <row r="2546" spans="1:20" hidden="1">
      <c r="A2546" s="1"/>
      <c r="O2546">
        <v>0</v>
      </c>
      <c r="S2546" t="str">
        <f>TEXT(Table1[[#This Row],[Date]],"MMM-YY")</f>
        <v>Jan-00</v>
      </c>
      <c r="T2546">
        <f>_xlfn.ISOWEEKNUM(Table1[[#This Row],[Date]])</f>
        <v>52</v>
      </c>
    </row>
    <row r="2547" spans="1:20" hidden="1">
      <c r="A2547" s="1"/>
      <c r="O2547">
        <v>0</v>
      </c>
      <c r="S2547" t="str">
        <f>TEXT(Table1[[#This Row],[Date]],"MMM-YY")</f>
        <v>Jan-00</v>
      </c>
      <c r="T2547">
        <f>_xlfn.ISOWEEKNUM(Table1[[#This Row],[Date]])</f>
        <v>52</v>
      </c>
    </row>
    <row r="2548" spans="1:20" hidden="1">
      <c r="A2548" s="1"/>
      <c r="O2548">
        <v>0</v>
      </c>
      <c r="S2548" t="str">
        <f>TEXT(Table1[[#This Row],[Date]],"MMM-YY")</f>
        <v>Jan-00</v>
      </c>
      <c r="T2548">
        <f>_xlfn.ISOWEEKNUM(Table1[[#This Row],[Date]])</f>
        <v>52</v>
      </c>
    </row>
    <row r="2549" spans="1:20" hidden="1">
      <c r="A2549" s="1"/>
      <c r="O2549">
        <v>0</v>
      </c>
      <c r="S2549" t="str">
        <f>TEXT(Table1[[#This Row],[Date]],"MMM-YY")</f>
        <v>Jan-00</v>
      </c>
      <c r="T2549">
        <f>_xlfn.ISOWEEKNUM(Table1[[#This Row],[Date]])</f>
        <v>52</v>
      </c>
    </row>
    <row r="2550" spans="1:20" hidden="1">
      <c r="A2550" s="1"/>
      <c r="O2550">
        <v>0</v>
      </c>
      <c r="S2550" t="str">
        <f>TEXT(Table1[[#This Row],[Date]],"MMM-YY")</f>
        <v>Jan-00</v>
      </c>
      <c r="T2550">
        <f>_xlfn.ISOWEEKNUM(Table1[[#This Row],[Date]])</f>
        <v>52</v>
      </c>
    </row>
    <row r="2551" spans="1:20" hidden="1">
      <c r="A2551" s="1"/>
      <c r="O2551">
        <v>0</v>
      </c>
      <c r="S2551" t="str">
        <f>TEXT(Table1[[#This Row],[Date]],"MMM-YY")</f>
        <v>Jan-00</v>
      </c>
      <c r="T2551">
        <f>_xlfn.ISOWEEKNUM(Table1[[#This Row],[Date]])</f>
        <v>52</v>
      </c>
    </row>
    <row r="2552" spans="1:20" hidden="1">
      <c r="A2552" s="1"/>
      <c r="O2552">
        <v>0</v>
      </c>
      <c r="S2552" t="str">
        <f>TEXT(Table1[[#This Row],[Date]],"MMM-YY")</f>
        <v>Jan-00</v>
      </c>
      <c r="T2552">
        <f>_xlfn.ISOWEEKNUM(Table1[[#This Row],[Date]])</f>
        <v>52</v>
      </c>
    </row>
    <row r="2553" spans="1:20" hidden="1">
      <c r="A2553" s="1"/>
      <c r="O2553">
        <v>0</v>
      </c>
      <c r="S2553" t="str">
        <f>TEXT(Table1[[#This Row],[Date]],"MMM-YY")</f>
        <v>Jan-00</v>
      </c>
      <c r="T2553">
        <f>_xlfn.ISOWEEKNUM(Table1[[#This Row],[Date]])</f>
        <v>52</v>
      </c>
    </row>
    <row r="2554" spans="1:20" hidden="1">
      <c r="A2554" s="1"/>
      <c r="O2554">
        <v>0</v>
      </c>
      <c r="S2554" t="str">
        <f>TEXT(Table1[[#This Row],[Date]],"MMM-YY")</f>
        <v>Jan-00</v>
      </c>
      <c r="T2554">
        <f>_xlfn.ISOWEEKNUM(Table1[[#This Row],[Date]])</f>
        <v>52</v>
      </c>
    </row>
    <row r="2555" spans="1:20" hidden="1">
      <c r="A2555" s="1"/>
      <c r="O2555">
        <v>0</v>
      </c>
      <c r="S2555" t="str">
        <f>TEXT(Table1[[#This Row],[Date]],"MMM-YY")</f>
        <v>Jan-00</v>
      </c>
      <c r="T2555">
        <f>_xlfn.ISOWEEKNUM(Table1[[#This Row],[Date]])</f>
        <v>52</v>
      </c>
    </row>
    <row r="2556" spans="1:20" hidden="1">
      <c r="A2556" s="1"/>
      <c r="O2556">
        <v>0</v>
      </c>
      <c r="S2556" t="str">
        <f>TEXT(Table1[[#This Row],[Date]],"MMM-YY")</f>
        <v>Jan-00</v>
      </c>
      <c r="T2556">
        <f>_xlfn.ISOWEEKNUM(Table1[[#This Row],[Date]])</f>
        <v>52</v>
      </c>
    </row>
    <row r="2557" spans="1:20" hidden="1">
      <c r="A2557" s="1"/>
      <c r="O2557">
        <v>0</v>
      </c>
      <c r="S2557" t="str">
        <f>TEXT(Table1[[#This Row],[Date]],"MMM-YY")</f>
        <v>Jan-00</v>
      </c>
      <c r="T2557">
        <f>_xlfn.ISOWEEKNUM(Table1[[#This Row],[Date]])</f>
        <v>52</v>
      </c>
    </row>
    <row r="2558" spans="1:20" hidden="1">
      <c r="A2558" s="1"/>
      <c r="O2558">
        <v>0</v>
      </c>
      <c r="S2558" t="str">
        <f>TEXT(Table1[[#This Row],[Date]],"MMM-YY")</f>
        <v>Jan-00</v>
      </c>
      <c r="T2558">
        <f>_xlfn.ISOWEEKNUM(Table1[[#This Row],[Date]])</f>
        <v>52</v>
      </c>
    </row>
    <row r="2559" spans="1:20" hidden="1">
      <c r="A2559" s="1"/>
      <c r="O2559">
        <v>0</v>
      </c>
      <c r="S2559" t="str">
        <f>TEXT(Table1[[#This Row],[Date]],"MMM-YY")</f>
        <v>Jan-00</v>
      </c>
      <c r="T2559">
        <f>_xlfn.ISOWEEKNUM(Table1[[#This Row],[Date]])</f>
        <v>52</v>
      </c>
    </row>
    <row r="2560" spans="1:20" hidden="1">
      <c r="A2560" s="1"/>
      <c r="O2560">
        <v>0</v>
      </c>
      <c r="S2560" t="str">
        <f>TEXT(Table1[[#This Row],[Date]],"MMM-YY")</f>
        <v>Jan-00</v>
      </c>
      <c r="T2560">
        <f>_xlfn.ISOWEEKNUM(Table1[[#This Row],[Date]])</f>
        <v>52</v>
      </c>
    </row>
    <row r="2561" spans="1:20" hidden="1">
      <c r="A2561" s="1"/>
      <c r="O2561">
        <v>0</v>
      </c>
      <c r="S2561" t="str">
        <f>TEXT(Table1[[#This Row],[Date]],"MMM-YY")</f>
        <v>Jan-00</v>
      </c>
      <c r="T2561">
        <f>_xlfn.ISOWEEKNUM(Table1[[#This Row],[Date]])</f>
        <v>52</v>
      </c>
    </row>
    <row r="2562" spans="1:20" hidden="1">
      <c r="A2562" s="1"/>
      <c r="O2562">
        <v>0</v>
      </c>
      <c r="S2562" t="str">
        <f>TEXT(Table1[[#This Row],[Date]],"MMM-YY")</f>
        <v>Jan-00</v>
      </c>
      <c r="T2562">
        <f>_xlfn.ISOWEEKNUM(Table1[[#This Row],[Date]])</f>
        <v>52</v>
      </c>
    </row>
    <row r="2563" spans="1:20" hidden="1">
      <c r="A2563" s="1"/>
      <c r="O2563">
        <v>0</v>
      </c>
      <c r="S2563" t="str">
        <f>TEXT(Table1[[#This Row],[Date]],"MMM-YY")</f>
        <v>Jan-00</v>
      </c>
      <c r="T2563">
        <f>_xlfn.ISOWEEKNUM(Table1[[#This Row],[Date]])</f>
        <v>52</v>
      </c>
    </row>
    <row r="2564" spans="1:20" hidden="1">
      <c r="A2564" s="1"/>
      <c r="O2564">
        <v>0</v>
      </c>
      <c r="S2564" t="str">
        <f>TEXT(Table1[[#This Row],[Date]],"MMM-YY")</f>
        <v>Jan-00</v>
      </c>
      <c r="T2564">
        <f>_xlfn.ISOWEEKNUM(Table1[[#This Row],[Date]])</f>
        <v>52</v>
      </c>
    </row>
    <row r="2565" spans="1:20" hidden="1">
      <c r="A2565" s="1"/>
      <c r="O2565">
        <v>0</v>
      </c>
      <c r="S2565" t="str">
        <f>TEXT(Table1[[#This Row],[Date]],"MMM-YY")</f>
        <v>Jan-00</v>
      </c>
      <c r="T2565">
        <f>_xlfn.ISOWEEKNUM(Table1[[#This Row],[Date]])</f>
        <v>52</v>
      </c>
    </row>
    <row r="2566" spans="1:20" hidden="1">
      <c r="A2566" s="1"/>
      <c r="O2566">
        <v>0</v>
      </c>
      <c r="S2566" t="str">
        <f>TEXT(Table1[[#This Row],[Date]],"MMM-YY")</f>
        <v>Jan-00</v>
      </c>
      <c r="T2566">
        <f>_xlfn.ISOWEEKNUM(Table1[[#This Row],[Date]])</f>
        <v>52</v>
      </c>
    </row>
    <row r="2567" spans="1:20" hidden="1">
      <c r="A2567" s="1"/>
      <c r="O2567">
        <v>0</v>
      </c>
      <c r="S2567" t="str">
        <f>TEXT(Table1[[#This Row],[Date]],"MMM-YY")</f>
        <v>Jan-00</v>
      </c>
      <c r="T2567">
        <f>_xlfn.ISOWEEKNUM(Table1[[#This Row],[Date]])</f>
        <v>52</v>
      </c>
    </row>
    <row r="2568" spans="1:20" hidden="1">
      <c r="A2568" s="1"/>
      <c r="O2568">
        <v>0</v>
      </c>
      <c r="S2568" t="str">
        <f>TEXT(Table1[[#This Row],[Date]],"MMM-YY")</f>
        <v>Jan-00</v>
      </c>
      <c r="T2568">
        <f>_xlfn.ISOWEEKNUM(Table1[[#This Row],[Date]])</f>
        <v>52</v>
      </c>
    </row>
    <row r="2569" spans="1:20" hidden="1">
      <c r="A2569" s="1"/>
      <c r="O2569">
        <v>0</v>
      </c>
      <c r="S2569" t="str">
        <f>TEXT(Table1[[#This Row],[Date]],"MMM-YY")</f>
        <v>Jan-00</v>
      </c>
      <c r="T2569">
        <f>_xlfn.ISOWEEKNUM(Table1[[#This Row],[Date]])</f>
        <v>52</v>
      </c>
    </row>
    <row r="2570" spans="1:20" hidden="1">
      <c r="A2570" s="1"/>
      <c r="O2570">
        <v>0</v>
      </c>
      <c r="S2570" t="str">
        <f>TEXT(Table1[[#This Row],[Date]],"MMM-YY")</f>
        <v>Jan-00</v>
      </c>
      <c r="T2570">
        <f>_xlfn.ISOWEEKNUM(Table1[[#This Row],[Date]])</f>
        <v>52</v>
      </c>
    </row>
    <row r="2571" spans="1:20" hidden="1">
      <c r="A2571" s="1"/>
      <c r="O2571">
        <v>0</v>
      </c>
      <c r="S2571" t="str">
        <f>TEXT(Table1[[#This Row],[Date]],"MMM-YY")</f>
        <v>Jan-00</v>
      </c>
      <c r="T2571">
        <f>_xlfn.ISOWEEKNUM(Table1[[#This Row],[Date]])</f>
        <v>52</v>
      </c>
    </row>
    <row r="2572" spans="1:20" hidden="1">
      <c r="A2572" s="1"/>
      <c r="O2572">
        <v>0</v>
      </c>
      <c r="S2572" t="str">
        <f>TEXT(Table1[[#This Row],[Date]],"MMM-YY")</f>
        <v>Jan-00</v>
      </c>
      <c r="T2572">
        <f>_xlfn.ISOWEEKNUM(Table1[[#This Row],[Date]])</f>
        <v>52</v>
      </c>
    </row>
    <row r="2573" spans="1:20" hidden="1">
      <c r="A2573" s="1"/>
      <c r="O2573">
        <v>0</v>
      </c>
      <c r="S2573" t="str">
        <f>TEXT(Table1[[#This Row],[Date]],"MMM-YY")</f>
        <v>Jan-00</v>
      </c>
      <c r="T2573">
        <f>_xlfn.ISOWEEKNUM(Table1[[#This Row],[Date]])</f>
        <v>52</v>
      </c>
    </row>
    <row r="2574" spans="1:20" hidden="1">
      <c r="A2574" s="1"/>
      <c r="O2574">
        <v>0</v>
      </c>
      <c r="S2574" t="str">
        <f>TEXT(Table1[[#This Row],[Date]],"MMM-YY")</f>
        <v>Jan-00</v>
      </c>
      <c r="T2574">
        <f>_xlfn.ISOWEEKNUM(Table1[[#This Row],[Date]])</f>
        <v>52</v>
      </c>
    </row>
    <row r="2575" spans="1:20" hidden="1">
      <c r="A2575" s="1"/>
      <c r="O2575">
        <v>0</v>
      </c>
      <c r="S2575" t="str">
        <f>TEXT(Table1[[#This Row],[Date]],"MMM-YY")</f>
        <v>Jan-00</v>
      </c>
      <c r="T2575">
        <f>_xlfn.ISOWEEKNUM(Table1[[#This Row],[Date]])</f>
        <v>52</v>
      </c>
    </row>
    <row r="2576" spans="1:20" hidden="1">
      <c r="A2576" s="1"/>
      <c r="O2576">
        <v>0</v>
      </c>
      <c r="S2576" t="str">
        <f>TEXT(Table1[[#This Row],[Date]],"MMM-YY")</f>
        <v>Jan-00</v>
      </c>
      <c r="T2576">
        <f>_xlfn.ISOWEEKNUM(Table1[[#This Row],[Date]])</f>
        <v>52</v>
      </c>
    </row>
    <row r="2577" spans="1:20" hidden="1">
      <c r="A2577" s="1"/>
      <c r="O2577">
        <v>0</v>
      </c>
      <c r="S2577" t="str">
        <f>TEXT(Table1[[#This Row],[Date]],"MMM-YY")</f>
        <v>Jan-00</v>
      </c>
      <c r="T2577">
        <f>_xlfn.ISOWEEKNUM(Table1[[#This Row],[Date]])</f>
        <v>52</v>
      </c>
    </row>
    <row r="2578" spans="1:20" hidden="1">
      <c r="A2578" s="1"/>
      <c r="O2578">
        <v>0</v>
      </c>
      <c r="S2578" t="str">
        <f>TEXT(Table1[[#This Row],[Date]],"MMM-YY")</f>
        <v>Jan-00</v>
      </c>
      <c r="T2578">
        <f>_xlfn.ISOWEEKNUM(Table1[[#This Row],[Date]])</f>
        <v>52</v>
      </c>
    </row>
    <row r="2579" spans="1:20" hidden="1">
      <c r="A2579" s="1"/>
      <c r="O2579">
        <v>0</v>
      </c>
      <c r="S2579" t="str">
        <f>TEXT(Table1[[#This Row],[Date]],"MMM-YY")</f>
        <v>Jan-00</v>
      </c>
      <c r="T2579">
        <f>_xlfn.ISOWEEKNUM(Table1[[#This Row],[Date]])</f>
        <v>52</v>
      </c>
    </row>
    <row r="2580" spans="1:20" hidden="1">
      <c r="A2580" s="1"/>
      <c r="O2580">
        <v>0</v>
      </c>
      <c r="S2580" t="str">
        <f>TEXT(Table1[[#This Row],[Date]],"MMM-YY")</f>
        <v>Jan-00</v>
      </c>
      <c r="T2580">
        <f>_xlfn.ISOWEEKNUM(Table1[[#This Row],[Date]])</f>
        <v>52</v>
      </c>
    </row>
    <row r="2581" spans="1:20" hidden="1">
      <c r="A2581" s="1"/>
      <c r="O2581">
        <v>0</v>
      </c>
      <c r="S2581" t="str">
        <f>TEXT(Table1[[#This Row],[Date]],"MMM-YY")</f>
        <v>Jan-00</v>
      </c>
      <c r="T2581">
        <f>_xlfn.ISOWEEKNUM(Table1[[#This Row],[Date]])</f>
        <v>52</v>
      </c>
    </row>
    <row r="2582" spans="1:20" hidden="1">
      <c r="A2582" s="1"/>
      <c r="O2582">
        <v>0</v>
      </c>
      <c r="S2582" t="str">
        <f>TEXT(Table1[[#This Row],[Date]],"MMM-YY")</f>
        <v>Jan-00</v>
      </c>
      <c r="T2582">
        <f>_xlfn.ISOWEEKNUM(Table1[[#This Row],[Date]])</f>
        <v>52</v>
      </c>
    </row>
    <row r="2583" spans="1:20" hidden="1">
      <c r="A2583" s="1"/>
      <c r="S2583" t="str">
        <f>TEXT(Table1[[#This Row],[Date]],"MMM-YY")</f>
        <v>Jan-00</v>
      </c>
      <c r="T2583">
        <f>_xlfn.ISOWEEKNUM(Table1[[#This Row],[Date]])</f>
        <v>52</v>
      </c>
    </row>
    <row r="2584" spans="1:20" hidden="1">
      <c r="A2584" s="1"/>
      <c r="S2584" t="str">
        <f>TEXT(Table1[[#This Row],[Date]],"MMM-YY")</f>
        <v>Jan-00</v>
      </c>
      <c r="T2584">
        <f>_xlfn.ISOWEEKNUM(Table1[[#This Row],[Date]])</f>
        <v>52</v>
      </c>
    </row>
    <row r="2585" spans="1:20" hidden="1">
      <c r="A2585" s="1"/>
      <c r="S2585" t="str">
        <f>TEXT(Table1[[#This Row],[Date]],"MMM-YY")</f>
        <v>Jan-00</v>
      </c>
      <c r="T2585">
        <f>_xlfn.ISOWEEKNUM(Table1[[#This Row],[Date]])</f>
        <v>52</v>
      </c>
    </row>
    <row r="2586" spans="1:20" hidden="1">
      <c r="A2586" s="1"/>
      <c r="S2586" t="str">
        <f>TEXT(Table1[[#This Row],[Date]],"MMM-YY")</f>
        <v>Jan-00</v>
      </c>
      <c r="T2586">
        <f>_xlfn.ISOWEEKNUM(Table1[[#This Row],[Date]])</f>
        <v>52</v>
      </c>
    </row>
    <row r="2587" spans="1:20" hidden="1">
      <c r="A2587" s="1"/>
      <c r="S2587" t="str">
        <f>TEXT(Table1[[#This Row],[Date]],"MMM-YY")</f>
        <v>Jan-00</v>
      </c>
      <c r="T2587">
        <f>_xlfn.ISOWEEKNUM(Table1[[#This Row],[Date]])</f>
        <v>52</v>
      </c>
    </row>
    <row r="2588" spans="1:20" hidden="1">
      <c r="A2588" s="1"/>
      <c r="S2588" t="str">
        <f>TEXT(Table1[[#This Row],[Date]],"MMM-YY")</f>
        <v>Jan-00</v>
      </c>
      <c r="T2588">
        <f>_xlfn.ISOWEEKNUM(Table1[[#This Row],[Date]])</f>
        <v>52</v>
      </c>
    </row>
    <row r="2589" spans="1:20" hidden="1">
      <c r="A2589" s="1"/>
      <c r="S2589" t="str">
        <f>TEXT(Table1[[#This Row],[Date]],"MMM-YY")</f>
        <v>Jan-00</v>
      </c>
      <c r="T2589">
        <f>_xlfn.ISOWEEKNUM(Table1[[#This Row],[Date]])</f>
        <v>52</v>
      </c>
    </row>
    <row r="2590" spans="1:20" hidden="1">
      <c r="A2590" s="1"/>
      <c r="S2590" t="str">
        <f>TEXT(Table1[[#This Row],[Date]],"MMM-YY")</f>
        <v>Jan-00</v>
      </c>
      <c r="T2590">
        <f>_xlfn.ISOWEEKNUM(Table1[[#This Row],[Date]])</f>
        <v>52</v>
      </c>
    </row>
    <row r="2591" spans="1:20" hidden="1">
      <c r="A2591" s="1"/>
      <c r="S2591" t="str">
        <f>TEXT(Table1[[#This Row],[Date]],"MMM-YY")</f>
        <v>Jan-00</v>
      </c>
      <c r="T2591">
        <f>_xlfn.ISOWEEKNUM(Table1[[#This Row],[Date]])</f>
        <v>52</v>
      </c>
    </row>
    <row r="2592" spans="1:20" hidden="1">
      <c r="A2592" s="1"/>
      <c r="S2592" t="str">
        <f>TEXT(Table1[[#This Row],[Date]],"MMM-YY")</f>
        <v>Jan-00</v>
      </c>
      <c r="T2592">
        <f>_xlfn.ISOWEEKNUM(Table1[[#This Row],[Date]])</f>
        <v>52</v>
      </c>
    </row>
    <row r="2593" spans="1:20" hidden="1">
      <c r="A2593" s="1"/>
      <c r="S2593" t="str">
        <f>TEXT(Table1[[#This Row],[Date]],"MMM-YY")</f>
        <v>Jan-00</v>
      </c>
      <c r="T2593">
        <f>_xlfn.ISOWEEKNUM(Table1[[#This Row],[Date]])</f>
        <v>52</v>
      </c>
    </row>
    <row r="2594" spans="1:20" hidden="1">
      <c r="A2594" s="1"/>
      <c r="S2594" t="str">
        <f>TEXT(Table1[[#This Row],[Date]],"MMM-YY")</f>
        <v>Jan-00</v>
      </c>
      <c r="T2594">
        <f>_xlfn.ISOWEEKNUM(Table1[[#This Row],[Date]])</f>
        <v>52</v>
      </c>
    </row>
    <row r="2595" spans="1:20" hidden="1">
      <c r="A2595" s="1"/>
      <c r="S2595" t="str">
        <f>TEXT(Table1[[#This Row],[Date]],"MMM-YY")</f>
        <v>Jan-00</v>
      </c>
      <c r="T2595">
        <f>_xlfn.ISOWEEKNUM(Table1[[#This Row],[Date]])</f>
        <v>52</v>
      </c>
    </row>
    <row r="2596" spans="1:20" hidden="1">
      <c r="A2596" s="1"/>
      <c r="S2596" t="str">
        <f>TEXT(Table1[[#This Row],[Date]],"MMM-YY")</f>
        <v>Jan-00</v>
      </c>
      <c r="T2596">
        <f>_xlfn.ISOWEEKNUM(Table1[[#This Row],[Date]])</f>
        <v>52</v>
      </c>
    </row>
    <row r="2597" spans="1:20" hidden="1">
      <c r="A2597" s="1"/>
      <c r="S2597" t="str">
        <f>TEXT(Table1[[#This Row],[Date]],"MMM-YY")</f>
        <v>Jan-00</v>
      </c>
      <c r="T2597">
        <f>_xlfn.ISOWEEKNUM(Table1[[#This Row],[Date]])</f>
        <v>52</v>
      </c>
    </row>
    <row r="2598" spans="1:20" hidden="1">
      <c r="A2598" s="1"/>
      <c r="S2598" t="str">
        <f>TEXT(Table1[[#This Row],[Date]],"MMM-YY")</f>
        <v>Jan-00</v>
      </c>
      <c r="T2598">
        <f>_xlfn.ISOWEEKNUM(Table1[[#This Row],[Date]])</f>
        <v>52</v>
      </c>
    </row>
    <row r="2599" spans="1:20" hidden="1">
      <c r="A2599" s="1"/>
      <c r="S2599" t="str">
        <f>TEXT(Table1[[#This Row],[Date]],"MMM-YY")</f>
        <v>Jan-00</v>
      </c>
      <c r="T2599">
        <f>_xlfn.ISOWEEKNUM(Table1[[#This Row],[Date]])</f>
        <v>52</v>
      </c>
    </row>
    <row r="2600" spans="1:20" hidden="1">
      <c r="A2600" s="1"/>
      <c r="S2600" t="str">
        <f>TEXT(Table1[[#This Row],[Date]],"MMM-YY")</f>
        <v>Jan-00</v>
      </c>
      <c r="T2600">
        <f>_xlfn.ISOWEEKNUM(Table1[[#This Row],[Date]])</f>
        <v>52</v>
      </c>
    </row>
    <row r="2601" spans="1:20" hidden="1">
      <c r="A2601" s="1"/>
      <c r="S2601" t="str">
        <f>TEXT(Table1[[#This Row],[Date]],"MMM-YY")</f>
        <v>Jan-00</v>
      </c>
      <c r="T2601">
        <f>_xlfn.ISOWEEKNUM(Table1[[#This Row],[Date]])</f>
        <v>52</v>
      </c>
    </row>
    <row r="2602" spans="1:20" hidden="1">
      <c r="A2602" s="1"/>
      <c r="S2602" t="str">
        <f>TEXT(Table1[[#This Row],[Date]],"MMM-YY")</f>
        <v>Jan-00</v>
      </c>
      <c r="T2602">
        <f>_xlfn.ISOWEEKNUM(Table1[[#This Row],[Date]])</f>
        <v>52</v>
      </c>
    </row>
    <row r="2603" spans="1:20" hidden="1">
      <c r="A2603" s="1"/>
      <c r="S2603" t="str">
        <f>TEXT(Table1[[#This Row],[Date]],"MMM-YY")</f>
        <v>Jan-00</v>
      </c>
      <c r="T2603">
        <f>_xlfn.ISOWEEKNUM(Table1[[#This Row],[Date]])</f>
        <v>52</v>
      </c>
    </row>
    <row r="2604" spans="1:20" hidden="1">
      <c r="A2604" s="1"/>
      <c r="S2604" t="str">
        <f>TEXT(Table1[[#This Row],[Date]],"MMM-YY")</f>
        <v>Jan-00</v>
      </c>
      <c r="T2604">
        <f>_xlfn.ISOWEEKNUM(Table1[[#This Row],[Date]])</f>
        <v>52</v>
      </c>
    </row>
    <row r="2605" spans="1:20" hidden="1">
      <c r="A2605" s="1"/>
      <c r="S2605" t="str">
        <f>TEXT(Table1[[#This Row],[Date]],"MMM-YY")</f>
        <v>Jan-00</v>
      </c>
      <c r="T2605">
        <f>_xlfn.ISOWEEKNUM(Table1[[#This Row],[Date]])</f>
        <v>52</v>
      </c>
    </row>
    <row r="2606" spans="1:20" hidden="1">
      <c r="A2606" s="1"/>
      <c r="S2606" t="str">
        <f>TEXT(Table1[[#This Row],[Date]],"MMM-YY")</f>
        <v>Jan-00</v>
      </c>
      <c r="T2606">
        <f>_xlfn.ISOWEEKNUM(Table1[[#This Row],[Date]])</f>
        <v>52</v>
      </c>
    </row>
    <row r="2607" spans="1:20" hidden="1">
      <c r="A2607" s="1"/>
      <c r="S2607" t="str">
        <f>TEXT(Table1[[#This Row],[Date]],"MMM-YY")</f>
        <v>Jan-00</v>
      </c>
      <c r="T2607">
        <f>_xlfn.ISOWEEKNUM(Table1[[#This Row],[Date]])</f>
        <v>52</v>
      </c>
    </row>
    <row r="2608" spans="1:20" hidden="1">
      <c r="A2608" s="1"/>
      <c r="S2608" t="str">
        <f>TEXT(Table1[[#This Row],[Date]],"MMM-YY")</f>
        <v>Jan-00</v>
      </c>
      <c r="T2608">
        <f>_xlfn.ISOWEEKNUM(Table1[[#This Row],[Date]])</f>
        <v>52</v>
      </c>
    </row>
    <row r="2609" spans="1:20" hidden="1">
      <c r="A2609" s="1"/>
      <c r="S2609" t="str">
        <f>TEXT(Table1[[#This Row],[Date]],"MMM-YY")</f>
        <v>Jan-00</v>
      </c>
      <c r="T2609">
        <f>_xlfn.ISOWEEKNUM(Table1[[#This Row],[Date]])</f>
        <v>52</v>
      </c>
    </row>
    <row r="2610" spans="1:20" hidden="1">
      <c r="A2610" s="1"/>
      <c r="S2610" t="str">
        <f>TEXT(Table1[[#This Row],[Date]],"MMM-YY")</f>
        <v>Jan-00</v>
      </c>
      <c r="T2610">
        <f>_xlfn.ISOWEEKNUM(Table1[[#This Row],[Date]])</f>
        <v>52</v>
      </c>
    </row>
    <row r="2611" spans="1:20" hidden="1">
      <c r="A2611" s="1"/>
      <c r="S2611" t="str">
        <f>TEXT(Table1[[#This Row],[Date]],"MMM-YY")</f>
        <v>Jan-00</v>
      </c>
      <c r="T2611">
        <f>_xlfn.ISOWEEKNUM(Table1[[#This Row],[Date]])</f>
        <v>52</v>
      </c>
    </row>
    <row r="2612" spans="1:20" hidden="1">
      <c r="A2612" s="1"/>
      <c r="S2612" t="str">
        <f>TEXT(Table1[[#This Row],[Date]],"MMM-YY")</f>
        <v>Jan-00</v>
      </c>
      <c r="T2612">
        <f>_xlfn.ISOWEEKNUM(Table1[[#This Row],[Date]])</f>
        <v>52</v>
      </c>
    </row>
    <row r="2613" spans="1:20" hidden="1">
      <c r="A2613" s="1"/>
      <c r="S2613" t="str">
        <f>TEXT(Table1[[#This Row],[Date]],"MMM-YY")</f>
        <v>Jan-00</v>
      </c>
      <c r="T2613">
        <f>_xlfn.ISOWEEKNUM(Table1[[#This Row],[Date]])</f>
        <v>52</v>
      </c>
    </row>
    <row r="2614" spans="1:20" hidden="1">
      <c r="A2614" s="1"/>
      <c r="S2614" t="str">
        <f>TEXT(Table1[[#This Row],[Date]],"MMM-YY")</f>
        <v>Jan-00</v>
      </c>
      <c r="T2614">
        <f>_xlfn.ISOWEEKNUM(Table1[[#This Row],[Date]])</f>
        <v>52</v>
      </c>
    </row>
    <row r="2615" spans="1:20" hidden="1">
      <c r="A2615" s="1"/>
      <c r="S2615" t="str">
        <f>TEXT(Table1[[#This Row],[Date]],"MMM-YY")</f>
        <v>Jan-00</v>
      </c>
      <c r="T2615">
        <f>_xlfn.ISOWEEKNUM(Table1[[#This Row],[Date]])</f>
        <v>52</v>
      </c>
    </row>
    <row r="2616" spans="1:20" hidden="1">
      <c r="A2616" s="1"/>
      <c r="S2616" t="str">
        <f>TEXT(Table1[[#This Row],[Date]],"MMM-YY")</f>
        <v>Jan-00</v>
      </c>
      <c r="T2616">
        <f>_xlfn.ISOWEEKNUM(Table1[[#This Row],[Date]])</f>
        <v>52</v>
      </c>
    </row>
    <row r="2617" spans="1:20" hidden="1">
      <c r="A2617" s="1"/>
      <c r="S2617" t="str">
        <f>TEXT(Table1[[#This Row],[Date]],"MMM-YY")</f>
        <v>Jan-00</v>
      </c>
      <c r="T2617">
        <f>_xlfn.ISOWEEKNUM(Table1[[#This Row],[Date]])</f>
        <v>52</v>
      </c>
    </row>
    <row r="2618" spans="1:20" hidden="1">
      <c r="A2618" s="1"/>
      <c r="S2618" t="str">
        <f>TEXT(Table1[[#This Row],[Date]],"MMM-YY")</f>
        <v>Jan-00</v>
      </c>
      <c r="T2618">
        <f>_xlfn.ISOWEEKNUM(Table1[[#This Row],[Date]])</f>
        <v>52</v>
      </c>
    </row>
    <row r="2619" spans="1:20" hidden="1">
      <c r="A2619" s="1"/>
      <c r="S2619" t="str">
        <f>TEXT(Table1[[#This Row],[Date]],"MMM-YY")</f>
        <v>Jan-00</v>
      </c>
      <c r="T2619">
        <f>_xlfn.ISOWEEKNUM(Table1[[#This Row],[Date]])</f>
        <v>52</v>
      </c>
    </row>
    <row r="2620" spans="1:20" hidden="1">
      <c r="A2620" s="1"/>
      <c r="S2620" t="str">
        <f>TEXT(Table1[[#This Row],[Date]],"MMM-YY")</f>
        <v>Jan-00</v>
      </c>
      <c r="T2620">
        <f>_xlfn.ISOWEEKNUM(Table1[[#This Row],[Date]])</f>
        <v>52</v>
      </c>
    </row>
    <row r="2621" spans="1:20" hidden="1">
      <c r="A2621" s="1"/>
      <c r="S2621" t="str">
        <f>TEXT(Table1[[#This Row],[Date]],"MMM-YY")</f>
        <v>Jan-00</v>
      </c>
      <c r="T2621">
        <f>_xlfn.ISOWEEKNUM(Table1[[#This Row],[Date]])</f>
        <v>52</v>
      </c>
    </row>
    <row r="2622" spans="1:20" hidden="1">
      <c r="A2622" s="1"/>
      <c r="S2622" t="str">
        <f>TEXT(Table1[[#This Row],[Date]],"MMM-YY")</f>
        <v>Jan-00</v>
      </c>
      <c r="T2622">
        <f>_xlfn.ISOWEEKNUM(Table1[[#This Row],[Date]])</f>
        <v>52</v>
      </c>
    </row>
    <row r="2623" spans="1:20" hidden="1">
      <c r="A2623" s="1"/>
      <c r="S2623" t="str">
        <f>TEXT(Table1[[#This Row],[Date]],"MMM-YY")</f>
        <v>Jan-00</v>
      </c>
      <c r="T2623">
        <f>_xlfn.ISOWEEKNUM(Table1[[#This Row],[Date]])</f>
        <v>52</v>
      </c>
    </row>
    <row r="2624" spans="1:20" hidden="1">
      <c r="A2624" s="1"/>
      <c r="S2624" t="str">
        <f>TEXT(Table1[[#This Row],[Date]],"MMM-YY")</f>
        <v>Jan-00</v>
      </c>
      <c r="T2624">
        <f>_xlfn.ISOWEEKNUM(Table1[[#This Row],[Date]])</f>
        <v>52</v>
      </c>
    </row>
    <row r="2625" spans="1:20" hidden="1">
      <c r="A2625" s="1"/>
      <c r="S2625" t="str">
        <f>TEXT(Table1[[#This Row],[Date]],"MMM-YY")</f>
        <v>Jan-00</v>
      </c>
      <c r="T2625">
        <f>_xlfn.ISOWEEKNUM(Table1[[#This Row],[Date]])</f>
        <v>52</v>
      </c>
    </row>
    <row r="2626" spans="1:20" hidden="1">
      <c r="A2626" s="1"/>
      <c r="S2626" t="str">
        <f>TEXT(Table1[[#This Row],[Date]],"MMM-YY")</f>
        <v>Jan-00</v>
      </c>
      <c r="T2626">
        <f>_xlfn.ISOWEEKNUM(Table1[[#This Row],[Date]])</f>
        <v>52</v>
      </c>
    </row>
    <row r="2627" spans="1:20" hidden="1">
      <c r="A2627" s="1"/>
      <c r="S2627" t="str">
        <f>TEXT(Table1[[#This Row],[Date]],"MMM-YY")</f>
        <v>Jan-00</v>
      </c>
      <c r="T2627">
        <f>_xlfn.ISOWEEKNUM(Table1[[#This Row],[Date]])</f>
        <v>52</v>
      </c>
    </row>
    <row r="2628" spans="1:20" hidden="1">
      <c r="A2628" s="1"/>
      <c r="S2628" t="str">
        <f>TEXT(Table1[[#This Row],[Date]],"MMM-YY")</f>
        <v>Jan-00</v>
      </c>
      <c r="T2628">
        <f>_xlfn.ISOWEEKNUM(Table1[[#This Row],[Date]])</f>
        <v>52</v>
      </c>
    </row>
    <row r="2629" spans="1:20" hidden="1">
      <c r="A2629" s="1"/>
      <c r="S2629" t="str">
        <f>TEXT(Table1[[#This Row],[Date]],"MMM-YY")</f>
        <v>Jan-00</v>
      </c>
      <c r="T2629">
        <f>_xlfn.ISOWEEKNUM(Table1[[#This Row],[Date]])</f>
        <v>52</v>
      </c>
    </row>
    <row r="2630" spans="1:20" hidden="1">
      <c r="A2630" s="1"/>
      <c r="S2630" t="str">
        <f>TEXT(Table1[[#This Row],[Date]],"MMM-YY")</f>
        <v>Jan-00</v>
      </c>
      <c r="T2630">
        <f>_xlfn.ISOWEEKNUM(Table1[[#This Row],[Date]])</f>
        <v>52</v>
      </c>
    </row>
    <row r="2631" spans="1:20" hidden="1">
      <c r="A2631" s="1"/>
      <c r="S2631" t="str">
        <f>TEXT(Table1[[#This Row],[Date]],"MMM-YY")</f>
        <v>Jan-00</v>
      </c>
      <c r="T2631">
        <f>_xlfn.ISOWEEKNUM(Table1[[#This Row],[Date]])</f>
        <v>52</v>
      </c>
    </row>
    <row r="2632" spans="1:20" hidden="1">
      <c r="A2632" s="1"/>
      <c r="S2632" t="str">
        <f>TEXT(Table1[[#This Row],[Date]],"MMM-YY")</f>
        <v>Jan-00</v>
      </c>
      <c r="T2632">
        <f>_xlfn.ISOWEEKNUM(Table1[[#This Row],[Date]])</f>
        <v>52</v>
      </c>
    </row>
    <row r="2633" spans="1:20" hidden="1">
      <c r="A2633" s="1"/>
      <c r="S2633" t="str">
        <f>TEXT(Table1[[#This Row],[Date]],"MMM-YY")</f>
        <v>Jan-00</v>
      </c>
      <c r="T2633">
        <f>_xlfn.ISOWEEKNUM(Table1[[#This Row],[Date]])</f>
        <v>52</v>
      </c>
    </row>
    <row r="2634" spans="1:20" hidden="1">
      <c r="A2634" s="1"/>
      <c r="S2634" t="str">
        <f>TEXT(Table1[[#This Row],[Date]],"MMM-YY")</f>
        <v>Jan-00</v>
      </c>
      <c r="T2634">
        <f>_xlfn.ISOWEEKNUM(Table1[[#This Row],[Date]])</f>
        <v>52</v>
      </c>
    </row>
    <row r="2635" spans="1:20" hidden="1">
      <c r="A2635" s="1"/>
      <c r="S2635" t="str">
        <f>TEXT(Table1[[#This Row],[Date]],"MMM-YY")</f>
        <v>Jan-00</v>
      </c>
      <c r="T2635">
        <f>_xlfn.ISOWEEKNUM(Table1[[#This Row],[Date]])</f>
        <v>52</v>
      </c>
    </row>
    <row r="2636" spans="1:20" hidden="1">
      <c r="A2636" s="1"/>
      <c r="S2636" t="str">
        <f>TEXT(Table1[[#This Row],[Date]],"MMM-YY")</f>
        <v>Jan-00</v>
      </c>
      <c r="T2636">
        <f>_xlfn.ISOWEEKNUM(Table1[[#This Row],[Date]])</f>
        <v>52</v>
      </c>
    </row>
    <row r="2637" spans="1:20" hidden="1">
      <c r="A2637" s="1"/>
      <c r="S2637" t="str">
        <f>TEXT(Table1[[#This Row],[Date]],"MMM-YY")</f>
        <v>Jan-00</v>
      </c>
      <c r="T2637">
        <f>_xlfn.ISOWEEKNUM(Table1[[#This Row],[Date]])</f>
        <v>52</v>
      </c>
    </row>
    <row r="2638" spans="1:20" hidden="1">
      <c r="A2638" s="1"/>
      <c r="S2638" t="str">
        <f>TEXT(Table1[[#This Row],[Date]],"MMM-YY")</f>
        <v>Jan-00</v>
      </c>
      <c r="T2638">
        <f>_xlfn.ISOWEEKNUM(Table1[[#This Row],[Date]])</f>
        <v>52</v>
      </c>
    </row>
    <row r="2639" spans="1:20" hidden="1">
      <c r="A2639" s="1"/>
      <c r="S2639" t="str">
        <f>TEXT(Table1[[#This Row],[Date]],"MMM-YY")</f>
        <v>Jan-00</v>
      </c>
      <c r="T2639">
        <f>_xlfn.ISOWEEKNUM(Table1[[#This Row],[Date]])</f>
        <v>52</v>
      </c>
    </row>
    <row r="2640" spans="1:20" hidden="1">
      <c r="A2640" s="1"/>
      <c r="S2640" t="str">
        <f>TEXT(Table1[[#This Row],[Date]],"MMM-YY")</f>
        <v>Jan-00</v>
      </c>
      <c r="T2640">
        <f>_xlfn.ISOWEEKNUM(Table1[[#This Row],[Date]])</f>
        <v>52</v>
      </c>
    </row>
    <row r="2641" spans="1:20" hidden="1">
      <c r="A2641" s="1"/>
      <c r="S2641" t="str">
        <f>TEXT(Table1[[#This Row],[Date]],"MMM-YY")</f>
        <v>Jan-00</v>
      </c>
      <c r="T2641">
        <f>_xlfn.ISOWEEKNUM(Table1[[#This Row],[Date]])</f>
        <v>52</v>
      </c>
    </row>
    <row r="2642" spans="1:20" hidden="1">
      <c r="A2642" s="1"/>
      <c r="S2642" t="str">
        <f>TEXT(Table1[[#This Row],[Date]],"MMM-YY")</f>
        <v>Jan-00</v>
      </c>
      <c r="T2642">
        <f>_xlfn.ISOWEEKNUM(Table1[[#This Row],[Date]])</f>
        <v>52</v>
      </c>
    </row>
    <row r="2643" spans="1:20" hidden="1">
      <c r="A2643" s="1"/>
      <c r="S2643" t="str">
        <f>TEXT(Table1[[#This Row],[Date]],"MMM-YY")</f>
        <v>Jan-00</v>
      </c>
      <c r="T2643">
        <f>_xlfn.ISOWEEKNUM(Table1[[#This Row],[Date]])</f>
        <v>52</v>
      </c>
    </row>
    <row r="2644" spans="1:20" hidden="1">
      <c r="A2644" s="1"/>
      <c r="S2644" t="str">
        <f>TEXT(Table1[[#This Row],[Date]],"MMM-YY")</f>
        <v>Jan-00</v>
      </c>
      <c r="T2644">
        <f>_xlfn.ISOWEEKNUM(Table1[[#This Row],[Date]])</f>
        <v>52</v>
      </c>
    </row>
    <row r="2645" spans="1:20" hidden="1">
      <c r="A2645" s="1"/>
      <c r="S2645" t="str">
        <f>TEXT(Table1[[#This Row],[Date]],"MMM-YY")</f>
        <v>Jan-00</v>
      </c>
      <c r="T2645">
        <f>_xlfn.ISOWEEKNUM(Table1[[#This Row],[Date]])</f>
        <v>52</v>
      </c>
    </row>
    <row r="2646" spans="1:20" hidden="1">
      <c r="A2646" s="1"/>
      <c r="S2646" t="str">
        <f>TEXT(Table1[[#This Row],[Date]],"MMM-YY")</f>
        <v>Jan-00</v>
      </c>
      <c r="T2646">
        <f>_xlfn.ISOWEEKNUM(Table1[[#This Row],[Date]])</f>
        <v>52</v>
      </c>
    </row>
    <row r="2647" spans="1:20" hidden="1">
      <c r="A2647" s="1"/>
      <c r="S2647" t="str">
        <f>TEXT(Table1[[#This Row],[Date]],"MMM-YY")</f>
        <v>Jan-00</v>
      </c>
      <c r="T2647">
        <f>_xlfn.ISOWEEKNUM(Table1[[#This Row],[Date]])</f>
        <v>52</v>
      </c>
    </row>
    <row r="2648" spans="1:20" hidden="1">
      <c r="A2648" s="1"/>
      <c r="S2648" t="str">
        <f>TEXT(Table1[[#This Row],[Date]],"MMM-YY")</f>
        <v>Jan-00</v>
      </c>
      <c r="T2648">
        <f>_xlfn.ISOWEEKNUM(Table1[[#This Row],[Date]])</f>
        <v>52</v>
      </c>
    </row>
    <row r="2649" spans="1:20" hidden="1">
      <c r="A2649" s="1"/>
      <c r="S2649" t="str">
        <f>TEXT(Table1[[#This Row],[Date]],"MMM-YY")</f>
        <v>Jan-00</v>
      </c>
      <c r="T2649">
        <f>_xlfn.ISOWEEKNUM(Table1[[#This Row],[Date]])</f>
        <v>52</v>
      </c>
    </row>
    <row r="2650" spans="1:20" hidden="1">
      <c r="A2650" s="1"/>
      <c r="S2650" t="str">
        <f>TEXT(Table1[[#This Row],[Date]],"MMM-YY")</f>
        <v>Jan-00</v>
      </c>
      <c r="T2650">
        <f>_xlfn.ISOWEEKNUM(Table1[[#This Row],[Date]])</f>
        <v>52</v>
      </c>
    </row>
    <row r="2651" spans="1:20" hidden="1">
      <c r="A2651" s="1"/>
      <c r="S2651" t="str">
        <f>TEXT(Table1[[#This Row],[Date]],"MMM-YY")</f>
        <v>Jan-00</v>
      </c>
      <c r="T2651">
        <f>_xlfn.ISOWEEKNUM(Table1[[#This Row],[Date]])</f>
        <v>52</v>
      </c>
    </row>
    <row r="2652" spans="1:20" hidden="1">
      <c r="A2652" s="1"/>
      <c r="S2652" t="str">
        <f>TEXT(Table1[[#This Row],[Date]],"MMM-YY")</f>
        <v>Jan-00</v>
      </c>
      <c r="T2652">
        <f>_xlfn.ISOWEEKNUM(Table1[[#This Row],[Date]])</f>
        <v>52</v>
      </c>
    </row>
    <row r="2653" spans="1:20" hidden="1">
      <c r="A2653" s="1"/>
      <c r="S2653" t="str">
        <f>TEXT(Table1[[#This Row],[Date]],"MMM-YY")</f>
        <v>Jan-00</v>
      </c>
      <c r="T2653">
        <f>_xlfn.ISOWEEKNUM(Table1[[#This Row],[Date]])</f>
        <v>52</v>
      </c>
    </row>
    <row r="2654" spans="1:20" hidden="1">
      <c r="A2654" s="1"/>
      <c r="S2654" t="str">
        <f>TEXT(Table1[[#This Row],[Date]],"MMM-YY")</f>
        <v>Jan-00</v>
      </c>
      <c r="T2654">
        <f>_xlfn.ISOWEEKNUM(Table1[[#This Row],[Date]])</f>
        <v>52</v>
      </c>
    </row>
    <row r="2655" spans="1:20" hidden="1">
      <c r="A2655" s="1"/>
      <c r="S2655" t="str">
        <f>TEXT(Table1[[#This Row],[Date]],"MMM-YY")</f>
        <v>Jan-00</v>
      </c>
      <c r="T2655">
        <f>_xlfn.ISOWEEKNUM(Table1[[#This Row],[Date]])</f>
        <v>52</v>
      </c>
    </row>
    <row r="2656" spans="1:20" hidden="1">
      <c r="A2656" s="1"/>
      <c r="S2656" t="str">
        <f>TEXT(Table1[[#This Row],[Date]],"MMM-YY")</f>
        <v>Jan-00</v>
      </c>
      <c r="T2656">
        <f>_xlfn.ISOWEEKNUM(Table1[[#This Row],[Date]])</f>
        <v>52</v>
      </c>
    </row>
    <row r="2657" spans="1:20" hidden="1">
      <c r="A2657" s="1"/>
      <c r="S2657" t="str">
        <f>TEXT(Table1[[#This Row],[Date]],"MMM-YY")</f>
        <v>Jan-00</v>
      </c>
      <c r="T2657">
        <f>_xlfn.ISOWEEKNUM(Table1[[#This Row],[Date]])</f>
        <v>52</v>
      </c>
    </row>
    <row r="2658" spans="1:20" hidden="1">
      <c r="A2658" s="1"/>
      <c r="S2658" t="str">
        <f>TEXT(Table1[[#This Row],[Date]],"MMM-YY")</f>
        <v>Jan-00</v>
      </c>
      <c r="T2658">
        <f>_xlfn.ISOWEEKNUM(Table1[[#This Row],[Date]])</f>
        <v>52</v>
      </c>
    </row>
    <row r="2659" spans="1:20" hidden="1">
      <c r="A2659" s="1"/>
      <c r="S2659" t="str">
        <f>TEXT(Table1[[#This Row],[Date]],"MMM-YY")</f>
        <v>Jan-00</v>
      </c>
      <c r="T2659">
        <f>_xlfn.ISOWEEKNUM(Table1[[#This Row],[Date]])</f>
        <v>52</v>
      </c>
    </row>
    <row r="2660" spans="1:20" hidden="1">
      <c r="A2660" s="1"/>
      <c r="S2660" t="str">
        <f>TEXT(Table1[[#This Row],[Date]],"MMM-YY")</f>
        <v>Jan-00</v>
      </c>
      <c r="T2660">
        <f>_xlfn.ISOWEEKNUM(Table1[[#This Row],[Date]])</f>
        <v>52</v>
      </c>
    </row>
    <row r="2661" spans="1:20" hidden="1">
      <c r="A2661" s="1"/>
      <c r="S2661" t="str">
        <f>TEXT(Table1[[#This Row],[Date]],"MMM-YY")</f>
        <v>Jan-00</v>
      </c>
      <c r="T2661">
        <f>_xlfn.ISOWEEKNUM(Table1[[#This Row],[Date]])</f>
        <v>52</v>
      </c>
    </row>
    <row r="2662" spans="1:20" hidden="1">
      <c r="A2662" s="1"/>
      <c r="S2662" t="str">
        <f>TEXT(Table1[[#This Row],[Date]],"MMM-YY")</f>
        <v>Jan-00</v>
      </c>
      <c r="T2662">
        <f>_xlfn.ISOWEEKNUM(Table1[[#This Row],[Date]])</f>
        <v>52</v>
      </c>
    </row>
    <row r="2663" spans="1:20" hidden="1">
      <c r="A2663" s="1"/>
      <c r="S2663" t="str">
        <f>TEXT(Table1[[#This Row],[Date]],"MMM-YY")</f>
        <v>Jan-00</v>
      </c>
      <c r="T2663">
        <f>_xlfn.ISOWEEKNUM(Table1[[#This Row],[Date]])</f>
        <v>52</v>
      </c>
    </row>
    <row r="2664" spans="1:20" hidden="1">
      <c r="A2664" s="1"/>
      <c r="S2664" t="str">
        <f>TEXT(Table1[[#This Row],[Date]],"MMM-YY")</f>
        <v>Jan-00</v>
      </c>
      <c r="T2664">
        <f>_xlfn.ISOWEEKNUM(Table1[[#This Row],[Date]])</f>
        <v>52</v>
      </c>
    </row>
    <row r="2665" spans="1:20" hidden="1">
      <c r="A2665" s="1"/>
      <c r="S2665" t="str">
        <f>TEXT(Table1[[#This Row],[Date]],"MMM-YY")</f>
        <v>Jan-00</v>
      </c>
      <c r="T2665">
        <f>_xlfn.ISOWEEKNUM(Table1[[#This Row],[Date]])</f>
        <v>52</v>
      </c>
    </row>
    <row r="2666" spans="1:20" hidden="1">
      <c r="A2666" s="1"/>
      <c r="S2666" t="str">
        <f>TEXT(Table1[[#This Row],[Date]],"MMM-YY")</f>
        <v>Jan-00</v>
      </c>
      <c r="T2666">
        <f>_xlfn.ISOWEEKNUM(Table1[[#This Row],[Date]])</f>
        <v>52</v>
      </c>
    </row>
    <row r="2667" spans="1:20" hidden="1">
      <c r="A2667" s="1"/>
      <c r="S2667" t="str">
        <f>TEXT(Table1[[#This Row],[Date]],"MMM-YY")</f>
        <v>Jan-00</v>
      </c>
      <c r="T2667">
        <f>_xlfn.ISOWEEKNUM(Table1[[#This Row],[Date]])</f>
        <v>52</v>
      </c>
    </row>
    <row r="2668" spans="1:20" hidden="1">
      <c r="A2668" s="1"/>
      <c r="S2668" t="str">
        <f>TEXT(Table1[[#This Row],[Date]],"MMM-YY")</f>
        <v>Jan-00</v>
      </c>
      <c r="T2668">
        <f>_xlfn.ISOWEEKNUM(Table1[[#This Row],[Date]])</f>
        <v>52</v>
      </c>
    </row>
    <row r="2669" spans="1:20" hidden="1">
      <c r="A2669" s="1"/>
      <c r="S2669" t="str">
        <f>TEXT(Table1[[#This Row],[Date]],"MMM-YY")</f>
        <v>Jan-00</v>
      </c>
      <c r="T2669">
        <f>_xlfn.ISOWEEKNUM(Table1[[#This Row],[Date]])</f>
        <v>52</v>
      </c>
    </row>
    <row r="2670" spans="1:20" hidden="1">
      <c r="A2670" s="1"/>
      <c r="S2670" t="str">
        <f>TEXT(Table1[[#This Row],[Date]],"MMM-YY")</f>
        <v>Jan-00</v>
      </c>
      <c r="T2670">
        <f>_xlfn.ISOWEEKNUM(Table1[[#This Row],[Date]])</f>
        <v>52</v>
      </c>
    </row>
    <row r="2671" spans="1:20" hidden="1">
      <c r="A2671" s="1"/>
      <c r="S2671" t="str">
        <f>TEXT(Table1[[#This Row],[Date]],"MMM-YY")</f>
        <v>Jan-00</v>
      </c>
      <c r="T2671">
        <f>_xlfn.ISOWEEKNUM(Table1[[#This Row],[Date]])</f>
        <v>52</v>
      </c>
    </row>
    <row r="2672" spans="1:20" hidden="1">
      <c r="A2672" s="1"/>
      <c r="S2672" t="str">
        <f>TEXT(Table1[[#This Row],[Date]],"MMM-YY")</f>
        <v>Jan-00</v>
      </c>
      <c r="T2672">
        <f>_xlfn.ISOWEEKNUM(Table1[[#This Row],[Date]])</f>
        <v>52</v>
      </c>
    </row>
    <row r="2673" spans="1:20" hidden="1">
      <c r="A2673" s="1"/>
      <c r="S2673" t="str">
        <f>TEXT(Table1[[#This Row],[Date]],"MMM-YY")</f>
        <v>Jan-00</v>
      </c>
      <c r="T2673">
        <f>_xlfn.ISOWEEKNUM(Table1[[#This Row],[Date]])</f>
        <v>52</v>
      </c>
    </row>
    <row r="2674" spans="1:20" hidden="1">
      <c r="A2674" s="1"/>
      <c r="S2674" t="str">
        <f>TEXT(Table1[[#This Row],[Date]],"MMM-YY")</f>
        <v>Jan-00</v>
      </c>
      <c r="T2674">
        <f>_xlfn.ISOWEEKNUM(Table1[[#This Row],[Date]])</f>
        <v>52</v>
      </c>
    </row>
    <row r="2675" spans="1:20" hidden="1">
      <c r="A2675" s="1"/>
      <c r="S2675" t="str">
        <f>TEXT(Table1[[#This Row],[Date]],"MMM-YY")</f>
        <v>Jan-00</v>
      </c>
      <c r="T2675">
        <f>_xlfn.ISOWEEKNUM(Table1[[#This Row],[Date]])</f>
        <v>52</v>
      </c>
    </row>
    <row r="2676" spans="1:20" hidden="1">
      <c r="A2676" s="1"/>
      <c r="S2676" t="str">
        <f>TEXT(Table1[[#This Row],[Date]],"MMM-YY")</f>
        <v>Jan-00</v>
      </c>
      <c r="T2676">
        <f>_xlfn.ISOWEEKNUM(Table1[[#This Row],[Date]])</f>
        <v>52</v>
      </c>
    </row>
    <row r="2677" spans="1:20" hidden="1">
      <c r="A2677" s="1"/>
      <c r="S2677" t="str">
        <f>TEXT(Table1[[#This Row],[Date]],"MMM-YY")</f>
        <v>Jan-00</v>
      </c>
      <c r="T2677">
        <f>_xlfn.ISOWEEKNUM(Table1[[#This Row],[Date]])</f>
        <v>52</v>
      </c>
    </row>
    <row r="2678" spans="1:20" hidden="1">
      <c r="A2678" s="1"/>
      <c r="S2678" t="str">
        <f>TEXT(Table1[[#This Row],[Date]],"MMM-YY")</f>
        <v>Jan-00</v>
      </c>
      <c r="T2678">
        <f>_xlfn.ISOWEEKNUM(Table1[[#This Row],[Date]])</f>
        <v>52</v>
      </c>
    </row>
    <row r="2679" spans="1:20" hidden="1">
      <c r="A2679" s="1"/>
      <c r="S2679" t="str">
        <f>TEXT(Table1[[#This Row],[Date]],"MMM-YY")</f>
        <v>Jan-00</v>
      </c>
      <c r="T2679">
        <f>_xlfn.ISOWEEKNUM(Table1[[#This Row],[Date]])</f>
        <v>52</v>
      </c>
    </row>
    <row r="2680" spans="1:20" hidden="1">
      <c r="A2680" s="1"/>
      <c r="S2680" t="str">
        <f>TEXT(Table1[[#This Row],[Date]],"MMM-YY")</f>
        <v>Jan-00</v>
      </c>
      <c r="T2680">
        <f>_xlfn.ISOWEEKNUM(Table1[[#This Row],[Date]])</f>
        <v>52</v>
      </c>
    </row>
    <row r="2681" spans="1:20" hidden="1">
      <c r="A2681" s="1"/>
      <c r="S2681" t="str">
        <f>TEXT(Table1[[#This Row],[Date]],"MMM-YY")</f>
        <v>Jan-00</v>
      </c>
      <c r="T2681">
        <f>_xlfn.ISOWEEKNUM(Table1[[#This Row],[Date]])</f>
        <v>52</v>
      </c>
    </row>
    <row r="2682" spans="1:20" hidden="1">
      <c r="A2682" s="1"/>
      <c r="S2682" t="str">
        <f>TEXT(Table1[[#This Row],[Date]],"MMM-YY")</f>
        <v>Jan-00</v>
      </c>
      <c r="T2682">
        <f>_xlfn.ISOWEEKNUM(Table1[[#This Row],[Date]])</f>
        <v>52</v>
      </c>
    </row>
    <row r="2683" spans="1:20" hidden="1">
      <c r="A2683" s="1"/>
      <c r="S2683" t="str">
        <f>TEXT(Table1[[#This Row],[Date]],"MMM-YY")</f>
        <v>Jan-00</v>
      </c>
      <c r="T2683">
        <f>_xlfn.ISOWEEKNUM(Table1[[#This Row],[Date]])</f>
        <v>52</v>
      </c>
    </row>
    <row r="2684" spans="1:20" hidden="1">
      <c r="A2684" s="1"/>
      <c r="S2684" t="str">
        <f>TEXT(Table1[[#This Row],[Date]],"MMM-YY")</f>
        <v>Jan-00</v>
      </c>
      <c r="T2684">
        <f>_xlfn.ISOWEEKNUM(Table1[[#This Row],[Date]])</f>
        <v>52</v>
      </c>
    </row>
    <row r="2685" spans="1:20" hidden="1">
      <c r="A2685" s="1"/>
      <c r="S2685" t="str">
        <f>TEXT(Table1[[#This Row],[Date]],"MMM-YY")</f>
        <v>Jan-00</v>
      </c>
      <c r="T2685">
        <f>_xlfn.ISOWEEKNUM(Table1[[#This Row],[Date]])</f>
        <v>52</v>
      </c>
    </row>
    <row r="2686" spans="1:20" hidden="1">
      <c r="A2686" s="1"/>
      <c r="S2686" t="str">
        <f>TEXT(Table1[[#This Row],[Date]],"MMM-YY")</f>
        <v>Jan-00</v>
      </c>
      <c r="T2686">
        <f>_xlfn.ISOWEEKNUM(Table1[[#This Row],[Date]])</f>
        <v>52</v>
      </c>
    </row>
    <row r="2687" spans="1:20" hidden="1">
      <c r="A2687" s="1"/>
      <c r="S2687" t="str">
        <f>TEXT(Table1[[#This Row],[Date]],"MMM-YY")</f>
        <v>Jan-00</v>
      </c>
      <c r="T2687">
        <f>_xlfn.ISOWEEKNUM(Table1[[#This Row],[Date]])</f>
        <v>52</v>
      </c>
    </row>
    <row r="2688" spans="1:20" hidden="1">
      <c r="A2688" s="1"/>
      <c r="S2688" t="str">
        <f>TEXT(Table1[[#This Row],[Date]],"MMM-YY")</f>
        <v>Jan-00</v>
      </c>
      <c r="T2688">
        <f>_xlfn.ISOWEEKNUM(Table1[[#This Row],[Date]])</f>
        <v>52</v>
      </c>
    </row>
    <row r="2689" spans="1:20" hidden="1">
      <c r="A2689" s="1"/>
      <c r="S2689" t="str">
        <f>TEXT(Table1[[#This Row],[Date]],"MMM-YY")</f>
        <v>Jan-00</v>
      </c>
      <c r="T2689">
        <f>_xlfn.ISOWEEKNUM(Table1[[#This Row],[Date]])</f>
        <v>52</v>
      </c>
    </row>
    <row r="2690" spans="1:20" hidden="1">
      <c r="A2690" s="1"/>
      <c r="S2690" t="str">
        <f>TEXT(Table1[[#This Row],[Date]],"MMM-YY")</f>
        <v>Jan-00</v>
      </c>
      <c r="T2690">
        <f>_xlfn.ISOWEEKNUM(Table1[[#This Row],[Date]])</f>
        <v>52</v>
      </c>
    </row>
    <row r="2691" spans="1:20" hidden="1">
      <c r="A2691" s="1"/>
      <c r="S2691" t="str">
        <f>TEXT(Table1[[#This Row],[Date]],"MMM-YY")</f>
        <v>Jan-00</v>
      </c>
      <c r="T2691">
        <f>_xlfn.ISOWEEKNUM(Table1[[#This Row],[Date]])</f>
        <v>52</v>
      </c>
    </row>
    <row r="2692" spans="1:20" hidden="1">
      <c r="A2692" s="1"/>
      <c r="S2692" t="str">
        <f>TEXT(Table1[[#This Row],[Date]],"MMM-YY")</f>
        <v>Jan-00</v>
      </c>
      <c r="T2692">
        <f>_xlfn.ISOWEEKNUM(Table1[[#This Row],[Date]])</f>
        <v>52</v>
      </c>
    </row>
    <row r="2693" spans="1:20" hidden="1">
      <c r="A2693" s="1"/>
      <c r="S2693" t="str">
        <f>TEXT(Table1[[#This Row],[Date]],"MMM-YY")</f>
        <v>Jan-00</v>
      </c>
      <c r="T2693">
        <f>_xlfn.ISOWEEKNUM(Table1[[#This Row],[Date]])</f>
        <v>52</v>
      </c>
    </row>
    <row r="2694" spans="1:20" hidden="1">
      <c r="A2694" s="1"/>
      <c r="S2694" t="str">
        <f>TEXT(Table1[[#This Row],[Date]],"MMM-YY")</f>
        <v>Jan-00</v>
      </c>
      <c r="T2694">
        <f>_xlfn.ISOWEEKNUM(Table1[[#This Row],[Date]])</f>
        <v>52</v>
      </c>
    </row>
    <row r="2695" spans="1:20" hidden="1">
      <c r="A2695" s="1"/>
      <c r="S2695" t="str">
        <f>TEXT(Table1[[#This Row],[Date]],"MMM-YY")</f>
        <v>Jan-00</v>
      </c>
      <c r="T2695">
        <f>_xlfn.ISOWEEKNUM(Table1[[#This Row],[Date]])</f>
        <v>52</v>
      </c>
    </row>
    <row r="2696" spans="1:20" hidden="1">
      <c r="A2696" s="1"/>
      <c r="S2696" t="str">
        <f>TEXT(Table1[[#This Row],[Date]],"MMM-YY")</f>
        <v>Jan-00</v>
      </c>
      <c r="T2696">
        <f>_xlfn.ISOWEEKNUM(Table1[[#This Row],[Date]])</f>
        <v>52</v>
      </c>
    </row>
    <row r="2697" spans="1:20" hidden="1">
      <c r="A2697" s="1"/>
      <c r="S2697" t="str">
        <f>TEXT(Table1[[#This Row],[Date]],"MMM-YY")</f>
        <v>Jan-00</v>
      </c>
      <c r="T2697">
        <f>_xlfn.ISOWEEKNUM(Table1[[#This Row],[Date]])</f>
        <v>52</v>
      </c>
    </row>
    <row r="2698" spans="1:20" hidden="1">
      <c r="A2698" s="1"/>
      <c r="S2698" t="str">
        <f>TEXT(Table1[[#This Row],[Date]],"MMM-YY")</f>
        <v>Jan-00</v>
      </c>
      <c r="T2698">
        <f>_xlfn.ISOWEEKNUM(Table1[[#This Row],[Date]])</f>
        <v>52</v>
      </c>
    </row>
    <row r="2699" spans="1:20" hidden="1">
      <c r="A2699" s="1"/>
      <c r="S2699" t="str">
        <f>TEXT(Table1[[#This Row],[Date]],"MMM-YY")</f>
        <v>Jan-00</v>
      </c>
      <c r="T2699">
        <f>_xlfn.ISOWEEKNUM(Table1[[#This Row],[Date]])</f>
        <v>52</v>
      </c>
    </row>
    <row r="2700" spans="1:20" hidden="1">
      <c r="A2700" s="1"/>
      <c r="S2700" t="str">
        <f>TEXT(Table1[[#This Row],[Date]],"MMM-YY")</f>
        <v>Jan-00</v>
      </c>
      <c r="T2700">
        <f>_xlfn.ISOWEEKNUM(Table1[[#This Row],[Date]])</f>
        <v>52</v>
      </c>
    </row>
    <row r="2701" spans="1:20" hidden="1">
      <c r="A2701" s="1"/>
      <c r="S2701" t="str">
        <f>TEXT(Table1[[#This Row],[Date]],"MMM-YY")</f>
        <v>Jan-00</v>
      </c>
      <c r="T2701">
        <f>_xlfn.ISOWEEKNUM(Table1[[#This Row],[Date]])</f>
        <v>52</v>
      </c>
    </row>
    <row r="2702" spans="1:20" hidden="1">
      <c r="A2702" s="1"/>
      <c r="S2702" t="str">
        <f>TEXT(Table1[[#This Row],[Date]],"MMM-YY")</f>
        <v>Jan-00</v>
      </c>
      <c r="T2702">
        <f>_xlfn.ISOWEEKNUM(Table1[[#This Row],[Date]])</f>
        <v>52</v>
      </c>
    </row>
    <row r="2703" spans="1:20" hidden="1">
      <c r="A2703" s="1"/>
      <c r="S2703" t="str">
        <f>TEXT(Table1[[#This Row],[Date]],"MMM-YY")</f>
        <v>Jan-00</v>
      </c>
      <c r="T2703">
        <f>_xlfn.ISOWEEKNUM(Table1[[#This Row],[Date]])</f>
        <v>52</v>
      </c>
    </row>
    <row r="2704" spans="1:20" hidden="1">
      <c r="A2704" s="1"/>
      <c r="S2704" t="str">
        <f>TEXT(Table1[[#This Row],[Date]],"MMM-YY")</f>
        <v>Jan-00</v>
      </c>
      <c r="T2704">
        <f>_xlfn.ISOWEEKNUM(Table1[[#This Row],[Date]])</f>
        <v>52</v>
      </c>
    </row>
    <row r="2705" spans="1:20" hidden="1">
      <c r="A2705" s="1"/>
      <c r="S2705" t="str">
        <f>TEXT(Table1[[#This Row],[Date]],"MMM-YY")</f>
        <v>Jan-00</v>
      </c>
      <c r="T2705">
        <f>_xlfn.ISOWEEKNUM(Table1[[#This Row],[Date]])</f>
        <v>52</v>
      </c>
    </row>
    <row r="2706" spans="1:20" hidden="1">
      <c r="A2706" s="1"/>
      <c r="S2706" t="str">
        <f>TEXT(Table1[[#This Row],[Date]],"MMM-YY")</f>
        <v>Jan-00</v>
      </c>
      <c r="T2706">
        <f>_xlfn.ISOWEEKNUM(Table1[[#This Row],[Date]])</f>
        <v>52</v>
      </c>
    </row>
    <row r="2707" spans="1:20" hidden="1">
      <c r="A2707" s="1"/>
      <c r="S2707" t="str">
        <f>TEXT(Table1[[#This Row],[Date]],"MMM-YY")</f>
        <v>Jan-00</v>
      </c>
      <c r="T2707">
        <f>_xlfn.ISOWEEKNUM(Table1[[#This Row],[Date]])</f>
        <v>52</v>
      </c>
    </row>
    <row r="2708" spans="1:20" hidden="1">
      <c r="A2708" s="1"/>
      <c r="S2708" t="str">
        <f>TEXT(Table1[[#This Row],[Date]],"MMM-YY")</f>
        <v>Jan-00</v>
      </c>
      <c r="T2708">
        <f>_xlfn.ISOWEEKNUM(Table1[[#This Row],[Date]])</f>
        <v>52</v>
      </c>
    </row>
    <row r="2709" spans="1:20" hidden="1">
      <c r="A2709" s="1"/>
      <c r="S2709" t="str">
        <f>TEXT(Table1[[#This Row],[Date]],"MMM-YY")</f>
        <v>Jan-00</v>
      </c>
      <c r="T2709">
        <f>_xlfn.ISOWEEKNUM(Table1[[#This Row],[Date]])</f>
        <v>52</v>
      </c>
    </row>
    <row r="2710" spans="1:20" hidden="1">
      <c r="A2710" s="1"/>
      <c r="S2710" t="str">
        <f>TEXT(Table1[[#This Row],[Date]],"MMM-YY")</f>
        <v>Jan-00</v>
      </c>
      <c r="T2710">
        <f>_xlfn.ISOWEEKNUM(Table1[[#This Row],[Date]])</f>
        <v>52</v>
      </c>
    </row>
    <row r="2711" spans="1:20" hidden="1">
      <c r="A2711" s="1"/>
      <c r="S2711" t="str">
        <f>TEXT(Table1[[#This Row],[Date]],"MMM-YY")</f>
        <v>Jan-00</v>
      </c>
      <c r="T2711">
        <f>_xlfn.ISOWEEKNUM(Table1[[#This Row],[Date]])</f>
        <v>52</v>
      </c>
    </row>
    <row r="2712" spans="1:20" hidden="1">
      <c r="A2712" s="1"/>
      <c r="S2712" t="str">
        <f>TEXT(Table1[[#This Row],[Date]],"MMM-YY")</f>
        <v>Jan-00</v>
      </c>
      <c r="T2712">
        <f>_xlfn.ISOWEEKNUM(Table1[[#This Row],[Date]])</f>
        <v>52</v>
      </c>
    </row>
    <row r="2713" spans="1:20" hidden="1">
      <c r="A2713" s="1"/>
      <c r="S2713" t="str">
        <f>TEXT(Table1[[#This Row],[Date]],"MMM-YY")</f>
        <v>Jan-00</v>
      </c>
      <c r="T2713">
        <f>_xlfn.ISOWEEKNUM(Table1[[#This Row],[Date]])</f>
        <v>52</v>
      </c>
    </row>
    <row r="2714" spans="1:20" hidden="1">
      <c r="A2714" s="1"/>
      <c r="S2714" t="str">
        <f>TEXT(Table1[[#This Row],[Date]],"MMM-YY")</f>
        <v>Jan-00</v>
      </c>
      <c r="T2714">
        <f>_xlfn.ISOWEEKNUM(Table1[[#This Row],[Date]])</f>
        <v>52</v>
      </c>
    </row>
    <row r="2715" spans="1:20" hidden="1">
      <c r="A2715" s="1"/>
      <c r="S2715" t="str">
        <f>TEXT(Table1[[#This Row],[Date]],"MMM-YY")</f>
        <v>Jan-00</v>
      </c>
      <c r="T2715">
        <f>_xlfn.ISOWEEKNUM(Table1[[#This Row],[Date]])</f>
        <v>52</v>
      </c>
    </row>
    <row r="2716" spans="1:20" hidden="1">
      <c r="A2716" s="1"/>
      <c r="S2716" t="str">
        <f>TEXT(Table1[[#This Row],[Date]],"MMM-YY")</f>
        <v>Jan-00</v>
      </c>
      <c r="T2716">
        <f>_xlfn.ISOWEEKNUM(Table1[[#This Row],[Date]])</f>
        <v>52</v>
      </c>
    </row>
    <row r="2717" spans="1:20" hidden="1">
      <c r="A2717" s="1"/>
      <c r="S2717" t="str">
        <f>TEXT(Table1[[#This Row],[Date]],"MMM-YY")</f>
        <v>Jan-00</v>
      </c>
      <c r="T2717">
        <f>_xlfn.ISOWEEKNUM(Table1[[#This Row],[Date]])</f>
        <v>52</v>
      </c>
    </row>
    <row r="2718" spans="1:20" hidden="1">
      <c r="A2718" s="1"/>
      <c r="S2718" t="str">
        <f>TEXT(Table1[[#This Row],[Date]],"MMM-YY")</f>
        <v>Jan-00</v>
      </c>
      <c r="T2718">
        <f>_xlfn.ISOWEEKNUM(Table1[[#This Row],[Date]])</f>
        <v>52</v>
      </c>
    </row>
    <row r="2719" spans="1:20" hidden="1">
      <c r="A2719" s="1"/>
      <c r="S2719" t="str">
        <f>TEXT(Table1[[#This Row],[Date]],"MMM-YY")</f>
        <v>Jan-00</v>
      </c>
      <c r="T2719">
        <f>_xlfn.ISOWEEKNUM(Table1[[#This Row],[Date]])</f>
        <v>52</v>
      </c>
    </row>
    <row r="2720" spans="1:20" hidden="1">
      <c r="A2720" s="1"/>
      <c r="S2720" t="str">
        <f>TEXT(Table1[[#This Row],[Date]],"MMM-YY")</f>
        <v>Jan-00</v>
      </c>
      <c r="T2720">
        <f>_xlfn.ISOWEEKNUM(Table1[[#This Row],[Date]])</f>
        <v>52</v>
      </c>
    </row>
    <row r="2721" spans="1:20" hidden="1">
      <c r="A2721" s="1"/>
      <c r="S2721" t="str">
        <f>TEXT(Table1[[#This Row],[Date]],"MMM-YY")</f>
        <v>Jan-00</v>
      </c>
      <c r="T2721">
        <f>_xlfn.ISOWEEKNUM(Table1[[#This Row],[Date]])</f>
        <v>52</v>
      </c>
    </row>
    <row r="2722" spans="1:20" hidden="1">
      <c r="A2722" s="1"/>
      <c r="S2722" t="str">
        <f>TEXT(Table1[[#This Row],[Date]],"MMM-YY")</f>
        <v>Jan-00</v>
      </c>
      <c r="T2722">
        <f>_xlfn.ISOWEEKNUM(Table1[[#This Row],[Date]])</f>
        <v>52</v>
      </c>
    </row>
    <row r="2723" spans="1:20" hidden="1">
      <c r="A2723" s="1"/>
      <c r="S2723" t="str">
        <f>TEXT(Table1[[#This Row],[Date]],"MMM-YY")</f>
        <v>Jan-00</v>
      </c>
      <c r="T2723">
        <f>_xlfn.ISOWEEKNUM(Table1[[#This Row],[Date]])</f>
        <v>52</v>
      </c>
    </row>
    <row r="2724" spans="1:20" hidden="1">
      <c r="A2724" s="1"/>
      <c r="S2724" t="str">
        <f>TEXT(Table1[[#This Row],[Date]],"MMM-YY")</f>
        <v>Jan-00</v>
      </c>
      <c r="T2724">
        <f>_xlfn.ISOWEEKNUM(Table1[[#This Row],[Date]])</f>
        <v>52</v>
      </c>
    </row>
    <row r="2725" spans="1:20" hidden="1">
      <c r="A2725" s="1"/>
      <c r="S2725" t="str">
        <f>TEXT(Table1[[#This Row],[Date]],"MMM-YY")</f>
        <v>Jan-00</v>
      </c>
      <c r="T2725">
        <f>_xlfn.ISOWEEKNUM(Table1[[#This Row],[Date]])</f>
        <v>52</v>
      </c>
    </row>
    <row r="2726" spans="1:20" hidden="1">
      <c r="A2726" s="1"/>
      <c r="S2726" t="str">
        <f>TEXT(Table1[[#This Row],[Date]],"MMM-YY")</f>
        <v>Jan-00</v>
      </c>
      <c r="T2726">
        <f>_xlfn.ISOWEEKNUM(Table1[[#This Row],[Date]])</f>
        <v>52</v>
      </c>
    </row>
    <row r="2727" spans="1:20" hidden="1">
      <c r="A2727" s="1"/>
      <c r="S2727" t="str">
        <f>TEXT(Table1[[#This Row],[Date]],"MMM-YY")</f>
        <v>Jan-00</v>
      </c>
      <c r="T2727">
        <f>_xlfn.ISOWEEKNUM(Table1[[#This Row],[Date]])</f>
        <v>52</v>
      </c>
    </row>
    <row r="2728" spans="1:20" hidden="1">
      <c r="A2728" s="1"/>
      <c r="S2728" t="str">
        <f>TEXT(Table1[[#This Row],[Date]],"MMM-YY")</f>
        <v>Jan-00</v>
      </c>
      <c r="T2728">
        <f>_xlfn.ISOWEEKNUM(Table1[[#This Row],[Date]])</f>
        <v>52</v>
      </c>
    </row>
    <row r="2729" spans="1:20" hidden="1">
      <c r="A2729" s="1"/>
      <c r="S2729" t="str">
        <f>TEXT(Table1[[#This Row],[Date]],"MMM-YY")</f>
        <v>Jan-00</v>
      </c>
      <c r="T2729">
        <f>_xlfn.ISOWEEKNUM(Table1[[#This Row],[Date]])</f>
        <v>52</v>
      </c>
    </row>
    <row r="2730" spans="1:20" hidden="1">
      <c r="A2730" s="1"/>
      <c r="S2730" t="str">
        <f>TEXT(Table1[[#This Row],[Date]],"MMM-YY")</f>
        <v>Jan-00</v>
      </c>
      <c r="T2730">
        <f>_xlfn.ISOWEEKNUM(Table1[[#This Row],[Date]])</f>
        <v>52</v>
      </c>
    </row>
    <row r="2731" spans="1:20" hidden="1">
      <c r="A2731" s="1"/>
      <c r="S2731" t="str">
        <f>TEXT(Table1[[#This Row],[Date]],"MMM-YY")</f>
        <v>Jan-00</v>
      </c>
      <c r="T2731">
        <f>_xlfn.ISOWEEKNUM(Table1[[#This Row],[Date]])</f>
        <v>52</v>
      </c>
    </row>
    <row r="2732" spans="1:20" hidden="1">
      <c r="A2732" s="1"/>
      <c r="S2732" t="str">
        <f>TEXT(Table1[[#This Row],[Date]],"MMM-YY")</f>
        <v>Jan-00</v>
      </c>
      <c r="T2732">
        <f>_xlfn.ISOWEEKNUM(Table1[[#This Row],[Date]])</f>
        <v>52</v>
      </c>
    </row>
    <row r="2733" spans="1:20" hidden="1">
      <c r="A2733" s="1"/>
      <c r="S2733" t="str">
        <f>TEXT(Table1[[#This Row],[Date]],"MMM-YY")</f>
        <v>Jan-00</v>
      </c>
      <c r="T2733">
        <f>_xlfn.ISOWEEKNUM(Table1[[#This Row],[Date]])</f>
        <v>52</v>
      </c>
    </row>
    <row r="2734" spans="1:20" hidden="1">
      <c r="A2734" s="1"/>
      <c r="S2734" t="str">
        <f>TEXT(Table1[[#This Row],[Date]],"MMM-YY")</f>
        <v>Jan-00</v>
      </c>
      <c r="T2734">
        <f>_xlfn.ISOWEEKNUM(Table1[[#This Row],[Date]])</f>
        <v>52</v>
      </c>
    </row>
    <row r="2735" spans="1:20" hidden="1">
      <c r="A2735" s="1"/>
      <c r="S2735" t="str">
        <f>TEXT(Table1[[#This Row],[Date]],"MMM-YY")</f>
        <v>Jan-00</v>
      </c>
      <c r="T2735">
        <f>_xlfn.ISOWEEKNUM(Table1[[#This Row],[Date]])</f>
        <v>52</v>
      </c>
    </row>
    <row r="2736" spans="1:20" hidden="1">
      <c r="A2736" s="1"/>
      <c r="S2736" t="str">
        <f>TEXT(Table1[[#This Row],[Date]],"MMM-YY")</f>
        <v>Jan-00</v>
      </c>
      <c r="T2736">
        <f>_xlfn.ISOWEEKNUM(Table1[[#This Row],[Date]])</f>
        <v>52</v>
      </c>
    </row>
    <row r="2737" spans="1:20" hidden="1">
      <c r="A2737" s="1"/>
      <c r="S2737" t="str">
        <f>TEXT(Table1[[#This Row],[Date]],"MMM-YY")</f>
        <v>Jan-00</v>
      </c>
      <c r="T2737">
        <f>_xlfn.ISOWEEKNUM(Table1[[#This Row],[Date]])</f>
        <v>52</v>
      </c>
    </row>
    <row r="2738" spans="1:20" hidden="1">
      <c r="A2738" s="1"/>
      <c r="S2738" t="str">
        <f>TEXT(Table1[[#This Row],[Date]],"MMM-YY")</f>
        <v>Jan-00</v>
      </c>
      <c r="T2738">
        <f>_xlfn.ISOWEEKNUM(Table1[[#This Row],[Date]])</f>
        <v>52</v>
      </c>
    </row>
    <row r="2739" spans="1:20" hidden="1">
      <c r="A2739" s="1"/>
      <c r="S2739" t="str">
        <f>TEXT(Table1[[#This Row],[Date]],"MMM-YY")</f>
        <v>Jan-00</v>
      </c>
      <c r="T2739">
        <f>_xlfn.ISOWEEKNUM(Table1[[#This Row],[Date]])</f>
        <v>52</v>
      </c>
    </row>
    <row r="2740" spans="1:20" hidden="1">
      <c r="A2740" s="1"/>
      <c r="S2740" t="str">
        <f>TEXT(Table1[[#This Row],[Date]],"MMM-YY")</f>
        <v>Jan-00</v>
      </c>
      <c r="T2740">
        <f>_xlfn.ISOWEEKNUM(Table1[[#This Row],[Date]])</f>
        <v>52</v>
      </c>
    </row>
    <row r="2741" spans="1:20" hidden="1">
      <c r="A2741" s="1"/>
      <c r="S2741" t="str">
        <f>TEXT(Table1[[#This Row],[Date]],"MMM-YY")</f>
        <v>Jan-00</v>
      </c>
      <c r="T2741">
        <f>_xlfn.ISOWEEKNUM(Table1[[#This Row],[Date]])</f>
        <v>52</v>
      </c>
    </row>
    <row r="2742" spans="1:20" hidden="1">
      <c r="A2742" s="1"/>
      <c r="S2742" t="str">
        <f>TEXT(Table1[[#This Row],[Date]],"MMM-YY")</f>
        <v>Jan-00</v>
      </c>
      <c r="T2742">
        <f>_xlfn.ISOWEEKNUM(Table1[[#This Row],[Date]])</f>
        <v>52</v>
      </c>
    </row>
    <row r="2743" spans="1:20" hidden="1">
      <c r="A2743" s="1"/>
      <c r="S2743" t="str">
        <f>TEXT(Table1[[#This Row],[Date]],"MMM-YY")</f>
        <v>Jan-00</v>
      </c>
      <c r="T2743">
        <f>_xlfn.ISOWEEKNUM(Table1[[#This Row],[Date]])</f>
        <v>52</v>
      </c>
    </row>
    <row r="2744" spans="1:20" hidden="1">
      <c r="A2744" s="1"/>
      <c r="S2744" t="str">
        <f>TEXT(Table1[[#This Row],[Date]],"MMM-YY")</f>
        <v>Jan-00</v>
      </c>
      <c r="T2744">
        <f>_xlfn.ISOWEEKNUM(Table1[[#This Row],[Date]])</f>
        <v>52</v>
      </c>
    </row>
    <row r="2745" spans="1:20" hidden="1">
      <c r="A2745" s="1"/>
      <c r="S2745" t="str">
        <f>TEXT(Table1[[#This Row],[Date]],"MMM-YY")</f>
        <v>Jan-00</v>
      </c>
      <c r="T2745">
        <f>_xlfn.ISOWEEKNUM(Table1[[#This Row],[Date]])</f>
        <v>52</v>
      </c>
    </row>
    <row r="2746" spans="1:20" hidden="1">
      <c r="A2746" s="1"/>
      <c r="S2746" t="str">
        <f>TEXT(Table1[[#This Row],[Date]],"MMM-YY")</f>
        <v>Jan-00</v>
      </c>
      <c r="T2746">
        <f>_xlfn.ISOWEEKNUM(Table1[[#This Row],[Date]])</f>
        <v>52</v>
      </c>
    </row>
    <row r="2747" spans="1:20" hidden="1">
      <c r="A2747" s="1"/>
      <c r="S2747" t="str">
        <f>TEXT(Table1[[#This Row],[Date]],"MMM-YY")</f>
        <v>Jan-00</v>
      </c>
      <c r="T2747">
        <f>_xlfn.ISOWEEKNUM(Table1[[#This Row],[Date]])</f>
        <v>52</v>
      </c>
    </row>
    <row r="2748" spans="1:20" hidden="1">
      <c r="A2748" s="1"/>
      <c r="S2748" t="str">
        <f>TEXT(Table1[[#This Row],[Date]],"MMM-YY")</f>
        <v>Jan-00</v>
      </c>
      <c r="T2748">
        <f>_xlfn.ISOWEEKNUM(Table1[[#This Row],[Date]])</f>
        <v>52</v>
      </c>
    </row>
    <row r="2749" spans="1:20" hidden="1">
      <c r="A2749" s="1"/>
      <c r="S2749" t="str">
        <f>TEXT(Table1[[#This Row],[Date]],"MMM-YY")</f>
        <v>Jan-00</v>
      </c>
      <c r="T2749">
        <f>_xlfn.ISOWEEKNUM(Table1[[#This Row],[Date]])</f>
        <v>52</v>
      </c>
    </row>
    <row r="2750" spans="1:20" hidden="1">
      <c r="A2750" s="1"/>
      <c r="S2750" t="str">
        <f>TEXT(Table1[[#This Row],[Date]],"MMM-YY")</f>
        <v>Jan-00</v>
      </c>
      <c r="T2750">
        <f>_xlfn.ISOWEEKNUM(Table1[[#This Row],[Date]])</f>
        <v>52</v>
      </c>
    </row>
    <row r="2751" spans="1:20" hidden="1">
      <c r="A2751" s="1"/>
      <c r="S2751" t="str">
        <f>TEXT(Table1[[#This Row],[Date]],"MMM-YY")</f>
        <v>Jan-00</v>
      </c>
      <c r="T2751">
        <f>_xlfn.ISOWEEKNUM(Table1[[#This Row],[Date]])</f>
        <v>52</v>
      </c>
    </row>
    <row r="2752" spans="1:20" hidden="1">
      <c r="A2752" s="1"/>
      <c r="S2752" t="str">
        <f>TEXT(Table1[[#This Row],[Date]],"MMM-YY")</f>
        <v>Jan-00</v>
      </c>
      <c r="T2752">
        <f>_xlfn.ISOWEEKNUM(Table1[[#This Row],[Date]])</f>
        <v>52</v>
      </c>
    </row>
    <row r="2753" spans="1:20" hidden="1">
      <c r="A2753" s="1"/>
      <c r="S2753" t="str">
        <f>TEXT(Table1[[#This Row],[Date]],"MMM-YY")</f>
        <v>Jan-00</v>
      </c>
      <c r="T2753">
        <f>_xlfn.ISOWEEKNUM(Table1[[#This Row],[Date]])</f>
        <v>52</v>
      </c>
    </row>
    <row r="2754" spans="1:20" hidden="1">
      <c r="A2754" s="1"/>
      <c r="S2754" t="str">
        <f>TEXT(Table1[[#This Row],[Date]],"MMM-YY")</f>
        <v>Jan-00</v>
      </c>
      <c r="T2754">
        <f>_xlfn.ISOWEEKNUM(Table1[[#This Row],[Date]])</f>
        <v>52</v>
      </c>
    </row>
    <row r="2755" spans="1:20" hidden="1">
      <c r="A2755" s="1"/>
      <c r="S2755" t="str">
        <f>TEXT(Table1[[#This Row],[Date]],"MMM-YY")</f>
        <v>Jan-00</v>
      </c>
      <c r="T2755">
        <f>_xlfn.ISOWEEKNUM(Table1[[#This Row],[Date]])</f>
        <v>52</v>
      </c>
    </row>
    <row r="2756" spans="1:20" hidden="1">
      <c r="A2756" s="1"/>
      <c r="S2756" t="str">
        <f>TEXT(Table1[[#This Row],[Date]],"MMM-YY")</f>
        <v>Jan-00</v>
      </c>
      <c r="T2756">
        <f>_xlfn.ISOWEEKNUM(Table1[[#This Row],[Date]])</f>
        <v>52</v>
      </c>
    </row>
    <row r="2757" spans="1:20" hidden="1">
      <c r="A2757" s="1"/>
      <c r="S2757" t="str">
        <f>TEXT(Table1[[#This Row],[Date]],"MMM-YY")</f>
        <v>Jan-00</v>
      </c>
      <c r="T2757">
        <f>_xlfn.ISOWEEKNUM(Table1[[#This Row],[Date]])</f>
        <v>52</v>
      </c>
    </row>
    <row r="2758" spans="1:20" hidden="1">
      <c r="A2758" s="1"/>
      <c r="S2758" t="str">
        <f>TEXT(Table1[[#This Row],[Date]],"MMM-YY")</f>
        <v>Jan-00</v>
      </c>
      <c r="T2758">
        <f>_xlfn.ISOWEEKNUM(Table1[[#This Row],[Date]])</f>
        <v>52</v>
      </c>
    </row>
    <row r="2759" spans="1:20" hidden="1">
      <c r="A2759" s="1"/>
      <c r="S2759" t="str">
        <f>TEXT(Table1[[#This Row],[Date]],"MMM-YY")</f>
        <v>Jan-00</v>
      </c>
      <c r="T2759">
        <f>_xlfn.ISOWEEKNUM(Table1[[#This Row],[Date]])</f>
        <v>52</v>
      </c>
    </row>
    <row r="2760" spans="1:20" hidden="1">
      <c r="A2760" s="1"/>
      <c r="S2760" t="str">
        <f>TEXT(Table1[[#This Row],[Date]],"MMM-YY")</f>
        <v>Jan-00</v>
      </c>
      <c r="T2760">
        <f>_xlfn.ISOWEEKNUM(Table1[[#This Row],[Date]])</f>
        <v>52</v>
      </c>
    </row>
    <row r="2761" spans="1:20" hidden="1">
      <c r="A2761" s="1"/>
      <c r="S2761" t="str">
        <f>TEXT(Table1[[#This Row],[Date]],"MMM-YY")</f>
        <v>Jan-00</v>
      </c>
      <c r="T2761">
        <f>_xlfn.ISOWEEKNUM(Table1[[#This Row],[Date]])</f>
        <v>52</v>
      </c>
    </row>
    <row r="2762" spans="1:20" hidden="1">
      <c r="A2762" s="1"/>
      <c r="S2762" t="str">
        <f>TEXT(Table1[[#This Row],[Date]],"MMM-YY")</f>
        <v>Jan-00</v>
      </c>
      <c r="T2762">
        <f>_xlfn.ISOWEEKNUM(Table1[[#This Row],[Date]])</f>
        <v>52</v>
      </c>
    </row>
    <row r="2763" spans="1:20" hidden="1">
      <c r="A2763" s="1"/>
      <c r="S2763" t="str">
        <f>TEXT(Table1[[#This Row],[Date]],"MMM-YY")</f>
        <v>Jan-00</v>
      </c>
      <c r="T2763">
        <f>_xlfn.ISOWEEKNUM(Table1[[#This Row],[Date]])</f>
        <v>52</v>
      </c>
    </row>
    <row r="2764" spans="1:20" hidden="1">
      <c r="A2764" s="1"/>
      <c r="S2764" t="str">
        <f>TEXT(Table1[[#This Row],[Date]],"MMM-YY")</f>
        <v>Jan-00</v>
      </c>
      <c r="T2764">
        <f>_xlfn.ISOWEEKNUM(Table1[[#This Row],[Date]])</f>
        <v>52</v>
      </c>
    </row>
    <row r="2765" spans="1:20" hidden="1">
      <c r="A2765" s="1"/>
      <c r="S2765" t="str">
        <f>TEXT(Table1[[#This Row],[Date]],"MMM-YY")</f>
        <v>Jan-00</v>
      </c>
      <c r="T2765">
        <f>_xlfn.ISOWEEKNUM(Table1[[#This Row],[Date]])</f>
        <v>52</v>
      </c>
    </row>
    <row r="2766" spans="1:20" hidden="1">
      <c r="A2766" s="1"/>
      <c r="S2766" t="str">
        <f>TEXT(Table1[[#This Row],[Date]],"MMM-YY")</f>
        <v>Jan-00</v>
      </c>
      <c r="T2766">
        <f>_xlfn.ISOWEEKNUM(Table1[[#This Row],[Date]])</f>
        <v>52</v>
      </c>
    </row>
    <row r="2767" spans="1:20" hidden="1">
      <c r="A2767" s="1"/>
      <c r="S2767" t="str">
        <f>TEXT(Table1[[#This Row],[Date]],"MMM-YY")</f>
        <v>Jan-00</v>
      </c>
      <c r="T2767">
        <f>_xlfn.ISOWEEKNUM(Table1[[#This Row],[Date]])</f>
        <v>52</v>
      </c>
    </row>
    <row r="2768" spans="1:20" hidden="1">
      <c r="A2768" s="1"/>
      <c r="S2768" t="str">
        <f>TEXT(Table1[[#This Row],[Date]],"MMM-YY")</f>
        <v>Jan-00</v>
      </c>
      <c r="T2768">
        <f>_xlfn.ISOWEEKNUM(Table1[[#This Row],[Date]])</f>
        <v>52</v>
      </c>
    </row>
    <row r="2769" spans="1:20" hidden="1">
      <c r="A2769" s="1"/>
      <c r="S2769" t="str">
        <f>TEXT(Table1[[#This Row],[Date]],"MMM-YY")</f>
        <v>Jan-00</v>
      </c>
      <c r="T2769">
        <f>_xlfn.ISOWEEKNUM(Table1[[#This Row],[Date]])</f>
        <v>52</v>
      </c>
    </row>
    <row r="2770" spans="1:20" hidden="1">
      <c r="A2770" s="1"/>
      <c r="S2770" t="str">
        <f>TEXT(Table1[[#This Row],[Date]],"MMM-YY")</f>
        <v>Jan-00</v>
      </c>
      <c r="T2770">
        <f>_xlfn.ISOWEEKNUM(Table1[[#This Row],[Date]])</f>
        <v>52</v>
      </c>
    </row>
    <row r="2771" spans="1:20" hidden="1">
      <c r="A2771" s="1"/>
      <c r="S2771" t="str">
        <f>TEXT(Table1[[#This Row],[Date]],"MMM-YY")</f>
        <v>Jan-00</v>
      </c>
      <c r="T2771">
        <f>_xlfn.ISOWEEKNUM(Table1[[#This Row],[Date]])</f>
        <v>52</v>
      </c>
    </row>
    <row r="2772" spans="1:20" hidden="1">
      <c r="A2772" s="1"/>
      <c r="S2772" t="str">
        <f>TEXT(Table1[[#This Row],[Date]],"MMM-YY")</f>
        <v>Jan-00</v>
      </c>
      <c r="T2772">
        <f>_xlfn.ISOWEEKNUM(Table1[[#This Row],[Date]])</f>
        <v>52</v>
      </c>
    </row>
    <row r="2773" spans="1:20" hidden="1">
      <c r="A2773" s="1"/>
      <c r="S2773" t="str">
        <f>TEXT(Table1[[#This Row],[Date]],"MMM-YY")</f>
        <v>Jan-00</v>
      </c>
      <c r="T2773">
        <f>_xlfn.ISOWEEKNUM(Table1[[#This Row],[Date]])</f>
        <v>52</v>
      </c>
    </row>
    <row r="2774" spans="1:20" hidden="1">
      <c r="A2774" s="1"/>
      <c r="S2774" t="str">
        <f>TEXT(Table1[[#This Row],[Date]],"MMM-YY")</f>
        <v>Jan-00</v>
      </c>
      <c r="T2774">
        <f>_xlfn.ISOWEEKNUM(Table1[[#This Row],[Date]])</f>
        <v>52</v>
      </c>
    </row>
    <row r="2775" spans="1:20" hidden="1">
      <c r="A2775" s="1"/>
      <c r="S2775" t="str">
        <f>TEXT(Table1[[#This Row],[Date]],"MMM-YY")</f>
        <v>Jan-00</v>
      </c>
      <c r="T2775">
        <f>_xlfn.ISOWEEKNUM(Table1[[#This Row],[Date]])</f>
        <v>52</v>
      </c>
    </row>
    <row r="2776" spans="1:20" hidden="1">
      <c r="A2776" s="1"/>
      <c r="S2776" t="str">
        <f>TEXT(Table1[[#This Row],[Date]],"MMM-YY")</f>
        <v>Jan-00</v>
      </c>
      <c r="T2776">
        <f>_xlfn.ISOWEEKNUM(Table1[[#This Row],[Date]])</f>
        <v>52</v>
      </c>
    </row>
    <row r="2777" spans="1:20" hidden="1">
      <c r="A2777" s="1"/>
      <c r="S2777" t="str">
        <f>TEXT(Table1[[#This Row],[Date]],"MMM-YY")</f>
        <v>Jan-00</v>
      </c>
      <c r="T2777">
        <f>_xlfn.ISOWEEKNUM(Table1[[#This Row],[Date]])</f>
        <v>52</v>
      </c>
    </row>
    <row r="2778" spans="1:20" hidden="1">
      <c r="A2778" s="1"/>
      <c r="S2778" t="str">
        <f>TEXT(Table1[[#This Row],[Date]],"MMM-YY")</f>
        <v>Jan-00</v>
      </c>
      <c r="T2778">
        <f>_xlfn.ISOWEEKNUM(Table1[[#This Row],[Date]])</f>
        <v>52</v>
      </c>
    </row>
    <row r="2779" spans="1:20" hidden="1">
      <c r="A2779" s="1"/>
      <c r="S2779" t="str">
        <f>TEXT(Table1[[#This Row],[Date]],"MMM-YY")</f>
        <v>Jan-00</v>
      </c>
      <c r="T2779">
        <f>_xlfn.ISOWEEKNUM(Table1[[#This Row],[Date]])</f>
        <v>52</v>
      </c>
    </row>
    <row r="2780" spans="1:20" hidden="1">
      <c r="A2780" s="1"/>
      <c r="S2780" t="str">
        <f>TEXT(Table1[[#This Row],[Date]],"MMM-YY")</f>
        <v>Jan-00</v>
      </c>
      <c r="T2780">
        <f>_xlfn.ISOWEEKNUM(Table1[[#This Row],[Date]])</f>
        <v>52</v>
      </c>
    </row>
    <row r="2781" spans="1:20" hidden="1">
      <c r="A2781" s="1"/>
      <c r="S2781" t="str">
        <f>TEXT(Table1[[#This Row],[Date]],"MMM-YY")</f>
        <v>Jan-00</v>
      </c>
      <c r="T2781">
        <f>_xlfn.ISOWEEKNUM(Table1[[#This Row],[Date]])</f>
        <v>52</v>
      </c>
    </row>
    <row r="2782" spans="1:20" hidden="1">
      <c r="A2782" s="1"/>
      <c r="S2782" t="str">
        <f>TEXT(Table1[[#This Row],[Date]],"MMM-YY")</f>
        <v>Jan-00</v>
      </c>
      <c r="T2782">
        <f>_xlfn.ISOWEEKNUM(Table1[[#This Row],[Date]])</f>
        <v>52</v>
      </c>
    </row>
    <row r="2783" spans="1:20" hidden="1">
      <c r="A2783" s="1"/>
      <c r="S2783" t="str">
        <f>TEXT(Table1[[#This Row],[Date]],"MMM-YY")</f>
        <v>Jan-00</v>
      </c>
      <c r="T2783">
        <f>_xlfn.ISOWEEKNUM(Table1[[#This Row],[Date]])</f>
        <v>52</v>
      </c>
    </row>
    <row r="2784" spans="1:20" hidden="1">
      <c r="A2784" s="1"/>
      <c r="S2784" t="str">
        <f>TEXT(Table1[[#This Row],[Date]],"MMM-YY")</f>
        <v>Jan-00</v>
      </c>
      <c r="T2784">
        <f>_xlfn.ISOWEEKNUM(Table1[[#This Row],[Date]])</f>
        <v>52</v>
      </c>
    </row>
    <row r="2785" spans="1:20" hidden="1">
      <c r="A2785" s="1"/>
      <c r="S2785" t="str">
        <f>TEXT(Table1[[#This Row],[Date]],"MMM-YY")</f>
        <v>Jan-00</v>
      </c>
      <c r="T2785">
        <f>_xlfn.ISOWEEKNUM(Table1[[#This Row],[Date]])</f>
        <v>52</v>
      </c>
    </row>
    <row r="2786" spans="1:20" hidden="1">
      <c r="A2786" s="1"/>
      <c r="S2786" t="str">
        <f>TEXT(Table1[[#This Row],[Date]],"MMM-YY")</f>
        <v>Jan-00</v>
      </c>
      <c r="T2786">
        <f>_xlfn.ISOWEEKNUM(Table1[[#This Row],[Date]])</f>
        <v>52</v>
      </c>
    </row>
    <row r="2787" spans="1:20" hidden="1">
      <c r="A2787" s="1"/>
      <c r="S2787" t="str">
        <f>TEXT(Table1[[#This Row],[Date]],"MMM-YY")</f>
        <v>Jan-00</v>
      </c>
      <c r="T2787">
        <f>_xlfn.ISOWEEKNUM(Table1[[#This Row],[Date]])</f>
        <v>52</v>
      </c>
    </row>
    <row r="2788" spans="1:20" hidden="1">
      <c r="A2788" s="1"/>
      <c r="S2788" t="str">
        <f>TEXT(Table1[[#This Row],[Date]],"MMM-YY")</f>
        <v>Jan-00</v>
      </c>
      <c r="T2788">
        <f>_xlfn.ISOWEEKNUM(Table1[[#This Row],[Date]])</f>
        <v>52</v>
      </c>
    </row>
    <row r="2789" spans="1:20" hidden="1">
      <c r="A2789" s="1"/>
      <c r="S2789" t="str">
        <f>TEXT(Table1[[#This Row],[Date]],"MMM-YY")</f>
        <v>Jan-00</v>
      </c>
      <c r="T2789">
        <f>_xlfn.ISOWEEKNUM(Table1[[#This Row],[Date]])</f>
        <v>52</v>
      </c>
    </row>
    <row r="2790" spans="1:20" hidden="1">
      <c r="A2790" s="1"/>
      <c r="S2790" t="str">
        <f>TEXT(Table1[[#This Row],[Date]],"MMM-YY")</f>
        <v>Jan-00</v>
      </c>
      <c r="T2790">
        <f>_xlfn.ISOWEEKNUM(Table1[[#This Row],[Date]])</f>
        <v>52</v>
      </c>
    </row>
    <row r="2791" spans="1:20" hidden="1">
      <c r="A2791" s="1"/>
      <c r="S2791" t="str">
        <f>TEXT(Table1[[#This Row],[Date]],"MMM-YY")</f>
        <v>Jan-00</v>
      </c>
      <c r="T2791">
        <f>_xlfn.ISOWEEKNUM(Table1[[#This Row],[Date]])</f>
        <v>52</v>
      </c>
    </row>
    <row r="2792" spans="1:20" hidden="1">
      <c r="A2792" s="1"/>
      <c r="S2792" t="str">
        <f>TEXT(Table1[[#This Row],[Date]],"MMM-YY")</f>
        <v>Jan-00</v>
      </c>
      <c r="T2792">
        <f>_xlfn.ISOWEEKNUM(Table1[[#This Row],[Date]])</f>
        <v>52</v>
      </c>
    </row>
    <row r="2793" spans="1:20" hidden="1">
      <c r="A2793" s="1"/>
      <c r="S2793" t="str">
        <f>TEXT(Table1[[#This Row],[Date]],"MMM-YY")</f>
        <v>Jan-00</v>
      </c>
      <c r="T2793">
        <f>_xlfn.ISOWEEKNUM(Table1[[#This Row],[Date]])</f>
        <v>52</v>
      </c>
    </row>
    <row r="2794" spans="1:20" hidden="1">
      <c r="A2794" s="1"/>
      <c r="S2794" t="str">
        <f>TEXT(Table1[[#This Row],[Date]],"MMM-YY")</f>
        <v>Jan-00</v>
      </c>
      <c r="T2794">
        <f>_xlfn.ISOWEEKNUM(Table1[[#This Row],[Date]])</f>
        <v>52</v>
      </c>
    </row>
    <row r="2795" spans="1:20" hidden="1">
      <c r="A2795" s="1"/>
      <c r="S2795" t="str">
        <f>TEXT(Table1[[#This Row],[Date]],"MMM-YY")</f>
        <v>Jan-00</v>
      </c>
      <c r="T2795">
        <f>_xlfn.ISOWEEKNUM(Table1[[#This Row],[Date]])</f>
        <v>52</v>
      </c>
    </row>
    <row r="2796" spans="1:20" hidden="1">
      <c r="A2796" s="1"/>
      <c r="S2796" t="str">
        <f>TEXT(Table1[[#This Row],[Date]],"MMM-YY")</f>
        <v>Jan-00</v>
      </c>
      <c r="T2796">
        <f>_xlfn.ISOWEEKNUM(Table1[[#This Row],[Date]])</f>
        <v>52</v>
      </c>
    </row>
    <row r="2797" spans="1:20" hidden="1">
      <c r="A2797" s="1"/>
      <c r="S2797" t="str">
        <f>TEXT(Table1[[#This Row],[Date]],"MMM-YY")</f>
        <v>Jan-00</v>
      </c>
      <c r="T2797">
        <f>_xlfn.ISOWEEKNUM(Table1[[#This Row],[Date]])</f>
        <v>52</v>
      </c>
    </row>
    <row r="2798" spans="1:20" hidden="1">
      <c r="A2798" s="1"/>
      <c r="S2798" t="str">
        <f>TEXT(Table1[[#This Row],[Date]],"MMM-YY")</f>
        <v>Jan-00</v>
      </c>
      <c r="T2798">
        <f>_xlfn.ISOWEEKNUM(Table1[[#This Row],[Date]])</f>
        <v>52</v>
      </c>
    </row>
    <row r="2799" spans="1:20" hidden="1">
      <c r="A2799" s="1"/>
      <c r="S2799" t="str">
        <f>TEXT(Table1[[#This Row],[Date]],"MMM-YY")</f>
        <v>Jan-00</v>
      </c>
      <c r="T2799">
        <f>_xlfn.ISOWEEKNUM(Table1[[#This Row],[Date]])</f>
        <v>52</v>
      </c>
    </row>
    <row r="2800" spans="1:20" hidden="1">
      <c r="A2800" s="1"/>
      <c r="S2800" t="str">
        <f>TEXT(Table1[[#This Row],[Date]],"MMM-YY")</f>
        <v>Jan-00</v>
      </c>
      <c r="T2800">
        <f>_xlfn.ISOWEEKNUM(Table1[[#This Row],[Date]])</f>
        <v>52</v>
      </c>
    </row>
    <row r="2801" spans="1:20" hidden="1">
      <c r="A2801" s="1"/>
      <c r="S2801" t="str">
        <f>TEXT(Table1[[#This Row],[Date]],"MMM-YY")</f>
        <v>Jan-00</v>
      </c>
      <c r="T2801">
        <f>_xlfn.ISOWEEKNUM(Table1[[#This Row],[Date]])</f>
        <v>52</v>
      </c>
    </row>
    <row r="2802" spans="1:20" hidden="1">
      <c r="A2802" s="1"/>
      <c r="S2802" t="str">
        <f>TEXT(Table1[[#This Row],[Date]],"MMM-YY")</f>
        <v>Jan-00</v>
      </c>
      <c r="T2802">
        <f>_xlfn.ISOWEEKNUM(Table1[[#This Row],[Date]])</f>
        <v>52</v>
      </c>
    </row>
    <row r="2803" spans="1:20" hidden="1">
      <c r="A2803" s="1"/>
      <c r="S2803" t="str">
        <f>TEXT(Table1[[#This Row],[Date]],"MMM-YY")</f>
        <v>Jan-00</v>
      </c>
      <c r="T2803">
        <f>_xlfn.ISOWEEKNUM(Table1[[#This Row],[Date]])</f>
        <v>52</v>
      </c>
    </row>
    <row r="2804" spans="1:20" hidden="1">
      <c r="A2804" s="1"/>
      <c r="S2804" t="str">
        <f>TEXT(Table1[[#This Row],[Date]],"MMM-YY")</f>
        <v>Jan-00</v>
      </c>
      <c r="T2804">
        <f>_xlfn.ISOWEEKNUM(Table1[[#This Row],[Date]])</f>
        <v>52</v>
      </c>
    </row>
    <row r="2805" spans="1:20" hidden="1">
      <c r="A2805" s="1"/>
      <c r="S2805" t="str">
        <f>TEXT(Table1[[#This Row],[Date]],"MMM-YY")</f>
        <v>Jan-00</v>
      </c>
      <c r="T2805">
        <f>_xlfn.ISOWEEKNUM(Table1[[#This Row],[Date]])</f>
        <v>52</v>
      </c>
    </row>
    <row r="2806" spans="1:20" hidden="1">
      <c r="A2806" s="1"/>
      <c r="S2806" t="str">
        <f>TEXT(Table1[[#This Row],[Date]],"MMM-YY")</f>
        <v>Jan-00</v>
      </c>
      <c r="T2806">
        <f>_xlfn.ISOWEEKNUM(Table1[[#This Row],[Date]])</f>
        <v>52</v>
      </c>
    </row>
    <row r="2807" spans="1:20" hidden="1">
      <c r="A2807" s="1"/>
      <c r="S2807" t="str">
        <f>TEXT(Table1[[#This Row],[Date]],"MMM-YY")</f>
        <v>Jan-00</v>
      </c>
      <c r="T2807">
        <f>_xlfn.ISOWEEKNUM(Table1[[#This Row],[Date]])</f>
        <v>52</v>
      </c>
    </row>
    <row r="2808" spans="1:20" hidden="1">
      <c r="A2808" s="1"/>
      <c r="S2808" t="str">
        <f>TEXT(Table1[[#This Row],[Date]],"MMM-YY")</f>
        <v>Jan-00</v>
      </c>
      <c r="T2808">
        <f>_xlfn.ISOWEEKNUM(Table1[[#This Row],[Date]])</f>
        <v>52</v>
      </c>
    </row>
    <row r="2809" spans="1:20" hidden="1">
      <c r="A2809" s="1"/>
      <c r="S2809" t="str">
        <f>TEXT(Table1[[#This Row],[Date]],"MMM-YY")</f>
        <v>Jan-00</v>
      </c>
      <c r="T2809">
        <f>_xlfn.ISOWEEKNUM(Table1[[#This Row],[Date]])</f>
        <v>52</v>
      </c>
    </row>
    <row r="2810" spans="1:20" hidden="1">
      <c r="A2810" s="1"/>
      <c r="S2810" t="str">
        <f>TEXT(Table1[[#This Row],[Date]],"MMM-YY")</f>
        <v>Jan-00</v>
      </c>
      <c r="T2810">
        <f>_xlfn.ISOWEEKNUM(Table1[[#This Row],[Date]])</f>
        <v>52</v>
      </c>
    </row>
    <row r="2811" spans="1:20" hidden="1">
      <c r="A2811" s="1"/>
      <c r="S2811" t="str">
        <f>TEXT(Table1[[#This Row],[Date]],"MMM-YY")</f>
        <v>Jan-00</v>
      </c>
      <c r="T2811">
        <f>_xlfn.ISOWEEKNUM(Table1[[#This Row],[Date]])</f>
        <v>52</v>
      </c>
    </row>
    <row r="2812" spans="1:20" hidden="1">
      <c r="A2812" s="1"/>
      <c r="S2812" t="str">
        <f>TEXT(Table1[[#This Row],[Date]],"MMM-YY")</f>
        <v>Jan-00</v>
      </c>
      <c r="T2812">
        <f>_xlfn.ISOWEEKNUM(Table1[[#This Row],[Date]])</f>
        <v>52</v>
      </c>
    </row>
    <row r="2813" spans="1:20" hidden="1">
      <c r="A2813" s="1"/>
      <c r="S2813" t="str">
        <f>TEXT(Table1[[#This Row],[Date]],"MMM-YY")</f>
        <v>Jan-00</v>
      </c>
      <c r="T2813">
        <f>_xlfn.ISOWEEKNUM(Table1[[#This Row],[Date]])</f>
        <v>52</v>
      </c>
    </row>
    <row r="2814" spans="1:20" hidden="1">
      <c r="A2814" s="1"/>
      <c r="S2814" t="str">
        <f>TEXT(Table1[[#This Row],[Date]],"MMM-YY")</f>
        <v>Jan-00</v>
      </c>
      <c r="T2814">
        <f>_xlfn.ISOWEEKNUM(Table1[[#This Row],[Date]])</f>
        <v>52</v>
      </c>
    </row>
    <row r="2815" spans="1:20" hidden="1">
      <c r="A2815" s="1"/>
      <c r="S2815" t="str">
        <f>TEXT(Table1[[#This Row],[Date]],"MMM-YY")</f>
        <v>Jan-00</v>
      </c>
      <c r="T2815">
        <f>_xlfn.ISOWEEKNUM(Table1[[#This Row],[Date]])</f>
        <v>52</v>
      </c>
    </row>
    <row r="2816" spans="1:20" hidden="1">
      <c r="A2816" s="1"/>
      <c r="S2816" t="str">
        <f>TEXT(Table1[[#This Row],[Date]],"MMM-YY")</f>
        <v>Jan-00</v>
      </c>
      <c r="T2816">
        <f>_xlfn.ISOWEEKNUM(Table1[[#This Row],[Date]])</f>
        <v>52</v>
      </c>
    </row>
    <row r="2817" spans="1:20" hidden="1">
      <c r="A2817" s="1"/>
      <c r="S2817" t="str">
        <f>TEXT(Table1[[#This Row],[Date]],"MMM-YY")</f>
        <v>Jan-00</v>
      </c>
      <c r="T2817">
        <f>_xlfn.ISOWEEKNUM(Table1[[#This Row],[Date]])</f>
        <v>52</v>
      </c>
    </row>
    <row r="2818" spans="1:20" hidden="1">
      <c r="A2818" s="1"/>
      <c r="S2818" t="str">
        <f>TEXT(Table1[[#This Row],[Date]],"MMM-YY")</f>
        <v>Jan-00</v>
      </c>
      <c r="T2818">
        <f>_xlfn.ISOWEEKNUM(Table1[[#This Row],[Date]])</f>
        <v>52</v>
      </c>
    </row>
    <row r="2819" spans="1:20" hidden="1">
      <c r="A2819" s="1"/>
      <c r="S2819" t="str">
        <f>TEXT(Table1[[#This Row],[Date]],"MMM-YY")</f>
        <v>Jan-00</v>
      </c>
      <c r="T2819">
        <f>_xlfn.ISOWEEKNUM(Table1[[#This Row],[Date]])</f>
        <v>52</v>
      </c>
    </row>
    <row r="2820" spans="1:20" hidden="1">
      <c r="A2820" s="1"/>
      <c r="S2820" t="str">
        <f>TEXT(Table1[[#This Row],[Date]],"MMM-YY")</f>
        <v>Jan-00</v>
      </c>
      <c r="T2820">
        <f>_xlfn.ISOWEEKNUM(Table1[[#This Row],[Date]])</f>
        <v>52</v>
      </c>
    </row>
    <row r="2821" spans="1:20" hidden="1">
      <c r="A2821" s="1"/>
      <c r="S2821" t="str">
        <f>TEXT(Table1[[#This Row],[Date]],"MMM-YY")</f>
        <v>Jan-00</v>
      </c>
      <c r="T2821">
        <f>_xlfn.ISOWEEKNUM(Table1[[#This Row],[Date]])</f>
        <v>52</v>
      </c>
    </row>
    <row r="2822" spans="1:20" hidden="1">
      <c r="A2822" s="1"/>
      <c r="S2822" t="str">
        <f>TEXT(Table1[[#This Row],[Date]],"MMM-YY")</f>
        <v>Jan-00</v>
      </c>
      <c r="T2822">
        <f>_xlfn.ISOWEEKNUM(Table1[[#This Row],[Date]])</f>
        <v>52</v>
      </c>
    </row>
    <row r="2823" spans="1:20" hidden="1">
      <c r="A2823" s="1"/>
      <c r="S2823" t="str">
        <f>TEXT(Table1[[#This Row],[Date]],"MMM-YY")</f>
        <v>Jan-00</v>
      </c>
      <c r="T2823">
        <f>_xlfn.ISOWEEKNUM(Table1[[#This Row],[Date]])</f>
        <v>52</v>
      </c>
    </row>
    <row r="2824" spans="1:20" hidden="1">
      <c r="A2824" s="1"/>
      <c r="S2824" t="str">
        <f>TEXT(Table1[[#This Row],[Date]],"MMM-YY")</f>
        <v>Jan-00</v>
      </c>
      <c r="T2824">
        <f>_xlfn.ISOWEEKNUM(Table1[[#This Row],[Date]])</f>
        <v>52</v>
      </c>
    </row>
    <row r="2825" spans="1:20" hidden="1">
      <c r="A2825" s="1"/>
      <c r="S2825" t="str">
        <f>TEXT(Table1[[#This Row],[Date]],"MMM-YY")</f>
        <v>Jan-00</v>
      </c>
      <c r="T2825">
        <f>_xlfn.ISOWEEKNUM(Table1[[#This Row],[Date]])</f>
        <v>52</v>
      </c>
    </row>
    <row r="2826" spans="1:20" hidden="1">
      <c r="A2826" s="1"/>
      <c r="S2826" t="str">
        <f>TEXT(Table1[[#This Row],[Date]],"MMM-YY")</f>
        <v>Jan-00</v>
      </c>
      <c r="T2826">
        <f>_xlfn.ISOWEEKNUM(Table1[[#This Row],[Date]])</f>
        <v>52</v>
      </c>
    </row>
    <row r="2827" spans="1:20" hidden="1">
      <c r="A2827" s="1"/>
      <c r="S2827" t="str">
        <f>TEXT(Table1[[#This Row],[Date]],"MMM-YY")</f>
        <v>Jan-00</v>
      </c>
      <c r="T2827">
        <f>_xlfn.ISOWEEKNUM(Table1[[#This Row],[Date]])</f>
        <v>52</v>
      </c>
    </row>
    <row r="2828" spans="1:20" hidden="1">
      <c r="A2828" s="1"/>
      <c r="S2828" t="str">
        <f>TEXT(Table1[[#This Row],[Date]],"MMM-YY")</f>
        <v>Jan-00</v>
      </c>
      <c r="T2828">
        <f>_xlfn.ISOWEEKNUM(Table1[[#This Row],[Date]])</f>
        <v>52</v>
      </c>
    </row>
    <row r="2829" spans="1:20" hidden="1">
      <c r="A2829" s="1"/>
      <c r="S2829" t="str">
        <f>TEXT(Table1[[#This Row],[Date]],"MMM-YY")</f>
        <v>Jan-00</v>
      </c>
      <c r="T2829">
        <f>_xlfn.ISOWEEKNUM(Table1[[#This Row],[Date]])</f>
        <v>52</v>
      </c>
    </row>
    <row r="2830" spans="1:20" hidden="1">
      <c r="A2830" s="1"/>
      <c r="S2830" t="str">
        <f>TEXT(Table1[[#This Row],[Date]],"MMM-YY")</f>
        <v>Jan-00</v>
      </c>
      <c r="T2830">
        <f>_xlfn.ISOWEEKNUM(Table1[[#This Row],[Date]])</f>
        <v>52</v>
      </c>
    </row>
    <row r="2831" spans="1:20" hidden="1">
      <c r="A2831" s="1"/>
      <c r="S2831" t="str">
        <f>TEXT(Table1[[#This Row],[Date]],"MMM-YY")</f>
        <v>Jan-00</v>
      </c>
      <c r="T2831">
        <f>_xlfn.ISOWEEKNUM(Table1[[#This Row],[Date]])</f>
        <v>52</v>
      </c>
    </row>
    <row r="2832" spans="1:20" hidden="1">
      <c r="A2832" s="1"/>
      <c r="S2832" t="str">
        <f>TEXT(Table1[[#This Row],[Date]],"MMM-YY")</f>
        <v>Jan-00</v>
      </c>
      <c r="T2832">
        <f>_xlfn.ISOWEEKNUM(Table1[[#This Row],[Date]])</f>
        <v>52</v>
      </c>
    </row>
    <row r="2833" spans="1:20" hidden="1">
      <c r="A2833" s="1"/>
      <c r="S2833" t="str">
        <f>TEXT(Table1[[#This Row],[Date]],"MMM-YY")</f>
        <v>Jan-00</v>
      </c>
      <c r="T2833">
        <f>_xlfn.ISOWEEKNUM(Table1[[#This Row],[Date]])</f>
        <v>52</v>
      </c>
    </row>
    <row r="2834" spans="1:20" hidden="1">
      <c r="A2834" s="1"/>
      <c r="S2834" t="str">
        <f>TEXT(Table1[[#This Row],[Date]],"MMM-YY")</f>
        <v>Jan-00</v>
      </c>
      <c r="T2834">
        <f>_xlfn.ISOWEEKNUM(Table1[[#This Row],[Date]])</f>
        <v>52</v>
      </c>
    </row>
    <row r="2835" spans="1:20" hidden="1">
      <c r="A2835" s="1"/>
      <c r="S2835" t="str">
        <f>TEXT(Table1[[#This Row],[Date]],"MMM-YY")</f>
        <v>Jan-00</v>
      </c>
      <c r="T2835">
        <f>_xlfn.ISOWEEKNUM(Table1[[#This Row],[Date]])</f>
        <v>52</v>
      </c>
    </row>
    <row r="2836" spans="1:20" hidden="1">
      <c r="A2836" s="1"/>
      <c r="S2836" t="str">
        <f>TEXT(Table1[[#This Row],[Date]],"MMM-YY")</f>
        <v>Jan-00</v>
      </c>
      <c r="T2836">
        <f>_xlfn.ISOWEEKNUM(Table1[[#This Row],[Date]])</f>
        <v>52</v>
      </c>
    </row>
    <row r="2837" spans="1:20" hidden="1">
      <c r="A2837" s="1"/>
      <c r="S2837" t="str">
        <f>TEXT(Table1[[#This Row],[Date]],"MMM-YY")</f>
        <v>Jan-00</v>
      </c>
      <c r="T2837">
        <f>_xlfn.ISOWEEKNUM(Table1[[#This Row],[Date]])</f>
        <v>52</v>
      </c>
    </row>
    <row r="2838" spans="1:20" hidden="1">
      <c r="A2838" s="1"/>
      <c r="S2838" t="str">
        <f>TEXT(Table1[[#This Row],[Date]],"MMM-YY")</f>
        <v>Jan-00</v>
      </c>
      <c r="T2838">
        <f>_xlfn.ISOWEEKNUM(Table1[[#This Row],[Date]])</f>
        <v>52</v>
      </c>
    </row>
    <row r="2839" spans="1:20" hidden="1">
      <c r="A2839" s="1"/>
      <c r="S2839" t="str">
        <f>TEXT(Table1[[#This Row],[Date]],"MMM-YY")</f>
        <v>Jan-00</v>
      </c>
      <c r="T2839">
        <f>_xlfn.ISOWEEKNUM(Table1[[#This Row],[Date]])</f>
        <v>52</v>
      </c>
    </row>
    <row r="2840" spans="1:20" hidden="1">
      <c r="A2840" s="1"/>
      <c r="S2840" t="str">
        <f>TEXT(Table1[[#This Row],[Date]],"MMM-YY")</f>
        <v>Jan-00</v>
      </c>
      <c r="T2840">
        <f>_xlfn.ISOWEEKNUM(Table1[[#This Row],[Date]])</f>
        <v>52</v>
      </c>
    </row>
    <row r="2841" spans="1:20" hidden="1">
      <c r="A2841" s="1"/>
      <c r="S2841" t="str">
        <f>TEXT(Table1[[#This Row],[Date]],"MMM-YY")</f>
        <v>Jan-00</v>
      </c>
      <c r="T2841">
        <f>_xlfn.ISOWEEKNUM(Table1[[#This Row],[Date]])</f>
        <v>52</v>
      </c>
    </row>
    <row r="2842" spans="1:20" hidden="1">
      <c r="A2842" s="1"/>
      <c r="S2842" t="str">
        <f>TEXT(Table1[[#This Row],[Date]],"MMM-YY")</f>
        <v>Jan-00</v>
      </c>
      <c r="T2842">
        <f>_xlfn.ISOWEEKNUM(Table1[[#This Row],[Date]])</f>
        <v>52</v>
      </c>
    </row>
    <row r="2843" spans="1:20" hidden="1">
      <c r="A2843" s="1"/>
      <c r="S2843" t="str">
        <f>TEXT(Table1[[#This Row],[Date]],"MMM-YY")</f>
        <v>Jan-00</v>
      </c>
      <c r="T2843">
        <f>_xlfn.ISOWEEKNUM(Table1[[#This Row],[Date]])</f>
        <v>52</v>
      </c>
    </row>
    <row r="2844" spans="1:20" hidden="1">
      <c r="A2844" s="1"/>
      <c r="S2844" t="str">
        <f>TEXT(Table1[[#This Row],[Date]],"MMM-YY")</f>
        <v>Jan-00</v>
      </c>
      <c r="T2844">
        <f>_xlfn.ISOWEEKNUM(Table1[[#This Row],[Date]])</f>
        <v>52</v>
      </c>
    </row>
    <row r="2845" spans="1:20" hidden="1">
      <c r="A2845" s="1"/>
      <c r="S2845" t="str">
        <f>TEXT(Table1[[#This Row],[Date]],"MMM-YY")</f>
        <v>Jan-00</v>
      </c>
      <c r="T2845">
        <f>_xlfn.ISOWEEKNUM(Table1[[#This Row],[Date]])</f>
        <v>52</v>
      </c>
    </row>
    <row r="2846" spans="1:20" hidden="1">
      <c r="A2846" s="1"/>
      <c r="S2846" t="str">
        <f>TEXT(Table1[[#This Row],[Date]],"MMM-YY")</f>
        <v>Jan-00</v>
      </c>
      <c r="T2846">
        <f>_xlfn.ISOWEEKNUM(Table1[[#This Row],[Date]])</f>
        <v>52</v>
      </c>
    </row>
    <row r="2847" spans="1:20" hidden="1">
      <c r="A2847" s="1"/>
      <c r="S2847" t="str">
        <f>TEXT(Table1[[#This Row],[Date]],"MMM-YY")</f>
        <v>Jan-00</v>
      </c>
      <c r="T2847">
        <f>_xlfn.ISOWEEKNUM(Table1[[#This Row],[Date]])</f>
        <v>52</v>
      </c>
    </row>
    <row r="2848" spans="1:20" hidden="1">
      <c r="A2848" s="1"/>
      <c r="S2848" t="str">
        <f>TEXT(Table1[[#This Row],[Date]],"MMM-YY")</f>
        <v>Jan-00</v>
      </c>
      <c r="T2848">
        <f>_xlfn.ISOWEEKNUM(Table1[[#This Row],[Date]])</f>
        <v>52</v>
      </c>
    </row>
    <row r="2849" spans="1:20" hidden="1">
      <c r="A2849" s="1"/>
      <c r="S2849" t="str">
        <f>TEXT(Table1[[#This Row],[Date]],"MMM-YY")</f>
        <v>Jan-00</v>
      </c>
      <c r="T2849">
        <f>_xlfn.ISOWEEKNUM(Table1[[#This Row],[Date]])</f>
        <v>52</v>
      </c>
    </row>
    <row r="2850" spans="1:20" hidden="1">
      <c r="A2850" s="1"/>
      <c r="S2850" t="str">
        <f>TEXT(Table1[[#This Row],[Date]],"MMM-YY")</f>
        <v>Jan-00</v>
      </c>
      <c r="T2850">
        <f>_xlfn.ISOWEEKNUM(Table1[[#This Row],[Date]])</f>
        <v>52</v>
      </c>
    </row>
    <row r="2851" spans="1:20" hidden="1">
      <c r="A2851" s="1"/>
      <c r="S2851" t="str">
        <f>TEXT(Table1[[#This Row],[Date]],"MMM-YY")</f>
        <v>Jan-00</v>
      </c>
      <c r="T2851">
        <f>_xlfn.ISOWEEKNUM(Table1[[#This Row],[Date]])</f>
        <v>52</v>
      </c>
    </row>
    <row r="2852" spans="1:20" hidden="1">
      <c r="A2852" s="1"/>
      <c r="S2852" t="str">
        <f>TEXT(Table1[[#This Row],[Date]],"MMM-YY")</f>
        <v>Jan-00</v>
      </c>
      <c r="T2852">
        <f>_xlfn.ISOWEEKNUM(Table1[[#This Row],[Date]])</f>
        <v>52</v>
      </c>
    </row>
    <row r="2853" spans="1:20" hidden="1">
      <c r="A2853" s="1"/>
      <c r="S2853" t="str">
        <f>TEXT(Table1[[#This Row],[Date]],"MMM-YY")</f>
        <v>Jan-00</v>
      </c>
      <c r="T2853">
        <f>_xlfn.ISOWEEKNUM(Table1[[#This Row],[Date]])</f>
        <v>52</v>
      </c>
    </row>
    <row r="2854" spans="1:20" hidden="1">
      <c r="A2854" s="1"/>
      <c r="S2854" t="str">
        <f>TEXT(Table1[[#This Row],[Date]],"MMM-YY")</f>
        <v>Jan-00</v>
      </c>
      <c r="T2854">
        <f>_xlfn.ISOWEEKNUM(Table1[[#This Row],[Date]])</f>
        <v>52</v>
      </c>
    </row>
    <row r="2855" spans="1:20" hidden="1">
      <c r="A2855" s="1"/>
      <c r="S2855" t="str">
        <f>TEXT(Table1[[#This Row],[Date]],"MMM-YY")</f>
        <v>Jan-00</v>
      </c>
      <c r="T2855">
        <f>_xlfn.ISOWEEKNUM(Table1[[#This Row],[Date]])</f>
        <v>52</v>
      </c>
    </row>
    <row r="2856" spans="1:20" hidden="1">
      <c r="A2856" s="1"/>
      <c r="S2856" t="str">
        <f>TEXT(Table1[[#This Row],[Date]],"MMM-YY")</f>
        <v>Jan-00</v>
      </c>
      <c r="T2856">
        <f>_xlfn.ISOWEEKNUM(Table1[[#This Row],[Date]])</f>
        <v>52</v>
      </c>
    </row>
    <row r="2857" spans="1:20" hidden="1">
      <c r="A2857" s="1"/>
      <c r="S2857" t="str">
        <f>TEXT(Table1[[#This Row],[Date]],"MMM-YY")</f>
        <v>Jan-00</v>
      </c>
      <c r="T2857">
        <f>_xlfn.ISOWEEKNUM(Table1[[#This Row],[Date]])</f>
        <v>52</v>
      </c>
    </row>
    <row r="2858" spans="1:20" hidden="1">
      <c r="A2858" s="1"/>
      <c r="S2858" t="str">
        <f>TEXT(Table1[[#This Row],[Date]],"MMM-YY")</f>
        <v>Jan-00</v>
      </c>
      <c r="T2858">
        <f>_xlfn.ISOWEEKNUM(Table1[[#This Row],[Date]])</f>
        <v>52</v>
      </c>
    </row>
    <row r="2859" spans="1:20" hidden="1">
      <c r="A2859" s="1"/>
      <c r="S2859" t="str">
        <f>TEXT(Table1[[#This Row],[Date]],"MMM-YY")</f>
        <v>Jan-00</v>
      </c>
      <c r="T2859">
        <f>_xlfn.ISOWEEKNUM(Table1[[#This Row],[Date]])</f>
        <v>52</v>
      </c>
    </row>
    <row r="2860" spans="1:20" hidden="1">
      <c r="A2860" s="1"/>
      <c r="S2860" t="str">
        <f>TEXT(Table1[[#This Row],[Date]],"MMM-YY")</f>
        <v>Jan-00</v>
      </c>
      <c r="T2860">
        <f>_xlfn.ISOWEEKNUM(Table1[[#This Row],[Date]])</f>
        <v>52</v>
      </c>
    </row>
    <row r="2861" spans="1:20" hidden="1">
      <c r="A2861" s="1"/>
      <c r="S2861" t="str">
        <f>TEXT(Table1[[#This Row],[Date]],"MMM-YY")</f>
        <v>Jan-00</v>
      </c>
      <c r="T2861">
        <f>_xlfn.ISOWEEKNUM(Table1[[#This Row],[Date]])</f>
        <v>52</v>
      </c>
    </row>
    <row r="2862" spans="1:20" hidden="1">
      <c r="A2862" s="1"/>
      <c r="S2862" t="str">
        <f>TEXT(Table1[[#This Row],[Date]],"MMM-YY")</f>
        <v>Jan-00</v>
      </c>
      <c r="T2862">
        <f>_xlfn.ISOWEEKNUM(Table1[[#This Row],[Date]])</f>
        <v>52</v>
      </c>
    </row>
    <row r="2863" spans="1:20" hidden="1">
      <c r="A2863" s="1"/>
      <c r="S2863" t="str">
        <f>TEXT(Table1[[#This Row],[Date]],"MMM-YY")</f>
        <v>Jan-00</v>
      </c>
      <c r="T2863">
        <f>_xlfn.ISOWEEKNUM(Table1[[#This Row],[Date]])</f>
        <v>52</v>
      </c>
    </row>
    <row r="2864" spans="1:20" hidden="1">
      <c r="A2864" s="1"/>
      <c r="S2864" t="str">
        <f>TEXT(Table1[[#This Row],[Date]],"MMM-YY")</f>
        <v>Jan-00</v>
      </c>
      <c r="T2864">
        <f>_xlfn.ISOWEEKNUM(Table1[[#This Row],[Date]])</f>
        <v>52</v>
      </c>
    </row>
    <row r="2865" spans="1:20" hidden="1">
      <c r="A2865" s="1"/>
      <c r="S2865" t="str">
        <f>TEXT(Table1[[#This Row],[Date]],"MMM-YY")</f>
        <v>Jan-00</v>
      </c>
      <c r="T2865">
        <f>_xlfn.ISOWEEKNUM(Table1[[#This Row],[Date]])</f>
        <v>52</v>
      </c>
    </row>
    <row r="2866" spans="1:20" hidden="1">
      <c r="A2866" s="1"/>
      <c r="S2866" t="str">
        <f>TEXT(Table1[[#This Row],[Date]],"MMM-YY")</f>
        <v>Jan-00</v>
      </c>
      <c r="T2866">
        <f>_xlfn.ISOWEEKNUM(Table1[[#This Row],[Date]])</f>
        <v>52</v>
      </c>
    </row>
    <row r="2867" spans="1:20" hidden="1">
      <c r="A2867" s="1"/>
      <c r="S2867" t="str">
        <f>TEXT(Table1[[#This Row],[Date]],"MMM-YY")</f>
        <v>Jan-00</v>
      </c>
      <c r="T2867">
        <f>_xlfn.ISOWEEKNUM(Table1[[#This Row],[Date]])</f>
        <v>52</v>
      </c>
    </row>
    <row r="2868" spans="1:20" hidden="1">
      <c r="A2868" s="1"/>
      <c r="S2868" t="str">
        <f>TEXT(Table1[[#This Row],[Date]],"MMM-YY")</f>
        <v>Jan-00</v>
      </c>
      <c r="T2868">
        <f>_xlfn.ISOWEEKNUM(Table1[[#This Row],[Date]])</f>
        <v>52</v>
      </c>
    </row>
    <row r="2869" spans="1:20" hidden="1">
      <c r="A2869" s="1"/>
      <c r="S2869" t="str">
        <f>TEXT(Table1[[#This Row],[Date]],"MMM-YY")</f>
        <v>Jan-00</v>
      </c>
      <c r="T2869">
        <f>_xlfn.ISOWEEKNUM(Table1[[#This Row],[Date]])</f>
        <v>52</v>
      </c>
    </row>
    <row r="2870" spans="1:20" hidden="1">
      <c r="A2870" s="1"/>
      <c r="S2870" t="str">
        <f>TEXT(Table1[[#This Row],[Date]],"MMM-YY")</f>
        <v>Jan-00</v>
      </c>
      <c r="T2870">
        <f>_xlfn.ISOWEEKNUM(Table1[[#This Row],[Date]])</f>
        <v>52</v>
      </c>
    </row>
    <row r="2871" spans="1:20" hidden="1">
      <c r="A2871" s="1"/>
      <c r="S2871" t="str">
        <f>TEXT(Table1[[#This Row],[Date]],"MMM-YY")</f>
        <v>Jan-00</v>
      </c>
      <c r="T2871">
        <f>_xlfn.ISOWEEKNUM(Table1[[#This Row],[Date]])</f>
        <v>52</v>
      </c>
    </row>
    <row r="2872" spans="1:20" hidden="1">
      <c r="A2872" s="1"/>
      <c r="S2872" t="str">
        <f>TEXT(Table1[[#This Row],[Date]],"MMM-YY")</f>
        <v>Jan-00</v>
      </c>
      <c r="T2872">
        <f>_xlfn.ISOWEEKNUM(Table1[[#This Row],[Date]])</f>
        <v>52</v>
      </c>
    </row>
    <row r="2873" spans="1:20" hidden="1">
      <c r="A2873" s="1"/>
      <c r="S2873" t="str">
        <f>TEXT(Table1[[#This Row],[Date]],"MMM-YY")</f>
        <v>Jan-00</v>
      </c>
      <c r="T2873">
        <f>_xlfn.ISOWEEKNUM(Table1[[#This Row],[Date]])</f>
        <v>52</v>
      </c>
    </row>
    <row r="2874" spans="1:20" hidden="1">
      <c r="A2874" s="1"/>
      <c r="S2874" t="str">
        <f>TEXT(Table1[[#This Row],[Date]],"MMM-YY")</f>
        <v>Jan-00</v>
      </c>
      <c r="T2874">
        <f>_xlfn.ISOWEEKNUM(Table1[[#This Row],[Date]])</f>
        <v>52</v>
      </c>
    </row>
    <row r="2875" spans="1:20" hidden="1">
      <c r="A2875" s="1"/>
      <c r="S2875" t="str">
        <f>TEXT(Table1[[#This Row],[Date]],"MMM-YY")</f>
        <v>Jan-00</v>
      </c>
      <c r="T2875">
        <f>_xlfn.ISOWEEKNUM(Table1[[#This Row],[Date]])</f>
        <v>52</v>
      </c>
    </row>
    <row r="2876" spans="1:20" hidden="1">
      <c r="A2876" s="1"/>
      <c r="S2876" t="str">
        <f>TEXT(Table1[[#This Row],[Date]],"MMM-YY")</f>
        <v>Jan-00</v>
      </c>
      <c r="T2876">
        <f>_xlfn.ISOWEEKNUM(Table1[[#This Row],[Date]])</f>
        <v>52</v>
      </c>
    </row>
    <row r="2877" spans="1:20" hidden="1">
      <c r="A2877" s="1"/>
      <c r="S2877" t="str">
        <f>TEXT(Table1[[#This Row],[Date]],"MMM-YY")</f>
        <v>Jan-00</v>
      </c>
      <c r="T2877">
        <f>_xlfn.ISOWEEKNUM(Table1[[#This Row],[Date]])</f>
        <v>52</v>
      </c>
    </row>
    <row r="2878" spans="1:20" hidden="1">
      <c r="A2878" s="1"/>
      <c r="S2878" t="str">
        <f>TEXT(Table1[[#This Row],[Date]],"MMM-YY")</f>
        <v>Jan-00</v>
      </c>
      <c r="T2878">
        <f>_xlfn.ISOWEEKNUM(Table1[[#This Row],[Date]])</f>
        <v>52</v>
      </c>
    </row>
    <row r="2879" spans="1:20" hidden="1">
      <c r="A2879" s="1"/>
      <c r="S2879" t="str">
        <f>TEXT(Table1[[#This Row],[Date]],"MMM-YY")</f>
        <v>Jan-00</v>
      </c>
      <c r="T2879">
        <f>_xlfn.ISOWEEKNUM(Table1[[#This Row],[Date]])</f>
        <v>52</v>
      </c>
    </row>
    <row r="2880" spans="1:20" hidden="1">
      <c r="A2880" s="1"/>
      <c r="S2880" t="str">
        <f>TEXT(Table1[[#This Row],[Date]],"MMM-YY")</f>
        <v>Jan-00</v>
      </c>
      <c r="T2880">
        <f>_xlfn.ISOWEEKNUM(Table1[[#This Row],[Date]])</f>
        <v>52</v>
      </c>
    </row>
    <row r="2881" spans="1:20" hidden="1">
      <c r="A2881" s="1"/>
      <c r="S2881" t="str">
        <f>TEXT(Table1[[#This Row],[Date]],"MMM-YY")</f>
        <v>Jan-00</v>
      </c>
      <c r="T2881">
        <f>_xlfn.ISOWEEKNUM(Table1[[#This Row],[Date]])</f>
        <v>52</v>
      </c>
    </row>
    <row r="2882" spans="1:20" hidden="1">
      <c r="A2882" s="1"/>
      <c r="S2882" t="str">
        <f>TEXT(Table1[[#This Row],[Date]],"MMM-YY")</f>
        <v>Jan-00</v>
      </c>
      <c r="T2882">
        <f>_xlfn.ISOWEEKNUM(Table1[[#This Row],[Date]])</f>
        <v>52</v>
      </c>
    </row>
    <row r="2883" spans="1:20" hidden="1">
      <c r="A2883" s="1"/>
      <c r="S2883" t="str">
        <f>TEXT(Table1[[#This Row],[Date]],"MMM-YY")</f>
        <v>Jan-00</v>
      </c>
      <c r="T2883">
        <f>_xlfn.ISOWEEKNUM(Table1[[#This Row],[Date]])</f>
        <v>52</v>
      </c>
    </row>
    <row r="2884" spans="1:20" hidden="1">
      <c r="A2884" s="1"/>
      <c r="S2884" t="str">
        <f>TEXT(Table1[[#This Row],[Date]],"MMM-YY")</f>
        <v>Jan-00</v>
      </c>
      <c r="T2884">
        <f>_xlfn.ISOWEEKNUM(Table1[[#This Row],[Date]])</f>
        <v>52</v>
      </c>
    </row>
    <row r="2885" spans="1:20" hidden="1">
      <c r="A2885" s="1"/>
      <c r="S2885" t="str">
        <f>TEXT(Table1[[#This Row],[Date]],"MMM-YY")</f>
        <v>Jan-00</v>
      </c>
      <c r="T2885">
        <f>_xlfn.ISOWEEKNUM(Table1[[#This Row],[Date]])</f>
        <v>52</v>
      </c>
    </row>
    <row r="2886" spans="1:20" hidden="1">
      <c r="A2886" s="1"/>
      <c r="S2886" t="str">
        <f>TEXT(Table1[[#This Row],[Date]],"MMM-YY")</f>
        <v>Jan-00</v>
      </c>
      <c r="T2886">
        <f>_xlfn.ISOWEEKNUM(Table1[[#This Row],[Date]])</f>
        <v>52</v>
      </c>
    </row>
    <row r="2887" spans="1:20" hidden="1">
      <c r="A2887" s="1"/>
      <c r="S2887" t="str">
        <f>TEXT(Table1[[#This Row],[Date]],"MMM-YY")</f>
        <v>Jan-00</v>
      </c>
      <c r="T2887">
        <f>_xlfn.ISOWEEKNUM(Table1[[#This Row],[Date]])</f>
        <v>52</v>
      </c>
    </row>
    <row r="2888" spans="1:20" hidden="1">
      <c r="A2888" s="1"/>
      <c r="S2888" t="str">
        <f>TEXT(Table1[[#This Row],[Date]],"MMM-YY")</f>
        <v>Jan-00</v>
      </c>
      <c r="T2888">
        <f>_xlfn.ISOWEEKNUM(Table1[[#This Row],[Date]])</f>
        <v>52</v>
      </c>
    </row>
    <row r="2889" spans="1:20" hidden="1">
      <c r="A2889" s="1"/>
      <c r="S2889" t="str">
        <f>TEXT(Table1[[#This Row],[Date]],"MMM-YY")</f>
        <v>Jan-00</v>
      </c>
      <c r="T2889">
        <f>_xlfn.ISOWEEKNUM(Table1[[#This Row],[Date]])</f>
        <v>52</v>
      </c>
    </row>
    <row r="2890" spans="1:20" hidden="1">
      <c r="A2890" s="1"/>
      <c r="S2890" t="str">
        <f>TEXT(Table1[[#This Row],[Date]],"MMM-YY")</f>
        <v>Jan-00</v>
      </c>
      <c r="T2890">
        <f>_xlfn.ISOWEEKNUM(Table1[[#This Row],[Date]])</f>
        <v>52</v>
      </c>
    </row>
    <row r="2891" spans="1:20" hidden="1">
      <c r="A2891" s="1"/>
      <c r="S2891" t="str">
        <f>TEXT(Table1[[#This Row],[Date]],"MMM-YY")</f>
        <v>Jan-00</v>
      </c>
      <c r="T2891">
        <f>_xlfn.ISOWEEKNUM(Table1[[#This Row],[Date]])</f>
        <v>52</v>
      </c>
    </row>
    <row r="2892" spans="1:20" hidden="1">
      <c r="A2892" s="1"/>
      <c r="S2892" t="str">
        <f>TEXT(Table1[[#This Row],[Date]],"MMM-YY")</f>
        <v>Jan-00</v>
      </c>
      <c r="T2892">
        <f>_xlfn.ISOWEEKNUM(Table1[[#This Row],[Date]])</f>
        <v>52</v>
      </c>
    </row>
    <row r="2893" spans="1:20" hidden="1">
      <c r="A2893" s="1"/>
      <c r="S2893" t="str">
        <f>TEXT(Table1[[#This Row],[Date]],"MMM-YY")</f>
        <v>Jan-00</v>
      </c>
      <c r="T2893">
        <f>_xlfn.ISOWEEKNUM(Table1[[#This Row],[Date]])</f>
        <v>52</v>
      </c>
    </row>
    <row r="2894" spans="1:20" hidden="1">
      <c r="A2894" s="1"/>
      <c r="S2894" t="str">
        <f>TEXT(Table1[[#This Row],[Date]],"MMM-YY")</f>
        <v>Jan-00</v>
      </c>
      <c r="T2894">
        <f>_xlfn.ISOWEEKNUM(Table1[[#This Row],[Date]])</f>
        <v>52</v>
      </c>
    </row>
    <row r="2895" spans="1:20" hidden="1">
      <c r="A2895" s="1"/>
      <c r="S2895" t="str">
        <f>TEXT(Table1[[#This Row],[Date]],"MMM-YY")</f>
        <v>Jan-00</v>
      </c>
      <c r="T2895">
        <f>_xlfn.ISOWEEKNUM(Table1[[#This Row],[Date]])</f>
        <v>52</v>
      </c>
    </row>
    <row r="2896" spans="1:20" hidden="1">
      <c r="A2896" s="1"/>
      <c r="S2896" t="str">
        <f>TEXT(Table1[[#This Row],[Date]],"MMM-YY")</f>
        <v>Jan-00</v>
      </c>
      <c r="T2896">
        <f>_xlfn.ISOWEEKNUM(Table1[[#This Row],[Date]])</f>
        <v>52</v>
      </c>
    </row>
    <row r="2897" spans="1:20" hidden="1">
      <c r="A2897" s="1"/>
      <c r="S2897" t="str">
        <f>TEXT(Table1[[#This Row],[Date]],"MMM-YY")</f>
        <v>Jan-00</v>
      </c>
      <c r="T2897">
        <f>_xlfn.ISOWEEKNUM(Table1[[#This Row],[Date]])</f>
        <v>52</v>
      </c>
    </row>
    <row r="2898" spans="1:20" hidden="1">
      <c r="A2898" s="1"/>
      <c r="S2898" t="str">
        <f>TEXT(Table1[[#This Row],[Date]],"MMM-YY")</f>
        <v>Jan-00</v>
      </c>
      <c r="T2898">
        <f>_xlfn.ISOWEEKNUM(Table1[[#This Row],[Date]])</f>
        <v>52</v>
      </c>
    </row>
    <row r="2899" spans="1:20" hidden="1">
      <c r="A2899" s="1"/>
      <c r="S2899" t="str">
        <f>TEXT(Table1[[#This Row],[Date]],"MMM-YY")</f>
        <v>Jan-00</v>
      </c>
      <c r="T2899">
        <f>_xlfn.ISOWEEKNUM(Table1[[#This Row],[Date]])</f>
        <v>52</v>
      </c>
    </row>
    <row r="2900" spans="1:20" hidden="1">
      <c r="A2900" s="1"/>
      <c r="S2900" t="str">
        <f>TEXT(Table1[[#This Row],[Date]],"MMM-YY")</f>
        <v>Jan-00</v>
      </c>
      <c r="T2900">
        <f>_xlfn.ISOWEEKNUM(Table1[[#This Row],[Date]])</f>
        <v>52</v>
      </c>
    </row>
    <row r="2901" spans="1:20" hidden="1">
      <c r="A2901" s="1"/>
      <c r="S2901" t="str">
        <f>TEXT(Table1[[#This Row],[Date]],"MMM-YY")</f>
        <v>Jan-00</v>
      </c>
      <c r="T2901">
        <f>_xlfn.ISOWEEKNUM(Table1[[#This Row],[Date]])</f>
        <v>52</v>
      </c>
    </row>
    <row r="2902" spans="1:20" hidden="1">
      <c r="A2902" s="1"/>
      <c r="S2902" t="str">
        <f>TEXT(Table1[[#This Row],[Date]],"MMM-YY")</f>
        <v>Jan-00</v>
      </c>
      <c r="T2902">
        <f>_xlfn.ISOWEEKNUM(Table1[[#This Row],[Date]])</f>
        <v>52</v>
      </c>
    </row>
    <row r="2903" spans="1:20" hidden="1">
      <c r="A2903" s="1"/>
      <c r="S2903" t="str">
        <f>TEXT(Table1[[#This Row],[Date]],"MMM-YY")</f>
        <v>Jan-00</v>
      </c>
      <c r="T2903">
        <f>_xlfn.ISOWEEKNUM(Table1[[#This Row],[Date]])</f>
        <v>52</v>
      </c>
    </row>
    <row r="2904" spans="1:20" hidden="1">
      <c r="A2904" s="1"/>
      <c r="S2904" t="str">
        <f>TEXT(Table1[[#This Row],[Date]],"MMM-YY")</f>
        <v>Jan-00</v>
      </c>
      <c r="T2904">
        <f>_xlfn.ISOWEEKNUM(Table1[[#This Row],[Date]])</f>
        <v>52</v>
      </c>
    </row>
    <row r="2905" spans="1:20" hidden="1">
      <c r="A2905" s="1"/>
      <c r="S2905" t="str">
        <f>TEXT(Table1[[#This Row],[Date]],"MMM-YY")</f>
        <v>Jan-00</v>
      </c>
      <c r="T2905">
        <f>_xlfn.ISOWEEKNUM(Table1[[#This Row],[Date]])</f>
        <v>52</v>
      </c>
    </row>
    <row r="2906" spans="1:20" hidden="1">
      <c r="A2906" s="1"/>
      <c r="S2906" t="str">
        <f>TEXT(Table1[[#This Row],[Date]],"MMM-YY")</f>
        <v>Jan-00</v>
      </c>
      <c r="T2906">
        <f>_xlfn.ISOWEEKNUM(Table1[[#This Row],[Date]])</f>
        <v>52</v>
      </c>
    </row>
    <row r="2907" spans="1:20" hidden="1">
      <c r="A2907" s="1"/>
      <c r="S2907" t="str">
        <f>TEXT(Table1[[#This Row],[Date]],"MMM-YY")</f>
        <v>Jan-00</v>
      </c>
      <c r="T2907">
        <f>_xlfn.ISOWEEKNUM(Table1[[#This Row],[Date]])</f>
        <v>52</v>
      </c>
    </row>
    <row r="2908" spans="1:20" hidden="1">
      <c r="A2908" s="1"/>
      <c r="S2908" t="str">
        <f>TEXT(Table1[[#This Row],[Date]],"MMM-YY")</f>
        <v>Jan-00</v>
      </c>
      <c r="T2908">
        <f>_xlfn.ISOWEEKNUM(Table1[[#This Row],[Date]])</f>
        <v>52</v>
      </c>
    </row>
    <row r="2909" spans="1:20" hidden="1">
      <c r="A2909" s="1"/>
      <c r="S2909" t="str">
        <f>TEXT(Table1[[#This Row],[Date]],"MMM-YY")</f>
        <v>Jan-00</v>
      </c>
      <c r="T2909">
        <f>_xlfn.ISOWEEKNUM(Table1[[#This Row],[Date]])</f>
        <v>52</v>
      </c>
    </row>
    <row r="2910" spans="1:20" hidden="1">
      <c r="A2910" s="1"/>
      <c r="S2910" t="str">
        <f>TEXT(Table1[[#This Row],[Date]],"MMM-YY")</f>
        <v>Jan-00</v>
      </c>
      <c r="T2910">
        <f>_xlfn.ISOWEEKNUM(Table1[[#This Row],[Date]])</f>
        <v>52</v>
      </c>
    </row>
    <row r="2911" spans="1:20" hidden="1">
      <c r="A2911" s="1"/>
      <c r="S2911" t="str">
        <f>TEXT(Table1[[#This Row],[Date]],"MMM-YY")</f>
        <v>Jan-00</v>
      </c>
      <c r="T2911">
        <f>_xlfn.ISOWEEKNUM(Table1[[#This Row],[Date]])</f>
        <v>52</v>
      </c>
    </row>
    <row r="2912" spans="1:20" hidden="1">
      <c r="A2912" s="1"/>
      <c r="S2912" t="str">
        <f>TEXT(Table1[[#This Row],[Date]],"MMM-YY")</f>
        <v>Jan-00</v>
      </c>
      <c r="T2912">
        <f>_xlfn.ISOWEEKNUM(Table1[[#This Row],[Date]])</f>
        <v>52</v>
      </c>
    </row>
    <row r="2913" spans="1:20" hidden="1">
      <c r="A2913" s="1"/>
      <c r="S2913" t="str">
        <f>TEXT(Table1[[#This Row],[Date]],"MMM-YY")</f>
        <v>Jan-00</v>
      </c>
      <c r="T2913">
        <f>_xlfn.ISOWEEKNUM(Table1[[#This Row],[Date]])</f>
        <v>52</v>
      </c>
    </row>
    <row r="2914" spans="1:20" hidden="1">
      <c r="A2914" s="1"/>
      <c r="S2914" t="str">
        <f>TEXT(Table1[[#This Row],[Date]],"MMM-YY")</f>
        <v>Jan-00</v>
      </c>
      <c r="T2914">
        <f>_xlfn.ISOWEEKNUM(Table1[[#This Row],[Date]])</f>
        <v>52</v>
      </c>
    </row>
    <row r="2915" spans="1:20" hidden="1">
      <c r="A2915" s="1"/>
      <c r="S2915" t="str">
        <f>TEXT(Table1[[#This Row],[Date]],"MMM-YY")</f>
        <v>Jan-00</v>
      </c>
      <c r="T2915">
        <f>_xlfn.ISOWEEKNUM(Table1[[#This Row],[Date]])</f>
        <v>52</v>
      </c>
    </row>
    <row r="2916" spans="1:20" hidden="1">
      <c r="A2916" s="1"/>
      <c r="S2916" t="str">
        <f>TEXT(Table1[[#This Row],[Date]],"MMM-YY")</f>
        <v>Jan-00</v>
      </c>
      <c r="T2916">
        <f>_xlfn.ISOWEEKNUM(Table1[[#This Row],[Date]])</f>
        <v>52</v>
      </c>
    </row>
    <row r="2917" spans="1:20" hidden="1">
      <c r="A2917" s="1"/>
      <c r="S2917" t="str">
        <f>TEXT(Table1[[#This Row],[Date]],"MMM-YY")</f>
        <v>Jan-00</v>
      </c>
      <c r="T2917">
        <f>_xlfn.ISOWEEKNUM(Table1[[#This Row],[Date]])</f>
        <v>52</v>
      </c>
    </row>
    <row r="2918" spans="1:20" hidden="1">
      <c r="A2918" s="1"/>
      <c r="S2918" t="str">
        <f>TEXT(Table1[[#This Row],[Date]],"MMM-YY")</f>
        <v>Jan-00</v>
      </c>
      <c r="T2918">
        <f>_xlfn.ISOWEEKNUM(Table1[[#This Row],[Date]])</f>
        <v>52</v>
      </c>
    </row>
    <row r="2919" spans="1:20" hidden="1">
      <c r="A2919" s="1"/>
      <c r="S2919" t="str">
        <f>TEXT(Table1[[#This Row],[Date]],"MMM-YY")</f>
        <v>Jan-00</v>
      </c>
      <c r="T2919">
        <f>_xlfn.ISOWEEKNUM(Table1[[#This Row],[Date]])</f>
        <v>52</v>
      </c>
    </row>
    <row r="2920" spans="1:20" hidden="1">
      <c r="A2920" s="1"/>
      <c r="S2920" t="str">
        <f>TEXT(Table1[[#This Row],[Date]],"MMM-YY")</f>
        <v>Jan-00</v>
      </c>
      <c r="T2920">
        <f>_xlfn.ISOWEEKNUM(Table1[[#This Row],[Date]])</f>
        <v>52</v>
      </c>
    </row>
    <row r="2921" spans="1:20" hidden="1">
      <c r="A2921" s="1"/>
      <c r="S2921" t="str">
        <f>TEXT(Table1[[#This Row],[Date]],"MMM-YY")</f>
        <v>Jan-00</v>
      </c>
      <c r="T2921">
        <f>_xlfn.ISOWEEKNUM(Table1[[#This Row],[Date]])</f>
        <v>52</v>
      </c>
    </row>
    <row r="2922" spans="1:20" hidden="1">
      <c r="A2922" s="1"/>
      <c r="S2922" t="str">
        <f>TEXT(Table1[[#This Row],[Date]],"MMM-YY")</f>
        <v>Jan-00</v>
      </c>
      <c r="T2922">
        <f>_xlfn.ISOWEEKNUM(Table1[[#This Row],[Date]])</f>
        <v>52</v>
      </c>
    </row>
    <row r="2923" spans="1:20" hidden="1">
      <c r="A2923" s="1"/>
      <c r="S2923" t="str">
        <f>TEXT(Table1[[#This Row],[Date]],"MMM-YY")</f>
        <v>Jan-00</v>
      </c>
      <c r="T2923">
        <f>_xlfn.ISOWEEKNUM(Table1[[#This Row],[Date]])</f>
        <v>52</v>
      </c>
    </row>
    <row r="2924" spans="1:20" hidden="1">
      <c r="A2924" s="1"/>
      <c r="S2924" t="str">
        <f>TEXT(Table1[[#This Row],[Date]],"MMM-YY")</f>
        <v>Jan-00</v>
      </c>
      <c r="T2924">
        <f>_xlfn.ISOWEEKNUM(Table1[[#This Row],[Date]])</f>
        <v>52</v>
      </c>
    </row>
    <row r="2925" spans="1:20" hidden="1">
      <c r="A2925" s="1"/>
      <c r="S2925" t="str">
        <f>TEXT(Table1[[#This Row],[Date]],"MMM-YY")</f>
        <v>Jan-00</v>
      </c>
      <c r="T2925">
        <f>_xlfn.ISOWEEKNUM(Table1[[#This Row],[Date]])</f>
        <v>52</v>
      </c>
    </row>
    <row r="2926" spans="1:20" hidden="1">
      <c r="A2926" s="1"/>
      <c r="S2926" t="str">
        <f>TEXT(Table1[[#This Row],[Date]],"MMM-YY")</f>
        <v>Jan-00</v>
      </c>
      <c r="T2926">
        <f>_xlfn.ISOWEEKNUM(Table1[[#This Row],[Date]])</f>
        <v>52</v>
      </c>
    </row>
    <row r="2927" spans="1:20" hidden="1">
      <c r="A2927" s="1"/>
      <c r="S2927" t="str">
        <f>TEXT(Table1[[#This Row],[Date]],"MMM-YY")</f>
        <v>Jan-00</v>
      </c>
      <c r="T2927">
        <f>_xlfn.ISOWEEKNUM(Table1[[#This Row],[Date]])</f>
        <v>52</v>
      </c>
    </row>
    <row r="2928" spans="1:20" hidden="1">
      <c r="A2928" s="1"/>
      <c r="S2928" t="str">
        <f>TEXT(Table1[[#This Row],[Date]],"MMM-YY")</f>
        <v>Jan-00</v>
      </c>
      <c r="T2928">
        <f>_xlfn.ISOWEEKNUM(Table1[[#This Row],[Date]])</f>
        <v>52</v>
      </c>
    </row>
    <row r="2929" spans="1:20" hidden="1">
      <c r="A2929" s="1"/>
      <c r="S2929" t="str">
        <f>TEXT(Table1[[#This Row],[Date]],"MMM-YY")</f>
        <v>Jan-00</v>
      </c>
      <c r="T2929">
        <f>_xlfn.ISOWEEKNUM(Table1[[#This Row],[Date]])</f>
        <v>52</v>
      </c>
    </row>
    <row r="2930" spans="1:20" hidden="1">
      <c r="A2930" s="1"/>
      <c r="S2930" t="str">
        <f>TEXT(Table1[[#This Row],[Date]],"MMM-YY")</f>
        <v>Jan-00</v>
      </c>
      <c r="T2930">
        <f>_xlfn.ISOWEEKNUM(Table1[[#This Row],[Date]])</f>
        <v>52</v>
      </c>
    </row>
    <row r="2931" spans="1:20" hidden="1">
      <c r="A2931" s="1"/>
      <c r="S2931" t="str">
        <f>TEXT(Table1[[#This Row],[Date]],"MMM-YY")</f>
        <v>Jan-00</v>
      </c>
      <c r="T2931">
        <f>_xlfn.ISOWEEKNUM(Table1[[#This Row],[Date]])</f>
        <v>52</v>
      </c>
    </row>
    <row r="2932" spans="1:20" hidden="1">
      <c r="A2932" s="1"/>
      <c r="S2932" t="str">
        <f>TEXT(Table1[[#This Row],[Date]],"MMM-YY")</f>
        <v>Jan-00</v>
      </c>
      <c r="T2932">
        <f>_xlfn.ISOWEEKNUM(Table1[[#This Row],[Date]])</f>
        <v>52</v>
      </c>
    </row>
    <row r="2933" spans="1:20" hidden="1">
      <c r="A2933" s="1"/>
      <c r="S2933" t="str">
        <f>TEXT(Table1[[#This Row],[Date]],"MMM-YY")</f>
        <v>Jan-00</v>
      </c>
      <c r="T2933">
        <f>_xlfn.ISOWEEKNUM(Table1[[#This Row],[Date]])</f>
        <v>52</v>
      </c>
    </row>
    <row r="2934" spans="1:20" hidden="1">
      <c r="A2934" s="1"/>
      <c r="S2934" t="str">
        <f>TEXT(Table1[[#This Row],[Date]],"MMM-YY")</f>
        <v>Jan-00</v>
      </c>
      <c r="T2934">
        <f>_xlfn.ISOWEEKNUM(Table1[[#This Row],[Date]])</f>
        <v>52</v>
      </c>
    </row>
    <row r="2935" spans="1:20" hidden="1">
      <c r="A2935" s="1"/>
      <c r="S2935" t="str">
        <f>TEXT(Table1[[#This Row],[Date]],"MMM-YY")</f>
        <v>Jan-00</v>
      </c>
      <c r="T2935">
        <f>_xlfn.ISOWEEKNUM(Table1[[#This Row],[Date]])</f>
        <v>52</v>
      </c>
    </row>
    <row r="2936" spans="1:20" hidden="1">
      <c r="A2936" s="1"/>
      <c r="S2936" t="str">
        <f>TEXT(Table1[[#This Row],[Date]],"MMM-YY")</f>
        <v>Jan-00</v>
      </c>
      <c r="T2936">
        <f>_xlfn.ISOWEEKNUM(Table1[[#This Row],[Date]])</f>
        <v>52</v>
      </c>
    </row>
    <row r="2937" spans="1:20" hidden="1">
      <c r="A2937" s="1"/>
      <c r="S2937" t="str">
        <f>TEXT(Table1[[#This Row],[Date]],"MMM-YY")</f>
        <v>Jan-00</v>
      </c>
      <c r="T2937">
        <f>_xlfn.ISOWEEKNUM(Table1[[#This Row],[Date]])</f>
        <v>52</v>
      </c>
    </row>
    <row r="2938" spans="1:20" hidden="1">
      <c r="A2938" s="1"/>
      <c r="S2938" t="str">
        <f>TEXT(Table1[[#This Row],[Date]],"MMM-YY")</f>
        <v>Jan-00</v>
      </c>
      <c r="T2938">
        <f>_xlfn.ISOWEEKNUM(Table1[[#This Row],[Date]])</f>
        <v>52</v>
      </c>
    </row>
    <row r="2939" spans="1:20" hidden="1">
      <c r="A2939" s="1"/>
      <c r="S2939" t="str">
        <f>TEXT(Table1[[#This Row],[Date]],"MMM-YY")</f>
        <v>Jan-00</v>
      </c>
      <c r="T2939">
        <f>_xlfn.ISOWEEKNUM(Table1[[#This Row],[Date]])</f>
        <v>52</v>
      </c>
    </row>
    <row r="2940" spans="1:20" hidden="1">
      <c r="A2940" s="1"/>
      <c r="S2940" t="str">
        <f>TEXT(Table1[[#This Row],[Date]],"MMM-YY")</f>
        <v>Jan-00</v>
      </c>
      <c r="T2940">
        <f>_xlfn.ISOWEEKNUM(Table1[[#This Row],[Date]])</f>
        <v>52</v>
      </c>
    </row>
    <row r="2941" spans="1:20" hidden="1">
      <c r="A2941" s="1"/>
      <c r="S2941" t="str">
        <f>TEXT(Table1[[#This Row],[Date]],"MMM-YY")</f>
        <v>Jan-00</v>
      </c>
      <c r="T2941">
        <f>_xlfn.ISOWEEKNUM(Table1[[#This Row],[Date]])</f>
        <v>52</v>
      </c>
    </row>
    <row r="2942" spans="1:20" hidden="1">
      <c r="A2942" s="1"/>
      <c r="S2942" t="str">
        <f>TEXT(Table1[[#This Row],[Date]],"MMM-YY")</f>
        <v>Jan-00</v>
      </c>
      <c r="T2942">
        <f>_xlfn.ISOWEEKNUM(Table1[[#This Row],[Date]])</f>
        <v>52</v>
      </c>
    </row>
    <row r="2943" spans="1:20" hidden="1">
      <c r="A2943" s="1"/>
      <c r="S2943" t="str">
        <f>TEXT(Table1[[#This Row],[Date]],"MMM-YY")</f>
        <v>Jan-00</v>
      </c>
      <c r="T2943">
        <f>_xlfn.ISOWEEKNUM(Table1[[#This Row],[Date]])</f>
        <v>52</v>
      </c>
    </row>
    <row r="2944" spans="1:20" hidden="1">
      <c r="A2944" s="1"/>
      <c r="S2944" t="str">
        <f>TEXT(Table1[[#This Row],[Date]],"MMM-YY")</f>
        <v>Jan-00</v>
      </c>
      <c r="T2944">
        <f>_xlfn.ISOWEEKNUM(Table1[[#This Row],[Date]])</f>
        <v>52</v>
      </c>
    </row>
    <row r="2945" spans="1:20" hidden="1">
      <c r="A2945" s="1"/>
      <c r="S2945" t="str">
        <f>TEXT(Table1[[#This Row],[Date]],"MMM-YY")</f>
        <v>Jan-00</v>
      </c>
      <c r="T2945">
        <f>_xlfn.ISOWEEKNUM(Table1[[#This Row],[Date]])</f>
        <v>52</v>
      </c>
    </row>
    <row r="2946" spans="1:20" hidden="1">
      <c r="A2946" s="1"/>
      <c r="S2946" t="str">
        <f>TEXT(Table1[[#This Row],[Date]],"MMM-YY")</f>
        <v>Jan-00</v>
      </c>
      <c r="T2946">
        <f>_xlfn.ISOWEEKNUM(Table1[[#This Row],[Date]])</f>
        <v>52</v>
      </c>
    </row>
    <row r="2947" spans="1:20" hidden="1">
      <c r="A2947" s="1"/>
      <c r="S2947" t="str">
        <f>TEXT(Table1[[#This Row],[Date]],"MMM-YY")</f>
        <v>Jan-00</v>
      </c>
      <c r="T2947">
        <f>_xlfn.ISOWEEKNUM(Table1[[#This Row],[Date]])</f>
        <v>52</v>
      </c>
    </row>
    <row r="2948" spans="1:20" hidden="1">
      <c r="A2948" s="1"/>
      <c r="S2948" t="str">
        <f>TEXT(Table1[[#This Row],[Date]],"MMM-YY")</f>
        <v>Jan-00</v>
      </c>
      <c r="T2948">
        <f>_xlfn.ISOWEEKNUM(Table1[[#This Row],[Date]])</f>
        <v>52</v>
      </c>
    </row>
    <row r="2949" spans="1:20" hidden="1">
      <c r="A2949" s="1"/>
      <c r="S2949" t="str">
        <f>TEXT(Table1[[#This Row],[Date]],"MMM-YY")</f>
        <v>Jan-00</v>
      </c>
      <c r="T2949">
        <f>_xlfn.ISOWEEKNUM(Table1[[#This Row],[Date]])</f>
        <v>52</v>
      </c>
    </row>
    <row r="2950" spans="1:20" hidden="1">
      <c r="A2950" s="1"/>
      <c r="S2950" t="str">
        <f>TEXT(Table1[[#This Row],[Date]],"MMM-YY")</f>
        <v>Jan-00</v>
      </c>
      <c r="T2950">
        <f>_xlfn.ISOWEEKNUM(Table1[[#This Row],[Date]])</f>
        <v>52</v>
      </c>
    </row>
    <row r="2951" spans="1:20" hidden="1">
      <c r="A2951" s="1"/>
      <c r="S2951" t="str">
        <f>TEXT(Table1[[#This Row],[Date]],"MMM-YY")</f>
        <v>Jan-00</v>
      </c>
      <c r="T2951">
        <f>_xlfn.ISOWEEKNUM(Table1[[#This Row],[Date]])</f>
        <v>52</v>
      </c>
    </row>
    <row r="2952" spans="1:20" hidden="1">
      <c r="A2952" s="1"/>
      <c r="S2952" t="str">
        <f>TEXT(Table1[[#This Row],[Date]],"MMM-YY")</f>
        <v>Jan-00</v>
      </c>
      <c r="T2952">
        <f>_xlfn.ISOWEEKNUM(Table1[[#This Row],[Date]])</f>
        <v>52</v>
      </c>
    </row>
    <row r="2953" spans="1:20" hidden="1">
      <c r="A2953" s="1"/>
      <c r="S2953" t="str">
        <f>TEXT(Table1[[#This Row],[Date]],"MMM-YY")</f>
        <v>Jan-00</v>
      </c>
      <c r="T2953">
        <f>_xlfn.ISOWEEKNUM(Table1[[#This Row],[Date]])</f>
        <v>52</v>
      </c>
    </row>
    <row r="2954" spans="1:20" hidden="1">
      <c r="A2954" s="1"/>
      <c r="S2954" t="str">
        <f>TEXT(Table1[[#This Row],[Date]],"MMM-YY")</f>
        <v>Jan-00</v>
      </c>
      <c r="T2954">
        <f>_xlfn.ISOWEEKNUM(Table1[[#This Row],[Date]])</f>
        <v>52</v>
      </c>
    </row>
    <row r="2955" spans="1:20" hidden="1">
      <c r="A2955" s="1"/>
      <c r="S2955" t="str">
        <f>TEXT(Table1[[#This Row],[Date]],"MMM-YY")</f>
        <v>Jan-00</v>
      </c>
      <c r="T2955">
        <f>_xlfn.ISOWEEKNUM(Table1[[#This Row],[Date]])</f>
        <v>52</v>
      </c>
    </row>
    <row r="2956" spans="1:20" hidden="1">
      <c r="A2956" s="1"/>
      <c r="S2956" t="str">
        <f>TEXT(Table1[[#This Row],[Date]],"MMM-YY")</f>
        <v>Jan-00</v>
      </c>
      <c r="T2956">
        <f>_xlfn.ISOWEEKNUM(Table1[[#This Row],[Date]])</f>
        <v>52</v>
      </c>
    </row>
    <row r="2957" spans="1:20" hidden="1">
      <c r="A2957" s="1"/>
      <c r="S2957" t="str">
        <f>TEXT(Table1[[#This Row],[Date]],"MMM-YY")</f>
        <v>Jan-00</v>
      </c>
      <c r="T2957">
        <f>_xlfn.ISOWEEKNUM(Table1[[#This Row],[Date]])</f>
        <v>52</v>
      </c>
    </row>
    <row r="2958" spans="1:20" hidden="1">
      <c r="A2958" s="1"/>
      <c r="S2958" t="str">
        <f>TEXT(Table1[[#This Row],[Date]],"MMM-YY")</f>
        <v>Jan-00</v>
      </c>
      <c r="T2958">
        <f>_xlfn.ISOWEEKNUM(Table1[[#This Row],[Date]])</f>
        <v>52</v>
      </c>
    </row>
    <row r="2959" spans="1:20" hidden="1">
      <c r="A2959" s="1"/>
      <c r="S2959" t="str">
        <f>TEXT(Table1[[#This Row],[Date]],"MMM-YY")</f>
        <v>Jan-00</v>
      </c>
      <c r="T2959">
        <f>_xlfn.ISOWEEKNUM(Table1[[#This Row],[Date]])</f>
        <v>52</v>
      </c>
    </row>
    <row r="2960" spans="1:20" hidden="1">
      <c r="A2960" s="1"/>
      <c r="S2960" t="str">
        <f>TEXT(Table1[[#This Row],[Date]],"MMM-YY")</f>
        <v>Jan-00</v>
      </c>
      <c r="T2960">
        <f>_xlfn.ISOWEEKNUM(Table1[[#This Row],[Date]])</f>
        <v>52</v>
      </c>
    </row>
    <row r="2961" spans="1:20" hidden="1">
      <c r="A2961" s="1"/>
      <c r="S2961" t="str">
        <f>TEXT(Table1[[#This Row],[Date]],"MMM-YY")</f>
        <v>Jan-00</v>
      </c>
      <c r="T2961">
        <f>_xlfn.ISOWEEKNUM(Table1[[#This Row],[Date]])</f>
        <v>52</v>
      </c>
    </row>
    <row r="2962" spans="1:20" hidden="1">
      <c r="A2962" s="1"/>
      <c r="S2962" t="str">
        <f>TEXT(Table1[[#This Row],[Date]],"MMM-YY")</f>
        <v>Jan-00</v>
      </c>
      <c r="T2962">
        <f>_xlfn.ISOWEEKNUM(Table1[[#This Row],[Date]])</f>
        <v>52</v>
      </c>
    </row>
    <row r="2963" spans="1:20" hidden="1">
      <c r="A2963" s="1"/>
      <c r="S2963" t="str">
        <f>TEXT(Table1[[#This Row],[Date]],"MMM-YY")</f>
        <v>Jan-00</v>
      </c>
      <c r="T2963">
        <f>_xlfn.ISOWEEKNUM(Table1[[#This Row],[Date]])</f>
        <v>52</v>
      </c>
    </row>
    <row r="2964" spans="1:20" hidden="1">
      <c r="A2964" s="1"/>
      <c r="S2964" t="str">
        <f>TEXT(Table1[[#This Row],[Date]],"MMM-YY")</f>
        <v>Jan-00</v>
      </c>
      <c r="T2964">
        <f>_xlfn.ISOWEEKNUM(Table1[[#This Row],[Date]])</f>
        <v>52</v>
      </c>
    </row>
    <row r="2965" spans="1:20" hidden="1">
      <c r="A2965" s="1"/>
      <c r="S2965" t="str">
        <f>TEXT(Table1[[#This Row],[Date]],"MMM-YY")</f>
        <v>Jan-00</v>
      </c>
      <c r="T2965">
        <f>_xlfn.ISOWEEKNUM(Table1[[#This Row],[Date]])</f>
        <v>52</v>
      </c>
    </row>
    <row r="2966" spans="1:20" hidden="1">
      <c r="A2966" s="1"/>
      <c r="S2966" t="str">
        <f>TEXT(Table1[[#This Row],[Date]],"MMM-YY")</f>
        <v>Jan-00</v>
      </c>
      <c r="T2966">
        <f>_xlfn.ISOWEEKNUM(Table1[[#This Row],[Date]])</f>
        <v>52</v>
      </c>
    </row>
    <row r="2967" spans="1:20" hidden="1">
      <c r="A2967" s="1"/>
      <c r="S2967" t="str">
        <f>TEXT(Table1[[#This Row],[Date]],"MMM-YY")</f>
        <v>Jan-00</v>
      </c>
      <c r="T2967">
        <f>_xlfn.ISOWEEKNUM(Table1[[#This Row],[Date]])</f>
        <v>52</v>
      </c>
    </row>
    <row r="2968" spans="1:20" hidden="1">
      <c r="A2968" s="1"/>
      <c r="S2968" t="str">
        <f>TEXT(Table1[[#This Row],[Date]],"MMM-YY")</f>
        <v>Jan-00</v>
      </c>
      <c r="T2968">
        <f>_xlfn.ISOWEEKNUM(Table1[[#This Row],[Date]])</f>
        <v>52</v>
      </c>
    </row>
    <row r="2969" spans="1:20" hidden="1">
      <c r="A2969" s="1"/>
      <c r="S2969" t="str">
        <f>TEXT(Table1[[#This Row],[Date]],"MMM-YY")</f>
        <v>Jan-00</v>
      </c>
      <c r="T2969">
        <f>_xlfn.ISOWEEKNUM(Table1[[#This Row],[Date]])</f>
        <v>52</v>
      </c>
    </row>
    <row r="2970" spans="1:20" hidden="1">
      <c r="A2970" s="1"/>
      <c r="S2970" t="str">
        <f>TEXT(Table1[[#This Row],[Date]],"MMM-YY")</f>
        <v>Jan-00</v>
      </c>
      <c r="T2970">
        <f>_xlfn.ISOWEEKNUM(Table1[[#This Row],[Date]])</f>
        <v>52</v>
      </c>
    </row>
    <row r="2971" spans="1:20" hidden="1">
      <c r="A2971" s="1"/>
      <c r="S2971" t="str">
        <f>TEXT(Table1[[#This Row],[Date]],"MMM-YY")</f>
        <v>Jan-00</v>
      </c>
      <c r="T2971">
        <f>_xlfn.ISOWEEKNUM(Table1[[#This Row],[Date]])</f>
        <v>52</v>
      </c>
    </row>
    <row r="2972" spans="1:20" hidden="1">
      <c r="A2972" s="1"/>
      <c r="S2972" t="str">
        <f>TEXT(Table1[[#This Row],[Date]],"MMM-YY")</f>
        <v>Jan-00</v>
      </c>
      <c r="T2972">
        <f>_xlfn.ISOWEEKNUM(Table1[[#This Row],[Date]])</f>
        <v>52</v>
      </c>
    </row>
    <row r="2973" spans="1:20" hidden="1">
      <c r="A2973" s="1"/>
      <c r="S2973" t="str">
        <f>TEXT(Table1[[#This Row],[Date]],"MMM-YY")</f>
        <v>Jan-00</v>
      </c>
      <c r="T2973">
        <f>_xlfn.ISOWEEKNUM(Table1[[#This Row],[Date]])</f>
        <v>52</v>
      </c>
    </row>
    <row r="2974" spans="1:20" hidden="1">
      <c r="A2974" s="1"/>
      <c r="S2974" t="str">
        <f>TEXT(Table1[[#This Row],[Date]],"MMM-YY")</f>
        <v>Jan-00</v>
      </c>
      <c r="T2974">
        <f>_xlfn.ISOWEEKNUM(Table1[[#This Row],[Date]])</f>
        <v>52</v>
      </c>
    </row>
    <row r="2975" spans="1:20" hidden="1">
      <c r="A2975" s="1"/>
      <c r="S2975" t="str">
        <f>TEXT(Table1[[#This Row],[Date]],"MMM-YY")</f>
        <v>Jan-00</v>
      </c>
      <c r="T2975">
        <f>_xlfn.ISOWEEKNUM(Table1[[#This Row],[Date]])</f>
        <v>52</v>
      </c>
    </row>
    <row r="2976" spans="1:20" hidden="1">
      <c r="A2976" s="1"/>
      <c r="S2976" t="str">
        <f>TEXT(Table1[[#This Row],[Date]],"MMM-YY")</f>
        <v>Jan-00</v>
      </c>
      <c r="T2976">
        <f>_xlfn.ISOWEEKNUM(Table1[[#This Row],[Date]])</f>
        <v>52</v>
      </c>
    </row>
    <row r="2977" spans="1:20" hidden="1">
      <c r="A2977" s="1"/>
      <c r="S2977" t="str">
        <f>TEXT(Table1[[#This Row],[Date]],"MMM-YY")</f>
        <v>Jan-00</v>
      </c>
      <c r="T2977">
        <f>_xlfn.ISOWEEKNUM(Table1[[#This Row],[Date]])</f>
        <v>52</v>
      </c>
    </row>
    <row r="2978" spans="1:20" hidden="1">
      <c r="A2978" s="1"/>
      <c r="S2978" t="str">
        <f>TEXT(Table1[[#This Row],[Date]],"MMM-YY")</f>
        <v>Jan-00</v>
      </c>
      <c r="T2978">
        <f>_xlfn.ISOWEEKNUM(Table1[[#This Row],[Date]])</f>
        <v>52</v>
      </c>
    </row>
    <row r="2979" spans="1:20" hidden="1">
      <c r="A2979" s="1"/>
      <c r="S2979" t="str">
        <f>TEXT(Table1[[#This Row],[Date]],"MMM-YY")</f>
        <v>Jan-00</v>
      </c>
      <c r="T2979">
        <f>_xlfn.ISOWEEKNUM(Table1[[#This Row],[Date]])</f>
        <v>52</v>
      </c>
    </row>
    <row r="2980" spans="1:20" hidden="1">
      <c r="A2980" s="1"/>
      <c r="S2980" t="str">
        <f>TEXT(Table1[[#This Row],[Date]],"MMM-YY")</f>
        <v>Jan-00</v>
      </c>
      <c r="T2980">
        <f>_xlfn.ISOWEEKNUM(Table1[[#This Row],[Date]])</f>
        <v>52</v>
      </c>
    </row>
    <row r="2981" spans="1:20" hidden="1">
      <c r="A2981" s="1"/>
      <c r="S2981" t="str">
        <f>TEXT(Table1[[#This Row],[Date]],"MMM-YY")</f>
        <v>Jan-00</v>
      </c>
      <c r="T2981">
        <f>_xlfn.ISOWEEKNUM(Table1[[#This Row],[Date]])</f>
        <v>52</v>
      </c>
    </row>
    <row r="2982" spans="1:20" hidden="1">
      <c r="A2982" s="1"/>
      <c r="S2982" t="str">
        <f>TEXT(Table1[[#This Row],[Date]],"MMM-YY")</f>
        <v>Jan-00</v>
      </c>
      <c r="T2982">
        <f>_xlfn.ISOWEEKNUM(Table1[[#This Row],[Date]])</f>
        <v>52</v>
      </c>
    </row>
    <row r="2983" spans="1:20" hidden="1">
      <c r="A2983" s="1"/>
      <c r="S2983" t="str">
        <f>TEXT(Table1[[#This Row],[Date]],"MMM-YY")</f>
        <v>Jan-00</v>
      </c>
      <c r="T2983">
        <f>_xlfn.ISOWEEKNUM(Table1[[#This Row],[Date]])</f>
        <v>52</v>
      </c>
    </row>
    <row r="2984" spans="1:20" hidden="1">
      <c r="A2984" s="1"/>
      <c r="S2984" t="str">
        <f>TEXT(Table1[[#This Row],[Date]],"MMM-YY")</f>
        <v>Jan-00</v>
      </c>
      <c r="T2984">
        <f>_xlfn.ISOWEEKNUM(Table1[[#This Row],[Date]])</f>
        <v>52</v>
      </c>
    </row>
    <row r="2985" spans="1:20" hidden="1">
      <c r="A2985" s="1"/>
      <c r="S2985" t="str">
        <f>TEXT(Table1[[#This Row],[Date]],"MMM-YY")</f>
        <v>Jan-00</v>
      </c>
      <c r="T2985">
        <f>_xlfn.ISOWEEKNUM(Table1[[#This Row],[Date]])</f>
        <v>52</v>
      </c>
    </row>
    <row r="2986" spans="1:20" hidden="1">
      <c r="A2986" s="1"/>
      <c r="S2986" t="str">
        <f>TEXT(Table1[[#This Row],[Date]],"MMM-YY")</f>
        <v>Jan-00</v>
      </c>
      <c r="T2986">
        <f>_xlfn.ISOWEEKNUM(Table1[[#This Row],[Date]])</f>
        <v>52</v>
      </c>
    </row>
    <row r="2987" spans="1:20" hidden="1">
      <c r="A2987" s="1"/>
      <c r="S2987" t="str">
        <f>TEXT(Table1[[#This Row],[Date]],"MMM-YY")</f>
        <v>Jan-00</v>
      </c>
      <c r="T2987">
        <f>_xlfn.ISOWEEKNUM(Table1[[#This Row],[Date]])</f>
        <v>52</v>
      </c>
    </row>
    <row r="2988" spans="1:20" hidden="1">
      <c r="A2988" s="1"/>
      <c r="S2988" t="str">
        <f>TEXT(Table1[[#This Row],[Date]],"MMM-YY")</f>
        <v>Jan-00</v>
      </c>
      <c r="T2988">
        <f>_xlfn.ISOWEEKNUM(Table1[[#This Row],[Date]])</f>
        <v>52</v>
      </c>
    </row>
    <row r="2989" spans="1:20" hidden="1">
      <c r="A2989" s="1"/>
      <c r="S2989" t="str">
        <f>TEXT(Table1[[#This Row],[Date]],"MMM-YY")</f>
        <v>Jan-00</v>
      </c>
      <c r="T2989">
        <f>_xlfn.ISOWEEKNUM(Table1[[#This Row],[Date]])</f>
        <v>52</v>
      </c>
    </row>
    <row r="2990" spans="1:20" hidden="1">
      <c r="A2990" s="1"/>
      <c r="S2990" t="str">
        <f>TEXT(Table1[[#This Row],[Date]],"MMM-YY")</f>
        <v>Jan-00</v>
      </c>
      <c r="T2990">
        <f>_xlfn.ISOWEEKNUM(Table1[[#This Row],[Date]])</f>
        <v>52</v>
      </c>
    </row>
    <row r="2991" spans="1:20" hidden="1">
      <c r="A2991" s="1"/>
      <c r="S2991" t="str">
        <f>TEXT(Table1[[#This Row],[Date]],"MMM-YY")</f>
        <v>Jan-00</v>
      </c>
      <c r="T2991">
        <f>_xlfn.ISOWEEKNUM(Table1[[#This Row],[Date]])</f>
        <v>52</v>
      </c>
    </row>
    <row r="2992" spans="1:20" hidden="1">
      <c r="A2992" s="1"/>
      <c r="S2992" t="str">
        <f>TEXT(Table1[[#This Row],[Date]],"MMM-YY")</f>
        <v>Jan-00</v>
      </c>
      <c r="T2992">
        <f>_xlfn.ISOWEEKNUM(Table1[[#This Row],[Date]])</f>
        <v>52</v>
      </c>
    </row>
    <row r="2993" spans="1:20" hidden="1">
      <c r="A2993" s="1"/>
      <c r="S2993" t="str">
        <f>TEXT(Table1[[#This Row],[Date]],"MMM-YY")</f>
        <v>Jan-00</v>
      </c>
      <c r="T2993">
        <f>_xlfn.ISOWEEKNUM(Table1[[#This Row],[Date]])</f>
        <v>52</v>
      </c>
    </row>
    <row r="2994" spans="1:20" hidden="1">
      <c r="A2994" s="1"/>
      <c r="S2994" t="str">
        <f>TEXT(Table1[[#This Row],[Date]],"MMM-YY")</f>
        <v>Jan-00</v>
      </c>
      <c r="T2994">
        <f>_xlfn.ISOWEEKNUM(Table1[[#This Row],[Date]])</f>
        <v>52</v>
      </c>
    </row>
    <row r="2995" spans="1:20" hidden="1">
      <c r="A2995" s="1"/>
      <c r="S2995" t="str">
        <f>TEXT(Table1[[#This Row],[Date]],"MMM-YY")</f>
        <v>Jan-00</v>
      </c>
      <c r="T2995">
        <f>_xlfn.ISOWEEKNUM(Table1[[#This Row],[Date]])</f>
        <v>52</v>
      </c>
    </row>
    <row r="2996" spans="1:20" hidden="1">
      <c r="A2996" s="1"/>
      <c r="S2996" t="str">
        <f>TEXT(Table1[[#This Row],[Date]],"MMM-YY")</f>
        <v>Jan-00</v>
      </c>
      <c r="T2996">
        <f>_xlfn.ISOWEEKNUM(Table1[[#This Row],[Date]])</f>
        <v>52</v>
      </c>
    </row>
    <row r="2997" spans="1:20" hidden="1">
      <c r="A2997" s="1"/>
      <c r="S2997" t="str">
        <f>TEXT(Table1[[#This Row],[Date]],"MMM-YY")</f>
        <v>Jan-00</v>
      </c>
      <c r="T2997">
        <f>_xlfn.ISOWEEKNUM(Table1[[#This Row],[Date]])</f>
        <v>52</v>
      </c>
    </row>
    <row r="2998" spans="1:20" hidden="1">
      <c r="A2998" s="1"/>
      <c r="S2998" t="str">
        <f>TEXT(Table1[[#This Row],[Date]],"MMM-YY")</f>
        <v>Jan-00</v>
      </c>
      <c r="T2998">
        <f>_xlfn.ISOWEEKNUM(Table1[[#This Row],[Date]])</f>
        <v>52</v>
      </c>
    </row>
    <row r="2999" spans="1:20" hidden="1">
      <c r="A2999" s="1"/>
      <c r="S2999" t="str">
        <f>TEXT(Table1[[#This Row],[Date]],"MMM-YY")</f>
        <v>Jan-00</v>
      </c>
      <c r="T2999">
        <f>_xlfn.ISOWEEKNUM(Table1[[#This Row],[Date]])</f>
        <v>52</v>
      </c>
    </row>
    <row r="3000" spans="1:20" hidden="1">
      <c r="A3000" s="1"/>
      <c r="S3000" t="str">
        <f>TEXT(Table1[[#This Row],[Date]],"MMM-YY")</f>
        <v>Jan-00</v>
      </c>
      <c r="T3000">
        <f>_xlfn.ISOWEEKNUM(Table1[[#This Row],[Date]])</f>
        <v>52</v>
      </c>
    </row>
    <row r="3001" spans="1:20" hidden="1">
      <c r="A3001" s="1"/>
      <c r="S3001" t="str">
        <f>TEXT(Table1[[#This Row],[Date]],"MMM-YY")</f>
        <v>Jan-00</v>
      </c>
      <c r="T3001">
        <f>_xlfn.ISOWEEKNUM(Table1[[#This Row],[Date]])</f>
        <v>52</v>
      </c>
    </row>
    <row r="3002" spans="1:20" hidden="1">
      <c r="A3002" s="1"/>
      <c r="S3002" t="str">
        <f>TEXT(Table1[[#This Row],[Date]],"MMM-YY")</f>
        <v>Jan-00</v>
      </c>
      <c r="T3002">
        <f>_xlfn.ISOWEEKNUM(Table1[[#This Row],[Date]])</f>
        <v>52</v>
      </c>
    </row>
    <row r="3003" spans="1:20" hidden="1">
      <c r="A3003" s="1"/>
      <c r="S3003" t="str">
        <f>TEXT(Table1[[#This Row],[Date]],"MMM-YY")</f>
        <v>Jan-00</v>
      </c>
      <c r="T3003">
        <f>_xlfn.ISOWEEKNUM(Table1[[#This Row],[Date]])</f>
        <v>52</v>
      </c>
    </row>
    <row r="3004" spans="1:20" hidden="1">
      <c r="A3004" s="1"/>
      <c r="S3004" t="str">
        <f>TEXT(Table1[[#This Row],[Date]],"MMM-YY")</f>
        <v>Jan-00</v>
      </c>
      <c r="T3004">
        <f>_xlfn.ISOWEEKNUM(Table1[[#This Row],[Date]])</f>
        <v>52</v>
      </c>
    </row>
    <row r="3005" spans="1:20" hidden="1">
      <c r="A3005" s="1"/>
      <c r="S3005" t="str">
        <f>TEXT(Table1[[#This Row],[Date]],"MMM-YY")</f>
        <v>Jan-00</v>
      </c>
      <c r="T3005">
        <f>_xlfn.ISOWEEKNUM(Table1[[#This Row],[Date]])</f>
        <v>52</v>
      </c>
    </row>
    <row r="3006" spans="1:20" hidden="1">
      <c r="A3006" s="1"/>
      <c r="S3006" t="str">
        <f>TEXT(Table1[[#This Row],[Date]],"MMM-YY")</f>
        <v>Jan-00</v>
      </c>
      <c r="T3006">
        <f>_xlfn.ISOWEEKNUM(Table1[[#This Row],[Date]])</f>
        <v>52</v>
      </c>
    </row>
    <row r="3007" spans="1:20" hidden="1">
      <c r="A3007" s="1"/>
      <c r="S3007" t="str">
        <f>TEXT(Table1[[#This Row],[Date]],"MMM-YY")</f>
        <v>Jan-00</v>
      </c>
      <c r="T3007">
        <f>_xlfn.ISOWEEKNUM(Table1[[#This Row],[Date]])</f>
        <v>52</v>
      </c>
    </row>
    <row r="3008" spans="1:20" hidden="1">
      <c r="A3008" s="1"/>
      <c r="S3008" t="str">
        <f>TEXT(Table1[[#This Row],[Date]],"MMM-YY")</f>
        <v>Jan-00</v>
      </c>
      <c r="T3008">
        <f>_xlfn.ISOWEEKNUM(Table1[[#This Row],[Date]])</f>
        <v>52</v>
      </c>
    </row>
    <row r="3009" spans="1:20" hidden="1">
      <c r="A3009" s="1"/>
      <c r="S3009" t="str">
        <f>TEXT(Table1[[#This Row],[Date]],"MMM-YY")</f>
        <v>Jan-00</v>
      </c>
      <c r="T3009">
        <f>_xlfn.ISOWEEKNUM(Table1[[#This Row],[Date]])</f>
        <v>52</v>
      </c>
    </row>
    <row r="3010" spans="1:20" hidden="1">
      <c r="A3010" s="1"/>
      <c r="S3010" t="str">
        <f>TEXT(Table1[[#This Row],[Date]],"MMM-YY")</f>
        <v>Jan-00</v>
      </c>
      <c r="T3010">
        <f>_xlfn.ISOWEEKNUM(Table1[[#This Row],[Date]])</f>
        <v>52</v>
      </c>
    </row>
    <row r="3011" spans="1:20" hidden="1">
      <c r="A3011" s="1"/>
      <c r="S3011" t="str">
        <f>TEXT(Table1[[#This Row],[Date]],"MMM-YY")</f>
        <v>Jan-00</v>
      </c>
      <c r="T3011">
        <f>_xlfn.ISOWEEKNUM(Table1[[#This Row],[Date]])</f>
        <v>52</v>
      </c>
    </row>
    <row r="3012" spans="1:20" hidden="1">
      <c r="A3012" s="1"/>
      <c r="S3012" t="str">
        <f>TEXT(Table1[[#This Row],[Date]],"MMM-YY")</f>
        <v>Jan-00</v>
      </c>
      <c r="T3012">
        <f>_xlfn.ISOWEEKNUM(Table1[[#This Row],[Date]])</f>
        <v>52</v>
      </c>
    </row>
    <row r="3013" spans="1:20" hidden="1">
      <c r="A3013" s="1"/>
      <c r="S3013" t="str">
        <f>TEXT(Table1[[#This Row],[Date]],"MMM-YY")</f>
        <v>Jan-00</v>
      </c>
      <c r="T3013">
        <f>_xlfn.ISOWEEKNUM(Table1[[#This Row],[Date]])</f>
        <v>52</v>
      </c>
    </row>
    <row r="3014" spans="1:20" hidden="1">
      <c r="A3014" s="1"/>
      <c r="S3014" t="str">
        <f>TEXT(Table1[[#This Row],[Date]],"MMM-YY")</f>
        <v>Jan-00</v>
      </c>
      <c r="T3014">
        <f>_xlfn.ISOWEEKNUM(Table1[[#This Row],[Date]])</f>
        <v>52</v>
      </c>
    </row>
    <row r="3015" spans="1:20" hidden="1">
      <c r="A3015" s="1"/>
      <c r="S3015" t="str">
        <f>TEXT(Table1[[#This Row],[Date]],"MMM-YY")</f>
        <v>Jan-00</v>
      </c>
      <c r="T3015">
        <f>_xlfn.ISOWEEKNUM(Table1[[#This Row],[Date]])</f>
        <v>52</v>
      </c>
    </row>
    <row r="3016" spans="1:20" hidden="1">
      <c r="A3016" s="1"/>
      <c r="S3016" t="str">
        <f>TEXT(Table1[[#This Row],[Date]],"MMM-YY")</f>
        <v>Jan-00</v>
      </c>
      <c r="T3016">
        <f>_xlfn.ISOWEEKNUM(Table1[[#This Row],[Date]])</f>
        <v>52</v>
      </c>
    </row>
    <row r="3017" spans="1:20" hidden="1">
      <c r="A3017" s="1"/>
      <c r="S3017" t="str">
        <f>TEXT(Table1[[#This Row],[Date]],"MMM-YY")</f>
        <v>Jan-00</v>
      </c>
      <c r="T3017">
        <f>_xlfn.ISOWEEKNUM(Table1[[#This Row],[Date]])</f>
        <v>52</v>
      </c>
    </row>
    <row r="3018" spans="1:20" hidden="1">
      <c r="A3018" s="1"/>
      <c r="S3018" t="str">
        <f>TEXT(Table1[[#This Row],[Date]],"MMM-YY")</f>
        <v>Jan-00</v>
      </c>
      <c r="T3018">
        <f>_xlfn.ISOWEEKNUM(Table1[[#This Row],[Date]])</f>
        <v>52</v>
      </c>
    </row>
    <row r="3019" spans="1:20" hidden="1">
      <c r="A3019" s="1"/>
      <c r="S3019" t="str">
        <f>TEXT(Table1[[#This Row],[Date]],"MMM-YY")</f>
        <v>Jan-00</v>
      </c>
      <c r="T3019">
        <f>_xlfn.ISOWEEKNUM(Table1[[#This Row],[Date]])</f>
        <v>52</v>
      </c>
    </row>
    <row r="3020" spans="1:20" hidden="1">
      <c r="A3020" s="1"/>
      <c r="S3020" t="str">
        <f>TEXT(Table1[[#This Row],[Date]],"MMM-YY")</f>
        <v>Jan-00</v>
      </c>
      <c r="T3020">
        <f>_xlfn.ISOWEEKNUM(Table1[[#This Row],[Date]])</f>
        <v>52</v>
      </c>
    </row>
    <row r="3021" spans="1:20" hidden="1">
      <c r="A3021" s="1"/>
      <c r="S3021" t="str">
        <f>TEXT(Table1[[#This Row],[Date]],"MMM-YY")</f>
        <v>Jan-00</v>
      </c>
      <c r="T3021">
        <f>_xlfn.ISOWEEKNUM(Table1[[#This Row],[Date]])</f>
        <v>52</v>
      </c>
    </row>
    <row r="3022" spans="1:20" hidden="1">
      <c r="A3022" s="1"/>
      <c r="S3022" t="str">
        <f>TEXT(Table1[[#This Row],[Date]],"MMM-YY")</f>
        <v>Jan-00</v>
      </c>
      <c r="T3022">
        <f>_xlfn.ISOWEEKNUM(Table1[[#This Row],[Date]])</f>
        <v>52</v>
      </c>
    </row>
    <row r="3023" spans="1:20" hidden="1">
      <c r="A3023" s="1"/>
      <c r="S3023" t="str">
        <f>TEXT(Table1[[#This Row],[Date]],"MMM-YY")</f>
        <v>Jan-00</v>
      </c>
      <c r="T3023">
        <f>_xlfn.ISOWEEKNUM(Table1[[#This Row],[Date]])</f>
        <v>52</v>
      </c>
    </row>
    <row r="3024" spans="1:20" hidden="1">
      <c r="A3024" s="1"/>
      <c r="S3024" t="str">
        <f>TEXT(Table1[[#This Row],[Date]],"MMM-YY")</f>
        <v>Jan-00</v>
      </c>
      <c r="T3024">
        <f>_xlfn.ISOWEEKNUM(Table1[[#This Row],[Date]])</f>
        <v>52</v>
      </c>
    </row>
    <row r="3025" spans="1:20" hidden="1">
      <c r="A3025" s="1"/>
      <c r="S3025" t="str">
        <f>TEXT(Table1[[#This Row],[Date]],"MMM-YY")</f>
        <v>Jan-00</v>
      </c>
      <c r="T3025">
        <f>_xlfn.ISOWEEKNUM(Table1[[#This Row],[Date]])</f>
        <v>52</v>
      </c>
    </row>
    <row r="3026" spans="1:20" hidden="1">
      <c r="A3026" s="1"/>
      <c r="S3026" t="str">
        <f>TEXT(Table1[[#This Row],[Date]],"MMM-YY")</f>
        <v>Jan-00</v>
      </c>
      <c r="T3026">
        <f>_xlfn.ISOWEEKNUM(Table1[[#This Row],[Date]])</f>
        <v>52</v>
      </c>
    </row>
    <row r="3027" spans="1:20" hidden="1">
      <c r="A3027" s="1"/>
      <c r="S3027" t="str">
        <f>TEXT(Table1[[#This Row],[Date]],"MMM-YY")</f>
        <v>Jan-00</v>
      </c>
      <c r="T3027">
        <f>_xlfn.ISOWEEKNUM(Table1[[#This Row],[Date]])</f>
        <v>52</v>
      </c>
    </row>
    <row r="3028" spans="1:20" hidden="1">
      <c r="A3028" s="1"/>
      <c r="S3028" t="str">
        <f>TEXT(Table1[[#This Row],[Date]],"MMM-YY")</f>
        <v>Jan-00</v>
      </c>
      <c r="T3028">
        <f>_xlfn.ISOWEEKNUM(Table1[[#This Row],[Date]])</f>
        <v>52</v>
      </c>
    </row>
    <row r="3029" spans="1:20" hidden="1">
      <c r="A3029" s="1"/>
      <c r="S3029" t="str">
        <f>TEXT(Table1[[#This Row],[Date]],"MMM-YY")</f>
        <v>Jan-00</v>
      </c>
      <c r="T3029">
        <f>_xlfn.ISOWEEKNUM(Table1[[#This Row],[Date]])</f>
        <v>52</v>
      </c>
    </row>
    <row r="3030" spans="1:20" hidden="1">
      <c r="A3030" s="1"/>
      <c r="S3030" t="str">
        <f>TEXT(Table1[[#This Row],[Date]],"MMM-YY")</f>
        <v>Jan-00</v>
      </c>
      <c r="T3030">
        <f>_xlfn.ISOWEEKNUM(Table1[[#This Row],[Date]])</f>
        <v>52</v>
      </c>
    </row>
    <row r="3031" spans="1:20" hidden="1">
      <c r="A3031" s="1"/>
      <c r="S3031" t="str">
        <f>TEXT(Table1[[#This Row],[Date]],"MMM-YY")</f>
        <v>Jan-00</v>
      </c>
      <c r="T3031">
        <f>_xlfn.ISOWEEKNUM(Table1[[#This Row],[Date]])</f>
        <v>52</v>
      </c>
    </row>
    <row r="3032" spans="1:20" hidden="1">
      <c r="A3032" s="1"/>
      <c r="S3032" t="str">
        <f>TEXT(Table1[[#This Row],[Date]],"MMM-YY")</f>
        <v>Jan-00</v>
      </c>
      <c r="T3032">
        <f>_xlfn.ISOWEEKNUM(Table1[[#This Row],[Date]])</f>
        <v>52</v>
      </c>
    </row>
    <row r="3033" spans="1:20" hidden="1">
      <c r="A3033" s="1"/>
      <c r="S3033" t="str">
        <f>TEXT(Table1[[#This Row],[Date]],"MMM-YY")</f>
        <v>Jan-00</v>
      </c>
      <c r="T3033">
        <f>_xlfn.ISOWEEKNUM(Table1[[#This Row],[Date]])</f>
        <v>52</v>
      </c>
    </row>
    <row r="3034" spans="1:20" hidden="1">
      <c r="A3034" s="1"/>
      <c r="S3034" t="str">
        <f>TEXT(Table1[[#This Row],[Date]],"MMM-YY")</f>
        <v>Jan-00</v>
      </c>
      <c r="T3034">
        <f>_xlfn.ISOWEEKNUM(Table1[[#This Row],[Date]])</f>
        <v>52</v>
      </c>
    </row>
    <row r="3035" spans="1:20" hidden="1">
      <c r="A3035" s="1"/>
      <c r="S3035" t="str">
        <f>TEXT(Table1[[#This Row],[Date]],"MMM-YY")</f>
        <v>Jan-00</v>
      </c>
      <c r="T3035">
        <f>_xlfn.ISOWEEKNUM(Table1[[#This Row],[Date]])</f>
        <v>52</v>
      </c>
    </row>
    <row r="3036" spans="1:20" hidden="1">
      <c r="A3036" s="1"/>
      <c r="S3036" t="str">
        <f>TEXT(Table1[[#This Row],[Date]],"MMM-YY")</f>
        <v>Jan-00</v>
      </c>
      <c r="T3036">
        <f>_xlfn.ISOWEEKNUM(Table1[[#This Row],[Date]])</f>
        <v>52</v>
      </c>
    </row>
    <row r="3037" spans="1:20" hidden="1">
      <c r="A3037" s="1"/>
      <c r="S3037" t="str">
        <f>TEXT(Table1[[#This Row],[Date]],"MMM-YY")</f>
        <v>Jan-00</v>
      </c>
      <c r="T3037">
        <f>_xlfn.ISOWEEKNUM(Table1[[#This Row],[Date]])</f>
        <v>52</v>
      </c>
    </row>
    <row r="3038" spans="1:20" hidden="1">
      <c r="A3038" s="1"/>
      <c r="S3038" t="str">
        <f>TEXT(Table1[[#This Row],[Date]],"MMM-YY")</f>
        <v>Jan-00</v>
      </c>
      <c r="T3038">
        <f>_xlfn.ISOWEEKNUM(Table1[[#This Row],[Date]])</f>
        <v>52</v>
      </c>
    </row>
    <row r="3039" spans="1:20" hidden="1">
      <c r="A3039" s="1"/>
      <c r="S3039" t="str">
        <f>TEXT(Table1[[#This Row],[Date]],"MMM-YY")</f>
        <v>Jan-00</v>
      </c>
      <c r="T3039">
        <f>_xlfn.ISOWEEKNUM(Table1[[#This Row],[Date]])</f>
        <v>52</v>
      </c>
    </row>
    <row r="3040" spans="1:20" hidden="1">
      <c r="A3040" s="1"/>
      <c r="S3040" t="str">
        <f>TEXT(Table1[[#This Row],[Date]],"MMM-YY")</f>
        <v>Jan-00</v>
      </c>
      <c r="T3040">
        <f>_xlfn.ISOWEEKNUM(Table1[[#This Row],[Date]])</f>
        <v>52</v>
      </c>
    </row>
    <row r="3041" spans="1:20" hidden="1">
      <c r="A3041" s="1"/>
      <c r="S3041" t="str">
        <f>TEXT(Table1[[#This Row],[Date]],"MMM-YY")</f>
        <v>Jan-00</v>
      </c>
      <c r="T3041">
        <f>_xlfn.ISOWEEKNUM(Table1[[#This Row],[Date]])</f>
        <v>52</v>
      </c>
    </row>
    <row r="3042" spans="1:20" hidden="1">
      <c r="A3042" s="1"/>
      <c r="S3042" t="str">
        <f>TEXT(Table1[[#This Row],[Date]],"MMM-YY")</f>
        <v>Jan-00</v>
      </c>
      <c r="T3042">
        <f>_xlfn.ISOWEEKNUM(Table1[[#This Row],[Date]])</f>
        <v>52</v>
      </c>
    </row>
    <row r="3043" spans="1:20" hidden="1">
      <c r="A3043" s="1"/>
      <c r="S3043" t="str">
        <f>TEXT(Table1[[#This Row],[Date]],"MMM-YY")</f>
        <v>Jan-00</v>
      </c>
      <c r="T3043">
        <f>_xlfn.ISOWEEKNUM(Table1[[#This Row],[Date]])</f>
        <v>52</v>
      </c>
    </row>
    <row r="3044" spans="1:20" hidden="1">
      <c r="A3044" s="1"/>
      <c r="S3044" t="str">
        <f>TEXT(Table1[[#This Row],[Date]],"MMM-YY")</f>
        <v>Jan-00</v>
      </c>
      <c r="T3044">
        <f>_xlfn.ISOWEEKNUM(Table1[[#This Row],[Date]])</f>
        <v>52</v>
      </c>
    </row>
    <row r="3045" spans="1:20" hidden="1">
      <c r="A3045" s="1"/>
      <c r="S3045" t="str">
        <f>TEXT(Table1[[#This Row],[Date]],"MMM-YY")</f>
        <v>Jan-00</v>
      </c>
      <c r="T3045">
        <f>_xlfn.ISOWEEKNUM(Table1[[#This Row],[Date]])</f>
        <v>52</v>
      </c>
    </row>
    <row r="3046" spans="1:20" hidden="1">
      <c r="A3046" s="1"/>
      <c r="S3046" t="str">
        <f>TEXT(Table1[[#This Row],[Date]],"MMM-YY")</f>
        <v>Jan-00</v>
      </c>
      <c r="T3046">
        <f>_xlfn.ISOWEEKNUM(Table1[[#This Row],[Date]])</f>
        <v>52</v>
      </c>
    </row>
    <row r="3047" spans="1:20" hidden="1">
      <c r="A3047" s="1"/>
      <c r="S3047" t="str">
        <f>TEXT(Table1[[#This Row],[Date]],"MMM-YY")</f>
        <v>Jan-00</v>
      </c>
      <c r="T3047">
        <f>_xlfn.ISOWEEKNUM(Table1[[#This Row],[Date]])</f>
        <v>52</v>
      </c>
    </row>
    <row r="3048" spans="1:20" hidden="1">
      <c r="A3048" s="1"/>
      <c r="S3048" t="str">
        <f>TEXT(Table1[[#This Row],[Date]],"MMM-YY")</f>
        <v>Jan-00</v>
      </c>
      <c r="T3048">
        <f>_xlfn.ISOWEEKNUM(Table1[[#This Row],[Date]])</f>
        <v>52</v>
      </c>
    </row>
    <row r="3049" spans="1:20" hidden="1">
      <c r="A3049" s="1"/>
      <c r="S3049" t="str">
        <f>TEXT(Table1[[#This Row],[Date]],"MMM-YY")</f>
        <v>Jan-00</v>
      </c>
      <c r="T3049">
        <f>_xlfn.ISOWEEKNUM(Table1[[#This Row],[Date]])</f>
        <v>52</v>
      </c>
    </row>
    <row r="3050" spans="1:20" hidden="1">
      <c r="A3050" s="1"/>
      <c r="S3050" t="str">
        <f>TEXT(Table1[[#This Row],[Date]],"MMM-YY")</f>
        <v>Jan-00</v>
      </c>
      <c r="T3050">
        <f>_xlfn.ISOWEEKNUM(Table1[[#This Row],[Date]])</f>
        <v>52</v>
      </c>
    </row>
    <row r="3051" spans="1:20" hidden="1">
      <c r="A3051" s="1"/>
      <c r="S3051" t="str">
        <f>TEXT(Table1[[#This Row],[Date]],"MMM-YY")</f>
        <v>Jan-00</v>
      </c>
      <c r="T3051">
        <f>_xlfn.ISOWEEKNUM(Table1[[#This Row],[Date]])</f>
        <v>52</v>
      </c>
    </row>
    <row r="3052" spans="1:20" hidden="1">
      <c r="A3052" s="1"/>
      <c r="S3052" t="str">
        <f>TEXT(Table1[[#This Row],[Date]],"MMM-YY")</f>
        <v>Jan-00</v>
      </c>
      <c r="T3052">
        <f>_xlfn.ISOWEEKNUM(Table1[[#This Row],[Date]])</f>
        <v>52</v>
      </c>
    </row>
    <row r="3053" spans="1:20" hidden="1">
      <c r="A3053" s="1"/>
      <c r="S3053" t="str">
        <f>TEXT(Table1[[#This Row],[Date]],"MMM-YY")</f>
        <v>Jan-00</v>
      </c>
      <c r="T3053">
        <f>_xlfn.ISOWEEKNUM(Table1[[#This Row],[Date]])</f>
        <v>52</v>
      </c>
    </row>
    <row r="3054" spans="1:20" hidden="1">
      <c r="A3054" s="1"/>
      <c r="S3054" t="str">
        <f>TEXT(Table1[[#This Row],[Date]],"MMM-YY")</f>
        <v>Jan-00</v>
      </c>
      <c r="T3054">
        <f>_xlfn.ISOWEEKNUM(Table1[[#This Row],[Date]])</f>
        <v>52</v>
      </c>
    </row>
    <row r="3055" spans="1:20" hidden="1">
      <c r="A3055" s="1"/>
      <c r="S3055" t="str">
        <f>TEXT(Table1[[#This Row],[Date]],"MMM-YY")</f>
        <v>Jan-00</v>
      </c>
      <c r="T3055">
        <f>_xlfn.ISOWEEKNUM(Table1[[#This Row],[Date]])</f>
        <v>52</v>
      </c>
    </row>
    <row r="3056" spans="1:20" hidden="1">
      <c r="A3056" s="1"/>
      <c r="S3056" t="str">
        <f>TEXT(Table1[[#This Row],[Date]],"MMM-YY")</f>
        <v>Jan-00</v>
      </c>
      <c r="T3056">
        <f>_xlfn.ISOWEEKNUM(Table1[[#This Row],[Date]])</f>
        <v>52</v>
      </c>
    </row>
    <row r="3057" spans="1:20" hidden="1">
      <c r="A3057" s="1"/>
      <c r="S3057" t="str">
        <f>TEXT(Table1[[#This Row],[Date]],"MMM-YY")</f>
        <v>Jan-00</v>
      </c>
      <c r="T3057">
        <f>_xlfn.ISOWEEKNUM(Table1[[#This Row],[Date]])</f>
        <v>52</v>
      </c>
    </row>
    <row r="3058" spans="1:20" hidden="1">
      <c r="A3058" s="1"/>
      <c r="S3058" t="str">
        <f>TEXT(Table1[[#This Row],[Date]],"MMM-YY")</f>
        <v>Jan-00</v>
      </c>
      <c r="T3058">
        <f>_xlfn.ISOWEEKNUM(Table1[[#This Row],[Date]])</f>
        <v>52</v>
      </c>
    </row>
    <row r="3059" spans="1:20" hidden="1">
      <c r="A3059" s="1"/>
      <c r="S3059" t="str">
        <f>TEXT(Table1[[#This Row],[Date]],"MMM-YY")</f>
        <v>Jan-00</v>
      </c>
      <c r="T3059">
        <f>_xlfn.ISOWEEKNUM(Table1[[#This Row],[Date]])</f>
        <v>52</v>
      </c>
    </row>
    <row r="3060" spans="1:20" hidden="1">
      <c r="A3060" s="1"/>
      <c r="S3060" t="str">
        <f>TEXT(Table1[[#This Row],[Date]],"MMM-YY")</f>
        <v>Jan-00</v>
      </c>
      <c r="T3060">
        <f>_xlfn.ISOWEEKNUM(Table1[[#This Row],[Date]])</f>
        <v>52</v>
      </c>
    </row>
    <row r="3061" spans="1:20" hidden="1">
      <c r="A3061" s="1"/>
      <c r="S3061" t="str">
        <f>TEXT(Table1[[#This Row],[Date]],"MMM-YY")</f>
        <v>Jan-00</v>
      </c>
      <c r="T3061">
        <f>_xlfn.ISOWEEKNUM(Table1[[#This Row],[Date]])</f>
        <v>52</v>
      </c>
    </row>
    <row r="3062" spans="1:20" hidden="1">
      <c r="A3062" s="1"/>
      <c r="S3062" t="str">
        <f>TEXT(Table1[[#This Row],[Date]],"MMM-YY")</f>
        <v>Jan-00</v>
      </c>
      <c r="T3062">
        <f>_xlfn.ISOWEEKNUM(Table1[[#This Row],[Date]])</f>
        <v>52</v>
      </c>
    </row>
    <row r="3063" spans="1:20" hidden="1">
      <c r="A3063" s="1"/>
      <c r="S3063" t="str">
        <f>TEXT(Table1[[#This Row],[Date]],"MMM-YY")</f>
        <v>Jan-00</v>
      </c>
      <c r="T3063">
        <f>_xlfn.ISOWEEKNUM(Table1[[#This Row],[Date]])</f>
        <v>52</v>
      </c>
    </row>
    <row r="3064" spans="1:20" hidden="1">
      <c r="A3064" s="1"/>
      <c r="S3064" t="str">
        <f>TEXT(Table1[[#This Row],[Date]],"MMM-YY")</f>
        <v>Jan-00</v>
      </c>
      <c r="T3064">
        <f>_xlfn.ISOWEEKNUM(Table1[[#This Row],[Date]])</f>
        <v>52</v>
      </c>
    </row>
    <row r="3065" spans="1:20" hidden="1">
      <c r="A3065" s="1"/>
      <c r="S3065" t="str">
        <f>TEXT(Table1[[#This Row],[Date]],"MMM-YY")</f>
        <v>Jan-00</v>
      </c>
      <c r="T3065">
        <f>_xlfn.ISOWEEKNUM(Table1[[#This Row],[Date]])</f>
        <v>52</v>
      </c>
    </row>
    <row r="3066" spans="1:20" hidden="1">
      <c r="A3066" s="1"/>
      <c r="S3066" t="str">
        <f>TEXT(Table1[[#This Row],[Date]],"MMM-YY")</f>
        <v>Jan-00</v>
      </c>
      <c r="T3066">
        <f>_xlfn.ISOWEEKNUM(Table1[[#This Row],[Date]])</f>
        <v>52</v>
      </c>
    </row>
    <row r="3067" spans="1:20" hidden="1">
      <c r="A3067" s="1"/>
      <c r="S3067" t="str">
        <f>TEXT(Table1[[#This Row],[Date]],"MMM-YY")</f>
        <v>Jan-00</v>
      </c>
      <c r="T3067">
        <f>_xlfn.ISOWEEKNUM(Table1[[#This Row],[Date]])</f>
        <v>52</v>
      </c>
    </row>
    <row r="3068" spans="1:20" hidden="1">
      <c r="A3068" s="1"/>
      <c r="S3068" t="str">
        <f>TEXT(Table1[[#This Row],[Date]],"MMM-YY")</f>
        <v>Jan-00</v>
      </c>
      <c r="T3068">
        <f>_xlfn.ISOWEEKNUM(Table1[[#This Row],[Date]])</f>
        <v>52</v>
      </c>
    </row>
    <row r="3069" spans="1:20" hidden="1">
      <c r="A3069" s="1"/>
      <c r="S3069" t="str">
        <f>TEXT(Table1[[#This Row],[Date]],"MMM-YY")</f>
        <v>Jan-00</v>
      </c>
      <c r="T3069">
        <f>_xlfn.ISOWEEKNUM(Table1[[#This Row],[Date]])</f>
        <v>52</v>
      </c>
    </row>
    <row r="3070" spans="1:20" hidden="1">
      <c r="A3070" s="1"/>
      <c r="S3070" t="str">
        <f>TEXT(Table1[[#This Row],[Date]],"MMM-YY")</f>
        <v>Jan-00</v>
      </c>
      <c r="T3070">
        <f>_xlfn.ISOWEEKNUM(Table1[[#This Row],[Date]])</f>
        <v>52</v>
      </c>
    </row>
    <row r="3071" spans="1:20" hidden="1">
      <c r="A3071" s="1"/>
      <c r="S3071" t="str">
        <f>TEXT(Table1[[#This Row],[Date]],"MMM-YY")</f>
        <v>Jan-00</v>
      </c>
      <c r="T3071">
        <f>_xlfn.ISOWEEKNUM(Table1[[#This Row],[Date]])</f>
        <v>52</v>
      </c>
    </row>
    <row r="3072" spans="1:20" hidden="1">
      <c r="A3072" s="1"/>
      <c r="S3072" t="str">
        <f>TEXT(Table1[[#This Row],[Date]],"MMM-YY")</f>
        <v>Jan-00</v>
      </c>
      <c r="T3072">
        <f>_xlfn.ISOWEEKNUM(Table1[[#This Row],[Date]])</f>
        <v>52</v>
      </c>
    </row>
    <row r="3073" spans="1:20" hidden="1">
      <c r="A3073" s="1"/>
      <c r="S3073" t="str">
        <f>TEXT(Table1[[#This Row],[Date]],"MMM-YY")</f>
        <v>Jan-00</v>
      </c>
      <c r="T3073">
        <f>_xlfn.ISOWEEKNUM(Table1[[#This Row],[Date]])</f>
        <v>52</v>
      </c>
    </row>
    <row r="3074" spans="1:20" hidden="1">
      <c r="A3074" s="1"/>
      <c r="S3074" t="str">
        <f>TEXT(Table1[[#This Row],[Date]],"MMM-YY")</f>
        <v>Jan-00</v>
      </c>
      <c r="T3074">
        <f>_xlfn.ISOWEEKNUM(Table1[[#This Row],[Date]])</f>
        <v>52</v>
      </c>
    </row>
    <row r="3075" spans="1:20" hidden="1">
      <c r="A3075" s="1"/>
      <c r="S3075" t="str">
        <f>TEXT(Table1[[#This Row],[Date]],"MMM-YY")</f>
        <v>Jan-00</v>
      </c>
      <c r="T3075">
        <f>_xlfn.ISOWEEKNUM(Table1[[#This Row],[Date]])</f>
        <v>52</v>
      </c>
    </row>
    <row r="3076" spans="1:20" hidden="1">
      <c r="A3076" s="1"/>
      <c r="S3076" t="str">
        <f>TEXT(Table1[[#This Row],[Date]],"MMM-YY")</f>
        <v>Jan-00</v>
      </c>
      <c r="T3076">
        <f>_xlfn.ISOWEEKNUM(Table1[[#This Row],[Date]])</f>
        <v>52</v>
      </c>
    </row>
    <row r="3077" spans="1:20" hidden="1">
      <c r="A3077" s="1"/>
      <c r="S3077" t="str">
        <f>TEXT(Table1[[#This Row],[Date]],"MMM-YY")</f>
        <v>Jan-00</v>
      </c>
      <c r="T3077">
        <f>_xlfn.ISOWEEKNUM(Table1[[#This Row],[Date]])</f>
        <v>52</v>
      </c>
    </row>
    <row r="3078" spans="1:20" hidden="1">
      <c r="A3078" s="1"/>
      <c r="S3078" t="str">
        <f>TEXT(Table1[[#This Row],[Date]],"MMM-YY")</f>
        <v>Jan-00</v>
      </c>
      <c r="T3078">
        <f>_xlfn.ISOWEEKNUM(Table1[[#This Row],[Date]])</f>
        <v>52</v>
      </c>
    </row>
    <row r="3079" spans="1:20" hidden="1">
      <c r="A3079" s="1"/>
      <c r="S3079" t="str">
        <f>TEXT(Table1[[#This Row],[Date]],"MMM-YY")</f>
        <v>Jan-00</v>
      </c>
      <c r="T3079">
        <f>_xlfn.ISOWEEKNUM(Table1[[#This Row],[Date]])</f>
        <v>52</v>
      </c>
    </row>
    <row r="3080" spans="1:20" hidden="1">
      <c r="A3080" s="1"/>
      <c r="S3080" t="str">
        <f>TEXT(Table1[[#This Row],[Date]],"MMM-YY")</f>
        <v>Jan-00</v>
      </c>
      <c r="T3080">
        <f>_xlfn.ISOWEEKNUM(Table1[[#This Row],[Date]])</f>
        <v>52</v>
      </c>
    </row>
    <row r="3081" spans="1:20" hidden="1">
      <c r="A3081" s="1"/>
      <c r="S3081" t="str">
        <f>TEXT(Table1[[#This Row],[Date]],"MMM-YY")</f>
        <v>Jan-00</v>
      </c>
      <c r="T3081">
        <f>_xlfn.ISOWEEKNUM(Table1[[#This Row],[Date]])</f>
        <v>52</v>
      </c>
    </row>
    <row r="3082" spans="1:20" hidden="1">
      <c r="A3082" s="1"/>
      <c r="S3082" t="str">
        <f>TEXT(Table1[[#This Row],[Date]],"MMM-YY")</f>
        <v>Jan-00</v>
      </c>
      <c r="T3082">
        <f>_xlfn.ISOWEEKNUM(Table1[[#This Row],[Date]])</f>
        <v>52</v>
      </c>
    </row>
    <row r="3083" spans="1:20" hidden="1">
      <c r="A3083" s="1"/>
      <c r="S3083" t="str">
        <f>TEXT(Table1[[#This Row],[Date]],"MMM-YY")</f>
        <v>Jan-00</v>
      </c>
      <c r="T3083">
        <f>_xlfn.ISOWEEKNUM(Table1[[#This Row],[Date]])</f>
        <v>52</v>
      </c>
    </row>
    <row r="3084" spans="1:20" hidden="1">
      <c r="A3084" s="1"/>
      <c r="S3084" t="str">
        <f>TEXT(Table1[[#This Row],[Date]],"MMM-YY")</f>
        <v>Jan-00</v>
      </c>
      <c r="T3084">
        <f>_xlfn.ISOWEEKNUM(Table1[[#This Row],[Date]])</f>
        <v>52</v>
      </c>
    </row>
    <row r="3085" spans="1:20" hidden="1">
      <c r="A3085" s="1"/>
      <c r="S3085" t="str">
        <f>TEXT(Table1[[#This Row],[Date]],"MMM-YY")</f>
        <v>Jan-00</v>
      </c>
      <c r="T3085">
        <f>_xlfn.ISOWEEKNUM(Table1[[#This Row],[Date]])</f>
        <v>52</v>
      </c>
    </row>
    <row r="3086" spans="1:20" hidden="1">
      <c r="A3086" s="1"/>
      <c r="S3086" t="str">
        <f>TEXT(Table1[[#This Row],[Date]],"MMM-YY")</f>
        <v>Jan-00</v>
      </c>
      <c r="T3086">
        <f>_xlfn.ISOWEEKNUM(Table1[[#This Row],[Date]])</f>
        <v>52</v>
      </c>
    </row>
    <row r="3087" spans="1:20" hidden="1">
      <c r="A3087" s="1"/>
      <c r="S3087" t="str">
        <f>TEXT(Table1[[#This Row],[Date]],"MMM-YY")</f>
        <v>Jan-00</v>
      </c>
      <c r="T3087">
        <f>_xlfn.ISOWEEKNUM(Table1[[#This Row],[Date]])</f>
        <v>52</v>
      </c>
    </row>
    <row r="3088" spans="1:20" hidden="1">
      <c r="A3088" s="1"/>
      <c r="S3088" t="str">
        <f>TEXT(Table1[[#This Row],[Date]],"MMM-YY")</f>
        <v>Jan-00</v>
      </c>
      <c r="T3088">
        <f>_xlfn.ISOWEEKNUM(Table1[[#This Row],[Date]])</f>
        <v>52</v>
      </c>
    </row>
    <row r="3089" spans="1:20" hidden="1">
      <c r="A3089" s="1"/>
      <c r="S3089" t="str">
        <f>TEXT(Table1[[#This Row],[Date]],"MMM-YY")</f>
        <v>Jan-00</v>
      </c>
      <c r="T3089">
        <f>_xlfn.ISOWEEKNUM(Table1[[#This Row],[Date]])</f>
        <v>52</v>
      </c>
    </row>
    <row r="3090" spans="1:20" hidden="1">
      <c r="A3090" s="1"/>
      <c r="S3090" t="str">
        <f>TEXT(Table1[[#This Row],[Date]],"MMM-YY")</f>
        <v>Jan-00</v>
      </c>
      <c r="T3090">
        <f>_xlfn.ISOWEEKNUM(Table1[[#This Row],[Date]])</f>
        <v>52</v>
      </c>
    </row>
    <row r="3091" spans="1:20" hidden="1">
      <c r="A3091" s="1"/>
      <c r="S3091" t="str">
        <f>TEXT(Table1[[#This Row],[Date]],"MMM-YY")</f>
        <v>Jan-00</v>
      </c>
      <c r="T3091">
        <f>_xlfn.ISOWEEKNUM(Table1[[#This Row],[Date]])</f>
        <v>52</v>
      </c>
    </row>
    <row r="3092" spans="1:20" hidden="1">
      <c r="A3092" s="1"/>
      <c r="S3092" t="str">
        <f>TEXT(Table1[[#This Row],[Date]],"MMM-YY")</f>
        <v>Jan-00</v>
      </c>
      <c r="T3092">
        <f>_xlfn.ISOWEEKNUM(Table1[[#This Row],[Date]])</f>
        <v>52</v>
      </c>
    </row>
    <row r="3093" spans="1:20" hidden="1">
      <c r="A3093" s="1"/>
      <c r="S3093" t="str">
        <f>TEXT(Table1[[#This Row],[Date]],"MMM-YY")</f>
        <v>Jan-00</v>
      </c>
      <c r="T3093">
        <f>_xlfn.ISOWEEKNUM(Table1[[#This Row],[Date]])</f>
        <v>52</v>
      </c>
    </row>
    <row r="3094" spans="1:20" hidden="1">
      <c r="A3094" s="1"/>
      <c r="S3094" t="str">
        <f>TEXT(Table1[[#This Row],[Date]],"MMM-YY")</f>
        <v>Jan-00</v>
      </c>
      <c r="T3094">
        <f>_xlfn.ISOWEEKNUM(Table1[[#This Row],[Date]])</f>
        <v>52</v>
      </c>
    </row>
    <row r="3095" spans="1:20" hidden="1">
      <c r="A3095" s="1"/>
      <c r="S3095" t="str">
        <f>TEXT(Table1[[#This Row],[Date]],"MMM-YY")</f>
        <v>Jan-00</v>
      </c>
      <c r="T3095">
        <f>_xlfn.ISOWEEKNUM(Table1[[#This Row],[Date]])</f>
        <v>52</v>
      </c>
    </row>
    <row r="3096" spans="1:20" hidden="1">
      <c r="A3096" s="1"/>
      <c r="S3096" t="str">
        <f>TEXT(Table1[[#This Row],[Date]],"MMM-YY")</f>
        <v>Jan-00</v>
      </c>
      <c r="T3096">
        <f>_xlfn.ISOWEEKNUM(Table1[[#This Row],[Date]])</f>
        <v>52</v>
      </c>
    </row>
    <row r="3097" spans="1:20" hidden="1">
      <c r="A3097" s="1"/>
      <c r="S3097" t="str">
        <f>TEXT(Table1[[#This Row],[Date]],"MMM-YY")</f>
        <v>Jan-00</v>
      </c>
      <c r="T3097">
        <f>_xlfn.ISOWEEKNUM(Table1[[#This Row],[Date]])</f>
        <v>52</v>
      </c>
    </row>
    <row r="3098" spans="1:20" hidden="1">
      <c r="A3098" s="1"/>
      <c r="S3098" t="str">
        <f>TEXT(Table1[[#This Row],[Date]],"MMM-YY")</f>
        <v>Jan-00</v>
      </c>
      <c r="T3098">
        <f>_xlfn.ISOWEEKNUM(Table1[[#This Row],[Date]])</f>
        <v>52</v>
      </c>
    </row>
    <row r="3099" spans="1:20" hidden="1">
      <c r="A3099" s="1"/>
      <c r="S3099" t="str">
        <f>TEXT(Table1[[#This Row],[Date]],"MMM-YY")</f>
        <v>Jan-00</v>
      </c>
      <c r="T3099">
        <f>_xlfn.ISOWEEKNUM(Table1[[#This Row],[Date]])</f>
        <v>52</v>
      </c>
    </row>
    <row r="3100" spans="1:20" hidden="1">
      <c r="A3100" s="1"/>
      <c r="S3100" t="str">
        <f>TEXT(Table1[[#This Row],[Date]],"MMM-YY")</f>
        <v>Jan-00</v>
      </c>
      <c r="T3100">
        <f>_xlfn.ISOWEEKNUM(Table1[[#This Row],[Date]])</f>
        <v>52</v>
      </c>
    </row>
    <row r="3101" spans="1:20" hidden="1">
      <c r="A3101" s="1"/>
      <c r="S3101" t="str">
        <f>TEXT(Table1[[#This Row],[Date]],"MMM-YY")</f>
        <v>Jan-00</v>
      </c>
      <c r="T3101">
        <f>_xlfn.ISOWEEKNUM(Table1[[#This Row],[Date]])</f>
        <v>52</v>
      </c>
    </row>
    <row r="3102" spans="1:20" hidden="1">
      <c r="A3102" s="1"/>
      <c r="S3102" t="str">
        <f>TEXT(Table1[[#This Row],[Date]],"MMM-YY")</f>
        <v>Jan-00</v>
      </c>
      <c r="T3102">
        <f>_xlfn.ISOWEEKNUM(Table1[[#This Row],[Date]])</f>
        <v>52</v>
      </c>
    </row>
    <row r="3103" spans="1:20" hidden="1">
      <c r="A3103" s="1"/>
      <c r="S3103" t="str">
        <f>TEXT(Table1[[#This Row],[Date]],"MMM-YY")</f>
        <v>Jan-00</v>
      </c>
      <c r="T3103">
        <f>_xlfn.ISOWEEKNUM(Table1[[#This Row],[Date]])</f>
        <v>52</v>
      </c>
    </row>
    <row r="3104" spans="1:20" hidden="1">
      <c r="A3104" s="1"/>
      <c r="S3104" t="str">
        <f>TEXT(Table1[[#This Row],[Date]],"MMM-YY")</f>
        <v>Jan-00</v>
      </c>
      <c r="T3104">
        <f>_xlfn.ISOWEEKNUM(Table1[[#This Row],[Date]])</f>
        <v>52</v>
      </c>
    </row>
    <row r="3105" spans="1:20" hidden="1">
      <c r="A3105" s="1"/>
      <c r="S3105" t="str">
        <f>TEXT(Table1[[#This Row],[Date]],"MMM-YY")</f>
        <v>Jan-00</v>
      </c>
      <c r="T3105">
        <f>_xlfn.ISOWEEKNUM(Table1[[#This Row],[Date]])</f>
        <v>52</v>
      </c>
    </row>
    <row r="3106" spans="1:20" hidden="1">
      <c r="A3106" s="1"/>
      <c r="S3106" t="str">
        <f>TEXT(Table1[[#This Row],[Date]],"MMM-YY")</f>
        <v>Jan-00</v>
      </c>
      <c r="T3106">
        <f>_xlfn.ISOWEEKNUM(Table1[[#This Row],[Date]])</f>
        <v>52</v>
      </c>
    </row>
    <row r="3107" spans="1:20" hidden="1">
      <c r="A3107" s="1"/>
      <c r="S3107" t="str">
        <f>TEXT(Table1[[#This Row],[Date]],"MMM-YY")</f>
        <v>Jan-00</v>
      </c>
      <c r="T3107">
        <f>_xlfn.ISOWEEKNUM(Table1[[#This Row],[Date]])</f>
        <v>52</v>
      </c>
    </row>
    <row r="3108" spans="1:20" hidden="1">
      <c r="A3108" s="1"/>
      <c r="S3108" t="str">
        <f>TEXT(Table1[[#This Row],[Date]],"MMM-YY")</f>
        <v>Jan-00</v>
      </c>
      <c r="T3108">
        <f>_xlfn.ISOWEEKNUM(Table1[[#This Row],[Date]])</f>
        <v>52</v>
      </c>
    </row>
    <row r="3109" spans="1:20" hidden="1">
      <c r="A3109" s="1"/>
      <c r="S3109" t="str">
        <f>TEXT(Table1[[#This Row],[Date]],"MMM-YY")</f>
        <v>Jan-00</v>
      </c>
      <c r="T3109">
        <f>_xlfn.ISOWEEKNUM(Table1[[#This Row],[Date]])</f>
        <v>52</v>
      </c>
    </row>
    <row r="3110" spans="1:20" hidden="1">
      <c r="A3110" s="1"/>
      <c r="S3110" t="str">
        <f>TEXT(Table1[[#This Row],[Date]],"MMM-YY")</f>
        <v>Jan-00</v>
      </c>
      <c r="T3110">
        <f>_xlfn.ISOWEEKNUM(Table1[[#This Row],[Date]])</f>
        <v>52</v>
      </c>
    </row>
    <row r="3111" spans="1:20" hidden="1">
      <c r="A3111" s="1"/>
      <c r="S3111" t="str">
        <f>TEXT(Table1[[#This Row],[Date]],"MMM-YY")</f>
        <v>Jan-00</v>
      </c>
      <c r="T3111">
        <f>_xlfn.ISOWEEKNUM(Table1[[#This Row],[Date]])</f>
        <v>52</v>
      </c>
    </row>
    <row r="3112" spans="1:20" hidden="1">
      <c r="A3112" s="1"/>
      <c r="S3112" t="str">
        <f>TEXT(Table1[[#This Row],[Date]],"MMM-YY")</f>
        <v>Jan-00</v>
      </c>
      <c r="T3112">
        <f>_xlfn.ISOWEEKNUM(Table1[[#This Row],[Date]])</f>
        <v>52</v>
      </c>
    </row>
    <row r="3113" spans="1:20" hidden="1">
      <c r="A3113" s="1"/>
      <c r="S3113" t="str">
        <f>TEXT(Table1[[#This Row],[Date]],"MMM-YY")</f>
        <v>Jan-00</v>
      </c>
      <c r="T3113">
        <f>_xlfn.ISOWEEKNUM(Table1[[#This Row],[Date]])</f>
        <v>52</v>
      </c>
    </row>
    <row r="3114" spans="1:20" hidden="1">
      <c r="A3114" s="1"/>
      <c r="S3114" t="str">
        <f>TEXT(Table1[[#This Row],[Date]],"MMM-YY")</f>
        <v>Jan-00</v>
      </c>
      <c r="T3114">
        <f>_xlfn.ISOWEEKNUM(Table1[[#This Row],[Date]])</f>
        <v>52</v>
      </c>
    </row>
    <row r="3115" spans="1:20" hidden="1">
      <c r="A3115" s="1"/>
      <c r="S3115" t="str">
        <f>TEXT(Table1[[#This Row],[Date]],"MMM-YY")</f>
        <v>Jan-00</v>
      </c>
      <c r="T3115">
        <f>_xlfn.ISOWEEKNUM(Table1[[#This Row],[Date]])</f>
        <v>52</v>
      </c>
    </row>
    <row r="3116" spans="1:20" hidden="1">
      <c r="A3116" s="1"/>
      <c r="S3116" t="str">
        <f>TEXT(Table1[[#This Row],[Date]],"MMM-YY")</f>
        <v>Jan-00</v>
      </c>
      <c r="T3116">
        <f>_xlfn.ISOWEEKNUM(Table1[[#This Row],[Date]])</f>
        <v>52</v>
      </c>
    </row>
    <row r="3117" spans="1:20" hidden="1">
      <c r="A3117" s="1"/>
      <c r="S3117" t="str">
        <f>TEXT(Table1[[#This Row],[Date]],"MMM-YY")</f>
        <v>Jan-00</v>
      </c>
      <c r="T3117">
        <f>_xlfn.ISOWEEKNUM(Table1[[#This Row],[Date]])</f>
        <v>52</v>
      </c>
    </row>
    <row r="3118" spans="1:20" hidden="1">
      <c r="A3118" s="1"/>
      <c r="S3118" t="str">
        <f>TEXT(Table1[[#This Row],[Date]],"MMM-YY")</f>
        <v>Jan-00</v>
      </c>
      <c r="T3118">
        <f>_xlfn.ISOWEEKNUM(Table1[[#This Row],[Date]])</f>
        <v>52</v>
      </c>
    </row>
    <row r="3119" spans="1:20" hidden="1">
      <c r="A3119" s="1"/>
      <c r="S3119" t="str">
        <f>TEXT(Table1[[#This Row],[Date]],"MMM-YY")</f>
        <v>Jan-00</v>
      </c>
      <c r="T3119">
        <f>_xlfn.ISOWEEKNUM(Table1[[#This Row],[Date]])</f>
        <v>52</v>
      </c>
    </row>
    <row r="3120" spans="1:20" hidden="1">
      <c r="A3120" s="1"/>
      <c r="S3120" t="str">
        <f>TEXT(Table1[[#This Row],[Date]],"MMM-YY")</f>
        <v>Jan-00</v>
      </c>
      <c r="T3120">
        <f>_xlfn.ISOWEEKNUM(Table1[[#This Row],[Date]])</f>
        <v>52</v>
      </c>
    </row>
    <row r="3121" spans="1:20" hidden="1">
      <c r="A3121" s="1"/>
      <c r="S3121" t="str">
        <f>TEXT(Table1[[#This Row],[Date]],"MMM-YY")</f>
        <v>Jan-00</v>
      </c>
      <c r="T3121">
        <f>_xlfn.ISOWEEKNUM(Table1[[#This Row],[Date]])</f>
        <v>52</v>
      </c>
    </row>
    <row r="3122" spans="1:20" hidden="1">
      <c r="A3122" s="1"/>
      <c r="S3122" t="str">
        <f>TEXT(Table1[[#This Row],[Date]],"MMM-YY")</f>
        <v>Jan-00</v>
      </c>
      <c r="T3122">
        <f>_xlfn.ISOWEEKNUM(Table1[[#This Row],[Date]])</f>
        <v>52</v>
      </c>
    </row>
    <row r="3123" spans="1:20" hidden="1">
      <c r="A3123" s="1"/>
      <c r="S3123" t="str">
        <f>TEXT(Table1[[#This Row],[Date]],"MMM-YY")</f>
        <v>Jan-00</v>
      </c>
      <c r="T3123">
        <f>_xlfn.ISOWEEKNUM(Table1[[#This Row],[Date]])</f>
        <v>52</v>
      </c>
    </row>
    <row r="3124" spans="1:20" hidden="1">
      <c r="A3124" s="1"/>
      <c r="S3124" t="str">
        <f>TEXT(Table1[[#This Row],[Date]],"MMM-YY")</f>
        <v>Jan-00</v>
      </c>
      <c r="T3124">
        <f>_xlfn.ISOWEEKNUM(Table1[[#This Row],[Date]])</f>
        <v>52</v>
      </c>
    </row>
    <row r="3125" spans="1:20" hidden="1">
      <c r="A3125" s="1"/>
      <c r="S3125" t="str">
        <f>TEXT(Table1[[#This Row],[Date]],"MMM-YY")</f>
        <v>Jan-00</v>
      </c>
      <c r="T3125">
        <f>_xlfn.ISOWEEKNUM(Table1[[#This Row],[Date]])</f>
        <v>52</v>
      </c>
    </row>
    <row r="3126" spans="1:20" hidden="1">
      <c r="A3126" s="1"/>
      <c r="S3126" t="str">
        <f>TEXT(Table1[[#This Row],[Date]],"MMM-YY")</f>
        <v>Jan-00</v>
      </c>
      <c r="T3126">
        <f>_xlfn.ISOWEEKNUM(Table1[[#This Row],[Date]])</f>
        <v>52</v>
      </c>
    </row>
    <row r="3127" spans="1:20" hidden="1">
      <c r="A3127" s="1"/>
      <c r="S3127" t="str">
        <f>TEXT(Table1[[#This Row],[Date]],"MMM-YY")</f>
        <v>Jan-00</v>
      </c>
      <c r="T3127">
        <f>_xlfn.ISOWEEKNUM(Table1[[#This Row],[Date]])</f>
        <v>52</v>
      </c>
    </row>
    <row r="3128" spans="1:20" hidden="1">
      <c r="A3128" s="1"/>
      <c r="S3128" t="str">
        <f>TEXT(Table1[[#This Row],[Date]],"MMM-YY")</f>
        <v>Jan-00</v>
      </c>
      <c r="T3128">
        <f>_xlfn.ISOWEEKNUM(Table1[[#This Row],[Date]])</f>
        <v>52</v>
      </c>
    </row>
    <row r="3129" spans="1:20" hidden="1">
      <c r="A3129" s="1"/>
      <c r="S3129" t="str">
        <f>TEXT(Table1[[#This Row],[Date]],"MMM-YY")</f>
        <v>Jan-00</v>
      </c>
      <c r="T3129">
        <f>_xlfn.ISOWEEKNUM(Table1[[#This Row],[Date]])</f>
        <v>52</v>
      </c>
    </row>
    <row r="3130" spans="1:20" hidden="1">
      <c r="A3130" s="1"/>
      <c r="S3130" t="str">
        <f>TEXT(Table1[[#This Row],[Date]],"MMM-YY")</f>
        <v>Jan-00</v>
      </c>
      <c r="T3130">
        <f>_xlfn.ISOWEEKNUM(Table1[[#This Row],[Date]])</f>
        <v>52</v>
      </c>
    </row>
    <row r="3131" spans="1:20" hidden="1">
      <c r="A3131" s="1"/>
      <c r="S3131" t="str">
        <f>TEXT(Table1[[#This Row],[Date]],"MMM-YY")</f>
        <v>Jan-00</v>
      </c>
      <c r="T3131">
        <f>_xlfn.ISOWEEKNUM(Table1[[#This Row],[Date]])</f>
        <v>52</v>
      </c>
    </row>
    <row r="3132" spans="1:20" hidden="1">
      <c r="A3132" s="1"/>
      <c r="S3132" t="str">
        <f>TEXT(Table1[[#This Row],[Date]],"MMM-YY")</f>
        <v>Jan-00</v>
      </c>
      <c r="T3132">
        <f>_xlfn.ISOWEEKNUM(Table1[[#This Row],[Date]])</f>
        <v>52</v>
      </c>
    </row>
    <row r="3133" spans="1:20" hidden="1">
      <c r="A3133" s="1"/>
      <c r="S3133" t="str">
        <f>TEXT(Table1[[#This Row],[Date]],"MMM-YY")</f>
        <v>Jan-00</v>
      </c>
      <c r="T3133">
        <f>_xlfn.ISOWEEKNUM(Table1[[#This Row],[Date]])</f>
        <v>52</v>
      </c>
    </row>
    <row r="3134" spans="1:20" hidden="1">
      <c r="A3134" s="1"/>
      <c r="S3134" t="str">
        <f>TEXT(Table1[[#This Row],[Date]],"MMM-YY")</f>
        <v>Jan-00</v>
      </c>
      <c r="T3134">
        <f>_xlfn.ISOWEEKNUM(Table1[[#This Row],[Date]])</f>
        <v>52</v>
      </c>
    </row>
    <row r="3135" spans="1:20" hidden="1">
      <c r="A3135" s="1"/>
      <c r="S3135" t="str">
        <f>TEXT(Table1[[#This Row],[Date]],"MMM-YY")</f>
        <v>Jan-00</v>
      </c>
      <c r="T3135">
        <f>_xlfn.ISOWEEKNUM(Table1[[#This Row],[Date]])</f>
        <v>52</v>
      </c>
    </row>
    <row r="3136" spans="1:20" hidden="1">
      <c r="A3136" s="1"/>
      <c r="S3136" t="str">
        <f>TEXT(Table1[[#This Row],[Date]],"MMM-YY")</f>
        <v>Jan-00</v>
      </c>
      <c r="T3136">
        <f>_xlfn.ISOWEEKNUM(Table1[[#This Row],[Date]])</f>
        <v>52</v>
      </c>
    </row>
    <row r="3137" spans="1:20" hidden="1">
      <c r="A3137" s="1"/>
      <c r="S3137" t="str">
        <f>TEXT(Table1[[#This Row],[Date]],"MMM-YY")</f>
        <v>Jan-00</v>
      </c>
      <c r="T3137">
        <f>_xlfn.ISOWEEKNUM(Table1[[#This Row],[Date]])</f>
        <v>52</v>
      </c>
    </row>
    <row r="3138" spans="1:20" hidden="1">
      <c r="A3138" s="1"/>
      <c r="S3138" t="str">
        <f>TEXT(Table1[[#This Row],[Date]],"MMM-YY")</f>
        <v>Jan-00</v>
      </c>
      <c r="T3138">
        <f>_xlfn.ISOWEEKNUM(Table1[[#This Row],[Date]])</f>
        <v>52</v>
      </c>
    </row>
    <row r="3139" spans="1:20" hidden="1">
      <c r="A3139" s="1"/>
      <c r="S3139" t="str">
        <f>TEXT(Table1[[#This Row],[Date]],"MMM-YY")</f>
        <v>Jan-00</v>
      </c>
      <c r="T3139">
        <f>_xlfn.ISOWEEKNUM(Table1[[#This Row],[Date]])</f>
        <v>52</v>
      </c>
    </row>
    <row r="3140" spans="1:20" hidden="1">
      <c r="A3140" s="1"/>
      <c r="S3140" t="str">
        <f>TEXT(Table1[[#This Row],[Date]],"MMM-YY")</f>
        <v>Jan-00</v>
      </c>
      <c r="T3140">
        <f>_xlfn.ISOWEEKNUM(Table1[[#This Row],[Date]])</f>
        <v>52</v>
      </c>
    </row>
    <row r="3141" spans="1:20" hidden="1">
      <c r="A3141" s="1"/>
      <c r="S3141" t="str">
        <f>TEXT(Table1[[#This Row],[Date]],"MMM-YY")</f>
        <v>Jan-00</v>
      </c>
      <c r="T3141">
        <f>_xlfn.ISOWEEKNUM(Table1[[#This Row],[Date]])</f>
        <v>52</v>
      </c>
    </row>
    <row r="3142" spans="1:20" hidden="1">
      <c r="A3142" s="1"/>
      <c r="S3142" t="str">
        <f>TEXT(Table1[[#This Row],[Date]],"MMM-YY")</f>
        <v>Jan-00</v>
      </c>
      <c r="T3142">
        <f>_xlfn.ISOWEEKNUM(Table1[[#This Row],[Date]])</f>
        <v>52</v>
      </c>
    </row>
    <row r="3143" spans="1:20" hidden="1">
      <c r="A3143" s="1"/>
      <c r="S3143" t="str">
        <f>TEXT(Table1[[#This Row],[Date]],"MMM-YY")</f>
        <v>Jan-00</v>
      </c>
      <c r="T3143">
        <f>_xlfn.ISOWEEKNUM(Table1[[#This Row],[Date]])</f>
        <v>52</v>
      </c>
    </row>
    <row r="3144" spans="1:20" hidden="1">
      <c r="A3144" s="1"/>
      <c r="S3144" t="str">
        <f>TEXT(Table1[[#This Row],[Date]],"MMM-YY")</f>
        <v>Jan-00</v>
      </c>
      <c r="T3144">
        <f>_xlfn.ISOWEEKNUM(Table1[[#This Row],[Date]])</f>
        <v>52</v>
      </c>
    </row>
    <row r="3145" spans="1:20" hidden="1">
      <c r="A3145" s="1"/>
      <c r="S3145" t="str">
        <f>TEXT(Table1[[#This Row],[Date]],"MMM-YY")</f>
        <v>Jan-00</v>
      </c>
      <c r="T3145">
        <f>_xlfn.ISOWEEKNUM(Table1[[#This Row],[Date]])</f>
        <v>52</v>
      </c>
    </row>
    <row r="3146" spans="1:20" hidden="1">
      <c r="A3146" s="1"/>
      <c r="S3146" t="str">
        <f>TEXT(Table1[[#This Row],[Date]],"MMM-YY")</f>
        <v>Jan-00</v>
      </c>
      <c r="T3146">
        <f>_xlfn.ISOWEEKNUM(Table1[[#This Row],[Date]])</f>
        <v>52</v>
      </c>
    </row>
    <row r="3147" spans="1:20" hidden="1">
      <c r="A3147" s="1"/>
      <c r="S3147" t="str">
        <f>TEXT(Table1[[#This Row],[Date]],"MMM-YY")</f>
        <v>Jan-00</v>
      </c>
      <c r="T3147">
        <f>_xlfn.ISOWEEKNUM(Table1[[#This Row],[Date]])</f>
        <v>52</v>
      </c>
    </row>
    <row r="3148" spans="1:20" hidden="1">
      <c r="A3148" s="1"/>
      <c r="S3148" t="str">
        <f>TEXT(Table1[[#This Row],[Date]],"MMM-YY")</f>
        <v>Jan-00</v>
      </c>
      <c r="T3148">
        <f>_xlfn.ISOWEEKNUM(Table1[[#This Row],[Date]])</f>
        <v>52</v>
      </c>
    </row>
    <row r="3149" spans="1:20" hidden="1">
      <c r="A3149" s="1"/>
      <c r="S3149" t="str">
        <f>TEXT(Table1[[#This Row],[Date]],"MMM-YY")</f>
        <v>Jan-00</v>
      </c>
      <c r="T3149">
        <f>_xlfn.ISOWEEKNUM(Table1[[#This Row],[Date]])</f>
        <v>52</v>
      </c>
    </row>
    <row r="3150" spans="1:20" hidden="1">
      <c r="A3150" s="1"/>
      <c r="S3150" t="str">
        <f>TEXT(Table1[[#This Row],[Date]],"MMM-YY")</f>
        <v>Jan-00</v>
      </c>
      <c r="T3150">
        <f>_xlfn.ISOWEEKNUM(Table1[[#This Row],[Date]])</f>
        <v>52</v>
      </c>
    </row>
    <row r="3151" spans="1:20" hidden="1">
      <c r="A3151" s="1"/>
      <c r="S3151" t="str">
        <f>TEXT(Table1[[#This Row],[Date]],"MMM-YY")</f>
        <v>Jan-00</v>
      </c>
      <c r="T3151">
        <f>_xlfn.ISOWEEKNUM(Table1[[#This Row],[Date]])</f>
        <v>52</v>
      </c>
    </row>
    <row r="3152" spans="1:20" hidden="1">
      <c r="A3152" s="1"/>
      <c r="S3152" t="str">
        <f>TEXT(Table1[[#This Row],[Date]],"MMM-YY")</f>
        <v>Jan-00</v>
      </c>
      <c r="T3152">
        <f>_xlfn.ISOWEEKNUM(Table1[[#This Row],[Date]])</f>
        <v>52</v>
      </c>
    </row>
    <row r="3153" spans="1:20" hidden="1">
      <c r="A3153" s="1"/>
      <c r="S3153" t="str">
        <f>TEXT(Table1[[#This Row],[Date]],"MMM-YY")</f>
        <v>Jan-00</v>
      </c>
      <c r="T3153">
        <f>_xlfn.ISOWEEKNUM(Table1[[#This Row],[Date]])</f>
        <v>52</v>
      </c>
    </row>
    <row r="3154" spans="1:20" hidden="1">
      <c r="A3154" s="1"/>
      <c r="S3154" t="str">
        <f>TEXT(Table1[[#This Row],[Date]],"MMM-YY")</f>
        <v>Jan-00</v>
      </c>
      <c r="T3154">
        <f>_xlfn.ISOWEEKNUM(Table1[[#This Row],[Date]])</f>
        <v>52</v>
      </c>
    </row>
    <row r="3155" spans="1:20" hidden="1">
      <c r="A3155" s="1"/>
      <c r="S3155" t="str">
        <f>TEXT(Table1[[#This Row],[Date]],"MMM-YY")</f>
        <v>Jan-00</v>
      </c>
      <c r="T3155">
        <f>_xlfn.ISOWEEKNUM(Table1[[#This Row],[Date]])</f>
        <v>52</v>
      </c>
    </row>
    <row r="3156" spans="1:20" hidden="1">
      <c r="A3156" s="1"/>
      <c r="S3156" t="str">
        <f>TEXT(Table1[[#This Row],[Date]],"MMM-YY")</f>
        <v>Jan-00</v>
      </c>
      <c r="T3156">
        <f>_xlfn.ISOWEEKNUM(Table1[[#This Row],[Date]])</f>
        <v>52</v>
      </c>
    </row>
    <row r="3157" spans="1:20" hidden="1">
      <c r="A3157" s="1"/>
      <c r="S3157" t="str">
        <f>TEXT(Table1[[#This Row],[Date]],"MMM-YY")</f>
        <v>Jan-00</v>
      </c>
      <c r="T3157">
        <f>_xlfn.ISOWEEKNUM(Table1[[#This Row],[Date]])</f>
        <v>52</v>
      </c>
    </row>
    <row r="3158" spans="1:20" hidden="1">
      <c r="A3158" s="1"/>
      <c r="S3158" t="str">
        <f>TEXT(Table1[[#This Row],[Date]],"MMM-YY")</f>
        <v>Jan-00</v>
      </c>
      <c r="T3158">
        <f>_xlfn.ISOWEEKNUM(Table1[[#This Row],[Date]])</f>
        <v>52</v>
      </c>
    </row>
    <row r="3159" spans="1:20" hidden="1">
      <c r="A3159" s="1"/>
      <c r="S3159" t="str">
        <f>TEXT(Table1[[#This Row],[Date]],"MMM-YY")</f>
        <v>Jan-00</v>
      </c>
      <c r="T3159">
        <f>_xlfn.ISOWEEKNUM(Table1[[#This Row],[Date]])</f>
        <v>52</v>
      </c>
    </row>
    <row r="3160" spans="1:20" hidden="1">
      <c r="A3160" s="1"/>
      <c r="S3160" t="str">
        <f>TEXT(Table1[[#This Row],[Date]],"MMM-YY")</f>
        <v>Jan-00</v>
      </c>
      <c r="T3160">
        <f>_xlfn.ISOWEEKNUM(Table1[[#This Row],[Date]])</f>
        <v>52</v>
      </c>
    </row>
    <row r="3161" spans="1:20" hidden="1">
      <c r="A3161" s="1"/>
      <c r="S3161" t="str">
        <f>TEXT(Table1[[#This Row],[Date]],"MMM-YY")</f>
        <v>Jan-00</v>
      </c>
      <c r="T3161">
        <f>_xlfn.ISOWEEKNUM(Table1[[#This Row],[Date]])</f>
        <v>52</v>
      </c>
    </row>
    <row r="3162" spans="1:20" hidden="1">
      <c r="A3162" s="1"/>
      <c r="S3162" t="str">
        <f>TEXT(Table1[[#This Row],[Date]],"MMM-YY")</f>
        <v>Jan-00</v>
      </c>
      <c r="T3162">
        <f>_xlfn.ISOWEEKNUM(Table1[[#This Row],[Date]])</f>
        <v>52</v>
      </c>
    </row>
    <row r="3163" spans="1:20" hidden="1">
      <c r="A3163" s="1"/>
      <c r="S3163" t="str">
        <f>TEXT(Table1[[#This Row],[Date]],"MMM-YY")</f>
        <v>Jan-00</v>
      </c>
      <c r="T3163">
        <f>_xlfn.ISOWEEKNUM(Table1[[#This Row],[Date]])</f>
        <v>52</v>
      </c>
    </row>
    <row r="3164" spans="1:20" hidden="1">
      <c r="A3164" s="1"/>
      <c r="S3164" t="str">
        <f>TEXT(Table1[[#This Row],[Date]],"MMM-YY")</f>
        <v>Jan-00</v>
      </c>
      <c r="T3164">
        <f>_xlfn.ISOWEEKNUM(Table1[[#This Row],[Date]])</f>
        <v>52</v>
      </c>
    </row>
    <row r="3165" spans="1:20" hidden="1">
      <c r="A3165" s="1"/>
      <c r="S3165" t="str">
        <f>TEXT(Table1[[#This Row],[Date]],"MMM-YY")</f>
        <v>Jan-00</v>
      </c>
      <c r="T3165">
        <f>_xlfn.ISOWEEKNUM(Table1[[#This Row],[Date]])</f>
        <v>52</v>
      </c>
    </row>
    <row r="3166" spans="1:20" hidden="1">
      <c r="A3166" s="1"/>
      <c r="S3166" t="str">
        <f>TEXT(Table1[[#This Row],[Date]],"MMM-YY")</f>
        <v>Jan-00</v>
      </c>
      <c r="T3166">
        <f>_xlfn.ISOWEEKNUM(Table1[[#This Row],[Date]])</f>
        <v>52</v>
      </c>
    </row>
    <row r="3167" spans="1:20" hidden="1">
      <c r="A3167" s="1"/>
      <c r="S3167" t="str">
        <f>TEXT(Table1[[#This Row],[Date]],"MMM-YY")</f>
        <v>Jan-00</v>
      </c>
      <c r="T3167">
        <f>_xlfn.ISOWEEKNUM(Table1[[#This Row],[Date]])</f>
        <v>52</v>
      </c>
    </row>
    <row r="3168" spans="1:20" hidden="1">
      <c r="A3168" s="1"/>
      <c r="S3168" t="str">
        <f>TEXT(Table1[[#This Row],[Date]],"MMM-YY")</f>
        <v>Jan-00</v>
      </c>
      <c r="T3168">
        <f>_xlfn.ISOWEEKNUM(Table1[[#This Row],[Date]])</f>
        <v>52</v>
      </c>
    </row>
    <row r="3169" spans="1:20" hidden="1">
      <c r="A3169" s="1"/>
      <c r="S3169" t="str">
        <f>TEXT(Table1[[#This Row],[Date]],"MMM-YY")</f>
        <v>Jan-00</v>
      </c>
      <c r="T3169">
        <f>_xlfn.ISOWEEKNUM(Table1[[#This Row],[Date]])</f>
        <v>52</v>
      </c>
    </row>
    <row r="3170" spans="1:20" hidden="1">
      <c r="A3170" s="1"/>
      <c r="S3170" t="str">
        <f>TEXT(Table1[[#This Row],[Date]],"MMM-YY")</f>
        <v>Jan-00</v>
      </c>
      <c r="T3170">
        <f>_xlfn.ISOWEEKNUM(Table1[[#This Row],[Date]])</f>
        <v>52</v>
      </c>
    </row>
    <row r="3171" spans="1:20" hidden="1">
      <c r="A3171" s="1"/>
      <c r="S3171" t="str">
        <f>TEXT(Table1[[#This Row],[Date]],"MMM-YY")</f>
        <v>Jan-00</v>
      </c>
      <c r="T3171">
        <f>_xlfn.ISOWEEKNUM(Table1[[#This Row],[Date]])</f>
        <v>52</v>
      </c>
    </row>
    <row r="3172" spans="1:20" hidden="1">
      <c r="A3172" s="1"/>
      <c r="S3172" t="str">
        <f>TEXT(Table1[[#This Row],[Date]],"MMM-YY")</f>
        <v>Jan-00</v>
      </c>
      <c r="T3172">
        <f>_xlfn.ISOWEEKNUM(Table1[[#This Row],[Date]])</f>
        <v>52</v>
      </c>
    </row>
    <row r="3173" spans="1:20" hidden="1">
      <c r="A3173" s="1"/>
      <c r="S3173" t="str">
        <f>TEXT(Table1[[#This Row],[Date]],"MMM-YY")</f>
        <v>Jan-00</v>
      </c>
      <c r="T3173">
        <f>_xlfn.ISOWEEKNUM(Table1[[#This Row],[Date]])</f>
        <v>52</v>
      </c>
    </row>
    <row r="3174" spans="1:20" hidden="1">
      <c r="A3174" s="1"/>
      <c r="S3174" t="str">
        <f>TEXT(Table1[[#This Row],[Date]],"MMM-YY")</f>
        <v>Jan-00</v>
      </c>
      <c r="T3174">
        <f>_xlfn.ISOWEEKNUM(Table1[[#This Row],[Date]])</f>
        <v>52</v>
      </c>
    </row>
    <row r="3175" spans="1:20" hidden="1">
      <c r="A3175" s="1"/>
      <c r="S3175" t="str">
        <f>TEXT(Table1[[#This Row],[Date]],"MMM-YY")</f>
        <v>Jan-00</v>
      </c>
      <c r="T3175">
        <f>_xlfn.ISOWEEKNUM(Table1[[#This Row],[Date]])</f>
        <v>52</v>
      </c>
    </row>
    <row r="3176" spans="1:20" hidden="1">
      <c r="A3176" s="1"/>
      <c r="S3176" t="str">
        <f>TEXT(Table1[[#This Row],[Date]],"MMM-YY")</f>
        <v>Jan-00</v>
      </c>
      <c r="T3176">
        <f>_xlfn.ISOWEEKNUM(Table1[[#This Row],[Date]])</f>
        <v>52</v>
      </c>
    </row>
    <row r="3177" spans="1:20" hidden="1">
      <c r="A3177" s="1"/>
      <c r="S3177" t="str">
        <f>TEXT(Table1[[#This Row],[Date]],"MMM-YY")</f>
        <v>Jan-00</v>
      </c>
      <c r="T3177">
        <f>_xlfn.ISOWEEKNUM(Table1[[#This Row],[Date]])</f>
        <v>52</v>
      </c>
    </row>
    <row r="3178" spans="1:20" hidden="1">
      <c r="A3178" s="1"/>
      <c r="S3178" t="str">
        <f>TEXT(Table1[[#This Row],[Date]],"MMM-YY")</f>
        <v>Jan-00</v>
      </c>
      <c r="T3178">
        <f>_xlfn.ISOWEEKNUM(Table1[[#This Row],[Date]])</f>
        <v>52</v>
      </c>
    </row>
    <row r="3179" spans="1:20" hidden="1">
      <c r="A3179" s="1"/>
      <c r="S3179" t="str">
        <f>TEXT(Table1[[#This Row],[Date]],"MMM-YY")</f>
        <v>Jan-00</v>
      </c>
      <c r="T3179">
        <f>_xlfn.ISOWEEKNUM(Table1[[#This Row],[Date]])</f>
        <v>52</v>
      </c>
    </row>
    <row r="3180" spans="1:20" hidden="1">
      <c r="A3180" s="1"/>
      <c r="S3180" t="str">
        <f>TEXT(Table1[[#This Row],[Date]],"MMM-YY")</f>
        <v>Jan-00</v>
      </c>
      <c r="T3180">
        <f>_xlfn.ISOWEEKNUM(Table1[[#This Row],[Date]])</f>
        <v>52</v>
      </c>
    </row>
    <row r="3181" spans="1:20" hidden="1">
      <c r="A3181" s="1"/>
      <c r="S3181" t="str">
        <f>TEXT(Table1[[#This Row],[Date]],"MMM-YY")</f>
        <v>Jan-00</v>
      </c>
      <c r="T3181">
        <f>_xlfn.ISOWEEKNUM(Table1[[#This Row],[Date]])</f>
        <v>52</v>
      </c>
    </row>
    <row r="3182" spans="1:20" hidden="1">
      <c r="A3182" s="1"/>
      <c r="S3182" t="str">
        <f>TEXT(Table1[[#This Row],[Date]],"MMM-YY")</f>
        <v>Jan-00</v>
      </c>
      <c r="T3182">
        <f>_xlfn.ISOWEEKNUM(Table1[[#This Row],[Date]])</f>
        <v>52</v>
      </c>
    </row>
    <row r="3183" spans="1:20" hidden="1">
      <c r="A3183" s="1"/>
      <c r="S3183" t="str">
        <f>TEXT(Table1[[#This Row],[Date]],"MMM-YY")</f>
        <v>Jan-00</v>
      </c>
      <c r="T3183">
        <f>_xlfn.ISOWEEKNUM(Table1[[#This Row],[Date]])</f>
        <v>52</v>
      </c>
    </row>
    <row r="3184" spans="1:20" hidden="1">
      <c r="A3184" s="1"/>
      <c r="S3184" t="str">
        <f>TEXT(Table1[[#This Row],[Date]],"MMM-YY")</f>
        <v>Jan-00</v>
      </c>
      <c r="T3184">
        <f>_xlfn.ISOWEEKNUM(Table1[[#This Row],[Date]])</f>
        <v>52</v>
      </c>
    </row>
    <row r="3185" spans="1:20" hidden="1">
      <c r="A3185" s="1"/>
      <c r="S3185" t="str">
        <f>TEXT(Table1[[#This Row],[Date]],"MMM-YY")</f>
        <v>Jan-00</v>
      </c>
      <c r="T3185">
        <f>_xlfn.ISOWEEKNUM(Table1[[#This Row],[Date]])</f>
        <v>52</v>
      </c>
    </row>
    <row r="3186" spans="1:20" hidden="1">
      <c r="A3186" s="1"/>
      <c r="S3186" t="str">
        <f>TEXT(Table1[[#This Row],[Date]],"MMM-YY")</f>
        <v>Jan-00</v>
      </c>
      <c r="T3186">
        <f>_xlfn.ISOWEEKNUM(Table1[[#This Row],[Date]])</f>
        <v>52</v>
      </c>
    </row>
    <row r="3187" spans="1:20" hidden="1">
      <c r="A3187" s="1"/>
      <c r="S3187" t="str">
        <f>TEXT(Table1[[#This Row],[Date]],"MMM-YY")</f>
        <v>Jan-00</v>
      </c>
      <c r="T3187">
        <f>_xlfn.ISOWEEKNUM(Table1[[#This Row],[Date]])</f>
        <v>52</v>
      </c>
    </row>
    <row r="3188" spans="1:20" hidden="1">
      <c r="A3188" s="1"/>
      <c r="S3188" t="str">
        <f>TEXT(Table1[[#This Row],[Date]],"MMM-YY")</f>
        <v>Jan-00</v>
      </c>
      <c r="T3188">
        <f>_xlfn.ISOWEEKNUM(Table1[[#This Row],[Date]])</f>
        <v>52</v>
      </c>
    </row>
    <row r="3189" spans="1:20" hidden="1">
      <c r="A3189" s="1"/>
      <c r="S3189" t="str">
        <f>TEXT(Table1[[#This Row],[Date]],"MMM-YY")</f>
        <v>Jan-00</v>
      </c>
      <c r="T3189">
        <f>_xlfn.ISOWEEKNUM(Table1[[#This Row],[Date]])</f>
        <v>52</v>
      </c>
    </row>
    <row r="3190" spans="1:20" hidden="1">
      <c r="A3190" s="1"/>
      <c r="S3190" t="str">
        <f>TEXT(Table1[[#This Row],[Date]],"MMM-YY")</f>
        <v>Jan-00</v>
      </c>
      <c r="T3190">
        <f>_xlfn.ISOWEEKNUM(Table1[[#This Row],[Date]])</f>
        <v>52</v>
      </c>
    </row>
    <row r="3191" spans="1:20" hidden="1">
      <c r="A3191" s="1"/>
      <c r="S3191" t="str">
        <f>TEXT(Table1[[#This Row],[Date]],"MMM-YY")</f>
        <v>Jan-00</v>
      </c>
      <c r="T3191">
        <f>_xlfn.ISOWEEKNUM(Table1[[#This Row],[Date]])</f>
        <v>52</v>
      </c>
    </row>
    <row r="3192" spans="1:20" hidden="1">
      <c r="A3192" s="1"/>
      <c r="S3192" t="str">
        <f>TEXT(Table1[[#This Row],[Date]],"MMM-YY")</f>
        <v>Jan-00</v>
      </c>
      <c r="T3192">
        <f>_xlfn.ISOWEEKNUM(Table1[[#This Row],[Date]])</f>
        <v>52</v>
      </c>
    </row>
    <row r="3193" spans="1:20" hidden="1">
      <c r="A3193" s="1"/>
      <c r="S3193" t="str">
        <f>TEXT(Table1[[#This Row],[Date]],"MMM-YY")</f>
        <v>Jan-00</v>
      </c>
      <c r="T3193">
        <f>_xlfn.ISOWEEKNUM(Table1[[#This Row],[Date]])</f>
        <v>52</v>
      </c>
    </row>
    <row r="3194" spans="1:20" hidden="1">
      <c r="A3194" s="1"/>
      <c r="S3194" t="str">
        <f>TEXT(Table1[[#This Row],[Date]],"MMM-YY")</f>
        <v>Jan-00</v>
      </c>
      <c r="T3194">
        <f>_xlfn.ISOWEEKNUM(Table1[[#This Row],[Date]])</f>
        <v>52</v>
      </c>
    </row>
    <row r="3195" spans="1:20" hidden="1">
      <c r="A3195" s="1"/>
      <c r="S3195" t="str">
        <f>TEXT(Table1[[#This Row],[Date]],"MMM-YY")</f>
        <v>Jan-00</v>
      </c>
      <c r="T3195">
        <f>_xlfn.ISOWEEKNUM(Table1[[#This Row],[Date]])</f>
        <v>52</v>
      </c>
    </row>
    <row r="3196" spans="1:20" hidden="1">
      <c r="A3196" s="1"/>
      <c r="S3196" t="str">
        <f>TEXT(Table1[[#This Row],[Date]],"MMM-YY")</f>
        <v>Jan-00</v>
      </c>
      <c r="T3196">
        <f>_xlfn.ISOWEEKNUM(Table1[[#This Row],[Date]])</f>
        <v>52</v>
      </c>
    </row>
    <row r="3197" spans="1:20" hidden="1">
      <c r="A3197" s="1"/>
      <c r="S3197" t="str">
        <f>TEXT(Table1[[#This Row],[Date]],"MMM-YY")</f>
        <v>Jan-00</v>
      </c>
      <c r="T3197">
        <f>_xlfn.ISOWEEKNUM(Table1[[#This Row],[Date]])</f>
        <v>52</v>
      </c>
    </row>
    <row r="3198" spans="1:20" hidden="1">
      <c r="A3198" s="1"/>
      <c r="S3198" t="str">
        <f>TEXT(Table1[[#This Row],[Date]],"MMM-YY")</f>
        <v>Jan-00</v>
      </c>
      <c r="T3198">
        <f>_xlfn.ISOWEEKNUM(Table1[[#This Row],[Date]])</f>
        <v>52</v>
      </c>
    </row>
    <row r="3199" spans="1:20" hidden="1">
      <c r="A3199" s="1"/>
      <c r="S3199" t="str">
        <f>TEXT(Table1[[#This Row],[Date]],"MMM-YY")</f>
        <v>Jan-00</v>
      </c>
      <c r="T3199">
        <f>_xlfn.ISOWEEKNUM(Table1[[#This Row],[Date]])</f>
        <v>52</v>
      </c>
    </row>
    <row r="3200" spans="1:20" hidden="1">
      <c r="A3200" s="1"/>
      <c r="S3200" t="str">
        <f>TEXT(Table1[[#This Row],[Date]],"MMM-YY")</f>
        <v>Jan-00</v>
      </c>
      <c r="T3200">
        <f>_xlfn.ISOWEEKNUM(Table1[[#This Row],[Date]])</f>
        <v>52</v>
      </c>
    </row>
    <row r="3201" spans="1:20" hidden="1">
      <c r="A3201" s="1"/>
      <c r="S3201" t="str">
        <f>TEXT(Table1[[#This Row],[Date]],"MMM-YY")</f>
        <v>Jan-00</v>
      </c>
      <c r="T3201">
        <f>_xlfn.ISOWEEKNUM(Table1[[#This Row],[Date]])</f>
        <v>52</v>
      </c>
    </row>
    <row r="3202" spans="1:20" hidden="1">
      <c r="A3202" s="1"/>
      <c r="S3202" t="str">
        <f>TEXT(Table1[[#This Row],[Date]],"MMM-YY")</f>
        <v>Jan-00</v>
      </c>
      <c r="T3202">
        <f>_xlfn.ISOWEEKNUM(Table1[[#This Row],[Date]])</f>
        <v>52</v>
      </c>
    </row>
    <row r="3203" spans="1:20" hidden="1">
      <c r="A3203" s="1"/>
      <c r="S3203" t="str">
        <f>TEXT(Table1[[#This Row],[Date]],"MMM-YY")</f>
        <v>Jan-00</v>
      </c>
      <c r="T3203">
        <f>_xlfn.ISOWEEKNUM(Table1[[#This Row],[Date]])</f>
        <v>52</v>
      </c>
    </row>
    <row r="3204" spans="1:20" hidden="1">
      <c r="A3204" s="1"/>
      <c r="S3204" t="str">
        <f>TEXT(Table1[[#This Row],[Date]],"MMM-YY")</f>
        <v>Jan-00</v>
      </c>
      <c r="T3204">
        <f>_xlfn.ISOWEEKNUM(Table1[[#This Row],[Date]])</f>
        <v>52</v>
      </c>
    </row>
    <row r="3205" spans="1:20" hidden="1">
      <c r="A3205" s="1"/>
      <c r="S3205" t="str">
        <f>TEXT(Table1[[#This Row],[Date]],"MMM-YY")</f>
        <v>Jan-00</v>
      </c>
      <c r="T3205">
        <f>_xlfn.ISOWEEKNUM(Table1[[#This Row],[Date]])</f>
        <v>52</v>
      </c>
    </row>
    <row r="3206" spans="1:20" hidden="1">
      <c r="A3206" s="1"/>
      <c r="S3206" t="str">
        <f>TEXT(Table1[[#This Row],[Date]],"MMM-YY")</f>
        <v>Jan-00</v>
      </c>
      <c r="T3206">
        <f>_xlfn.ISOWEEKNUM(Table1[[#This Row],[Date]])</f>
        <v>52</v>
      </c>
    </row>
    <row r="3207" spans="1:20" hidden="1">
      <c r="A3207" s="1"/>
      <c r="S3207" t="str">
        <f>TEXT(Table1[[#This Row],[Date]],"MMM-YY")</f>
        <v>Jan-00</v>
      </c>
      <c r="T3207">
        <f>_xlfn.ISOWEEKNUM(Table1[[#This Row],[Date]])</f>
        <v>52</v>
      </c>
    </row>
    <row r="3208" spans="1:20" hidden="1">
      <c r="A3208" s="1"/>
      <c r="S3208" t="str">
        <f>TEXT(Table1[[#This Row],[Date]],"MMM-YY")</f>
        <v>Jan-00</v>
      </c>
      <c r="T3208">
        <f>_xlfn.ISOWEEKNUM(Table1[[#This Row],[Date]])</f>
        <v>52</v>
      </c>
    </row>
    <row r="3209" spans="1:20" hidden="1">
      <c r="A3209" s="1"/>
      <c r="S3209" t="str">
        <f>TEXT(Table1[[#This Row],[Date]],"MMM-YY")</f>
        <v>Jan-00</v>
      </c>
      <c r="T3209">
        <f>_xlfn.ISOWEEKNUM(Table1[[#This Row],[Date]])</f>
        <v>52</v>
      </c>
    </row>
    <row r="3210" spans="1:20" hidden="1">
      <c r="A3210" s="1"/>
      <c r="S3210" t="str">
        <f>TEXT(Table1[[#This Row],[Date]],"MMM-YY")</f>
        <v>Jan-00</v>
      </c>
      <c r="T3210">
        <f>_xlfn.ISOWEEKNUM(Table1[[#This Row],[Date]])</f>
        <v>52</v>
      </c>
    </row>
    <row r="3211" spans="1:20" hidden="1">
      <c r="A3211" s="1"/>
      <c r="S3211" t="str">
        <f>TEXT(Table1[[#This Row],[Date]],"MMM-YY")</f>
        <v>Jan-00</v>
      </c>
      <c r="T3211">
        <f>_xlfn.ISOWEEKNUM(Table1[[#This Row],[Date]])</f>
        <v>52</v>
      </c>
    </row>
    <row r="3212" spans="1:20" hidden="1">
      <c r="A3212" s="1"/>
      <c r="S3212" t="str">
        <f>TEXT(Table1[[#This Row],[Date]],"MMM-YY")</f>
        <v>Jan-00</v>
      </c>
      <c r="T3212">
        <f>_xlfn.ISOWEEKNUM(Table1[[#This Row],[Date]])</f>
        <v>52</v>
      </c>
    </row>
    <row r="3213" spans="1:20" hidden="1">
      <c r="A3213" s="1"/>
      <c r="S3213" t="str">
        <f>TEXT(Table1[[#This Row],[Date]],"MMM-YY")</f>
        <v>Jan-00</v>
      </c>
      <c r="T3213">
        <f>_xlfn.ISOWEEKNUM(Table1[[#This Row],[Date]])</f>
        <v>52</v>
      </c>
    </row>
    <row r="3214" spans="1:20" hidden="1">
      <c r="A3214" s="1"/>
      <c r="S3214" t="str">
        <f>TEXT(Table1[[#This Row],[Date]],"MMM-YY")</f>
        <v>Jan-00</v>
      </c>
      <c r="T3214">
        <f>_xlfn.ISOWEEKNUM(Table1[[#This Row],[Date]])</f>
        <v>52</v>
      </c>
    </row>
    <row r="3215" spans="1:20" hidden="1">
      <c r="A3215" s="1"/>
      <c r="S3215" t="str">
        <f>TEXT(Table1[[#This Row],[Date]],"MMM-YY")</f>
        <v>Jan-00</v>
      </c>
      <c r="T3215">
        <f>_xlfn.ISOWEEKNUM(Table1[[#This Row],[Date]])</f>
        <v>52</v>
      </c>
    </row>
    <row r="3216" spans="1:20" hidden="1">
      <c r="A3216" s="1"/>
      <c r="S3216" t="str">
        <f>TEXT(Table1[[#This Row],[Date]],"MMM-YY")</f>
        <v>Jan-00</v>
      </c>
      <c r="T3216">
        <f>_xlfn.ISOWEEKNUM(Table1[[#This Row],[Date]])</f>
        <v>52</v>
      </c>
    </row>
    <row r="3217" spans="1:20" hidden="1">
      <c r="A3217" s="1"/>
      <c r="S3217" t="str">
        <f>TEXT(Table1[[#This Row],[Date]],"MMM-YY")</f>
        <v>Jan-00</v>
      </c>
      <c r="T3217">
        <f>_xlfn.ISOWEEKNUM(Table1[[#This Row],[Date]])</f>
        <v>52</v>
      </c>
    </row>
    <row r="3218" spans="1:20" hidden="1">
      <c r="A3218" s="1"/>
      <c r="S3218" t="str">
        <f>TEXT(Table1[[#This Row],[Date]],"MMM-YY")</f>
        <v>Jan-00</v>
      </c>
      <c r="T3218">
        <f>_xlfn.ISOWEEKNUM(Table1[[#This Row],[Date]])</f>
        <v>52</v>
      </c>
    </row>
    <row r="3219" spans="1:20" hidden="1">
      <c r="A3219" s="1"/>
      <c r="S3219" t="str">
        <f>TEXT(Table1[[#This Row],[Date]],"MMM-YY")</f>
        <v>Jan-00</v>
      </c>
      <c r="T3219">
        <f>_xlfn.ISOWEEKNUM(Table1[[#This Row],[Date]])</f>
        <v>52</v>
      </c>
    </row>
    <row r="3220" spans="1:20" hidden="1">
      <c r="A3220" s="1"/>
      <c r="S3220" t="str">
        <f>TEXT(Table1[[#This Row],[Date]],"MMM-YY")</f>
        <v>Jan-00</v>
      </c>
      <c r="T3220">
        <f>_xlfn.ISOWEEKNUM(Table1[[#This Row],[Date]])</f>
        <v>52</v>
      </c>
    </row>
    <row r="3221" spans="1:20" hidden="1">
      <c r="A3221" s="1"/>
      <c r="S3221" t="str">
        <f>TEXT(Table1[[#This Row],[Date]],"MMM-YY")</f>
        <v>Jan-00</v>
      </c>
      <c r="T3221">
        <f>_xlfn.ISOWEEKNUM(Table1[[#This Row],[Date]])</f>
        <v>52</v>
      </c>
    </row>
    <row r="3222" spans="1:20" hidden="1">
      <c r="A3222" s="1"/>
      <c r="S3222" t="str">
        <f>TEXT(Table1[[#This Row],[Date]],"MMM-YY")</f>
        <v>Jan-00</v>
      </c>
      <c r="T3222">
        <f>_xlfn.ISOWEEKNUM(Table1[[#This Row],[Date]])</f>
        <v>52</v>
      </c>
    </row>
    <row r="3223" spans="1:20" hidden="1">
      <c r="A3223" s="1"/>
      <c r="S3223" t="str">
        <f>TEXT(Table1[[#This Row],[Date]],"MMM-YY")</f>
        <v>Jan-00</v>
      </c>
      <c r="T3223">
        <f>_xlfn.ISOWEEKNUM(Table1[[#This Row],[Date]])</f>
        <v>52</v>
      </c>
    </row>
    <row r="3224" spans="1:20" hidden="1">
      <c r="A3224" s="1"/>
      <c r="S3224" t="str">
        <f>TEXT(Table1[[#This Row],[Date]],"MMM-YY")</f>
        <v>Jan-00</v>
      </c>
      <c r="T3224">
        <f>_xlfn.ISOWEEKNUM(Table1[[#This Row],[Date]])</f>
        <v>52</v>
      </c>
    </row>
    <row r="3225" spans="1:20" hidden="1">
      <c r="A3225" s="1"/>
      <c r="S3225" t="str">
        <f>TEXT(Table1[[#This Row],[Date]],"MMM-YY")</f>
        <v>Jan-00</v>
      </c>
      <c r="T3225">
        <f>_xlfn.ISOWEEKNUM(Table1[[#This Row],[Date]])</f>
        <v>52</v>
      </c>
    </row>
    <row r="3226" spans="1:20" hidden="1">
      <c r="A3226" s="1"/>
      <c r="S3226" t="str">
        <f>TEXT(Table1[[#This Row],[Date]],"MMM-YY")</f>
        <v>Jan-00</v>
      </c>
      <c r="T3226">
        <f>_xlfn.ISOWEEKNUM(Table1[[#This Row],[Date]])</f>
        <v>52</v>
      </c>
    </row>
    <row r="3227" spans="1:20" hidden="1">
      <c r="A3227" s="1"/>
      <c r="S3227" t="str">
        <f>TEXT(Table1[[#This Row],[Date]],"MMM-YY")</f>
        <v>Jan-00</v>
      </c>
      <c r="T3227">
        <f>_xlfn.ISOWEEKNUM(Table1[[#This Row],[Date]])</f>
        <v>52</v>
      </c>
    </row>
    <row r="3228" spans="1:20" hidden="1">
      <c r="A3228" s="1"/>
      <c r="S3228" t="str">
        <f>TEXT(Table1[[#This Row],[Date]],"MMM-YY")</f>
        <v>Jan-00</v>
      </c>
      <c r="T3228">
        <f>_xlfn.ISOWEEKNUM(Table1[[#This Row],[Date]])</f>
        <v>52</v>
      </c>
    </row>
    <row r="3229" spans="1:20" hidden="1">
      <c r="A3229" s="1"/>
      <c r="S3229" t="str">
        <f>TEXT(Table1[[#This Row],[Date]],"MMM-YY")</f>
        <v>Jan-00</v>
      </c>
      <c r="T3229">
        <f>_xlfn.ISOWEEKNUM(Table1[[#This Row],[Date]])</f>
        <v>52</v>
      </c>
    </row>
    <row r="3230" spans="1:20" hidden="1">
      <c r="A3230" s="1"/>
      <c r="S3230" t="str">
        <f>TEXT(Table1[[#This Row],[Date]],"MMM-YY")</f>
        <v>Jan-00</v>
      </c>
      <c r="T3230">
        <f>_xlfn.ISOWEEKNUM(Table1[[#This Row],[Date]])</f>
        <v>52</v>
      </c>
    </row>
    <row r="3231" spans="1:20" hidden="1">
      <c r="A3231" s="1"/>
      <c r="S3231" t="str">
        <f>TEXT(Table1[[#This Row],[Date]],"MMM-YY")</f>
        <v>Jan-00</v>
      </c>
      <c r="T3231">
        <f>_xlfn.ISOWEEKNUM(Table1[[#This Row],[Date]])</f>
        <v>52</v>
      </c>
    </row>
    <row r="3232" spans="1:20" hidden="1">
      <c r="A3232" s="1"/>
      <c r="S3232" t="str">
        <f>TEXT(Table1[[#This Row],[Date]],"MMM-YY")</f>
        <v>Jan-00</v>
      </c>
      <c r="T3232">
        <f>_xlfn.ISOWEEKNUM(Table1[[#This Row],[Date]])</f>
        <v>52</v>
      </c>
    </row>
    <row r="3233" spans="1:20" hidden="1">
      <c r="A3233" s="1"/>
      <c r="S3233" t="str">
        <f>TEXT(Table1[[#This Row],[Date]],"MMM-YY")</f>
        <v>Jan-00</v>
      </c>
      <c r="T3233">
        <f>_xlfn.ISOWEEKNUM(Table1[[#This Row],[Date]])</f>
        <v>52</v>
      </c>
    </row>
    <row r="3234" spans="1:20" hidden="1">
      <c r="A3234" s="1"/>
      <c r="S3234" t="str">
        <f>TEXT(Table1[[#This Row],[Date]],"MMM-YY")</f>
        <v>Jan-00</v>
      </c>
      <c r="T3234">
        <f>_xlfn.ISOWEEKNUM(Table1[[#This Row],[Date]])</f>
        <v>52</v>
      </c>
    </row>
    <row r="3235" spans="1:20" hidden="1">
      <c r="A3235" s="1"/>
      <c r="S3235" t="str">
        <f>TEXT(Table1[[#This Row],[Date]],"MMM-YY")</f>
        <v>Jan-00</v>
      </c>
      <c r="T3235">
        <f>_xlfn.ISOWEEKNUM(Table1[[#This Row],[Date]])</f>
        <v>52</v>
      </c>
    </row>
    <row r="3236" spans="1:20" hidden="1">
      <c r="A3236" s="1"/>
      <c r="S3236" t="str">
        <f>TEXT(Table1[[#This Row],[Date]],"MMM-YY")</f>
        <v>Jan-00</v>
      </c>
      <c r="T3236">
        <f>_xlfn.ISOWEEKNUM(Table1[[#This Row],[Date]])</f>
        <v>52</v>
      </c>
    </row>
    <row r="3237" spans="1:20" hidden="1">
      <c r="A3237" s="1"/>
      <c r="S3237" t="str">
        <f>TEXT(Table1[[#This Row],[Date]],"MMM-YY")</f>
        <v>Jan-00</v>
      </c>
      <c r="T3237">
        <f>_xlfn.ISOWEEKNUM(Table1[[#This Row],[Date]])</f>
        <v>52</v>
      </c>
    </row>
    <row r="3238" spans="1:20" hidden="1">
      <c r="A3238" s="1"/>
      <c r="S3238" t="str">
        <f>TEXT(Table1[[#This Row],[Date]],"MMM-YY")</f>
        <v>Jan-00</v>
      </c>
      <c r="T3238">
        <f>_xlfn.ISOWEEKNUM(Table1[[#This Row],[Date]])</f>
        <v>52</v>
      </c>
    </row>
    <row r="3239" spans="1:20" hidden="1">
      <c r="A3239" s="1"/>
      <c r="S3239" t="str">
        <f>TEXT(Table1[[#This Row],[Date]],"MMM-YY")</f>
        <v>Jan-00</v>
      </c>
      <c r="T3239">
        <f>_xlfn.ISOWEEKNUM(Table1[[#This Row],[Date]])</f>
        <v>52</v>
      </c>
    </row>
    <row r="3240" spans="1:20" hidden="1">
      <c r="A3240" s="1"/>
      <c r="S3240" t="str">
        <f>TEXT(Table1[[#This Row],[Date]],"MMM-YY")</f>
        <v>Jan-00</v>
      </c>
      <c r="T3240">
        <f>_xlfn.ISOWEEKNUM(Table1[[#This Row],[Date]])</f>
        <v>52</v>
      </c>
    </row>
    <row r="3241" spans="1:20" hidden="1">
      <c r="A3241" s="1"/>
      <c r="S3241" t="str">
        <f>TEXT(Table1[[#This Row],[Date]],"MMM-YY")</f>
        <v>Jan-00</v>
      </c>
      <c r="T3241">
        <f>_xlfn.ISOWEEKNUM(Table1[[#This Row],[Date]])</f>
        <v>52</v>
      </c>
    </row>
    <row r="3242" spans="1:20" hidden="1">
      <c r="A3242" s="1"/>
      <c r="S3242" t="str">
        <f>TEXT(Table1[[#This Row],[Date]],"MMM-YY")</f>
        <v>Jan-00</v>
      </c>
      <c r="T3242">
        <f>_xlfn.ISOWEEKNUM(Table1[[#This Row],[Date]])</f>
        <v>52</v>
      </c>
    </row>
    <row r="3243" spans="1:20" hidden="1">
      <c r="A3243" s="1"/>
      <c r="S3243" t="str">
        <f>TEXT(Table1[[#This Row],[Date]],"MMM-YY")</f>
        <v>Jan-00</v>
      </c>
      <c r="T3243">
        <f>_xlfn.ISOWEEKNUM(Table1[[#This Row],[Date]])</f>
        <v>52</v>
      </c>
    </row>
    <row r="3244" spans="1:20" hidden="1">
      <c r="A3244" s="1"/>
      <c r="S3244" t="str">
        <f>TEXT(Table1[[#This Row],[Date]],"MMM-YY")</f>
        <v>Jan-00</v>
      </c>
      <c r="T3244">
        <f>_xlfn.ISOWEEKNUM(Table1[[#This Row],[Date]])</f>
        <v>52</v>
      </c>
    </row>
    <row r="3245" spans="1:20" hidden="1">
      <c r="A3245" s="1"/>
      <c r="S3245" t="str">
        <f>TEXT(Table1[[#This Row],[Date]],"MMM-YY")</f>
        <v>Jan-00</v>
      </c>
      <c r="T3245">
        <f>_xlfn.ISOWEEKNUM(Table1[[#This Row],[Date]])</f>
        <v>52</v>
      </c>
    </row>
    <row r="3246" spans="1:20" hidden="1">
      <c r="A3246" s="1"/>
      <c r="S3246" t="str">
        <f>TEXT(Table1[[#This Row],[Date]],"MMM-YY")</f>
        <v>Jan-00</v>
      </c>
      <c r="T3246">
        <f>_xlfn.ISOWEEKNUM(Table1[[#This Row],[Date]])</f>
        <v>52</v>
      </c>
    </row>
    <row r="3247" spans="1:20" hidden="1">
      <c r="A3247" s="1"/>
      <c r="S3247" t="str">
        <f>TEXT(Table1[[#This Row],[Date]],"MMM-YY")</f>
        <v>Jan-00</v>
      </c>
      <c r="T3247">
        <f>_xlfn.ISOWEEKNUM(Table1[[#This Row],[Date]])</f>
        <v>52</v>
      </c>
    </row>
    <row r="3248" spans="1:20" hidden="1">
      <c r="A3248" s="1"/>
      <c r="S3248" t="str">
        <f>TEXT(Table1[[#This Row],[Date]],"MMM-YY")</f>
        <v>Jan-00</v>
      </c>
      <c r="T3248">
        <f>_xlfn.ISOWEEKNUM(Table1[[#This Row],[Date]])</f>
        <v>52</v>
      </c>
    </row>
    <row r="3249" spans="1:20" hidden="1">
      <c r="A3249" s="1"/>
      <c r="S3249" t="str">
        <f>TEXT(Table1[[#This Row],[Date]],"MMM-YY")</f>
        <v>Jan-00</v>
      </c>
      <c r="T3249">
        <f>_xlfn.ISOWEEKNUM(Table1[[#This Row],[Date]])</f>
        <v>52</v>
      </c>
    </row>
    <row r="3250" spans="1:20" hidden="1">
      <c r="A3250" s="1"/>
      <c r="S3250" t="str">
        <f>TEXT(Table1[[#This Row],[Date]],"MMM-YY")</f>
        <v>Jan-00</v>
      </c>
      <c r="T3250">
        <f>_xlfn.ISOWEEKNUM(Table1[[#This Row],[Date]])</f>
        <v>52</v>
      </c>
    </row>
    <row r="3251" spans="1:20" hidden="1">
      <c r="A3251" s="1"/>
      <c r="S3251" t="str">
        <f>TEXT(Table1[[#This Row],[Date]],"MMM-YY")</f>
        <v>Jan-00</v>
      </c>
      <c r="T3251">
        <f>_xlfn.ISOWEEKNUM(Table1[[#This Row],[Date]])</f>
        <v>52</v>
      </c>
    </row>
    <row r="3252" spans="1:20" hidden="1">
      <c r="A3252" s="1"/>
      <c r="S3252" t="str">
        <f>TEXT(Table1[[#This Row],[Date]],"MMM-YY")</f>
        <v>Jan-00</v>
      </c>
      <c r="T3252">
        <f>_xlfn.ISOWEEKNUM(Table1[[#This Row],[Date]])</f>
        <v>52</v>
      </c>
    </row>
    <row r="3253" spans="1:20" hidden="1">
      <c r="A3253" s="1"/>
      <c r="S3253" t="str">
        <f>TEXT(Table1[[#This Row],[Date]],"MMM-YY")</f>
        <v>Jan-00</v>
      </c>
      <c r="T3253">
        <f>_xlfn.ISOWEEKNUM(Table1[[#This Row],[Date]])</f>
        <v>52</v>
      </c>
    </row>
    <row r="3254" spans="1:20" hidden="1">
      <c r="A3254" s="1"/>
      <c r="S3254" t="str">
        <f>TEXT(Table1[[#This Row],[Date]],"MMM-YY")</f>
        <v>Jan-00</v>
      </c>
      <c r="T3254">
        <f>_xlfn.ISOWEEKNUM(Table1[[#This Row],[Date]])</f>
        <v>52</v>
      </c>
    </row>
    <row r="3255" spans="1:20" hidden="1">
      <c r="A3255" s="1"/>
      <c r="S3255" t="str">
        <f>TEXT(Table1[[#This Row],[Date]],"MMM-YY")</f>
        <v>Jan-00</v>
      </c>
      <c r="T3255">
        <f>_xlfn.ISOWEEKNUM(Table1[[#This Row],[Date]])</f>
        <v>52</v>
      </c>
    </row>
    <row r="3256" spans="1:20" hidden="1">
      <c r="A3256" s="1"/>
      <c r="S3256" t="str">
        <f>TEXT(Table1[[#This Row],[Date]],"MMM-YY")</f>
        <v>Jan-00</v>
      </c>
      <c r="T3256">
        <f>_xlfn.ISOWEEKNUM(Table1[[#This Row],[Date]])</f>
        <v>52</v>
      </c>
    </row>
    <row r="3257" spans="1:20" hidden="1">
      <c r="A3257" s="1"/>
      <c r="S3257" t="str">
        <f>TEXT(Table1[[#This Row],[Date]],"MMM-YY")</f>
        <v>Jan-00</v>
      </c>
      <c r="T3257">
        <f>_xlfn.ISOWEEKNUM(Table1[[#This Row],[Date]])</f>
        <v>52</v>
      </c>
    </row>
    <row r="3258" spans="1:20" hidden="1">
      <c r="A3258" s="1"/>
      <c r="S3258" t="str">
        <f>TEXT(Table1[[#This Row],[Date]],"MMM-YY")</f>
        <v>Jan-00</v>
      </c>
      <c r="T3258">
        <f>_xlfn.ISOWEEKNUM(Table1[[#This Row],[Date]])</f>
        <v>52</v>
      </c>
    </row>
    <row r="3259" spans="1:20" hidden="1">
      <c r="A3259" s="1"/>
      <c r="S3259" t="str">
        <f>TEXT(Table1[[#This Row],[Date]],"MMM-YY")</f>
        <v>Jan-00</v>
      </c>
      <c r="T3259">
        <f>_xlfn.ISOWEEKNUM(Table1[[#This Row],[Date]])</f>
        <v>52</v>
      </c>
    </row>
    <row r="3260" spans="1:20" hidden="1">
      <c r="A3260" s="1"/>
      <c r="S3260" t="str">
        <f>TEXT(Table1[[#This Row],[Date]],"MMM-YY")</f>
        <v>Jan-00</v>
      </c>
      <c r="T3260">
        <f>_xlfn.ISOWEEKNUM(Table1[[#This Row],[Date]])</f>
        <v>52</v>
      </c>
    </row>
    <row r="3261" spans="1:20" hidden="1">
      <c r="A3261" s="1"/>
      <c r="S3261" t="str">
        <f>TEXT(Table1[[#This Row],[Date]],"MMM-YY")</f>
        <v>Jan-00</v>
      </c>
      <c r="T3261">
        <f>_xlfn.ISOWEEKNUM(Table1[[#This Row],[Date]])</f>
        <v>52</v>
      </c>
    </row>
    <row r="3262" spans="1:20" hidden="1">
      <c r="A3262" s="1"/>
      <c r="S3262" t="str">
        <f>TEXT(Table1[[#This Row],[Date]],"MMM-YY")</f>
        <v>Jan-00</v>
      </c>
      <c r="T3262">
        <f>_xlfn.ISOWEEKNUM(Table1[[#This Row],[Date]])</f>
        <v>52</v>
      </c>
    </row>
    <row r="3263" spans="1:20" hidden="1">
      <c r="A3263" s="1"/>
      <c r="S3263" t="str">
        <f>TEXT(Table1[[#This Row],[Date]],"MMM-YY")</f>
        <v>Jan-00</v>
      </c>
      <c r="T3263">
        <f>_xlfn.ISOWEEKNUM(Table1[[#This Row],[Date]])</f>
        <v>52</v>
      </c>
    </row>
    <row r="3264" spans="1:20" hidden="1">
      <c r="A3264" s="1"/>
      <c r="S3264" t="str">
        <f>TEXT(Table1[[#This Row],[Date]],"MMM-YY")</f>
        <v>Jan-00</v>
      </c>
      <c r="T3264">
        <f>_xlfn.ISOWEEKNUM(Table1[[#This Row],[Date]])</f>
        <v>52</v>
      </c>
    </row>
    <row r="3265" spans="1:20" hidden="1">
      <c r="A3265" s="1"/>
      <c r="S3265" t="str">
        <f>TEXT(Table1[[#This Row],[Date]],"MMM-YY")</f>
        <v>Jan-00</v>
      </c>
      <c r="T3265">
        <f>_xlfn.ISOWEEKNUM(Table1[[#This Row],[Date]])</f>
        <v>52</v>
      </c>
    </row>
    <row r="3266" spans="1:20" hidden="1">
      <c r="A3266" s="1"/>
      <c r="S3266" t="str">
        <f>TEXT(Table1[[#This Row],[Date]],"MMM-YY")</f>
        <v>Jan-00</v>
      </c>
      <c r="T3266">
        <f>_xlfn.ISOWEEKNUM(Table1[[#This Row],[Date]])</f>
        <v>52</v>
      </c>
    </row>
    <row r="3267" spans="1:20" hidden="1">
      <c r="A3267" s="1"/>
      <c r="S3267" t="str">
        <f>TEXT(Table1[[#This Row],[Date]],"MMM-YY")</f>
        <v>Jan-00</v>
      </c>
      <c r="T3267">
        <f>_xlfn.ISOWEEKNUM(Table1[[#This Row],[Date]])</f>
        <v>52</v>
      </c>
    </row>
    <row r="3268" spans="1:20" hidden="1">
      <c r="A3268" s="1"/>
      <c r="S3268" t="str">
        <f>TEXT(Table1[[#This Row],[Date]],"MMM-YY")</f>
        <v>Jan-00</v>
      </c>
      <c r="T3268">
        <f>_xlfn.ISOWEEKNUM(Table1[[#This Row],[Date]])</f>
        <v>52</v>
      </c>
    </row>
    <row r="3269" spans="1:20" hidden="1">
      <c r="A3269" s="1"/>
      <c r="S3269" t="str">
        <f>TEXT(Table1[[#This Row],[Date]],"MMM-YY")</f>
        <v>Jan-00</v>
      </c>
      <c r="T3269">
        <f>_xlfn.ISOWEEKNUM(Table1[[#This Row],[Date]])</f>
        <v>52</v>
      </c>
    </row>
    <row r="3270" spans="1:20" hidden="1">
      <c r="A3270" s="1"/>
      <c r="S3270" t="str">
        <f>TEXT(Table1[[#This Row],[Date]],"MMM-YY")</f>
        <v>Jan-00</v>
      </c>
      <c r="T3270">
        <f>_xlfn.ISOWEEKNUM(Table1[[#This Row],[Date]])</f>
        <v>52</v>
      </c>
    </row>
    <row r="3271" spans="1:20" hidden="1">
      <c r="A3271" s="1"/>
      <c r="S3271" t="str">
        <f>TEXT(Table1[[#This Row],[Date]],"MMM-YY")</f>
        <v>Jan-00</v>
      </c>
      <c r="T3271">
        <f>_xlfn.ISOWEEKNUM(Table1[[#This Row],[Date]])</f>
        <v>52</v>
      </c>
    </row>
    <row r="3272" spans="1:20" hidden="1">
      <c r="A3272" s="1"/>
      <c r="S3272" t="str">
        <f>TEXT(Table1[[#This Row],[Date]],"MMM-YY")</f>
        <v>Jan-00</v>
      </c>
      <c r="T3272">
        <f>_xlfn.ISOWEEKNUM(Table1[[#This Row],[Date]])</f>
        <v>52</v>
      </c>
    </row>
    <row r="3273" spans="1:20" hidden="1">
      <c r="A3273" s="1"/>
      <c r="S3273" t="str">
        <f>TEXT(Table1[[#This Row],[Date]],"MMM-YY")</f>
        <v>Jan-00</v>
      </c>
      <c r="T3273">
        <f>_xlfn.ISOWEEKNUM(Table1[[#This Row],[Date]])</f>
        <v>52</v>
      </c>
    </row>
    <row r="3274" spans="1:20" hidden="1">
      <c r="A3274" s="1"/>
      <c r="S3274" t="str">
        <f>TEXT(Table1[[#This Row],[Date]],"MMM-YY")</f>
        <v>Jan-00</v>
      </c>
      <c r="T3274">
        <f>_xlfn.ISOWEEKNUM(Table1[[#This Row],[Date]])</f>
        <v>52</v>
      </c>
    </row>
    <row r="3275" spans="1:20" hidden="1">
      <c r="A3275" s="1"/>
      <c r="S3275" t="str">
        <f>TEXT(Table1[[#This Row],[Date]],"MMM-YY")</f>
        <v>Jan-00</v>
      </c>
      <c r="T3275">
        <f>_xlfn.ISOWEEKNUM(Table1[[#This Row],[Date]])</f>
        <v>52</v>
      </c>
    </row>
    <row r="3276" spans="1:20" hidden="1">
      <c r="A3276" s="1"/>
      <c r="S3276" t="str">
        <f>TEXT(Table1[[#This Row],[Date]],"MMM-YY")</f>
        <v>Jan-00</v>
      </c>
      <c r="T3276">
        <f>_xlfn.ISOWEEKNUM(Table1[[#This Row],[Date]])</f>
        <v>52</v>
      </c>
    </row>
    <row r="3277" spans="1:20" hidden="1">
      <c r="A3277" s="1"/>
      <c r="S3277" t="str">
        <f>TEXT(Table1[[#This Row],[Date]],"MMM-YY")</f>
        <v>Jan-00</v>
      </c>
      <c r="T3277">
        <f>_xlfn.ISOWEEKNUM(Table1[[#This Row],[Date]])</f>
        <v>52</v>
      </c>
    </row>
    <row r="3278" spans="1:20" hidden="1">
      <c r="A3278" s="1"/>
      <c r="S3278" t="str">
        <f>TEXT(Table1[[#This Row],[Date]],"MMM-YY")</f>
        <v>Jan-00</v>
      </c>
      <c r="T3278">
        <f>_xlfn.ISOWEEKNUM(Table1[[#This Row],[Date]])</f>
        <v>52</v>
      </c>
    </row>
    <row r="3279" spans="1:20" hidden="1">
      <c r="A3279" s="1"/>
      <c r="S3279" t="str">
        <f>TEXT(Table1[[#This Row],[Date]],"MMM-YY")</f>
        <v>Jan-00</v>
      </c>
      <c r="T3279">
        <f>_xlfn.ISOWEEKNUM(Table1[[#This Row],[Date]])</f>
        <v>52</v>
      </c>
    </row>
    <row r="3280" spans="1:20" hidden="1">
      <c r="A3280" s="1"/>
      <c r="S3280" t="str">
        <f>TEXT(Table1[[#This Row],[Date]],"MMM-YY")</f>
        <v>Jan-00</v>
      </c>
      <c r="T3280">
        <f>_xlfn.ISOWEEKNUM(Table1[[#This Row],[Date]])</f>
        <v>52</v>
      </c>
    </row>
    <row r="3281" spans="1:20" hidden="1">
      <c r="A3281" s="1"/>
      <c r="S3281" t="str">
        <f>TEXT(Table1[[#This Row],[Date]],"MMM-YY")</f>
        <v>Jan-00</v>
      </c>
      <c r="T3281">
        <f>_xlfn.ISOWEEKNUM(Table1[[#This Row],[Date]])</f>
        <v>52</v>
      </c>
    </row>
    <row r="3282" spans="1:20" hidden="1">
      <c r="A3282" s="1"/>
      <c r="S3282" t="str">
        <f>TEXT(Table1[[#This Row],[Date]],"MMM-YY")</f>
        <v>Jan-00</v>
      </c>
      <c r="T3282">
        <f>_xlfn.ISOWEEKNUM(Table1[[#This Row],[Date]])</f>
        <v>52</v>
      </c>
    </row>
    <row r="3283" spans="1:20" hidden="1">
      <c r="A3283" s="1"/>
      <c r="S3283" t="str">
        <f>TEXT(Table1[[#This Row],[Date]],"MMM-YY")</f>
        <v>Jan-00</v>
      </c>
      <c r="T3283">
        <f>_xlfn.ISOWEEKNUM(Table1[[#This Row],[Date]])</f>
        <v>52</v>
      </c>
    </row>
    <row r="3284" spans="1:20" hidden="1">
      <c r="A3284" s="1"/>
      <c r="S3284" t="str">
        <f>TEXT(Table1[[#This Row],[Date]],"MMM-YY")</f>
        <v>Jan-00</v>
      </c>
      <c r="T3284">
        <f>_xlfn.ISOWEEKNUM(Table1[[#This Row],[Date]])</f>
        <v>52</v>
      </c>
    </row>
    <row r="3285" spans="1:20" hidden="1">
      <c r="A3285" s="1"/>
      <c r="S3285" t="str">
        <f>TEXT(Table1[[#This Row],[Date]],"MMM-YY")</f>
        <v>Jan-00</v>
      </c>
      <c r="T3285">
        <f>_xlfn.ISOWEEKNUM(Table1[[#This Row],[Date]])</f>
        <v>52</v>
      </c>
    </row>
    <row r="3286" spans="1:20" hidden="1">
      <c r="A3286" s="1"/>
      <c r="S3286" t="str">
        <f>TEXT(Table1[[#This Row],[Date]],"MMM-YY")</f>
        <v>Jan-00</v>
      </c>
      <c r="T3286">
        <f>_xlfn.ISOWEEKNUM(Table1[[#This Row],[Date]])</f>
        <v>52</v>
      </c>
    </row>
    <row r="3287" spans="1:20" hidden="1">
      <c r="A3287" s="1"/>
      <c r="S3287" t="str">
        <f>TEXT(Table1[[#This Row],[Date]],"MMM-YY")</f>
        <v>Jan-00</v>
      </c>
      <c r="T3287">
        <f>_xlfn.ISOWEEKNUM(Table1[[#This Row],[Date]])</f>
        <v>52</v>
      </c>
    </row>
    <row r="3288" spans="1:20" hidden="1">
      <c r="A3288" s="1"/>
      <c r="S3288" t="str">
        <f>TEXT(Table1[[#This Row],[Date]],"MMM-YY")</f>
        <v>Jan-00</v>
      </c>
      <c r="T3288">
        <f>_xlfn.ISOWEEKNUM(Table1[[#This Row],[Date]])</f>
        <v>52</v>
      </c>
    </row>
    <row r="3289" spans="1:20" hidden="1">
      <c r="A3289" s="1"/>
      <c r="S3289" t="str">
        <f>TEXT(Table1[[#This Row],[Date]],"MMM-YY")</f>
        <v>Jan-00</v>
      </c>
      <c r="T3289">
        <f>_xlfn.ISOWEEKNUM(Table1[[#This Row],[Date]])</f>
        <v>52</v>
      </c>
    </row>
    <row r="3290" spans="1:20" hidden="1">
      <c r="A3290" s="1"/>
      <c r="S3290" t="str">
        <f>TEXT(Table1[[#This Row],[Date]],"MMM-YY")</f>
        <v>Jan-00</v>
      </c>
      <c r="T3290">
        <f>_xlfn.ISOWEEKNUM(Table1[[#This Row],[Date]])</f>
        <v>52</v>
      </c>
    </row>
    <row r="3291" spans="1:20" hidden="1">
      <c r="A3291" s="1"/>
      <c r="S3291" t="str">
        <f>TEXT(Table1[[#This Row],[Date]],"MMM-YY")</f>
        <v>Jan-00</v>
      </c>
      <c r="T3291">
        <f>_xlfn.ISOWEEKNUM(Table1[[#This Row],[Date]])</f>
        <v>52</v>
      </c>
    </row>
    <row r="3292" spans="1:20" hidden="1">
      <c r="A3292" s="1"/>
      <c r="S3292" t="str">
        <f>TEXT(Table1[[#This Row],[Date]],"MMM-YY")</f>
        <v>Jan-00</v>
      </c>
      <c r="T3292">
        <f>_xlfn.ISOWEEKNUM(Table1[[#This Row],[Date]])</f>
        <v>52</v>
      </c>
    </row>
    <row r="3293" spans="1:20" hidden="1">
      <c r="A3293" s="1"/>
      <c r="S3293" t="str">
        <f>TEXT(Table1[[#This Row],[Date]],"MMM-YY")</f>
        <v>Jan-00</v>
      </c>
      <c r="T3293">
        <f>_xlfn.ISOWEEKNUM(Table1[[#This Row],[Date]])</f>
        <v>52</v>
      </c>
    </row>
    <row r="3294" spans="1:20" hidden="1">
      <c r="A3294" s="1"/>
      <c r="S3294" t="str">
        <f>TEXT(Table1[[#This Row],[Date]],"MMM-YY")</f>
        <v>Jan-00</v>
      </c>
      <c r="T3294">
        <f>_xlfn.ISOWEEKNUM(Table1[[#This Row],[Date]])</f>
        <v>52</v>
      </c>
    </row>
    <row r="3295" spans="1:20" hidden="1">
      <c r="A3295" s="1"/>
      <c r="S3295" t="str">
        <f>TEXT(Table1[[#This Row],[Date]],"MMM-YY")</f>
        <v>Jan-00</v>
      </c>
      <c r="T3295">
        <f>_xlfn.ISOWEEKNUM(Table1[[#This Row],[Date]])</f>
        <v>52</v>
      </c>
    </row>
    <row r="3296" spans="1:20" hidden="1">
      <c r="A3296" s="1"/>
      <c r="S3296" t="str">
        <f>TEXT(Table1[[#This Row],[Date]],"MMM-YY")</f>
        <v>Jan-00</v>
      </c>
      <c r="T3296">
        <f>_xlfn.ISOWEEKNUM(Table1[[#This Row],[Date]])</f>
        <v>52</v>
      </c>
    </row>
    <row r="3297" spans="1:20" hidden="1">
      <c r="A3297" s="1"/>
      <c r="S3297" t="str">
        <f>TEXT(Table1[[#This Row],[Date]],"MMM-YY")</f>
        <v>Jan-00</v>
      </c>
      <c r="T3297">
        <f>_xlfn.ISOWEEKNUM(Table1[[#This Row],[Date]])</f>
        <v>52</v>
      </c>
    </row>
    <row r="3298" spans="1:20" hidden="1">
      <c r="A3298" s="1"/>
      <c r="S3298" t="str">
        <f>TEXT(Table1[[#This Row],[Date]],"MMM-YY")</f>
        <v>Jan-00</v>
      </c>
      <c r="T3298">
        <f>_xlfn.ISOWEEKNUM(Table1[[#This Row],[Date]])</f>
        <v>52</v>
      </c>
    </row>
    <row r="3299" spans="1:20" hidden="1">
      <c r="A3299" s="1"/>
      <c r="S3299" t="str">
        <f>TEXT(Table1[[#This Row],[Date]],"MMM-YY")</f>
        <v>Jan-00</v>
      </c>
      <c r="T3299">
        <f>_xlfn.ISOWEEKNUM(Table1[[#This Row],[Date]])</f>
        <v>52</v>
      </c>
    </row>
    <row r="3300" spans="1:20" hidden="1">
      <c r="A3300" s="1"/>
      <c r="S3300" t="str">
        <f>TEXT(Table1[[#This Row],[Date]],"MMM-YY")</f>
        <v>Jan-00</v>
      </c>
      <c r="T3300">
        <f>_xlfn.ISOWEEKNUM(Table1[[#This Row],[Date]])</f>
        <v>52</v>
      </c>
    </row>
    <row r="3301" spans="1:20" hidden="1">
      <c r="A3301" s="1"/>
      <c r="S3301" t="str">
        <f>TEXT(Table1[[#This Row],[Date]],"MMM-YY")</f>
        <v>Jan-00</v>
      </c>
      <c r="T3301">
        <f>_xlfn.ISOWEEKNUM(Table1[[#This Row],[Date]])</f>
        <v>52</v>
      </c>
    </row>
    <row r="3302" spans="1:20" hidden="1">
      <c r="A3302" s="1"/>
      <c r="S3302" t="str">
        <f>TEXT(Table1[[#This Row],[Date]],"MMM-YY")</f>
        <v>Jan-00</v>
      </c>
      <c r="T3302">
        <f>_xlfn.ISOWEEKNUM(Table1[[#This Row],[Date]])</f>
        <v>52</v>
      </c>
    </row>
    <row r="3303" spans="1:20" hidden="1">
      <c r="A3303" s="1"/>
      <c r="S3303" t="str">
        <f>TEXT(Table1[[#This Row],[Date]],"MMM-YY")</f>
        <v>Jan-00</v>
      </c>
      <c r="T3303">
        <f>_xlfn.ISOWEEKNUM(Table1[[#This Row],[Date]])</f>
        <v>52</v>
      </c>
    </row>
    <row r="3304" spans="1:20" hidden="1">
      <c r="A3304" s="1"/>
      <c r="S3304" t="str">
        <f>TEXT(Table1[[#This Row],[Date]],"MMM-YY")</f>
        <v>Jan-00</v>
      </c>
      <c r="T3304">
        <f>_xlfn.ISOWEEKNUM(Table1[[#This Row],[Date]])</f>
        <v>52</v>
      </c>
    </row>
    <row r="3305" spans="1:20" hidden="1">
      <c r="A3305" s="1"/>
      <c r="S3305" t="str">
        <f>TEXT(Table1[[#This Row],[Date]],"MMM-YY")</f>
        <v>Jan-00</v>
      </c>
      <c r="T3305">
        <f>_xlfn.ISOWEEKNUM(Table1[[#This Row],[Date]])</f>
        <v>52</v>
      </c>
    </row>
    <row r="3306" spans="1:20" hidden="1">
      <c r="A3306" s="1"/>
      <c r="S3306" t="str">
        <f>TEXT(Table1[[#This Row],[Date]],"MMM-YY")</f>
        <v>Jan-00</v>
      </c>
      <c r="T3306">
        <f>_xlfn.ISOWEEKNUM(Table1[[#This Row],[Date]])</f>
        <v>52</v>
      </c>
    </row>
    <row r="3307" spans="1:20" hidden="1">
      <c r="A3307" s="1"/>
      <c r="S3307" t="str">
        <f>TEXT(Table1[[#This Row],[Date]],"MMM-YY")</f>
        <v>Jan-00</v>
      </c>
      <c r="T3307">
        <f>_xlfn.ISOWEEKNUM(Table1[[#This Row],[Date]])</f>
        <v>52</v>
      </c>
    </row>
    <row r="3308" spans="1:20" hidden="1">
      <c r="A3308" s="1"/>
      <c r="S3308" t="str">
        <f>TEXT(Table1[[#This Row],[Date]],"MMM-YY")</f>
        <v>Jan-00</v>
      </c>
      <c r="T3308">
        <f>_xlfn.ISOWEEKNUM(Table1[[#This Row],[Date]])</f>
        <v>52</v>
      </c>
    </row>
    <row r="3309" spans="1:20" hidden="1">
      <c r="A3309" s="1"/>
      <c r="S3309" t="str">
        <f>TEXT(Table1[[#This Row],[Date]],"MMM-YY")</f>
        <v>Jan-00</v>
      </c>
      <c r="T3309">
        <f>_xlfn.ISOWEEKNUM(Table1[[#This Row],[Date]])</f>
        <v>52</v>
      </c>
    </row>
    <row r="3310" spans="1:20" hidden="1">
      <c r="A3310" s="1"/>
      <c r="S3310" t="str">
        <f>TEXT(Table1[[#This Row],[Date]],"MMM-YY")</f>
        <v>Jan-00</v>
      </c>
      <c r="T3310">
        <f>_xlfn.ISOWEEKNUM(Table1[[#This Row],[Date]])</f>
        <v>52</v>
      </c>
    </row>
    <row r="3311" spans="1:20" hidden="1">
      <c r="A3311" s="1"/>
      <c r="S3311" t="str">
        <f>TEXT(Table1[[#This Row],[Date]],"MMM-YY")</f>
        <v>Jan-00</v>
      </c>
      <c r="T3311">
        <f>_xlfn.ISOWEEKNUM(Table1[[#This Row],[Date]])</f>
        <v>52</v>
      </c>
    </row>
    <row r="3312" spans="1:20" hidden="1">
      <c r="A3312" s="1"/>
      <c r="S3312" t="str">
        <f>TEXT(Table1[[#This Row],[Date]],"MMM-YY")</f>
        <v>Jan-00</v>
      </c>
      <c r="T3312">
        <f>_xlfn.ISOWEEKNUM(Table1[[#This Row],[Date]])</f>
        <v>52</v>
      </c>
    </row>
    <row r="3313" spans="1:20" hidden="1">
      <c r="A3313" s="1"/>
      <c r="S3313" t="str">
        <f>TEXT(Table1[[#This Row],[Date]],"MMM-YY")</f>
        <v>Jan-00</v>
      </c>
      <c r="T3313">
        <f>_xlfn.ISOWEEKNUM(Table1[[#This Row],[Date]])</f>
        <v>52</v>
      </c>
    </row>
    <row r="3314" spans="1:20" hidden="1">
      <c r="A3314" s="1"/>
      <c r="S3314" t="str">
        <f>TEXT(Table1[[#This Row],[Date]],"MMM-YY")</f>
        <v>Jan-00</v>
      </c>
      <c r="T3314">
        <f>_xlfn.ISOWEEKNUM(Table1[[#This Row],[Date]])</f>
        <v>52</v>
      </c>
    </row>
    <row r="3315" spans="1:20" hidden="1">
      <c r="A3315" s="1"/>
      <c r="S3315" t="str">
        <f>TEXT(Table1[[#This Row],[Date]],"MMM-YY")</f>
        <v>Jan-00</v>
      </c>
      <c r="T3315">
        <f>_xlfn.ISOWEEKNUM(Table1[[#This Row],[Date]])</f>
        <v>52</v>
      </c>
    </row>
    <row r="3316" spans="1:20" hidden="1">
      <c r="A3316" s="1"/>
      <c r="S3316" t="str">
        <f>TEXT(Table1[[#This Row],[Date]],"MMM-YY")</f>
        <v>Jan-00</v>
      </c>
      <c r="T3316">
        <f>_xlfn.ISOWEEKNUM(Table1[[#This Row],[Date]])</f>
        <v>52</v>
      </c>
    </row>
    <row r="3317" spans="1:20" hidden="1">
      <c r="A3317" s="1"/>
      <c r="S3317" t="str">
        <f>TEXT(Table1[[#This Row],[Date]],"MMM-YY")</f>
        <v>Jan-00</v>
      </c>
      <c r="T3317">
        <f>_xlfn.ISOWEEKNUM(Table1[[#This Row],[Date]])</f>
        <v>52</v>
      </c>
    </row>
    <row r="3318" spans="1:20" hidden="1">
      <c r="A3318" s="1"/>
      <c r="S3318" t="str">
        <f>TEXT(Table1[[#This Row],[Date]],"MMM-YY")</f>
        <v>Jan-00</v>
      </c>
      <c r="T3318">
        <f>_xlfn.ISOWEEKNUM(Table1[[#This Row],[Date]])</f>
        <v>52</v>
      </c>
    </row>
    <row r="3319" spans="1:20" hidden="1">
      <c r="A3319" s="1"/>
      <c r="S3319" t="str">
        <f>TEXT(Table1[[#This Row],[Date]],"MMM-YY")</f>
        <v>Jan-00</v>
      </c>
      <c r="T3319">
        <f>_xlfn.ISOWEEKNUM(Table1[[#This Row],[Date]])</f>
        <v>52</v>
      </c>
    </row>
    <row r="3320" spans="1:20" hidden="1">
      <c r="A3320" s="1"/>
      <c r="S3320" t="str">
        <f>TEXT(Table1[[#This Row],[Date]],"MMM-YY")</f>
        <v>Jan-00</v>
      </c>
      <c r="T3320">
        <f>_xlfn.ISOWEEKNUM(Table1[[#This Row],[Date]])</f>
        <v>52</v>
      </c>
    </row>
    <row r="3321" spans="1:20" hidden="1">
      <c r="A3321" s="1"/>
      <c r="S3321" t="str">
        <f>TEXT(Table1[[#This Row],[Date]],"MMM-YY")</f>
        <v>Jan-00</v>
      </c>
      <c r="T3321">
        <f>_xlfn.ISOWEEKNUM(Table1[[#This Row],[Date]])</f>
        <v>52</v>
      </c>
    </row>
    <row r="3322" spans="1:20" hidden="1">
      <c r="A3322" s="1"/>
      <c r="S3322" t="str">
        <f>TEXT(Table1[[#This Row],[Date]],"MMM-YY")</f>
        <v>Jan-00</v>
      </c>
      <c r="T3322">
        <f>_xlfn.ISOWEEKNUM(Table1[[#This Row],[Date]])</f>
        <v>52</v>
      </c>
    </row>
    <row r="3323" spans="1:20" hidden="1">
      <c r="A3323" s="1"/>
      <c r="S3323" t="str">
        <f>TEXT(Table1[[#This Row],[Date]],"MMM-YY")</f>
        <v>Jan-00</v>
      </c>
      <c r="T3323">
        <f>_xlfn.ISOWEEKNUM(Table1[[#This Row],[Date]])</f>
        <v>52</v>
      </c>
    </row>
    <row r="3324" spans="1:20" hidden="1">
      <c r="A3324" s="1"/>
      <c r="S3324" t="str">
        <f>TEXT(Table1[[#This Row],[Date]],"MMM-YY")</f>
        <v>Jan-00</v>
      </c>
      <c r="T3324">
        <f>_xlfn.ISOWEEKNUM(Table1[[#This Row],[Date]])</f>
        <v>52</v>
      </c>
    </row>
    <row r="3325" spans="1:20" hidden="1">
      <c r="A3325" s="1"/>
      <c r="S3325" t="str">
        <f>TEXT(Table1[[#This Row],[Date]],"MMM-YY")</f>
        <v>Jan-00</v>
      </c>
      <c r="T3325">
        <f>_xlfn.ISOWEEKNUM(Table1[[#This Row],[Date]])</f>
        <v>52</v>
      </c>
    </row>
    <row r="3326" spans="1:20" hidden="1">
      <c r="A3326" s="1"/>
      <c r="S3326" t="str">
        <f>TEXT(Table1[[#This Row],[Date]],"MMM-YY")</f>
        <v>Jan-00</v>
      </c>
      <c r="T3326">
        <f>_xlfn.ISOWEEKNUM(Table1[[#This Row],[Date]])</f>
        <v>52</v>
      </c>
    </row>
    <row r="3327" spans="1:20" hidden="1">
      <c r="A3327" s="1"/>
      <c r="S3327" t="str">
        <f>TEXT(Table1[[#This Row],[Date]],"MMM-YY")</f>
        <v>Jan-00</v>
      </c>
      <c r="T3327">
        <f>_xlfn.ISOWEEKNUM(Table1[[#This Row],[Date]])</f>
        <v>52</v>
      </c>
    </row>
    <row r="3328" spans="1:20" hidden="1">
      <c r="A3328" s="1"/>
      <c r="S3328" t="str">
        <f>TEXT(Table1[[#This Row],[Date]],"MMM-YY")</f>
        <v>Jan-00</v>
      </c>
      <c r="T3328">
        <f>_xlfn.ISOWEEKNUM(Table1[[#This Row],[Date]])</f>
        <v>52</v>
      </c>
    </row>
    <row r="3329" spans="1:20" hidden="1">
      <c r="A3329" s="1"/>
      <c r="S3329" t="str">
        <f>TEXT(Table1[[#This Row],[Date]],"MMM-YY")</f>
        <v>Jan-00</v>
      </c>
      <c r="T3329">
        <f>_xlfn.ISOWEEKNUM(Table1[[#This Row],[Date]])</f>
        <v>52</v>
      </c>
    </row>
    <row r="3330" spans="1:20" hidden="1">
      <c r="A3330" s="1"/>
      <c r="S3330" t="str">
        <f>TEXT(Table1[[#This Row],[Date]],"MMM-YY")</f>
        <v>Jan-00</v>
      </c>
      <c r="T3330">
        <f>_xlfn.ISOWEEKNUM(Table1[[#This Row],[Date]])</f>
        <v>52</v>
      </c>
    </row>
    <row r="3331" spans="1:20" hidden="1">
      <c r="A3331" s="1"/>
      <c r="S3331" t="str">
        <f>TEXT(Table1[[#This Row],[Date]],"MMM-YY")</f>
        <v>Jan-00</v>
      </c>
      <c r="T3331">
        <f>_xlfn.ISOWEEKNUM(Table1[[#This Row],[Date]])</f>
        <v>52</v>
      </c>
    </row>
    <row r="3332" spans="1:20" hidden="1">
      <c r="A3332" s="1"/>
      <c r="S3332" t="str">
        <f>TEXT(Table1[[#This Row],[Date]],"MMM-YY")</f>
        <v>Jan-00</v>
      </c>
      <c r="T3332">
        <f>_xlfn.ISOWEEKNUM(Table1[[#This Row],[Date]])</f>
        <v>52</v>
      </c>
    </row>
    <row r="3333" spans="1:20" hidden="1">
      <c r="A3333" s="1"/>
      <c r="S3333" t="str">
        <f>TEXT(Table1[[#This Row],[Date]],"MMM-YY")</f>
        <v>Jan-00</v>
      </c>
      <c r="T3333">
        <f>_xlfn.ISOWEEKNUM(Table1[[#This Row],[Date]])</f>
        <v>52</v>
      </c>
    </row>
    <row r="3334" spans="1:20" hidden="1">
      <c r="A3334" s="1"/>
      <c r="S3334" t="str">
        <f>TEXT(Table1[[#This Row],[Date]],"MMM-YY")</f>
        <v>Jan-00</v>
      </c>
      <c r="T3334">
        <f>_xlfn.ISOWEEKNUM(Table1[[#This Row],[Date]])</f>
        <v>52</v>
      </c>
    </row>
    <row r="3335" spans="1:20" hidden="1">
      <c r="A3335" s="1"/>
      <c r="S3335" t="str">
        <f>TEXT(Table1[[#This Row],[Date]],"MMM-YY")</f>
        <v>Jan-00</v>
      </c>
      <c r="T3335">
        <f>_xlfn.ISOWEEKNUM(Table1[[#This Row],[Date]])</f>
        <v>52</v>
      </c>
    </row>
    <row r="3336" spans="1:20" hidden="1">
      <c r="A3336" s="1"/>
      <c r="S3336" t="str">
        <f>TEXT(Table1[[#This Row],[Date]],"MMM-YY")</f>
        <v>Jan-00</v>
      </c>
      <c r="T3336">
        <f>_xlfn.ISOWEEKNUM(Table1[[#This Row],[Date]])</f>
        <v>52</v>
      </c>
    </row>
    <row r="3337" spans="1:20" hidden="1">
      <c r="A3337" s="1"/>
      <c r="S3337" t="str">
        <f>TEXT(Table1[[#This Row],[Date]],"MMM-YY")</f>
        <v>Jan-00</v>
      </c>
      <c r="T3337">
        <f>_xlfn.ISOWEEKNUM(Table1[[#This Row],[Date]])</f>
        <v>52</v>
      </c>
    </row>
    <row r="3338" spans="1:20" hidden="1">
      <c r="A3338" s="1"/>
      <c r="S3338" t="str">
        <f>TEXT(Table1[[#This Row],[Date]],"MMM-YY")</f>
        <v>Jan-00</v>
      </c>
      <c r="T3338">
        <f>_xlfn.ISOWEEKNUM(Table1[[#This Row],[Date]])</f>
        <v>52</v>
      </c>
    </row>
    <row r="3339" spans="1:20" hidden="1">
      <c r="A3339" s="1"/>
      <c r="S3339" t="str">
        <f>TEXT(Table1[[#This Row],[Date]],"MMM-YY")</f>
        <v>Jan-00</v>
      </c>
      <c r="T3339">
        <f>_xlfn.ISOWEEKNUM(Table1[[#This Row],[Date]])</f>
        <v>52</v>
      </c>
    </row>
    <row r="3340" spans="1:20" hidden="1">
      <c r="A3340" s="1"/>
      <c r="S3340" t="str">
        <f>TEXT(Table1[[#This Row],[Date]],"MMM-YY")</f>
        <v>Jan-00</v>
      </c>
      <c r="T3340">
        <f>_xlfn.ISOWEEKNUM(Table1[[#This Row],[Date]])</f>
        <v>52</v>
      </c>
    </row>
    <row r="3341" spans="1:20" hidden="1">
      <c r="A3341" s="1"/>
      <c r="S3341" t="str">
        <f>TEXT(Table1[[#This Row],[Date]],"MMM-YY")</f>
        <v>Jan-00</v>
      </c>
      <c r="T3341">
        <f>_xlfn.ISOWEEKNUM(Table1[[#This Row],[Date]])</f>
        <v>52</v>
      </c>
    </row>
    <row r="3342" spans="1:20" hidden="1">
      <c r="A3342" s="1"/>
      <c r="S3342" t="str">
        <f>TEXT(Table1[[#This Row],[Date]],"MMM-YY")</f>
        <v>Jan-00</v>
      </c>
      <c r="T3342">
        <f>_xlfn.ISOWEEKNUM(Table1[[#This Row],[Date]])</f>
        <v>52</v>
      </c>
    </row>
    <row r="3343" spans="1:20" hidden="1">
      <c r="A3343" s="1"/>
      <c r="S3343" t="str">
        <f>TEXT(Table1[[#This Row],[Date]],"MMM-YY")</f>
        <v>Jan-00</v>
      </c>
      <c r="T3343">
        <f>_xlfn.ISOWEEKNUM(Table1[[#This Row],[Date]])</f>
        <v>52</v>
      </c>
    </row>
    <row r="3344" spans="1:20" hidden="1">
      <c r="A3344" s="1"/>
      <c r="S3344" t="str">
        <f>TEXT(Table1[[#This Row],[Date]],"MMM-YY")</f>
        <v>Jan-00</v>
      </c>
      <c r="T3344">
        <f>_xlfn.ISOWEEKNUM(Table1[[#This Row],[Date]])</f>
        <v>52</v>
      </c>
    </row>
    <row r="3345" spans="1:20" hidden="1">
      <c r="A3345" s="1"/>
      <c r="S3345" t="str">
        <f>TEXT(Table1[[#This Row],[Date]],"MMM-YY")</f>
        <v>Jan-00</v>
      </c>
      <c r="T3345">
        <f>_xlfn.ISOWEEKNUM(Table1[[#This Row],[Date]])</f>
        <v>52</v>
      </c>
    </row>
    <row r="3346" spans="1:20" hidden="1">
      <c r="A3346" s="1"/>
      <c r="S3346" t="str">
        <f>TEXT(Table1[[#This Row],[Date]],"MMM-YY")</f>
        <v>Jan-00</v>
      </c>
      <c r="T3346">
        <f>_xlfn.ISOWEEKNUM(Table1[[#This Row],[Date]])</f>
        <v>52</v>
      </c>
    </row>
    <row r="3347" spans="1:20" hidden="1">
      <c r="A3347" s="1"/>
      <c r="S3347" t="str">
        <f>TEXT(Table1[[#This Row],[Date]],"MMM-YY")</f>
        <v>Jan-00</v>
      </c>
      <c r="T3347">
        <f>_xlfn.ISOWEEKNUM(Table1[[#This Row],[Date]])</f>
        <v>52</v>
      </c>
    </row>
    <row r="3348" spans="1:20" hidden="1">
      <c r="A3348" s="1"/>
      <c r="S3348" t="str">
        <f>TEXT(Table1[[#This Row],[Date]],"MMM-YY")</f>
        <v>Jan-00</v>
      </c>
      <c r="T3348">
        <f>_xlfn.ISOWEEKNUM(Table1[[#This Row],[Date]])</f>
        <v>52</v>
      </c>
    </row>
    <row r="3349" spans="1:20" hidden="1">
      <c r="A3349" s="1"/>
      <c r="S3349" t="str">
        <f>TEXT(Table1[[#This Row],[Date]],"MMM-YY")</f>
        <v>Jan-00</v>
      </c>
      <c r="T3349">
        <f>_xlfn.ISOWEEKNUM(Table1[[#This Row],[Date]])</f>
        <v>52</v>
      </c>
    </row>
    <row r="3350" spans="1:20" hidden="1">
      <c r="A3350" s="1"/>
      <c r="S3350" t="str">
        <f>TEXT(Table1[[#This Row],[Date]],"MMM-YY")</f>
        <v>Jan-00</v>
      </c>
      <c r="T3350">
        <f>_xlfn.ISOWEEKNUM(Table1[[#This Row],[Date]])</f>
        <v>52</v>
      </c>
    </row>
    <row r="3351" spans="1:20" hidden="1">
      <c r="A3351" s="1"/>
      <c r="S3351" t="str">
        <f>TEXT(Table1[[#This Row],[Date]],"MMM-YY")</f>
        <v>Jan-00</v>
      </c>
      <c r="T3351">
        <f>_xlfn.ISOWEEKNUM(Table1[[#This Row],[Date]])</f>
        <v>52</v>
      </c>
    </row>
    <row r="3352" spans="1:20" hidden="1">
      <c r="A3352" s="1"/>
      <c r="S3352" t="str">
        <f>TEXT(Table1[[#This Row],[Date]],"MMM-YY")</f>
        <v>Jan-00</v>
      </c>
      <c r="T3352">
        <f>_xlfn.ISOWEEKNUM(Table1[[#This Row],[Date]])</f>
        <v>52</v>
      </c>
    </row>
    <row r="3353" spans="1:20" hidden="1">
      <c r="A3353" s="1"/>
      <c r="S3353" t="str">
        <f>TEXT(Table1[[#This Row],[Date]],"MMM-YY")</f>
        <v>Jan-00</v>
      </c>
      <c r="T3353">
        <f>_xlfn.ISOWEEKNUM(Table1[[#This Row],[Date]])</f>
        <v>52</v>
      </c>
    </row>
    <row r="3354" spans="1:20" hidden="1">
      <c r="A3354" s="1"/>
      <c r="S3354" t="str">
        <f>TEXT(Table1[[#This Row],[Date]],"MMM-YY")</f>
        <v>Jan-00</v>
      </c>
      <c r="T3354">
        <f>_xlfn.ISOWEEKNUM(Table1[[#This Row],[Date]])</f>
        <v>52</v>
      </c>
    </row>
    <row r="3355" spans="1:20" hidden="1">
      <c r="A3355" s="1"/>
      <c r="S3355" t="str">
        <f>TEXT(Table1[[#This Row],[Date]],"MMM-YY")</f>
        <v>Jan-00</v>
      </c>
      <c r="T3355">
        <f>_xlfn.ISOWEEKNUM(Table1[[#This Row],[Date]])</f>
        <v>52</v>
      </c>
    </row>
    <row r="3356" spans="1:20" hidden="1">
      <c r="A3356" s="1"/>
      <c r="S3356" t="str">
        <f>TEXT(Table1[[#This Row],[Date]],"MMM-YY")</f>
        <v>Jan-00</v>
      </c>
      <c r="T3356">
        <f>_xlfn.ISOWEEKNUM(Table1[[#This Row],[Date]])</f>
        <v>52</v>
      </c>
    </row>
    <row r="3357" spans="1:20" hidden="1">
      <c r="A3357" s="1"/>
      <c r="S3357" t="str">
        <f>TEXT(Table1[[#This Row],[Date]],"MMM-YY")</f>
        <v>Jan-00</v>
      </c>
      <c r="T3357">
        <f>_xlfn.ISOWEEKNUM(Table1[[#This Row],[Date]])</f>
        <v>52</v>
      </c>
    </row>
    <row r="3358" spans="1:20" hidden="1">
      <c r="A3358" s="1"/>
      <c r="S3358" t="str">
        <f>TEXT(Table1[[#This Row],[Date]],"MMM-YY")</f>
        <v>Jan-00</v>
      </c>
      <c r="T3358">
        <f>_xlfn.ISOWEEKNUM(Table1[[#This Row],[Date]])</f>
        <v>52</v>
      </c>
    </row>
    <row r="3359" spans="1:20" hidden="1">
      <c r="A3359" s="1"/>
      <c r="S3359" t="str">
        <f>TEXT(Table1[[#This Row],[Date]],"MMM-YY")</f>
        <v>Jan-00</v>
      </c>
      <c r="T3359">
        <f>_xlfn.ISOWEEKNUM(Table1[[#This Row],[Date]])</f>
        <v>52</v>
      </c>
    </row>
    <row r="3360" spans="1:20" hidden="1">
      <c r="A3360" s="1"/>
      <c r="S3360" t="str">
        <f>TEXT(Table1[[#This Row],[Date]],"MMM-YY")</f>
        <v>Jan-00</v>
      </c>
      <c r="T3360">
        <f>_xlfn.ISOWEEKNUM(Table1[[#This Row],[Date]])</f>
        <v>52</v>
      </c>
    </row>
    <row r="3361" spans="1:20" hidden="1">
      <c r="A3361" s="1"/>
      <c r="S3361" t="str">
        <f>TEXT(Table1[[#This Row],[Date]],"MMM-YY")</f>
        <v>Jan-00</v>
      </c>
      <c r="T3361">
        <f>_xlfn.ISOWEEKNUM(Table1[[#This Row],[Date]])</f>
        <v>52</v>
      </c>
    </row>
    <row r="3362" spans="1:20" hidden="1">
      <c r="A3362" s="1"/>
      <c r="S3362" t="str">
        <f>TEXT(Table1[[#This Row],[Date]],"MMM-YY")</f>
        <v>Jan-00</v>
      </c>
      <c r="T3362">
        <f>_xlfn.ISOWEEKNUM(Table1[[#This Row],[Date]])</f>
        <v>52</v>
      </c>
    </row>
    <row r="3363" spans="1:20" hidden="1">
      <c r="A3363" s="1"/>
      <c r="S3363" t="str">
        <f>TEXT(Table1[[#This Row],[Date]],"MMM-YY")</f>
        <v>Jan-00</v>
      </c>
      <c r="T3363">
        <f>_xlfn.ISOWEEKNUM(Table1[[#This Row],[Date]])</f>
        <v>52</v>
      </c>
    </row>
    <row r="3364" spans="1:20" hidden="1">
      <c r="A3364" s="1"/>
      <c r="S3364" t="str">
        <f>TEXT(Table1[[#This Row],[Date]],"MMM-YY")</f>
        <v>Jan-00</v>
      </c>
      <c r="T3364">
        <f>_xlfn.ISOWEEKNUM(Table1[[#This Row],[Date]])</f>
        <v>52</v>
      </c>
    </row>
    <row r="3365" spans="1:20" hidden="1">
      <c r="A3365" s="1"/>
      <c r="S3365" t="str">
        <f>TEXT(Table1[[#This Row],[Date]],"MMM-YY")</f>
        <v>Jan-00</v>
      </c>
      <c r="T3365">
        <f>_xlfn.ISOWEEKNUM(Table1[[#This Row],[Date]])</f>
        <v>52</v>
      </c>
    </row>
    <row r="3366" spans="1:20" hidden="1">
      <c r="A3366" s="1"/>
      <c r="S3366" t="str">
        <f>TEXT(Table1[[#This Row],[Date]],"MMM-YY")</f>
        <v>Jan-00</v>
      </c>
      <c r="T3366">
        <f>_xlfn.ISOWEEKNUM(Table1[[#This Row],[Date]])</f>
        <v>52</v>
      </c>
    </row>
    <row r="3367" spans="1:20" hidden="1">
      <c r="A3367" s="1"/>
      <c r="S3367" t="str">
        <f>TEXT(Table1[[#This Row],[Date]],"MMM-YY")</f>
        <v>Jan-00</v>
      </c>
      <c r="T3367">
        <f>_xlfn.ISOWEEKNUM(Table1[[#This Row],[Date]])</f>
        <v>52</v>
      </c>
    </row>
    <row r="3368" spans="1:20" hidden="1">
      <c r="A3368" s="1"/>
      <c r="S3368" t="str">
        <f>TEXT(Table1[[#This Row],[Date]],"MMM-YY")</f>
        <v>Jan-00</v>
      </c>
      <c r="T3368">
        <f>_xlfn.ISOWEEKNUM(Table1[[#This Row],[Date]])</f>
        <v>52</v>
      </c>
    </row>
    <row r="3369" spans="1:20" hidden="1">
      <c r="A3369" s="1"/>
      <c r="S3369" t="str">
        <f>TEXT(Table1[[#This Row],[Date]],"MMM-YY")</f>
        <v>Jan-00</v>
      </c>
      <c r="T3369">
        <f>_xlfn.ISOWEEKNUM(Table1[[#This Row],[Date]])</f>
        <v>52</v>
      </c>
    </row>
    <row r="3370" spans="1:20" hidden="1">
      <c r="A3370" s="1"/>
      <c r="S3370" t="str">
        <f>TEXT(Table1[[#This Row],[Date]],"MMM-YY")</f>
        <v>Jan-00</v>
      </c>
      <c r="T3370">
        <f>_xlfn.ISOWEEKNUM(Table1[[#This Row],[Date]])</f>
        <v>52</v>
      </c>
    </row>
    <row r="3371" spans="1:20" hidden="1">
      <c r="A3371" s="1"/>
      <c r="S3371" t="str">
        <f>TEXT(Table1[[#This Row],[Date]],"MMM-YY")</f>
        <v>Jan-00</v>
      </c>
      <c r="T3371">
        <f>_xlfn.ISOWEEKNUM(Table1[[#This Row],[Date]])</f>
        <v>52</v>
      </c>
    </row>
    <row r="3372" spans="1:20" hidden="1">
      <c r="A3372" s="1"/>
      <c r="S3372" t="str">
        <f>TEXT(Table1[[#This Row],[Date]],"MMM-YY")</f>
        <v>Jan-00</v>
      </c>
      <c r="T3372">
        <f>_xlfn.ISOWEEKNUM(Table1[[#This Row],[Date]])</f>
        <v>52</v>
      </c>
    </row>
    <row r="3373" spans="1:20" hidden="1">
      <c r="A3373" s="1"/>
      <c r="S3373" t="str">
        <f>TEXT(Table1[[#This Row],[Date]],"MMM-YY")</f>
        <v>Jan-00</v>
      </c>
      <c r="T3373">
        <f>_xlfn.ISOWEEKNUM(Table1[[#This Row],[Date]])</f>
        <v>52</v>
      </c>
    </row>
    <row r="3374" spans="1:20" hidden="1">
      <c r="A3374" s="1"/>
      <c r="S3374" t="str">
        <f>TEXT(Table1[[#This Row],[Date]],"MMM-YY")</f>
        <v>Jan-00</v>
      </c>
      <c r="T3374">
        <f>_xlfn.ISOWEEKNUM(Table1[[#This Row],[Date]])</f>
        <v>52</v>
      </c>
    </row>
    <row r="3375" spans="1:20" hidden="1">
      <c r="A3375" s="1"/>
      <c r="S3375" t="str">
        <f>TEXT(Table1[[#This Row],[Date]],"MMM-YY")</f>
        <v>Jan-00</v>
      </c>
      <c r="T3375">
        <f>_xlfn.ISOWEEKNUM(Table1[[#This Row],[Date]])</f>
        <v>52</v>
      </c>
    </row>
    <row r="3376" spans="1:20" hidden="1">
      <c r="A3376" s="1"/>
      <c r="S3376" t="str">
        <f>TEXT(Table1[[#This Row],[Date]],"MMM-YY")</f>
        <v>Jan-00</v>
      </c>
      <c r="T3376">
        <f>_xlfn.ISOWEEKNUM(Table1[[#This Row],[Date]])</f>
        <v>52</v>
      </c>
    </row>
    <row r="3377" spans="1:20" hidden="1">
      <c r="A3377" s="1"/>
      <c r="S3377" t="str">
        <f>TEXT(Table1[[#This Row],[Date]],"MMM-YY")</f>
        <v>Jan-00</v>
      </c>
      <c r="T3377">
        <f>_xlfn.ISOWEEKNUM(Table1[[#This Row],[Date]])</f>
        <v>52</v>
      </c>
    </row>
    <row r="3378" spans="1:20" hidden="1">
      <c r="A3378" s="1"/>
      <c r="S3378" t="str">
        <f>TEXT(Table1[[#This Row],[Date]],"MMM-YY")</f>
        <v>Jan-00</v>
      </c>
      <c r="T3378">
        <f>_xlfn.ISOWEEKNUM(Table1[[#This Row],[Date]])</f>
        <v>52</v>
      </c>
    </row>
    <row r="3379" spans="1:20" hidden="1">
      <c r="A3379" s="1"/>
      <c r="S3379" t="str">
        <f>TEXT(Table1[[#This Row],[Date]],"MMM-YY")</f>
        <v>Jan-00</v>
      </c>
      <c r="T3379">
        <f>_xlfn.ISOWEEKNUM(Table1[[#This Row],[Date]])</f>
        <v>52</v>
      </c>
    </row>
    <row r="3380" spans="1:20" hidden="1">
      <c r="A3380" s="1"/>
      <c r="S3380" t="str">
        <f>TEXT(Table1[[#This Row],[Date]],"MMM-YY")</f>
        <v>Jan-00</v>
      </c>
      <c r="T3380">
        <f>_xlfn.ISOWEEKNUM(Table1[[#This Row],[Date]])</f>
        <v>52</v>
      </c>
    </row>
    <row r="3381" spans="1:20" hidden="1">
      <c r="A3381" s="1"/>
      <c r="S3381" t="str">
        <f>TEXT(Table1[[#This Row],[Date]],"MMM-YY")</f>
        <v>Jan-00</v>
      </c>
      <c r="T3381">
        <f>_xlfn.ISOWEEKNUM(Table1[[#This Row],[Date]])</f>
        <v>52</v>
      </c>
    </row>
    <row r="3382" spans="1:20" hidden="1">
      <c r="A3382" s="1"/>
      <c r="S3382" t="str">
        <f>TEXT(Table1[[#This Row],[Date]],"MMM-YY")</f>
        <v>Jan-00</v>
      </c>
      <c r="T3382">
        <f>_xlfn.ISOWEEKNUM(Table1[[#This Row],[Date]])</f>
        <v>52</v>
      </c>
    </row>
    <row r="3383" spans="1:20" hidden="1">
      <c r="A3383" s="1"/>
      <c r="S3383" t="str">
        <f>TEXT(Table1[[#This Row],[Date]],"MMM-YY")</f>
        <v>Jan-00</v>
      </c>
      <c r="T3383">
        <f>_xlfn.ISOWEEKNUM(Table1[[#This Row],[Date]])</f>
        <v>52</v>
      </c>
    </row>
    <row r="3384" spans="1:20" hidden="1">
      <c r="A3384" s="1"/>
      <c r="S3384" t="str">
        <f>TEXT(Table1[[#This Row],[Date]],"MMM-YY")</f>
        <v>Jan-00</v>
      </c>
      <c r="T3384">
        <f>_xlfn.ISOWEEKNUM(Table1[[#This Row],[Date]])</f>
        <v>52</v>
      </c>
    </row>
    <row r="3385" spans="1:20" hidden="1">
      <c r="A3385" s="1"/>
      <c r="S3385" t="str">
        <f>TEXT(Table1[[#This Row],[Date]],"MMM-YY")</f>
        <v>Jan-00</v>
      </c>
      <c r="T3385">
        <f>_xlfn.ISOWEEKNUM(Table1[[#This Row],[Date]])</f>
        <v>52</v>
      </c>
    </row>
    <row r="3386" spans="1:20" hidden="1">
      <c r="A3386" s="1"/>
      <c r="S3386" t="str">
        <f>TEXT(Table1[[#This Row],[Date]],"MMM-YY")</f>
        <v>Jan-00</v>
      </c>
      <c r="T3386">
        <f>_xlfn.ISOWEEKNUM(Table1[[#This Row],[Date]])</f>
        <v>52</v>
      </c>
    </row>
    <row r="3387" spans="1:20" hidden="1">
      <c r="A3387" s="1"/>
      <c r="S3387" t="str">
        <f>TEXT(Table1[[#This Row],[Date]],"MMM-YY")</f>
        <v>Jan-00</v>
      </c>
      <c r="T3387">
        <f>_xlfn.ISOWEEKNUM(Table1[[#This Row],[Date]])</f>
        <v>52</v>
      </c>
    </row>
    <row r="3388" spans="1:20" hidden="1">
      <c r="A3388" s="1"/>
      <c r="S3388" t="str">
        <f>TEXT(Table1[[#This Row],[Date]],"MMM-YY")</f>
        <v>Jan-00</v>
      </c>
      <c r="T3388">
        <f>_xlfn.ISOWEEKNUM(Table1[[#This Row],[Date]])</f>
        <v>52</v>
      </c>
    </row>
    <row r="3389" spans="1:20" hidden="1">
      <c r="A3389" s="1"/>
      <c r="S3389" t="str">
        <f>TEXT(Table1[[#This Row],[Date]],"MMM-YY")</f>
        <v>Jan-00</v>
      </c>
      <c r="T3389">
        <f>_xlfn.ISOWEEKNUM(Table1[[#This Row],[Date]])</f>
        <v>52</v>
      </c>
    </row>
    <row r="3390" spans="1:20" hidden="1">
      <c r="A3390" s="1"/>
      <c r="S3390" t="str">
        <f>TEXT(Table1[[#This Row],[Date]],"MMM-YY")</f>
        <v>Jan-00</v>
      </c>
      <c r="T3390">
        <f>_xlfn.ISOWEEKNUM(Table1[[#This Row],[Date]])</f>
        <v>52</v>
      </c>
    </row>
    <row r="3391" spans="1:20" hidden="1">
      <c r="A3391" s="1"/>
      <c r="S3391" t="str">
        <f>TEXT(Table1[[#This Row],[Date]],"MMM-YY")</f>
        <v>Jan-00</v>
      </c>
      <c r="T3391">
        <f>_xlfn.ISOWEEKNUM(Table1[[#This Row],[Date]])</f>
        <v>52</v>
      </c>
    </row>
    <row r="3392" spans="1:20" hidden="1">
      <c r="A3392" s="1"/>
      <c r="S3392" t="str">
        <f>TEXT(Table1[[#This Row],[Date]],"MMM-YY")</f>
        <v>Jan-00</v>
      </c>
      <c r="T3392">
        <f>_xlfn.ISOWEEKNUM(Table1[[#This Row],[Date]])</f>
        <v>52</v>
      </c>
    </row>
    <row r="3393" spans="1:20" hidden="1">
      <c r="A3393" s="1"/>
      <c r="S3393" t="str">
        <f>TEXT(Table1[[#This Row],[Date]],"MMM-YY")</f>
        <v>Jan-00</v>
      </c>
      <c r="T3393">
        <f>_xlfn.ISOWEEKNUM(Table1[[#This Row],[Date]])</f>
        <v>52</v>
      </c>
    </row>
    <row r="3394" spans="1:20" hidden="1">
      <c r="A3394" s="1"/>
      <c r="S3394" t="str">
        <f>TEXT(Table1[[#This Row],[Date]],"MMM-YY")</f>
        <v>Jan-00</v>
      </c>
      <c r="T3394">
        <f>_xlfn.ISOWEEKNUM(Table1[[#This Row],[Date]])</f>
        <v>52</v>
      </c>
    </row>
    <row r="3395" spans="1:20" hidden="1">
      <c r="A3395" s="1"/>
      <c r="S3395" t="str">
        <f>TEXT(Table1[[#This Row],[Date]],"MMM-YY")</f>
        <v>Jan-00</v>
      </c>
      <c r="T3395">
        <f>_xlfn.ISOWEEKNUM(Table1[[#This Row],[Date]])</f>
        <v>52</v>
      </c>
    </row>
    <row r="3396" spans="1:20" hidden="1">
      <c r="A3396" s="1"/>
      <c r="S3396" t="str">
        <f>TEXT(Table1[[#This Row],[Date]],"MMM-YY")</f>
        <v>Jan-00</v>
      </c>
      <c r="T3396">
        <f>_xlfn.ISOWEEKNUM(Table1[[#This Row],[Date]])</f>
        <v>52</v>
      </c>
    </row>
    <row r="3397" spans="1:20" hidden="1">
      <c r="A3397" s="1"/>
      <c r="S3397" t="str">
        <f>TEXT(Table1[[#This Row],[Date]],"MMM-YY")</f>
        <v>Jan-00</v>
      </c>
      <c r="T3397">
        <f>_xlfn.ISOWEEKNUM(Table1[[#This Row],[Date]])</f>
        <v>52</v>
      </c>
    </row>
    <row r="3398" spans="1:20" hidden="1">
      <c r="A3398" s="1"/>
      <c r="S3398" t="str">
        <f>TEXT(Table1[[#This Row],[Date]],"MMM-YY")</f>
        <v>Jan-00</v>
      </c>
      <c r="T3398">
        <f>_xlfn.ISOWEEKNUM(Table1[[#This Row],[Date]])</f>
        <v>52</v>
      </c>
    </row>
    <row r="3399" spans="1:20" hidden="1">
      <c r="A3399" s="1"/>
      <c r="S3399" t="str">
        <f>TEXT(Table1[[#This Row],[Date]],"MMM-YY")</f>
        <v>Jan-00</v>
      </c>
      <c r="T3399">
        <f>_xlfn.ISOWEEKNUM(Table1[[#This Row],[Date]])</f>
        <v>52</v>
      </c>
    </row>
    <row r="3400" spans="1:20" hidden="1">
      <c r="A3400" s="1"/>
      <c r="S3400" t="str">
        <f>TEXT(Table1[[#This Row],[Date]],"MMM-YY")</f>
        <v>Jan-00</v>
      </c>
      <c r="T3400">
        <f>_xlfn.ISOWEEKNUM(Table1[[#This Row],[Date]])</f>
        <v>52</v>
      </c>
    </row>
    <row r="3401" spans="1:20" hidden="1">
      <c r="A3401" s="1"/>
      <c r="S3401" t="str">
        <f>TEXT(Table1[[#This Row],[Date]],"MMM-YY")</f>
        <v>Jan-00</v>
      </c>
      <c r="T3401">
        <f>_xlfn.ISOWEEKNUM(Table1[[#This Row],[Date]])</f>
        <v>52</v>
      </c>
    </row>
    <row r="3402" spans="1:20" hidden="1">
      <c r="A3402" s="1"/>
      <c r="S3402" t="str">
        <f>TEXT(Table1[[#This Row],[Date]],"MMM-YY")</f>
        <v>Jan-00</v>
      </c>
      <c r="T3402">
        <f>_xlfn.ISOWEEKNUM(Table1[[#This Row],[Date]])</f>
        <v>52</v>
      </c>
    </row>
    <row r="3403" spans="1:20" hidden="1">
      <c r="A3403" s="1"/>
      <c r="S3403" t="str">
        <f>TEXT(Table1[[#This Row],[Date]],"MMM-YY")</f>
        <v>Jan-00</v>
      </c>
      <c r="T3403">
        <f>_xlfn.ISOWEEKNUM(Table1[[#This Row],[Date]])</f>
        <v>52</v>
      </c>
    </row>
    <row r="3404" spans="1:20" hidden="1">
      <c r="A3404" s="1"/>
      <c r="S3404" t="str">
        <f>TEXT(Table1[[#This Row],[Date]],"MMM-YY")</f>
        <v>Jan-00</v>
      </c>
      <c r="T3404">
        <f>_xlfn.ISOWEEKNUM(Table1[[#This Row],[Date]])</f>
        <v>52</v>
      </c>
    </row>
    <row r="3405" spans="1:20" hidden="1">
      <c r="A3405" s="1"/>
      <c r="S3405" t="str">
        <f>TEXT(Table1[[#This Row],[Date]],"MMM-YY")</f>
        <v>Jan-00</v>
      </c>
      <c r="T3405">
        <f>_xlfn.ISOWEEKNUM(Table1[[#This Row],[Date]])</f>
        <v>52</v>
      </c>
    </row>
    <row r="3406" spans="1:20" hidden="1">
      <c r="A3406" s="1"/>
      <c r="S3406" t="str">
        <f>TEXT(Table1[[#This Row],[Date]],"MMM-YY")</f>
        <v>Jan-00</v>
      </c>
      <c r="T3406">
        <f>_xlfn.ISOWEEKNUM(Table1[[#This Row],[Date]])</f>
        <v>52</v>
      </c>
    </row>
    <row r="3407" spans="1:20" hidden="1">
      <c r="A3407" s="1"/>
      <c r="S3407" t="str">
        <f>TEXT(Table1[[#This Row],[Date]],"MMM-YY")</f>
        <v>Jan-00</v>
      </c>
      <c r="T3407">
        <f>_xlfn.ISOWEEKNUM(Table1[[#This Row],[Date]])</f>
        <v>52</v>
      </c>
    </row>
    <row r="3408" spans="1:20" hidden="1">
      <c r="A3408" s="1"/>
      <c r="S3408" t="str">
        <f>TEXT(Table1[[#This Row],[Date]],"MMM-YY")</f>
        <v>Jan-00</v>
      </c>
      <c r="T3408">
        <f>_xlfn.ISOWEEKNUM(Table1[[#This Row],[Date]])</f>
        <v>52</v>
      </c>
    </row>
    <row r="3409" spans="1:20" hidden="1">
      <c r="A3409" s="1"/>
      <c r="S3409" t="str">
        <f>TEXT(Table1[[#This Row],[Date]],"MMM-YY")</f>
        <v>Jan-00</v>
      </c>
      <c r="T3409">
        <f>_xlfn.ISOWEEKNUM(Table1[[#This Row],[Date]])</f>
        <v>52</v>
      </c>
    </row>
    <row r="3410" spans="1:20" hidden="1">
      <c r="A3410" s="1"/>
      <c r="S3410" t="str">
        <f>TEXT(Table1[[#This Row],[Date]],"MMM-YY")</f>
        <v>Jan-00</v>
      </c>
      <c r="T3410">
        <f>_xlfn.ISOWEEKNUM(Table1[[#This Row],[Date]])</f>
        <v>52</v>
      </c>
    </row>
    <row r="3411" spans="1:20" hidden="1">
      <c r="A3411" s="1"/>
      <c r="S3411" t="str">
        <f>TEXT(Table1[[#This Row],[Date]],"MMM-YY")</f>
        <v>Jan-00</v>
      </c>
      <c r="T3411">
        <f>_xlfn.ISOWEEKNUM(Table1[[#This Row],[Date]])</f>
        <v>52</v>
      </c>
    </row>
    <row r="3412" spans="1:20" hidden="1">
      <c r="A3412" s="1"/>
      <c r="S3412" t="str">
        <f>TEXT(Table1[[#This Row],[Date]],"MMM-YY")</f>
        <v>Jan-00</v>
      </c>
      <c r="T3412">
        <f>_xlfn.ISOWEEKNUM(Table1[[#This Row],[Date]])</f>
        <v>52</v>
      </c>
    </row>
    <row r="3413" spans="1:20" hidden="1">
      <c r="A3413" s="1"/>
      <c r="S3413" t="str">
        <f>TEXT(Table1[[#This Row],[Date]],"MMM-YY")</f>
        <v>Jan-00</v>
      </c>
      <c r="T3413">
        <f>_xlfn.ISOWEEKNUM(Table1[[#This Row],[Date]])</f>
        <v>52</v>
      </c>
    </row>
    <row r="3414" spans="1:20" hidden="1">
      <c r="A3414" s="1"/>
      <c r="S3414" t="str">
        <f>TEXT(Table1[[#This Row],[Date]],"MMM-YY")</f>
        <v>Jan-00</v>
      </c>
      <c r="T3414">
        <f>_xlfn.ISOWEEKNUM(Table1[[#This Row],[Date]])</f>
        <v>52</v>
      </c>
    </row>
    <row r="3415" spans="1:20" hidden="1">
      <c r="A3415" s="1"/>
      <c r="S3415" t="str">
        <f>TEXT(Table1[[#This Row],[Date]],"MMM-YY")</f>
        <v>Jan-00</v>
      </c>
      <c r="T3415">
        <f>_xlfn.ISOWEEKNUM(Table1[[#This Row],[Date]])</f>
        <v>52</v>
      </c>
    </row>
    <row r="3416" spans="1:20" hidden="1">
      <c r="A3416" s="1"/>
      <c r="S3416" t="str">
        <f>TEXT(Table1[[#This Row],[Date]],"MMM-YY")</f>
        <v>Jan-00</v>
      </c>
      <c r="T3416">
        <f>_xlfn.ISOWEEKNUM(Table1[[#This Row],[Date]])</f>
        <v>52</v>
      </c>
    </row>
    <row r="3417" spans="1:20" hidden="1">
      <c r="A3417" s="1"/>
      <c r="S3417" t="str">
        <f>TEXT(Table1[[#This Row],[Date]],"MMM-YY")</f>
        <v>Jan-00</v>
      </c>
      <c r="T3417">
        <f>_xlfn.ISOWEEKNUM(Table1[[#This Row],[Date]])</f>
        <v>52</v>
      </c>
    </row>
    <row r="3418" spans="1:20" hidden="1">
      <c r="A3418" s="1"/>
      <c r="S3418" t="str">
        <f>TEXT(Table1[[#This Row],[Date]],"MMM-YY")</f>
        <v>Jan-00</v>
      </c>
      <c r="T3418">
        <f>_xlfn.ISOWEEKNUM(Table1[[#This Row],[Date]])</f>
        <v>52</v>
      </c>
    </row>
    <row r="3419" spans="1:20" hidden="1">
      <c r="A3419" s="1"/>
      <c r="S3419" t="str">
        <f>TEXT(Table1[[#This Row],[Date]],"MMM-YY")</f>
        <v>Jan-00</v>
      </c>
      <c r="T3419">
        <f>_xlfn.ISOWEEKNUM(Table1[[#This Row],[Date]])</f>
        <v>52</v>
      </c>
    </row>
    <row r="3420" spans="1:20" hidden="1">
      <c r="A3420" s="1"/>
      <c r="S3420" t="str">
        <f>TEXT(Table1[[#This Row],[Date]],"MMM-YY")</f>
        <v>Jan-00</v>
      </c>
      <c r="T3420">
        <f>_xlfn.ISOWEEKNUM(Table1[[#This Row],[Date]])</f>
        <v>52</v>
      </c>
    </row>
    <row r="3421" spans="1:20" hidden="1">
      <c r="A3421" s="1"/>
      <c r="S3421" t="str">
        <f>TEXT(Table1[[#This Row],[Date]],"MMM-YY")</f>
        <v>Jan-00</v>
      </c>
      <c r="T3421">
        <f>_xlfn.ISOWEEKNUM(Table1[[#This Row],[Date]])</f>
        <v>52</v>
      </c>
    </row>
    <row r="3422" spans="1:20" hidden="1">
      <c r="A3422" s="1"/>
      <c r="S3422" t="str">
        <f>TEXT(Table1[[#This Row],[Date]],"MMM-YY")</f>
        <v>Jan-00</v>
      </c>
      <c r="T3422">
        <f>_xlfn.ISOWEEKNUM(Table1[[#This Row],[Date]])</f>
        <v>52</v>
      </c>
    </row>
    <row r="3423" spans="1:20" hidden="1">
      <c r="A3423" s="1"/>
      <c r="S3423" t="str">
        <f>TEXT(Table1[[#This Row],[Date]],"MMM-YY")</f>
        <v>Jan-00</v>
      </c>
      <c r="T3423">
        <f>_xlfn.ISOWEEKNUM(Table1[[#This Row],[Date]])</f>
        <v>52</v>
      </c>
    </row>
    <row r="3424" spans="1:20" hidden="1">
      <c r="A3424" s="1"/>
      <c r="S3424" t="str">
        <f>TEXT(Table1[[#This Row],[Date]],"MMM-YY")</f>
        <v>Jan-00</v>
      </c>
      <c r="T3424">
        <f>_xlfn.ISOWEEKNUM(Table1[[#This Row],[Date]])</f>
        <v>52</v>
      </c>
    </row>
    <row r="3425" spans="1:20" hidden="1">
      <c r="A3425" s="1"/>
      <c r="S3425" t="str">
        <f>TEXT(Table1[[#This Row],[Date]],"MMM-YY")</f>
        <v>Jan-00</v>
      </c>
      <c r="T3425">
        <f>_xlfn.ISOWEEKNUM(Table1[[#This Row],[Date]])</f>
        <v>52</v>
      </c>
    </row>
    <row r="3426" spans="1:20" hidden="1">
      <c r="A3426" s="1"/>
      <c r="S3426" t="str">
        <f>TEXT(Table1[[#This Row],[Date]],"MMM-YY")</f>
        <v>Jan-00</v>
      </c>
      <c r="T3426">
        <f>_xlfn.ISOWEEKNUM(Table1[[#This Row],[Date]])</f>
        <v>52</v>
      </c>
    </row>
    <row r="3427" spans="1:20" hidden="1">
      <c r="A3427" s="1"/>
      <c r="S3427" t="str">
        <f>TEXT(Table1[[#This Row],[Date]],"MMM-YY")</f>
        <v>Jan-00</v>
      </c>
      <c r="T3427">
        <f>_xlfn.ISOWEEKNUM(Table1[[#This Row],[Date]])</f>
        <v>52</v>
      </c>
    </row>
    <row r="3428" spans="1:20" hidden="1">
      <c r="A3428" s="1"/>
      <c r="S3428" t="str">
        <f>TEXT(Table1[[#This Row],[Date]],"MMM-YY")</f>
        <v>Jan-00</v>
      </c>
      <c r="T3428">
        <f>_xlfn.ISOWEEKNUM(Table1[[#This Row],[Date]])</f>
        <v>52</v>
      </c>
    </row>
    <row r="3429" spans="1:20" hidden="1">
      <c r="A3429" s="1"/>
      <c r="S3429" t="str">
        <f>TEXT(Table1[[#This Row],[Date]],"MMM-YY")</f>
        <v>Jan-00</v>
      </c>
      <c r="T3429">
        <f>_xlfn.ISOWEEKNUM(Table1[[#This Row],[Date]])</f>
        <v>52</v>
      </c>
    </row>
    <row r="3430" spans="1:20" hidden="1">
      <c r="A3430" s="1"/>
      <c r="S3430" t="str">
        <f>TEXT(Table1[[#This Row],[Date]],"MMM-YY")</f>
        <v>Jan-00</v>
      </c>
      <c r="T3430">
        <f>_xlfn.ISOWEEKNUM(Table1[[#This Row],[Date]])</f>
        <v>52</v>
      </c>
    </row>
    <row r="3431" spans="1:20" hidden="1">
      <c r="A3431" s="1"/>
      <c r="S3431" t="str">
        <f>TEXT(Table1[[#This Row],[Date]],"MMM-YY")</f>
        <v>Jan-00</v>
      </c>
      <c r="T3431">
        <f>_xlfn.ISOWEEKNUM(Table1[[#This Row],[Date]])</f>
        <v>52</v>
      </c>
    </row>
    <row r="3432" spans="1:20" hidden="1">
      <c r="A3432" s="1"/>
      <c r="S3432" t="str">
        <f>TEXT(Table1[[#This Row],[Date]],"MMM-YY")</f>
        <v>Jan-00</v>
      </c>
      <c r="T3432">
        <f>_xlfn.ISOWEEKNUM(Table1[[#This Row],[Date]])</f>
        <v>52</v>
      </c>
    </row>
    <row r="3433" spans="1:20" hidden="1">
      <c r="A3433" s="1"/>
      <c r="S3433" t="str">
        <f>TEXT(Table1[[#This Row],[Date]],"MMM-YY")</f>
        <v>Jan-00</v>
      </c>
      <c r="T3433">
        <f>_xlfn.ISOWEEKNUM(Table1[[#This Row],[Date]])</f>
        <v>52</v>
      </c>
    </row>
    <row r="3434" spans="1:20" hidden="1">
      <c r="A3434" s="1"/>
      <c r="S3434" t="str">
        <f>TEXT(Table1[[#This Row],[Date]],"MMM-YY")</f>
        <v>Jan-00</v>
      </c>
      <c r="T3434">
        <f>_xlfn.ISOWEEKNUM(Table1[[#This Row],[Date]])</f>
        <v>52</v>
      </c>
    </row>
    <row r="3435" spans="1:20" hidden="1">
      <c r="A3435" s="1"/>
      <c r="S3435" t="str">
        <f>TEXT(Table1[[#This Row],[Date]],"MMM-YY")</f>
        <v>Jan-00</v>
      </c>
      <c r="T3435">
        <f>_xlfn.ISOWEEKNUM(Table1[[#This Row],[Date]])</f>
        <v>52</v>
      </c>
    </row>
    <row r="3436" spans="1:20" hidden="1">
      <c r="A3436" s="1"/>
      <c r="S3436" t="str">
        <f>TEXT(Table1[[#This Row],[Date]],"MMM-YY")</f>
        <v>Jan-00</v>
      </c>
      <c r="T3436">
        <f>_xlfn.ISOWEEKNUM(Table1[[#This Row],[Date]])</f>
        <v>52</v>
      </c>
    </row>
    <row r="3437" spans="1:20" hidden="1">
      <c r="A3437" s="1"/>
      <c r="S3437" t="str">
        <f>TEXT(Table1[[#This Row],[Date]],"MMM-YY")</f>
        <v>Jan-00</v>
      </c>
      <c r="T3437">
        <f>_xlfn.ISOWEEKNUM(Table1[[#This Row],[Date]])</f>
        <v>52</v>
      </c>
    </row>
    <row r="3438" spans="1:20" hidden="1">
      <c r="A3438" s="1"/>
      <c r="S3438" t="str">
        <f>TEXT(Table1[[#This Row],[Date]],"MMM-YY")</f>
        <v>Jan-00</v>
      </c>
      <c r="T3438">
        <f>_xlfn.ISOWEEKNUM(Table1[[#This Row],[Date]])</f>
        <v>52</v>
      </c>
    </row>
    <row r="3439" spans="1:20" hidden="1">
      <c r="A3439" s="1"/>
      <c r="S3439" t="str">
        <f>TEXT(Table1[[#This Row],[Date]],"MMM-YY")</f>
        <v>Jan-00</v>
      </c>
      <c r="T3439">
        <f>_xlfn.ISOWEEKNUM(Table1[[#This Row],[Date]])</f>
        <v>52</v>
      </c>
    </row>
    <row r="3440" spans="1:20" hidden="1">
      <c r="A3440" s="1"/>
      <c r="S3440" t="str">
        <f>TEXT(Table1[[#This Row],[Date]],"MMM-YY")</f>
        <v>Jan-00</v>
      </c>
      <c r="T3440">
        <f>_xlfn.ISOWEEKNUM(Table1[[#This Row],[Date]])</f>
        <v>52</v>
      </c>
    </row>
    <row r="3441" spans="1:20" hidden="1">
      <c r="A3441" s="1"/>
      <c r="S3441" t="str">
        <f>TEXT(Table1[[#This Row],[Date]],"MMM-YY")</f>
        <v>Jan-00</v>
      </c>
      <c r="T3441">
        <f>_xlfn.ISOWEEKNUM(Table1[[#This Row],[Date]])</f>
        <v>52</v>
      </c>
    </row>
    <row r="3442" spans="1:20" hidden="1">
      <c r="A3442" s="1"/>
      <c r="S3442" t="str">
        <f>TEXT(Table1[[#This Row],[Date]],"MMM-YY")</f>
        <v>Jan-00</v>
      </c>
      <c r="T3442">
        <f>_xlfn.ISOWEEKNUM(Table1[[#This Row],[Date]])</f>
        <v>52</v>
      </c>
    </row>
    <row r="3443" spans="1:20" hidden="1">
      <c r="A3443" s="1"/>
      <c r="S3443" t="str">
        <f>TEXT(Table1[[#This Row],[Date]],"MMM-YY")</f>
        <v>Jan-00</v>
      </c>
      <c r="T3443">
        <f>_xlfn.ISOWEEKNUM(Table1[[#This Row],[Date]])</f>
        <v>52</v>
      </c>
    </row>
    <row r="3444" spans="1:20" hidden="1">
      <c r="A3444" s="1"/>
      <c r="S3444" t="str">
        <f>TEXT(Table1[[#This Row],[Date]],"MMM-YY")</f>
        <v>Jan-00</v>
      </c>
      <c r="T3444">
        <f>_xlfn.ISOWEEKNUM(Table1[[#This Row],[Date]])</f>
        <v>52</v>
      </c>
    </row>
    <row r="3445" spans="1:20" hidden="1">
      <c r="A3445" s="1"/>
      <c r="S3445" t="str">
        <f>TEXT(Table1[[#This Row],[Date]],"MMM-YY")</f>
        <v>Jan-00</v>
      </c>
      <c r="T3445">
        <f>_xlfn.ISOWEEKNUM(Table1[[#This Row],[Date]])</f>
        <v>52</v>
      </c>
    </row>
    <row r="3446" spans="1:20" hidden="1">
      <c r="A3446" s="1"/>
      <c r="S3446" t="str">
        <f>TEXT(Table1[[#This Row],[Date]],"MMM-YY")</f>
        <v>Jan-00</v>
      </c>
      <c r="T3446">
        <f>_xlfn.ISOWEEKNUM(Table1[[#This Row],[Date]])</f>
        <v>52</v>
      </c>
    </row>
    <row r="3447" spans="1:20" hidden="1">
      <c r="A3447" s="1"/>
      <c r="S3447" t="str">
        <f>TEXT(Table1[[#This Row],[Date]],"MMM-YY")</f>
        <v>Jan-00</v>
      </c>
      <c r="T3447">
        <f>_xlfn.ISOWEEKNUM(Table1[[#This Row],[Date]])</f>
        <v>52</v>
      </c>
    </row>
    <row r="3448" spans="1:20" hidden="1">
      <c r="A3448" s="1"/>
      <c r="S3448" t="str">
        <f>TEXT(Table1[[#This Row],[Date]],"MMM-YY")</f>
        <v>Jan-00</v>
      </c>
      <c r="T3448">
        <f>_xlfn.ISOWEEKNUM(Table1[[#This Row],[Date]])</f>
        <v>52</v>
      </c>
    </row>
    <row r="3449" spans="1:20" hidden="1">
      <c r="A3449" s="1"/>
      <c r="S3449" t="str">
        <f>TEXT(Table1[[#This Row],[Date]],"MMM-YY")</f>
        <v>Jan-00</v>
      </c>
      <c r="T3449">
        <f>_xlfn.ISOWEEKNUM(Table1[[#This Row],[Date]])</f>
        <v>52</v>
      </c>
    </row>
    <row r="3450" spans="1:20" hidden="1">
      <c r="A3450" s="1"/>
      <c r="S3450" t="str">
        <f>TEXT(Table1[[#This Row],[Date]],"MMM-YY")</f>
        <v>Jan-00</v>
      </c>
      <c r="T3450">
        <f>_xlfn.ISOWEEKNUM(Table1[[#This Row],[Date]])</f>
        <v>52</v>
      </c>
    </row>
    <row r="3451" spans="1:20" hidden="1">
      <c r="A3451" s="1"/>
      <c r="S3451" t="str">
        <f>TEXT(Table1[[#This Row],[Date]],"MMM-YY")</f>
        <v>Jan-00</v>
      </c>
      <c r="T3451">
        <f>_xlfn.ISOWEEKNUM(Table1[[#This Row],[Date]])</f>
        <v>52</v>
      </c>
    </row>
    <row r="3452" spans="1:20" hidden="1">
      <c r="A3452" s="1"/>
      <c r="S3452" t="str">
        <f>TEXT(Table1[[#This Row],[Date]],"MMM-YY")</f>
        <v>Jan-00</v>
      </c>
      <c r="T3452">
        <f>_xlfn.ISOWEEKNUM(Table1[[#This Row],[Date]])</f>
        <v>52</v>
      </c>
    </row>
    <row r="3453" spans="1:20" hidden="1">
      <c r="A3453" s="1"/>
      <c r="S3453" t="str">
        <f>TEXT(Table1[[#This Row],[Date]],"MMM-YY")</f>
        <v>Jan-00</v>
      </c>
      <c r="T3453">
        <f>_xlfn.ISOWEEKNUM(Table1[[#This Row],[Date]])</f>
        <v>52</v>
      </c>
    </row>
    <row r="3454" spans="1:20" hidden="1">
      <c r="A3454" s="1"/>
      <c r="S3454" t="str">
        <f>TEXT(Table1[[#This Row],[Date]],"MMM-YY")</f>
        <v>Jan-00</v>
      </c>
      <c r="T3454">
        <f>_xlfn.ISOWEEKNUM(Table1[[#This Row],[Date]])</f>
        <v>52</v>
      </c>
    </row>
    <row r="3455" spans="1:20" hidden="1">
      <c r="A3455" s="1"/>
      <c r="S3455" t="str">
        <f>TEXT(Table1[[#This Row],[Date]],"MMM-YY")</f>
        <v>Jan-00</v>
      </c>
      <c r="T3455">
        <f>_xlfn.ISOWEEKNUM(Table1[[#This Row],[Date]])</f>
        <v>52</v>
      </c>
    </row>
    <row r="3456" spans="1:20" hidden="1">
      <c r="A3456" s="1"/>
      <c r="S3456" t="str">
        <f>TEXT(Table1[[#This Row],[Date]],"MMM-YY")</f>
        <v>Jan-00</v>
      </c>
      <c r="T3456">
        <f>_xlfn.ISOWEEKNUM(Table1[[#This Row],[Date]])</f>
        <v>52</v>
      </c>
    </row>
    <row r="3457" spans="1:20" hidden="1">
      <c r="A3457" s="1"/>
      <c r="S3457" t="str">
        <f>TEXT(Table1[[#This Row],[Date]],"MMM-YY")</f>
        <v>Jan-00</v>
      </c>
      <c r="T3457">
        <f>_xlfn.ISOWEEKNUM(Table1[[#This Row],[Date]])</f>
        <v>52</v>
      </c>
    </row>
    <row r="3458" spans="1:20" hidden="1">
      <c r="A3458" s="1"/>
      <c r="S3458" t="str">
        <f>TEXT(Table1[[#This Row],[Date]],"MMM-YY")</f>
        <v>Jan-00</v>
      </c>
      <c r="T3458">
        <f>_xlfn.ISOWEEKNUM(Table1[[#This Row],[Date]])</f>
        <v>52</v>
      </c>
    </row>
    <row r="3459" spans="1:20" hidden="1">
      <c r="A3459" s="1"/>
      <c r="S3459" t="str">
        <f>TEXT(Table1[[#This Row],[Date]],"MMM-YY")</f>
        <v>Jan-00</v>
      </c>
      <c r="T3459">
        <f>_xlfn.ISOWEEKNUM(Table1[[#This Row],[Date]])</f>
        <v>52</v>
      </c>
    </row>
    <row r="3460" spans="1:20" hidden="1">
      <c r="A3460" s="1"/>
      <c r="S3460" t="str">
        <f>TEXT(Table1[[#This Row],[Date]],"MMM-YY")</f>
        <v>Jan-00</v>
      </c>
      <c r="T3460">
        <f>_xlfn.ISOWEEKNUM(Table1[[#This Row],[Date]])</f>
        <v>52</v>
      </c>
    </row>
    <row r="3461" spans="1:20" hidden="1">
      <c r="A3461" s="1"/>
      <c r="S3461" t="str">
        <f>TEXT(Table1[[#This Row],[Date]],"MMM-YY")</f>
        <v>Jan-00</v>
      </c>
      <c r="T3461">
        <f>_xlfn.ISOWEEKNUM(Table1[[#This Row],[Date]])</f>
        <v>52</v>
      </c>
    </row>
    <row r="3462" spans="1:20" hidden="1">
      <c r="A3462" s="1"/>
      <c r="S3462" t="str">
        <f>TEXT(Table1[[#This Row],[Date]],"MMM-YY")</f>
        <v>Jan-00</v>
      </c>
      <c r="T3462">
        <f>_xlfn.ISOWEEKNUM(Table1[[#This Row],[Date]])</f>
        <v>52</v>
      </c>
    </row>
    <row r="3463" spans="1:20" hidden="1">
      <c r="A3463" s="1"/>
      <c r="S3463" t="str">
        <f>TEXT(Table1[[#This Row],[Date]],"MMM-YY")</f>
        <v>Jan-00</v>
      </c>
      <c r="T3463">
        <f>_xlfn.ISOWEEKNUM(Table1[[#This Row],[Date]])</f>
        <v>52</v>
      </c>
    </row>
    <row r="3464" spans="1:20" hidden="1">
      <c r="A3464" s="1"/>
      <c r="S3464" t="str">
        <f>TEXT(Table1[[#This Row],[Date]],"MMM-YY")</f>
        <v>Jan-00</v>
      </c>
      <c r="T3464">
        <f>_xlfn.ISOWEEKNUM(Table1[[#This Row],[Date]])</f>
        <v>52</v>
      </c>
    </row>
    <row r="3465" spans="1:20" hidden="1">
      <c r="A3465" s="1"/>
      <c r="S3465" t="str">
        <f>TEXT(Table1[[#This Row],[Date]],"MMM-YY")</f>
        <v>Jan-00</v>
      </c>
      <c r="T3465">
        <f>_xlfn.ISOWEEKNUM(Table1[[#This Row],[Date]])</f>
        <v>52</v>
      </c>
    </row>
    <row r="3466" spans="1:20" hidden="1">
      <c r="A3466" s="1"/>
      <c r="S3466" t="str">
        <f>TEXT(Table1[[#This Row],[Date]],"MMM-YY")</f>
        <v>Jan-00</v>
      </c>
      <c r="T3466">
        <f>_xlfn.ISOWEEKNUM(Table1[[#This Row],[Date]])</f>
        <v>52</v>
      </c>
    </row>
    <row r="3467" spans="1:20" hidden="1">
      <c r="A3467" s="1"/>
      <c r="S3467" t="str">
        <f>TEXT(Table1[[#This Row],[Date]],"MMM-YY")</f>
        <v>Jan-00</v>
      </c>
      <c r="T3467">
        <f>_xlfn.ISOWEEKNUM(Table1[[#This Row],[Date]])</f>
        <v>52</v>
      </c>
    </row>
    <row r="3468" spans="1:20" hidden="1">
      <c r="A3468" s="1"/>
      <c r="S3468" t="str">
        <f>TEXT(Table1[[#This Row],[Date]],"MMM-YY")</f>
        <v>Jan-00</v>
      </c>
      <c r="T3468">
        <f>_xlfn.ISOWEEKNUM(Table1[[#This Row],[Date]])</f>
        <v>52</v>
      </c>
    </row>
    <row r="3469" spans="1:20" hidden="1">
      <c r="A3469" s="1"/>
      <c r="S3469" t="str">
        <f>TEXT(Table1[[#This Row],[Date]],"MMM-YY")</f>
        <v>Jan-00</v>
      </c>
      <c r="T3469">
        <f>_xlfn.ISOWEEKNUM(Table1[[#This Row],[Date]])</f>
        <v>52</v>
      </c>
    </row>
    <row r="3470" spans="1:20" hidden="1">
      <c r="A3470" s="1"/>
      <c r="S3470" t="str">
        <f>TEXT(Table1[[#This Row],[Date]],"MMM-YY")</f>
        <v>Jan-00</v>
      </c>
      <c r="T3470">
        <f>_xlfn.ISOWEEKNUM(Table1[[#This Row],[Date]])</f>
        <v>52</v>
      </c>
    </row>
    <row r="3471" spans="1:20" hidden="1">
      <c r="A3471" s="1"/>
      <c r="S3471" t="str">
        <f>TEXT(Table1[[#This Row],[Date]],"MMM-YY")</f>
        <v>Jan-00</v>
      </c>
      <c r="T3471">
        <f>_xlfn.ISOWEEKNUM(Table1[[#This Row],[Date]])</f>
        <v>52</v>
      </c>
    </row>
    <row r="3472" spans="1:20" hidden="1">
      <c r="A3472" s="1"/>
      <c r="S3472" t="str">
        <f>TEXT(Table1[[#This Row],[Date]],"MMM-YY")</f>
        <v>Jan-00</v>
      </c>
      <c r="T3472">
        <f>_xlfn.ISOWEEKNUM(Table1[[#This Row],[Date]])</f>
        <v>52</v>
      </c>
    </row>
    <row r="3473" spans="1:20" hidden="1">
      <c r="A3473" s="1"/>
      <c r="S3473" t="str">
        <f>TEXT(Table1[[#This Row],[Date]],"MMM-YY")</f>
        <v>Jan-00</v>
      </c>
      <c r="T3473">
        <f>_xlfn.ISOWEEKNUM(Table1[[#This Row],[Date]])</f>
        <v>52</v>
      </c>
    </row>
    <row r="3474" spans="1:20" hidden="1">
      <c r="A3474" s="1"/>
      <c r="S3474" t="str">
        <f>TEXT(Table1[[#This Row],[Date]],"MMM-YY")</f>
        <v>Jan-00</v>
      </c>
      <c r="T3474">
        <f>_xlfn.ISOWEEKNUM(Table1[[#This Row],[Date]])</f>
        <v>52</v>
      </c>
    </row>
    <row r="3475" spans="1:20" hidden="1">
      <c r="A3475" s="1"/>
      <c r="S3475" t="str">
        <f>TEXT(Table1[[#This Row],[Date]],"MMM-YY")</f>
        <v>Jan-00</v>
      </c>
      <c r="T3475">
        <f>_xlfn.ISOWEEKNUM(Table1[[#This Row],[Date]])</f>
        <v>52</v>
      </c>
    </row>
    <row r="3476" spans="1:20" hidden="1">
      <c r="A3476" s="1"/>
      <c r="S3476" t="str">
        <f>TEXT(Table1[[#This Row],[Date]],"MMM-YY")</f>
        <v>Jan-00</v>
      </c>
      <c r="T3476">
        <f>_xlfn.ISOWEEKNUM(Table1[[#This Row],[Date]])</f>
        <v>52</v>
      </c>
    </row>
    <row r="3477" spans="1:20" hidden="1">
      <c r="A3477" s="1"/>
      <c r="S3477" t="str">
        <f>TEXT(Table1[[#This Row],[Date]],"MMM-YY")</f>
        <v>Jan-00</v>
      </c>
      <c r="T3477">
        <f>_xlfn.ISOWEEKNUM(Table1[[#This Row],[Date]])</f>
        <v>52</v>
      </c>
    </row>
    <row r="3478" spans="1:20" hidden="1">
      <c r="A3478" s="1"/>
      <c r="S3478" t="str">
        <f>TEXT(Table1[[#This Row],[Date]],"MMM-YY")</f>
        <v>Jan-00</v>
      </c>
      <c r="T3478">
        <f>_xlfn.ISOWEEKNUM(Table1[[#This Row],[Date]])</f>
        <v>52</v>
      </c>
    </row>
    <row r="3479" spans="1:20" hidden="1">
      <c r="A3479" s="1"/>
      <c r="S3479" t="str">
        <f>TEXT(Table1[[#This Row],[Date]],"MMM-YY")</f>
        <v>Jan-00</v>
      </c>
      <c r="T3479">
        <f>_xlfn.ISOWEEKNUM(Table1[[#This Row],[Date]])</f>
        <v>52</v>
      </c>
    </row>
    <row r="3480" spans="1:20" hidden="1">
      <c r="A3480" s="1"/>
      <c r="S3480" t="str">
        <f>TEXT(Table1[[#This Row],[Date]],"MMM-YY")</f>
        <v>Jan-00</v>
      </c>
      <c r="T3480">
        <f>_xlfn.ISOWEEKNUM(Table1[[#This Row],[Date]])</f>
        <v>52</v>
      </c>
    </row>
    <row r="3481" spans="1:20" hidden="1">
      <c r="A3481" s="1"/>
      <c r="S3481" t="str">
        <f>TEXT(Table1[[#This Row],[Date]],"MMM-YY")</f>
        <v>Jan-00</v>
      </c>
      <c r="T3481">
        <f>_xlfn.ISOWEEKNUM(Table1[[#This Row],[Date]])</f>
        <v>52</v>
      </c>
    </row>
    <row r="3482" spans="1:20" hidden="1">
      <c r="A3482" s="1"/>
      <c r="S3482" t="str">
        <f>TEXT(Table1[[#This Row],[Date]],"MMM-YY")</f>
        <v>Jan-00</v>
      </c>
      <c r="T3482">
        <f>_xlfn.ISOWEEKNUM(Table1[[#This Row],[Date]])</f>
        <v>52</v>
      </c>
    </row>
    <row r="3483" spans="1:20" hidden="1">
      <c r="A3483" s="1"/>
      <c r="S3483" t="str">
        <f>TEXT(Table1[[#This Row],[Date]],"MMM-YY")</f>
        <v>Jan-00</v>
      </c>
      <c r="T3483">
        <f>_xlfn.ISOWEEKNUM(Table1[[#This Row],[Date]])</f>
        <v>52</v>
      </c>
    </row>
    <row r="3484" spans="1:20" hidden="1">
      <c r="A3484" s="1"/>
      <c r="S3484" t="str">
        <f>TEXT(Table1[[#This Row],[Date]],"MMM-YY")</f>
        <v>Jan-00</v>
      </c>
      <c r="T3484">
        <f>_xlfn.ISOWEEKNUM(Table1[[#This Row],[Date]])</f>
        <v>52</v>
      </c>
    </row>
    <row r="3485" spans="1:20" hidden="1">
      <c r="A3485" s="1"/>
      <c r="S3485" t="str">
        <f>TEXT(Table1[[#This Row],[Date]],"MMM-YY")</f>
        <v>Jan-00</v>
      </c>
      <c r="T3485">
        <f>_xlfn.ISOWEEKNUM(Table1[[#This Row],[Date]])</f>
        <v>52</v>
      </c>
    </row>
    <row r="3486" spans="1:20" hidden="1">
      <c r="A3486" s="1"/>
      <c r="S3486" t="str">
        <f>TEXT(Table1[[#This Row],[Date]],"MMM-YY")</f>
        <v>Jan-00</v>
      </c>
      <c r="T3486">
        <f>_xlfn.ISOWEEKNUM(Table1[[#This Row],[Date]])</f>
        <v>52</v>
      </c>
    </row>
    <row r="3487" spans="1:20" hidden="1">
      <c r="A3487" s="1"/>
      <c r="S3487" t="str">
        <f>TEXT(Table1[[#This Row],[Date]],"MMM-YY")</f>
        <v>Jan-00</v>
      </c>
      <c r="T3487">
        <f>_xlfn.ISOWEEKNUM(Table1[[#This Row],[Date]])</f>
        <v>52</v>
      </c>
    </row>
    <row r="3488" spans="1:20" hidden="1">
      <c r="A3488" s="1"/>
      <c r="S3488" t="str">
        <f>TEXT(Table1[[#This Row],[Date]],"MMM-YY")</f>
        <v>Jan-00</v>
      </c>
      <c r="T3488">
        <f>_xlfn.ISOWEEKNUM(Table1[[#This Row],[Date]])</f>
        <v>52</v>
      </c>
    </row>
    <row r="3489" spans="1:20" hidden="1">
      <c r="A3489" s="1"/>
      <c r="S3489" t="str">
        <f>TEXT(Table1[[#This Row],[Date]],"MMM-YY")</f>
        <v>Jan-00</v>
      </c>
      <c r="T3489">
        <f>_xlfn.ISOWEEKNUM(Table1[[#This Row],[Date]])</f>
        <v>52</v>
      </c>
    </row>
    <row r="3490" spans="1:20" hidden="1">
      <c r="A3490" s="1"/>
      <c r="S3490" t="str">
        <f>TEXT(Table1[[#This Row],[Date]],"MMM-YY")</f>
        <v>Jan-00</v>
      </c>
      <c r="T3490">
        <f>_xlfn.ISOWEEKNUM(Table1[[#This Row],[Date]])</f>
        <v>52</v>
      </c>
    </row>
    <row r="3491" spans="1:20" hidden="1">
      <c r="A3491" s="1"/>
      <c r="S3491" t="str">
        <f>TEXT(Table1[[#This Row],[Date]],"MMM-YY")</f>
        <v>Jan-00</v>
      </c>
      <c r="T3491">
        <f>_xlfn.ISOWEEKNUM(Table1[[#This Row],[Date]])</f>
        <v>52</v>
      </c>
    </row>
    <row r="3492" spans="1:20" hidden="1">
      <c r="A3492" s="1"/>
      <c r="S3492" t="str">
        <f>TEXT(Table1[[#This Row],[Date]],"MMM-YY")</f>
        <v>Jan-00</v>
      </c>
      <c r="T3492">
        <f>_xlfn.ISOWEEKNUM(Table1[[#This Row],[Date]])</f>
        <v>52</v>
      </c>
    </row>
    <row r="3493" spans="1:20" hidden="1">
      <c r="A3493" s="1"/>
      <c r="S3493" t="str">
        <f>TEXT(Table1[[#This Row],[Date]],"MMM-YY")</f>
        <v>Jan-00</v>
      </c>
      <c r="T3493">
        <f>_xlfn.ISOWEEKNUM(Table1[[#This Row],[Date]])</f>
        <v>52</v>
      </c>
    </row>
    <row r="3494" spans="1:20" hidden="1">
      <c r="A3494" s="1"/>
      <c r="S3494" t="str">
        <f>TEXT(Table1[[#This Row],[Date]],"MMM-YY")</f>
        <v>Jan-00</v>
      </c>
      <c r="T3494">
        <f>_xlfn.ISOWEEKNUM(Table1[[#This Row],[Date]])</f>
        <v>52</v>
      </c>
    </row>
    <row r="3495" spans="1:20" hidden="1">
      <c r="A3495" s="1"/>
      <c r="S3495" t="str">
        <f>TEXT(Table1[[#This Row],[Date]],"MMM-YY")</f>
        <v>Jan-00</v>
      </c>
      <c r="T3495">
        <f>_xlfn.ISOWEEKNUM(Table1[[#This Row],[Date]])</f>
        <v>52</v>
      </c>
    </row>
    <row r="3496" spans="1:20" hidden="1">
      <c r="A3496" s="1"/>
      <c r="S3496" t="str">
        <f>TEXT(Table1[[#This Row],[Date]],"MMM-YY")</f>
        <v>Jan-00</v>
      </c>
      <c r="T3496">
        <f>_xlfn.ISOWEEKNUM(Table1[[#This Row],[Date]])</f>
        <v>52</v>
      </c>
    </row>
    <row r="3497" spans="1:20" hidden="1">
      <c r="A3497" s="1"/>
      <c r="S3497" t="str">
        <f>TEXT(Table1[[#This Row],[Date]],"MMM-YY")</f>
        <v>Jan-00</v>
      </c>
      <c r="T3497">
        <f>_xlfn.ISOWEEKNUM(Table1[[#This Row],[Date]])</f>
        <v>52</v>
      </c>
    </row>
    <row r="3498" spans="1:20" hidden="1">
      <c r="A3498" s="1"/>
      <c r="S3498" t="str">
        <f>TEXT(Table1[[#This Row],[Date]],"MMM-YY")</f>
        <v>Jan-00</v>
      </c>
      <c r="T3498">
        <f>_xlfn.ISOWEEKNUM(Table1[[#This Row],[Date]])</f>
        <v>52</v>
      </c>
    </row>
    <row r="3499" spans="1:20" hidden="1">
      <c r="A3499" s="1"/>
      <c r="S3499" t="str">
        <f>TEXT(Table1[[#This Row],[Date]],"MMM-YY")</f>
        <v>Jan-00</v>
      </c>
      <c r="T3499">
        <f>_xlfn.ISOWEEKNUM(Table1[[#This Row],[Date]])</f>
        <v>52</v>
      </c>
    </row>
    <row r="3500" spans="1:20" hidden="1">
      <c r="A3500" s="1"/>
      <c r="S3500" t="str">
        <f>TEXT(Table1[[#This Row],[Date]],"MMM-YY")</f>
        <v>Jan-00</v>
      </c>
      <c r="T3500">
        <f>_xlfn.ISOWEEKNUM(Table1[[#This Row],[Date]])</f>
        <v>52</v>
      </c>
    </row>
    <row r="3501" spans="1:20" hidden="1">
      <c r="A3501" s="1"/>
      <c r="S3501" t="str">
        <f>TEXT(Table1[[#This Row],[Date]],"MMM-YY")</f>
        <v>Jan-00</v>
      </c>
      <c r="T3501">
        <f>_xlfn.ISOWEEKNUM(Table1[[#This Row],[Date]])</f>
        <v>52</v>
      </c>
    </row>
    <row r="3502" spans="1:20" hidden="1">
      <c r="A3502" s="1"/>
      <c r="S3502" t="str">
        <f>TEXT(Table1[[#This Row],[Date]],"MMM-YY")</f>
        <v>Jan-00</v>
      </c>
      <c r="T3502">
        <f>_xlfn.ISOWEEKNUM(Table1[[#This Row],[Date]])</f>
        <v>52</v>
      </c>
    </row>
    <row r="3503" spans="1:20" hidden="1">
      <c r="A3503" s="1"/>
      <c r="S3503" t="str">
        <f>TEXT(Table1[[#This Row],[Date]],"MMM-YY")</f>
        <v>Jan-00</v>
      </c>
      <c r="T3503">
        <f>_xlfn.ISOWEEKNUM(Table1[[#This Row],[Date]])</f>
        <v>52</v>
      </c>
    </row>
    <row r="3504" spans="1:20" hidden="1">
      <c r="A3504" s="1"/>
      <c r="S3504" t="str">
        <f>TEXT(Table1[[#This Row],[Date]],"MMM-YY")</f>
        <v>Jan-00</v>
      </c>
      <c r="T3504">
        <f>_xlfn.ISOWEEKNUM(Table1[[#This Row],[Date]])</f>
        <v>52</v>
      </c>
    </row>
    <row r="3505" spans="1:20" hidden="1">
      <c r="A3505" s="1"/>
      <c r="S3505" t="str">
        <f>TEXT(Table1[[#This Row],[Date]],"MMM-YY")</f>
        <v>Jan-00</v>
      </c>
      <c r="T3505">
        <f>_xlfn.ISOWEEKNUM(Table1[[#This Row],[Date]])</f>
        <v>52</v>
      </c>
    </row>
    <row r="3506" spans="1:20" hidden="1">
      <c r="A3506" s="1"/>
      <c r="S3506" t="str">
        <f>TEXT(Table1[[#This Row],[Date]],"MMM-YY")</f>
        <v>Jan-00</v>
      </c>
      <c r="T3506">
        <f>_xlfn.ISOWEEKNUM(Table1[[#This Row],[Date]])</f>
        <v>52</v>
      </c>
    </row>
    <row r="3507" spans="1:20" hidden="1">
      <c r="A3507" s="1"/>
      <c r="S3507" t="str">
        <f>TEXT(Table1[[#This Row],[Date]],"MMM-YY")</f>
        <v>Jan-00</v>
      </c>
      <c r="T3507">
        <f>_xlfn.ISOWEEKNUM(Table1[[#This Row],[Date]])</f>
        <v>52</v>
      </c>
    </row>
    <row r="3508" spans="1:20" hidden="1">
      <c r="A3508" s="1"/>
      <c r="S3508" t="str">
        <f>TEXT(Table1[[#This Row],[Date]],"MMM-YY")</f>
        <v>Jan-00</v>
      </c>
      <c r="T3508">
        <f>_xlfn.ISOWEEKNUM(Table1[[#This Row],[Date]])</f>
        <v>52</v>
      </c>
    </row>
    <row r="3509" spans="1:20" hidden="1">
      <c r="A3509" s="1"/>
      <c r="S3509" t="str">
        <f>TEXT(Table1[[#This Row],[Date]],"MMM-YY")</f>
        <v>Jan-00</v>
      </c>
      <c r="T3509">
        <f>_xlfn.ISOWEEKNUM(Table1[[#This Row],[Date]])</f>
        <v>52</v>
      </c>
    </row>
    <row r="3510" spans="1:20" hidden="1">
      <c r="A3510" s="1"/>
      <c r="S3510" t="str">
        <f>TEXT(Table1[[#This Row],[Date]],"MMM-YY")</f>
        <v>Jan-00</v>
      </c>
      <c r="T3510">
        <f>_xlfn.ISOWEEKNUM(Table1[[#This Row],[Date]])</f>
        <v>52</v>
      </c>
    </row>
    <row r="3511" spans="1:20" hidden="1">
      <c r="A3511" s="1"/>
      <c r="S3511" t="str">
        <f>TEXT(Table1[[#This Row],[Date]],"MMM-YY")</f>
        <v>Jan-00</v>
      </c>
      <c r="T3511">
        <f>_xlfn.ISOWEEKNUM(Table1[[#This Row],[Date]])</f>
        <v>52</v>
      </c>
    </row>
    <row r="3512" spans="1:20" hidden="1">
      <c r="A3512" s="1"/>
      <c r="S3512" t="str">
        <f>TEXT(Table1[[#This Row],[Date]],"MMM-YY")</f>
        <v>Jan-00</v>
      </c>
      <c r="T3512">
        <f>_xlfn.ISOWEEKNUM(Table1[[#This Row],[Date]])</f>
        <v>52</v>
      </c>
    </row>
    <row r="3513" spans="1:20" hidden="1">
      <c r="A3513" s="1"/>
      <c r="S3513" t="str">
        <f>TEXT(Table1[[#This Row],[Date]],"MMM-YY")</f>
        <v>Jan-00</v>
      </c>
      <c r="T3513">
        <f>_xlfn.ISOWEEKNUM(Table1[[#This Row],[Date]])</f>
        <v>52</v>
      </c>
    </row>
    <row r="3514" spans="1:20" hidden="1">
      <c r="A3514" s="1"/>
      <c r="S3514" t="str">
        <f>TEXT(Table1[[#This Row],[Date]],"MMM-YY")</f>
        <v>Jan-00</v>
      </c>
      <c r="T3514">
        <f>_xlfn.ISOWEEKNUM(Table1[[#This Row],[Date]])</f>
        <v>52</v>
      </c>
    </row>
    <row r="3515" spans="1:20" hidden="1">
      <c r="A3515" s="1"/>
      <c r="S3515" t="str">
        <f>TEXT(Table1[[#This Row],[Date]],"MMM-YY")</f>
        <v>Jan-00</v>
      </c>
      <c r="T3515">
        <f>_xlfn.ISOWEEKNUM(Table1[[#This Row],[Date]])</f>
        <v>52</v>
      </c>
    </row>
    <row r="3516" spans="1:20" hidden="1">
      <c r="A3516" s="1"/>
      <c r="S3516" t="str">
        <f>TEXT(Table1[[#This Row],[Date]],"MMM-YY")</f>
        <v>Jan-00</v>
      </c>
      <c r="T3516">
        <f>_xlfn.ISOWEEKNUM(Table1[[#This Row],[Date]])</f>
        <v>52</v>
      </c>
    </row>
    <row r="3517" spans="1:20" hidden="1">
      <c r="A3517" s="1"/>
      <c r="S3517" t="str">
        <f>TEXT(Table1[[#This Row],[Date]],"MMM-YY")</f>
        <v>Jan-00</v>
      </c>
      <c r="T3517">
        <f>_xlfn.ISOWEEKNUM(Table1[[#This Row],[Date]])</f>
        <v>52</v>
      </c>
    </row>
    <row r="3518" spans="1:20" hidden="1">
      <c r="A3518" s="1"/>
      <c r="S3518" t="str">
        <f>TEXT(Table1[[#This Row],[Date]],"MMM-YY")</f>
        <v>Jan-00</v>
      </c>
      <c r="T3518">
        <f>_xlfn.ISOWEEKNUM(Table1[[#This Row],[Date]])</f>
        <v>52</v>
      </c>
    </row>
    <row r="3519" spans="1:20" hidden="1">
      <c r="A3519" s="1"/>
      <c r="S3519" t="str">
        <f>TEXT(Table1[[#This Row],[Date]],"MMM-YY")</f>
        <v>Jan-00</v>
      </c>
      <c r="T3519">
        <f>_xlfn.ISOWEEKNUM(Table1[[#This Row],[Date]])</f>
        <v>52</v>
      </c>
    </row>
    <row r="3520" spans="1:20" hidden="1">
      <c r="A3520" s="1"/>
      <c r="S3520" t="str">
        <f>TEXT(Table1[[#This Row],[Date]],"MMM-YY")</f>
        <v>Jan-00</v>
      </c>
      <c r="T3520">
        <f>_xlfn.ISOWEEKNUM(Table1[[#This Row],[Date]])</f>
        <v>52</v>
      </c>
    </row>
    <row r="3521" spans="1:20" hidden="1">
      <c r="A3521" s="1"/>
      <c r="S3521" t="str">
        <f>TEXT(Table1[[#This Row],[Date]],"MMM-YY")</f>
        <v>Jan-00</v>
      </c>
      <c r="T3521">
        <f>_xlfn.ISOWEEKNUM(Table1[[#This Row],[Date]])</f>
        <v>52</v>
      </c>
    </row>
    <row r="3522" spans="1:20" hidden="1">
      <c r="A3522" s="1"/>
      <c r="S3522" t="str">
        <f>TEXT(Table1[[#This Row],[Date]],"MMM-YY")</f>
        <v>Jan-00</v>
      </c>
      <c r="T3522">
        <f>_xlfn.ISOWEEKNUM(Table1[[#This Row],[Date]])</f>
        <v>52</v>
      </c>
    </row>
    <row r="3523" spans="1:20" hidden="1">
      <c r="A3523" s="1"/>
      <c r="S3523" t="str">
        <f>TEXT(Table1[[#This Row],[Date]],"MMM-YY")</f>
        <v>Jan-00</v>
      </c>
      <c r="T3523">
        <f>_xlfn.ISOWEEKNUM(Table1[[#This Row],[Date]])</f>
        <v>52</v>
      </c>
    </row>
    <row r="3524" spans="1:20" hidden="1">
      <c r="A3524" s="1"/>
      <c r="S3524" t="str">
        <f>TEXT(Table1[[#This Row],[Date]],"MMM-YY")</f>
        <v>Jan-00</v>
      </c>
      <c r="T3524">
        <f>_xlfn.ISOWEEKNUM(Table1[[#This Row],[Date]])</f>
        <v>52</v>
      </c>
    </row>
    <row r="3525" spans="1:20" hidden="1">
      <c r="A3525" s="1"/>
      <c r="S3525" t="str">
        <f>TEXT(Table1[[#This Row],[Date]],"MMM-YY")</f>
        <v>Jan-00</v>
      </c>
      <c r="T3525">
        <f>_xlfn.ISOWEEKNUM(Table1[[#This Row],[Date]])</f>
        <v>52</v>
      </c>
    </row>
    <row r="3526" spans="1:20" hidden="1">
      <c r="A3526" s="1"/>
      <c r="S3526" t="str">
        <f>TEXT(Table1[[#This Row],[Date]],"MMM-YY")</f>
        <v>Jan-00</v>
      </c>
      <c r="T3526">
        <f>_xlfn.ISOWEEKNUM(Table1[[#This Row],[Date]])</f>
        <v>52</v>
      </c>
    </row>
    <row r="3527" spans="1:20" hidden="1">
      <c r="A3527" s="1"/>
      <c r="S3527" t="str">
        <f>TEXT(Table1[[#This Row],[Date]],"MMM-YY")</f>
        <v>Jan-00</v>
      </c>
      <c r="T3527">
        <f>_xlfn.ISOWEEKNUM(Table1[[#This Row],[Date]])</f>
        <v>52</v>
      </c>
    </row>
    <row r="3528" spans="1:20" hidden="1">
      <c r="A3528" s="1"/>
      <c r="S3528" t="str">
        <f>TEXT(Table1[[#This Row],[Date]],"MMM-YY")</f>
        <v>Jan-00</v>
      </c>
      <c r="T3528">
        <f>_xlfn.ISOWEEKNUM(Table1[[#This Row],[Date]])</f>
        <v>52</v>
      </c>
    </row>
    <row r="3529" spans="1:20" hidden="1">
      <c r="A3529" s="1"/>
      <c r="S3529" t="str">
        <f>TEXT(Table1[[#This Row],[Date]],"MMM-YY")</f>
        <v>Jan-00</v>
      </c>
      <c r="T3529">
        <f>_xlfn.ISOWEEKNUM(Table1[[#This Row],[Date]])</f>
        <v>52</v>
      </c>
    </row>
    <row r="3530" spans="1:20" hidden="1">
      <c r="A3530" s="1"/>
      <c r="S3530" t="str">
        <f>TEXT(Table1[[#This Row],[Date]],"MMM-YY")</f>
        <v>Jan-00</v>
      </c>
      <c r="T3530">
        <f>_xlfn.ISOWEEKNUM(Table1[[#This Row],[Date]])</f>
        <v>52</v>
      </c>
    </row>
    <row r="3531" spans="1:20" hidden="1">
      <c r="A3531" s="1"/>
      <c r="S3531" t="str">
        <f>TEXT(Table1[[#This Row],[Date]],"MMM-YY")</f>
        <v>Jan-00</v>
      </c>
      <c r="T3531">
        <f>_xlfn.ISOWEEKNUM(Table1[[#This Row],[Date]])</f>
        <v>52</v>
      </c>
    </row>
    <row r="3532" spans="1:20" hidden="1">
      <c r="A3532" s="1"/>
      <c r="S3532" t="str">
        <f>TEXT(Table1[[#This Row],[Date]],"MMM-YY")</f>
        <v>Jan-00</v>
      </c>
      <c r="T3532">
        <f>_xlfn.ISOWEEKNUM(Table1[[#This Row],[Date]])</f>
        <v>52</v>
      </c>
    </row>
    <row r="3533" spans="1:20" hidden="1">
      <c r="A3533" s="1"/>
      <c r="S3533" t="str">
        <f>TEXT(Table1[[#This Row],[Date]],"MMM-YY")</f>
        <v>Jan-00</v>
      </c>
      <c r="T3533">
        <f>_xlfn.ISOWEEKNUM(Table1[[#This Row],[Date]])</f>
        <v>52</v>
      </c>
    </row>
    <row r="3534" spans="1:20" hidden="1">
      <c r="A3534" s="1"/>
      <c r="S3534" t="str">
        <f>TEXT(Table1[[#This Row],[Date]],"MMM-YY")</f>
        <v>Jan-00</v>
      </c>
      <c r="T3534">
        <f>_xlfn.ISOWEEKNUM(Table1[[#This Row],[Date]])</f>
        <v>52</v>
      </c>
    </row>
    <row r="3535" spans="1:20" hidden="1">
      <c r="A3535" s="1"/>
      <c r="S3535" t="str">
        <f>TEXT(Table1[[#This Row],[Date]],"MMM-YY")</f>
        <v>Jan-00</v>
      </c>
      <c r="T3535">
        <f>_xlfn.ISOWEEKNUM(Table1[[#This Row],[Date]])</f>
        <v>52</v>
      </c>
    </row>
    <row r="3536" spans="1:20" hidden="1">
      <c r="A3536" s="1"/>
      <c r="S3536" t="str">
        <f>TEXT(Table1[[#This Row],[Date]],"MMM-YY")</f>
        <v>Jan-00</v>
      </c>
      <c r="T3536">
        <f>_xlfn.ISOWEEKNUM(Table1[[#This Row],[Date]])</f>
        <v>52</v>
      </c>
    </row>
    <row r="3537" spans="1:20" hidden="1">
      <c r="A3537" s="1"/>
      <c r="S3537" t="str">
        <f>TEXT(Table1[[#This Row],[Date]],"MMM-YY")</f>
        <v>Jan-00</v>
      </c>
      <c r="T3537">
        <f>_xlfn.ISOWEEKNUM(Table1[[#This Row],[Date]])</f>
        <v>52</v>
      </c>
    </row>
    <row r="3538" spans="1:20" hidden="1">
      <c r="A3538" s="1"/>
      <c r="S3538" t="str">
        <f>TEXT(Table1[[#This Row],[Date]],"MMM-YY")</f>
        <v>Jan-00</v>
      </c>
      <c r="T3538">
        <f>_xlfn.ISOWEEKNUM(Table1[[#This Row],[Date]])</f>
        <v>52</v>
      </c>
    </row>
    <row r="3539" spans="1:20" hidden="1">
      <c r="A3539" s="1"/>
      <c r="S3539" t="str">
        <f>TEXT(Table1[[#This Row],[Date]],"MMM-YY")</f>
        <v>Jan-00</v>
      </c>
      <c r="T3539">
        <f>_xlfn.ISOWEEKNUM(Table1[[#This Row],[Date]])</f>
        <v>52</v>
      </c>
    </row>
    <row r="3540" spans="1:20" hidden="1">
      <c r="A3540" s="1"/>
      <c r="S3540" t="str">
        <f>TEXT(Table1[[#This Row],[Date]],"MMM-YY")</f>
        <v>Jan-00</v>
      </c>
      <c r="T3540">
        <f>_xlfn.ISOWEEKNUM(Table1[[#This Row],[Date]])</f>
        <v>52</v>
      </c>
    </row>
    <row r="3541" spans="1:20" hidden="1">
      <c r="A3541" s="1"/>
      <c r="S3541" t="str">
        <f>TEXT(Table1[[#This Row],[Date]],"MMM-YY")</f>
        <v>Jan-00</v>
      </c>
      <c r="T3541">
        <f>_xlfn.ISOWEEKNUM(Table1[[#This Row],[Date]])</f>
        <v>52</v>
      </c>
    </row>
    <row r="3542" spans="1:20" hidden="1">
      <c r="A3542" s="1"/>
      <c r="S3542" t="str">
        <f>TEXT(Table1[[#This Row],[Date]],"MMM-YY")</f>
        <v>Jan-00</v>
      </c>
      <c r="T3542">
        <f>_xlfn.ISOWEEKNUM(Table1[[#This Row],[Date]])</f>
        <v>52</v>
      </c>
    </row>
    <row r="3543" spans="1:20" hidden="1">
      <c r="A3543" s="1"/>
      <c r="S3543" t="str">
        <f>TEXT(Table1[[#This Row],[Date]],"MMM-YY")</f>
        <v>Jan-00</v>
      </c>
      <c r="T3543">
        <f>_xlfn.ISOWEEKNUM(Table1[[#This Row],[Date]])</f>
        <v>52</v>
      </c>
    </row>
    <row r="3544" spans="1:20" hidden="1">
      <c r="A3544" s="1"/>
      <c r="S3544" t="str">
        <f>TEXT(Table1[[#This Row],[Date]],"MMM-YY")</f>
        <v>Jan-00</v>
      </c>
      <c r="T3544">
        <f>_xlfn.ISOWEEKNUM(Table1[[#This Row],[Date]])</f>
        <v>52</v>
      </c>
    </row>
    <row r="3545" spans="1:20" hidden="1">
      <c r="A3545" s="1"/>
      <c r="S3545" t="str">
        <f>TEXT(Table1[[#This Row],[Date]],"MMM-YY")</f>
        <v>Jan-00</v>
      </c>
      <c r="T3545">
        <f>_xlfn.ISOWEEKNUM(Table1[[#This Row],[Date]])</f>
        <v>52</v>
      </c>
    </row>
    <row r="3546" spans="1:20" hidden="1">
      <c r="A3546" s="1"/>
      <c r="S3546" t="str">
        <f>TEXT(Table1[[#This Row],[Date]],"MMM-YY")</f>
        <v>Jan-00</v>
      </c>
      <c r="T3546">
        <f>_xlfn.ISOWEEKNUM(Table1[[#This Row],[Date]])</f>
        <v>52</v>
      </c>
    </row>
    <row r="3547" spans="1:20" hidden="1">
      <c r="A3547" s="1"/>
      <c r="S3547" t="str">
        <f>TEXT(Table1[[#This Row],[Date]],"MMM-YY")</f>
        <v>Jan-00</v>
      </c>
      <c r="T3547">
        <f>_xlfn.ISOWEEKNUM(Table1[[#This Row],[Date]])</f>
        <v>52</v>
      </c>
    </row>
    <row r="3548" spans="1:20" hidden="1">
      <c r="A3548" s="1"/>
      <c r="S3548" t="str">
        <f>TEXT(Table1[[#This Row],[Date]],"MMM-YY")</f>
        <v>Jan-00</v>
      </c>
      <c r="T3548">
        <f>_xlfn.ISOWEEKNUM(Table1[[#This Row],[Date]])</f>
        <v>52</v>
      </c>
    </row>
    <row r="3549" spans="1:20" hidden="1">
      <c r="A3549" s="1"/>
      <c r="S3549" t="str">
        <f>TEXT(Table1[[#This Row],[Date]],"MMM-YY")</f>
        <v>Jan-00</v>
      </c>
      <c r="T3549">
        <f>_xlfn.ISOWEEKNUM(Table1[[#This Row],[Date]])</f>
        <v>52</v>
      </c>
    </row>
    <row r="3550" spans="1:20" hidden="1">
      <c r="A3550" s="1"/>
      <c r="S3550" t="str">
        <f>TEXT(Table1[[#This Row],[Date]],"MMM-YY")</f>
        <v>Jan-00</v>
      </c>
      <c r="T3550">
        <f>_xlfn.ISOWEEKNUM(Table1[[#This Row],[Date]])</f>
        <v>52</v>
      </c>
    </row>
    <row r="3551" spans="1:20" hidden="1">
      <c r="A3551" s="1"/>
      <c r="S3551" t="str">
        <f>TEXT(Table1[[#This Row],[Date]],"MMM-YY")</f>
        <v>Jan-00</v>
      </c>
      <c r="T3551">
        <f>_xlfn.ISOWEEKNUM(Table1[[#This Row],[Date]])</f>
        <v>52</v>
      </c>
    </row>
    <row r="3552" spans="1:20" hidden="1">
      <c r="A3552" s="1"/>
      <c r="S3552" t="str">
        <f>TEXT(Table1[[#This Row],[Date]],"MMM-YY")</f>
        <v>Jan-00</v>
      </c>
      <c r="T3552">
        <f>_xlfn.ISOWEEKNUM(Table1[[#This Row],[Date]])</f>
        <v>52</v>
      </c>
    </row>
    <row r="3553" spans="1:20" hidden="1">
      <c r="A3553" s="1"/>
      <c r="S3553" t="str">
        <f>TEXT(Table1[[#This Row],[Date]],"MMM-YY")</f>
        <v>Jan-00</v>
      </c>
      <c r="T3553">
        <f>_xlfn.ISOWEEKNUM(Table1[[#This Row],[Date]])</f>
        <v>52</v>
      </c>
    </row>
    <row r="3554" spans="1:20" hidden="1">
      <c r="A3554" s="1"/>
      <c r="S3554" t="str">
        <f>TEXT(Table1[[#This Row],[Date]],"MMM-YY")</f>
        <v>Jan-00</v>
      </c>
      <c r="T3554">
        <f>_xlfn.ISOWEEKNUM(Table1[[#This Row],[Date]])</f>
        <v>52</v>
      </c>
    </row>
    <row r="3555" spans="1:20" hidden="1">
      <c r="A3555" s="1"/>
      <c r="S3555" t="str">
        <f>TEXT(Table1[[#This Row],[Date]],"MMM-YY")</f>
        <v>Jan-00</v>
      </c>
      <c r="T3555">
        <f>_xlfn.ISOWEEKNUM(Table1[[#This Row],[Date]])</f>
        <v>52</v>
      </c>
    </row>
    <row r="3556" spans="1:20" hidden="1">
      <c r="A3556" s="1"/>
      <c r="S3556" t="str">
        <f>TEXT(Table1[[#This Row],[Date]],"MMM-YY")</f>
        <v>Jan-00</v>
      </c>
      <c r="T3556">
        <f>_xlfn.ISOWEEKNUM(Table1[[#This Row],[Date]])</f>
        <v>52</v>
      </c>
    </row>
    <row r="3557" spans="1:20" hidden="1">
      <c r="A3557" s="1"/>
      <c r="S3557" t="str">
        <f>TEXT(Table1[[#This Row],[Date]],"MMM-YY")</f>
        <v>Jan-00</v>
      </c>
      <c r="T3557">
        <f>_xlfn.ISOWEEKNUM(Table1[[#This Row],[Date]])</f>
        <v>52</v>
      </c>
    </row>
    <row r="3558" spans="1:20" hidden="1">
      <c r="A3558" s="1"/>
      <c r="S3558" t="str">
        <f>TEXT(Table1[[#This Row],[Date]],"MMM-YY")</f>
        <v>Jan-00</v>
      </c>
      <c r="T3558">
        <f>_xlfn.ISOWEEKNUM(Table1[[#This Row],[Date]])</f>
        <v>52</v>
      </c>
    </row>
    <row r="3559" spans="1:20" hidden="1">
      <c r="A3559" s="1"/>
      <c r="S3559" t="str">
        <f>TEXT(Table1[[#This Row],[Date]],"MMM-YY")</f>
        <v>Jan-00</v>
      </c>
      <c r="T3559">
        <f>_xlfn.ISOWEEKNUM(Table1[[#This Row],[Date]])</f>
        <v>52</v>
      </c>
    </row>
    <row r="3560" spans="1:20" hidden="1">
      <c r="A3560" s="1"/>
      <c r="S3560" t="str">
        <f>TEXT(Table1[[#This Row],[Date]],"MMM-YY")</f>
        <v>Jan-00</v>
      </c>
      <c r="T3560">
        <f>_xlfn.ISOWEEKNUM(Table1[[#This Row],[Date]])</f>
        <v>52</v>
      </c>
    </row>
    <row r="3561" spans="1:20" hidden="1">
      <c r="A3561" s="1"/>
      <c r="S3561" t="str">
        <f>TEXT(Table1[[#This Row],[Date]],"MMM-YY")</f>
        <v>Jan-00</v>
      </c>
      <c r="T3561">
        <f>_xlfn.ISOWEEKNUM(Table1[[#This Row],[Date]])</f>
        <v>52</v>
      </c>
    </row>
    <row r="3562" spans="1:20" hidden="1">
      <c r="A3562" s="1"/>
      <c r="S3562" t="str">
        <f>TEXT(Table1[[#This Row],[Date]],"MMM-YY")</f>
        <v>Jan-00</v>
      </c>
      <c r="T3562">
        <f>_xlfn.ISOWEEKNUM(Table1[[#This Row],[Date]])</f>
        <v>52</v>
      </c>
    </row>
    <row r="3563" spans="1:20" hidden="1">
      <c r="A3563" s="1"/>
      <c r="S3563" t="str">
        <f>TEXT(Table1[[#This Row],[Date]],"MMM-YY")</f>
        <v>Jan-00</v>
      </c>
      <c r="T3563">
        <f>_xlfn.ISOWEEKNUM(Table1[[#This Row],[Date]])</f>
        <v>52</v>
      </c>
    </row>
    <row r="3564" spans="1:20" hidden="1">
      <c r="A3564" s="1"/>
      <c r="S3564" t="str">
        <f>TEXT(Table1[[#This Row],[Date]],"MMM-YY")</f>
        <v>Jan-00</v>
      </c>
      <c r="T3564">
        <f>_xlfn.ISOWEEKNUM(Table1[[#This Row],[Date]])</f>
        <v>52</v>
      </c>
    </row>
    <row r="3565" spans="1:20" hidden="1">
      <c r="A3565" s="1"/>
      <c r="S3565" t="str">
        <f>TEXT(Table1[[#This Row],[Date]],"MMM-YY")</f>
        <v>Jan-00</v>
      </c>
      <c r="T3565">
        <f>_xlfn.ISOWEEKNUM(Table1[[#This Row],[Date]])</f>
        <v>52</v>
      </c>
    </row>
    <row r="3566" spans="1:20" hidden="1">
      <c r="A3566" s="1"/>
      <c r="S3566" t="str">
        <f>TEXT(Table1[[#This Row],[Date]],"MMM-YY")</f>
        <v>Jan-00</v>
      </c>
      <c r="T3566">
        <f>_xlfn.ISOWEEKNUM(Table1[[#This Row],[Date]])</f>
        <v>52</v>
      </c>
    </row>
    <row r="3567" spans="1:20" hidden="1">
      <c r="A3567" s="1"/>
      <c r="S3567" t="str">
        <f>TEXT(Table1[[#This Row],[Date]],"MMM-YY")</f>
        <v>Jan-00</v>
      </c>
      <c r="T3567">
        <f>_xlfn.ISOWEEKNUM(Table1[[#This Row],[Date]])</f>
        <v>52</v>
      </c>
    </row>
    <row r="3568" spans="1:20" hidden="1">
      <c r="A3568" s="1"/>
      <c r="S3568" t="str">
        <f>TEXT(Table1[[#This Row],[Date]],"MMM-YY")</f>
        <v>Jan-00</v>
      </c>
      <c r="T3568">
        <f>_xlfn.ISOWEEKNUM(Table1[[#This Row],[Date]])</f>
        <v>52</v>
      </c>
    </row>
    <row r="3569" spans="1:20" hidden="1">
      <c r="A3569" s="1"/>
      <c r="S3569" t="str">
        <f>TEXT(Table1[[#This Row],[Date]],"MMM-YY")</f>
        <v>Jan-00</v>
      </c>
      <c r="T3569">
        <f>_xlfn.ISOWEEKNUM(Table1[[#This Row],[Date]])</f>
        <v>52</v>
      </c>
    </row>
    <row r="3570" spans="1:20" hidden="1">
      <c r="A3570" s="1"/>
      <c r="S3570" t="str">
        <f>TEXT(Table1[[#This Row],[Date]],"MMM-YY")</f>
        <v>Jan-00</v>
      </c>
      <c r="T3570">
        <f>_xlfn.ISOWEEKNUM(Table1[[#This Row],[Date]])</f>
        <v>52</v>
      </c>
    </row>
    <row r="3571" spans="1:20" hidden="1">
      <c r="A3571" s="1"/>
      <c r="S3571" t="str">
        <f>TEXT(Table1[[#This Row],[Date]],"MMM-YY")</f>
        <v>Jan-00</v>
      </c>
      <c r="T3571">
        <f>_xlfn.ISOWEEKNUM(Table1[[#This Row],[Date]])</f>
        <v>52</v>
      </c>
    </row>
    <row r="3572" spans="1:20" hidden="1">
      <c r="A3572" s="1"/>
      <c r="S3572" t="str">
        <f>TEXT(Table1[[#This Row],[Date]],"MMM-YY")</f>
        <v>Jan-00</v>
      </c>
      <c r="T3572">
        <f>_xlfn.ISOWEEKNUM(Table1[[#This Row],[Date]])</f>
        <v>52</v>
      </c>
    </row>
    <row r="3573" spans="1:20" hidden="1">
      <c r="A3573" s="1"/>
      <c r="S3573" t="str">
        <f>TEXT(Table1[[#This Row],[Date]],"MMM-YY")</f>
        <v>Jan-00</v>
      </c>
      <c r="T3573">
        <f>_xlfn.ISOWEEKNUM(Table1[[#This Row],[Date]])</f>
        <v>52</v>
      </c>
    </row>
    <row r="3574" spans="1:20" hidden="1">
      <c r="A3574" s="1"/>
      <c r="S3574" t="str">
        <f>TEXT(Table1[[#This Row],[Date]],"MMM-YY")</f>
        <v>Jan-00</v>
      </c>
      <c r="T3574">
        <f>_xlfn.ISOWEEKNUM(Table1[[#This Row],[Date]])</f>
        <v>52</v>
      </c>
    </row>
    <row r="3575" spans="1:20" hidden="1">
      <c r="A3575" s="1"/>
      <c r="S3575" t="str">
        <f>TEXT(Table1[[#This Row],[Date]],"MMM-YY")</f>
        <v>Jan-00</v>
      </c>
      <c r="T3575">
        <f>_xlfn.ISOWEEKNUM(Table1[[#This Row],[Date]])</f>
        <v>52</v>
      </c>
    </row>
    <row r="3576" spans="1:20" hidden="1">
      <c r="A3576" s="1"/>
      <c r="S3576" t="str">
        <f>TEXT(Table1[[#This Row],[Date]],"MMM-YY")</f>
        <v>Jan-00</v>
      </c>
      <c r="T3576">
        <f>_xlfn.ISOWEEKNUM(Table1[[#This Row],[Date]])</f>
        <v>52</v>
      </c>
    </row>
    <row r="3577" spans="1:20" hidden="1">
      <c r="A3577" s="1"/>
      <c r="S3577" t="str">
        <f>TEXT(Table1[[#This Row],[Date]],"MMM-YY")</f>
        <v>Jan-00</v>
      </c>
      <c r="T3577">
        <f>_xlfn.ISOWEEKNUM(Table1[[#This Row],[Date]])</f>
        <v>52</v>
      </c>
    </row>
    <row r="3578" spans="1:20" hidden="1">
      <c r="A3578" s="1"/>
      <c r="S3578" t="str">
        <f>TEXT(Table1[[#This Row],[Date]],"MMM-YY")</f>
        <v>Jan-00</v>
      </c>
      <c r="T3578">
        <f>_xlfn.ISOWEEKNUM(Table1[[#This Row],[Date]])</f>
        <v>52</v>
      </c>
    </row>
    <row r="3579" spans="1:20" hidden="1">
      <c r="A3579" s="1"/>
      <c r="S3579" t="str">
        <f>TEXT(Table1[[#This Row],[Date]],"MMM-YY")</f>
        <v>Jan-00</v>
      </c>
      <c r="T3579">
        <f>_xlfn.ISOWEEKNUM(Table1[[#This Row],[Date]])</f>
        <v>52</v>
      </c>
    </row>
    <row r="3580" spans="1:20" hidden="1">
      <c r="A3580" s="1"/>
      <c r="S3580" t="str">
        <f>TEXT(Table1[[#This Row],[Date]],"MMM-YY")</f>
        <v>Jan-00</v>
      </c>
      <c r="T3580">
        <f>_xlfn.ISOWEEKNUM(Table1[[#This Row],[Date]])</f>
        <v>52</v>
      </c>
    </row>
    <row r="3581" spans="1:20" hidden="1">
      <c r="A3581" s="1"/>
      <c r="S3581" t="str">
        <f>TEXT(Table1[[#This Row],[Date]],"MMM-YY")</f>
        <v>Jan-00</v>
      </c>
      <c r="T3581">
        <f>_xlfn.ISOWEEKNUM(Table1[[#This Row],[Date]])</f>
        <v>52</v>
      </c>
    </row>
    <row r="3582" spans="1:20" hidden="1">
      <c r="A3582" s="1"/>
      <c r="S3582" t="str">
        <f>TEXT(Table1[[#This Row],[Date]],"MMM-YY")</f>
        <v>Jan-00</v>
      </c>
      <c r="T3582">
        <f>_xlfn.ISOWEEKNUM(Table1[[#This Row],[Date]])</f>
        <v>52</v>
      </c>
    </row>
    <row r="3583" spans="1:20" hidden="1">
      <c r="A3583" s="1"/>
      <c r="S3583" t="str">
        <f>TEXT(Table1[[#This Row],[Date]],"MMM-YY")</f>
        <v>Jan-00</v>
      </c>
      <c r="T3583">
        <f>_xlfn.ISOWEEKNUM(Table1[[#This Row],[Date]])</f>
        <v>52</v>
      </c>
    </row>
    <row r="3584" spans="1:20" hidden="1">
      <c r="A3584" s="1"/>
      <c r="S3584" t="str">
        <f>TEXT(Table1[[#This Row],[Date]],"MMM-YY")</f>
        <v>Jan-00</v>
      </c>
      <c r="T3584">
        <f>_xlfn.ISOWEEKNUM(Table1[[#This Row],[Date]])</f>
        <v>52</v>
      </c>
    </row>
    <row r="3585" spans="1:20" hidden="1">
      <c r="A3585" s="1"/>
      <c r="S3585" t="str">
        <f>TEXT(Table1[[#This Row],[Date]],"MMM-YY")</f>
        <v>Jan-00</v>
      </c>
      <c r="T3585">
        <f>_xlfn.ISOWEEKNUM(Table1[[#This Row],[Date]])</f>
        <v>52</v>
      </c>
    </row>
    <row r="3586" spans="1:20" hidden="1">
      <c r="A3586" s="1"/>
      <c r="S3586" t="str">
        <f>TEXT(Table1[[#This Row],[Date]],"MMM-YY")</f>
        <v>Jan-00</v>
      </c>
      <c r="T3586">
        <f>_xlfn.ISOWEEKNUM(Table1[[#This Row],[Date]])</f>
        <v>52</v>
      </c>
    </row>
    <row r="3587" spans="1:20" hidden="1">
      <c r="A3587" s="1"/>
      <c r="S3587" t="str">
        <f>TEXT(Table1[[#This Row],[Date]],"MMM-YY")</f>
        <v>Jan-00</v>
      </c>
      <c r="T3587">
        <f>_xlfn.ISOWEEKNUM(Table1[[#This Row],[Date]])</f>
        <v>52</v>
      </c>
    </row>
    <row r="3588" spans="1:20" hidden="1">
      <c r="A3588" s="1"/>
      <c r="S3588" t="str">
        <f>TEXT(Table1[[#This Row],[Date]],"MMM-YY")</f>
        <v>Jan-00</v>
      </c>
      <c r="T3588">
        <f>_xlfn.ISOWEEKNUM(Table1[[#This Row],[Date]])</f>
        <v>52</v>
      </c>
    </row>
    <row r="3589" spans="1:20" hidden="1">
      <c r="A3589" s="1"/>
      <c r="S3589" t="str">
        <f>TEXT(Table1[[#This Row],[Date]],"MMM-YY")</f>
        <v>Jan-00</v>
      </c>
      <c r="T3589">
        <f>_xlfn.ISOWEEKNUM(Table1[[#This Row],[Date]])</f>
        <v>52</v>
      </c>
    </row>
    <row r="3590" spans="1:20" hidden="1">
      <c r="A3590" s="1"/>
      <c r="S3590" t="str">
        <f>TEXT(Table1[[#This Row],[Date]],"MMM-YY")</f>
        <v>Jan-00</v>
      </c>
      <c r="T3590">
        <f>_xlfn.ISOWEEKNUM(Table1[[#This Row],[Date]])</f>
        <v>52</v>
      </c>
    </row>
    <row r="3591" spans="1:20" hidden="1">
      <c r="A3591" s="1"/>
      <c r="S3591" t="str">
        <f>TEXT(Table1[[#This Row],[Date]],"MMM-YY")</f>
        <v>Jan-00</v>
      </c>
      <c r="T3591">
        <f>_xlfn.ISOWEEKNUM(Table1[[#This Row],[Date]])</f>
        <v>52</v>
      </c>
    </row>
    <row r="3592" spans="1:20" hidden="1">
      <c r="A3592" s="1"/>
      <c r="S3592" t="str">
        <f>TEXT(Table1[[#This Row],[Date]],"MMM-YY")</f>
        <v>Jan-00</v>
      </c>
      <c r="T3592">
        <f>_xlfn.ISOWEEKNUM(Table1[[#This Row],[Date]])</f>
        <v>52</v>
      </c>
    </row>
    <row r="3593" spans="1:20" hidden="1">
      <c r="A3593" s="1"/>
      <c r="S3593" t="str">
        <f>TEXT(Table1[[#This Row],[Date]],"MMM-YY")</f>
        <v>Jan-00</v>
      </c>
      <c r="T3593">
        <f>_xlfn.ISOWEEKNUM(Table1[[#This Row],[Date]])</f>
        <v>52</v>
      </c>
    </row>
    <row r="3594" spans="1:20" hidden="1">
      <c r="A3594" s="1"/>
      <c r="S3594" t="str">
        <f>TEXT(Table1[[#This Row],[Date]],"MMM-YY")</f>
        <v>Jan-00</v>
      </c>
      <c r="T3594">
        <f>_xlfn.ISOWEEKNUM(Table1[[#This Row],[Date]])</f>
        <v>52</v>
      </c>
    </row>
    <row r="3595" spans="1:20" hidden="1">
      <c r="A3595" s="1"/>
      <c r="S3595" t="str">
        <f>TEXT(Table1[[#This Row],[Date]],"MMM-YY")</f>
        <v>Jan-00</v>
      </c>
      <c r="T3595">
        <f>_xlfn.ISOWEEKNUM(Table1[[#This Row],[Date]])</f>
        <v>52</v>
      </c>
    </row>
    <row r="3596" spans="1:20" hidden="1">
      <c r="A3596" s="1"/>
      <c r="S3596" t="str">
        <f>TEXT(Table1[[#This Row],[Date]],"MMM-YY")</f>
        <v>Jan-00</v>
      </c>
      <c r="T3596">
        <f>_xlfn.ISOWEEKNUM(Table1[[#This Row],[Date]])</f>
        <v>52</v>
      </c>
    </row>
    <row r="3597" spans="1:20" hidden="1">
      <c r="A3597" s="1"/>
      <c r="S3597" t="str">
        <f>TEXT(Table1[[#This Row],[Date]],"MMM-YY")</f>
        <v>Jan-00</v>
      </c>
      <c r="T3597">
        <f>_xlfn.ISOWEEKNUM(Table1[[#This Row],[Date]])</f>
        <v>52</v>
      </c>
    </row>
    <row r="3598" spans="1:20" hidden="1">
      <c r="A3598" s="1"/>
      <c r="S3598" t="str">
        <f>TEXT(Table1[[#This Row],[Date]],"MMM-YY")</f>
        <v>Jan-00</v>
      </c>
      <c r="T3598">
        <f>_xlfn.ISOWEEKNUM(Table1[[#This Row],[Date]])</f>
        <v>52</v>
      </c>
    </row>
    <row r="3599" spans="1:20" hidden="1">
      <c r="A3599" s="1"/>
      <c r="S3599" t="str">
        <f>TEXT(Table1[[#This Row],[Date]],"MMM-YY")</f>
        <v>Jan-00</v>
      </c>
      <c r="T3599">
        <f>_xlfn.ISOWEEKNUM(Table1[[#This Row],[Date]])</f>
        <v>52</v>
      </c>
    </row>
    <row r="3600" spans="1:20" hidden="1">
      <c r="A3600" s="1"/>
      <c r="S3600" t="str">
        <f>TEXT(Table1[[#This Row],[Date]],"MMM-YY")</f>
        <v>Jan-00</v>
      </c>
      <c r="T3600">
        <f>_xlfn.ISOWEEKNUM(Table1[[#This Row],[Date]])</f>
        <v>52</v>
      </c>
    </row>
    <row r="3601" spans="1:20" hidden="1">
      <c r="A3601" s="1"/>
      <c r="S3601" t="str">
        <f>TEXT(Table1[[#This Row],[Date]],"MMM-YY")</f>
        <v>Jan-00</v>
      </c>
      <c r="T3601">
        <f>_xlfn.ISOWEEKNUM(Table1[[#This Row],[Date]])</f>
        <v>52</v>
      </c>
    </row>
    <row r="3602" spans="1:20" hidden="1">
      <c r="A3602" s="1"/>
      <c r="S3602" t="str">
        <f>TEXT(Table1[[#This Row],[Date]],"MMM-YY")</f>
        <v>Jan-00</v>
      </c>
      <c r="T3602">
        <f>_xlfn.ISOWEEKNUM(Table1[[#This Row],[Date]])</f>
        <v>52</v>
      </c>
    </row>
    <row r="3603" spans="1:20" hidden="1">
      <c r="A3603" s="1"/>
      <c r="S3603" t="str">
        <f>TEXT(Table1[[#This Row],[Date]],"MMM-YY")</f>
        <v>Jan-00</v>
      </c>
      <c r="T3603">
        <f>_xlfn.ISOWEEKNUM(Table1[[#This Row],[Date]])</f>
        <v>52</v>
      </c>
    </row>
    <row r="3604" spans="1:20" hidden="1">
      <c r="A3604" s="1"/>
      <c r="S3604" t="str">
        <f>TEXT(Table1[[#This Row],[Date]],"MMM-YY")</f>
        <v>Jan-00</v>
      </c>
      <c r="T3604">
        <f>_xlfn.ISOWEEKNUM(Table1[[#This Row],[Date]])</f>
        <v>52</v>
      </c>
    </row>
    <row r="3605" spans="1:20" hidden="1">
      <c r="A3605" s="1"/>
      <c r="S3605" t="str">
        <f>TEXT(Table1[[#This Row],[Date]],"MMM-YY")</f>
        <v>Jan-00</v>
      </c>
      <c r="T3605">
        <f>_xlfn.ISOWEEKNUM(Table1[[#This Row],[Date]])</f>
        <v>52</v>
      </c>
    </row>
    <row r="3606" spans="1:20" hidden="1">
      <c r="A3606" s="1"/>
      <c r="S3606" t="str">
        <f>TEXT(Table1[[#This Row],[Date]],"MMM-YY")</f>
        <v>Jan-00</v>
      </c>
      <c r="T3606">
        <f>_xlfn.ISOWEEKNUM(Table1[[#This Row],[Date]])</f>
        <v>52</v>
      </c>
    </row>
    <row r="3607" spans="1:20" hidden="1">
      <c r="A3607" s="1"/>
      <c r="S3607" t="str">
        <f>TEXT(Table1[[#This Row],[Date]],"MMM-YY")</f>
        <v>Jan-00</v>
      </c>
      <c r="T3607">
        <f>_xlfn.ISOWEEKNUM(Table1[[#This Row],[Date]])</f>
        <v>52</v>
      </c>
    </row>
    <row r="3608" spans="1:20" hidden="1">
      <c r="A3608" s="1"/>
      <c r="S3608" t="str">
        <f>TEXT(Table1[[#This Row],[Date]],"MMM-YY")</f>
        <v>Jan-00</v>
      </c>
      <c r="T3608">
        <f>_xlfn.ISOWEEKNUM(Table1[[#This Row],[Date]])</f>
        <v>52</v>
      </c>
    </row>
    <row r="3609" spans="1:20" hidden="1">
      <c r="A3609" s="1"/>
      <c r="S3609" t="str">
        <f>TEXT(Table1[[#This Row],[Date]],"MMM-YY")</f>
        <v>Jan-00</v>
      </c>
      <c r="T3609">
        <f>_xlfn.ISOWEEKNUM(Table1[[#This Row],[Date]])</f>
        <v>52</v>
      </c>
    </row>
    <row r="3610" spans="1:20" hidden="1">
      <c r="A3610" s="1"/>
      <c r="S3610" t="str">
        <f>TEXT(Table1[[#This Row],[Date]],"MMM-YY")</f>
        <v>Jan-00</v>
      </c>
      <c r="T3610">
        <f>_xlfn.ISOWEEKNUM(Table1[[#This Row],[Date]])</f>
        <v>52</v>
      </c>
    </row>
    <row r="3611" spans="1:20" hidden="1">
      <c r="A3611" s="1"/>
      <c r="S3611" t="str">
        <f>TEXT(Table1[[#This Row],[Date]],"MMM-YY")</f>
        <v>Jan-00</v>
      </c>
      <c r="T3611">
        <f>_xlfn.ISOWEEKNUM(Table1[[#This Row],[Date]])</f>
        <v>52</v>
      </c>
    </row>
    <row r="3612" spans="1:20" hidden="1">
      <c r="A3612" s="1"/>
      <c r="S3612" t="str">
        <f>TEXT(Table1[[#This Row],[Date]],"MMM-YY")</f>
        <v>Jan-00</v>
      </c>
      <c r="T3612">
        <f>_xlfn.ISOWEEKNUM(Table1[[#This Row],[Date]])</f>
        <v>52</v>
      </c>
    </row>
    <row r="3613" spans="1:20" hidden="1">
      <c r="A3613" s="1"/>
      <c r="S3613" t="str">
        <f>TEXT(Table1[[#This Row],[Date]],"MMM-YY")</f>
        <v>Jan-00</v>
      </c>
      <c r="T3613">
        <f>_xlfn.ISOWEEKNUM(Table1[[#This Row],[Date]])</f>
        <v>52</v>
      </c>
    </row>
    <row r="3614" spans="1:20" hidden="1">
      <c r="A3614" s="1"/>
      <c r="S3614" t="str">
        <f>TEXT(Table1[[#This Row],[Date]],"MMM-YY")</f>
        <v>Jan-00</v>
      </c>
      <c r="T3614">
        <f>_xlfn.ISOWEEKNUM(Table1[[#This Row],[Date]])</f>
        <v>52</v>
      </c>
    </row>
    <row r="3615" spans="1:20" hidden="1">
      <c r="A3615" s="1"/>
      <c r="S3615" t="str">
        <f>TEXT(Table1[[#This Row],[Date]],"MMM-YY")</f>
        <v>Jan-00</v>
      </c>
      <c r="T3615">
        <f>_xlfn.ISOWEEKNUM(Table1[[#This Row],[Date]])</f>
        <v>52</v>
      </c>
    </row>
    <row r="3616" spans="1:20" hidden="1">
      <c r="A3616" s="1"/>
      <c r="S3616" t="str">
        <f>TEXT(Table1[[#This Row],[Date]],"MMM-YY")</f>
        <v>Jan-00</v>
      </c>
      <c r="T3616">
        <f>_xlfn.ISOWEEKNUM(Table1[[#This Row],[Date]])</f>
        <v>52</v>
      </c>
    </row>
    <row r="3617" spans="1:20" hidden="1">
      <c r="A3617" s="1"/>
      <c r="S3617" t="str">
        <f>TEXT(Table1[[#This Row],[Date]],"MMM-YY")</f>
        <v>Jan-00</v>
      </c>
      <c r="T3617">
        <f>_xlfn.ISOWEEKNUM(Table1[[#This Row],[Date]])</f>
        <v>52</v>
      </c>
    </row>
    <row r="3618" spans="1:20" hidden="1">
      <c r="A3618" s="1"/>
      <c r="S3618" t="str">
        <f>TEXT(Table1[[#This Row],[Date]],"MMM-YY")</f>
        <v>Jan-00</v>
      </c>
      <c r="T3618">
        <f>_xlfn.ISOWEEKNUM(Table1[[#This Row],[Date]])</f>
        <v>52</v>
      </c>
    </row>
    <row r="3619" spans="1:20" hidden="1">
      <c r="A3619" s="1"/>
      <c r="S3619" t="str">
        <f>TEXT(Table1[[#This Row],[Date]],"MMM-YY")</f>
        <v>Jan-00</v>
      </c>
      <c r="T3619">
        <f>_xlfn.ISOWEEKNUM(Table1[[#This Row],[Date]])</f>
        <v>52</v>
      </c>
    </row>
    <row r="3620" spans="1:20" hidden="1">
      <c r="A3620" s="1"/>
      <c r="S3620" t="str">
        <f>TEXT(Table1[[#This Row],[Date]],"MMM-YY")</f>
        <v>Jan-00</v>
      </c>
      <c r="T3620">
        <f>_xlfn.ISOWEEKNUM(Table1[[#This Row],[Date]])</f>
        <v>52</v>
      </c>
    </row>
    <row r="3621" spans="1:20" hidden="1">
      <c r="A3621" s="1"/>
      <c r="S3621" t="str">
        <f>TEXT(Table1[[#This Row],[Date]],"MMM-YY")</f>
        <v>Jan-00</v>
      </c>
      <c r="T3621">
        <f>_xlfn.ISOWEEKNUM(Table1[[#This Row],[Date]])</f>
        <v>52</v>
      </c>
    </row>
    <row r="3622" spans="1:20" hidden="1">
      <c r="A3622" s="1"/>
      <c r="S3622" t="str">
        <f>TEXT(Table1[[#This Row],[Date]],"MMM-YY")</f>
        <v>Jan-00</v>
      </c>
      <c r="T3622">
        <f>_xlfn.ISOWEEKNUM(Table1[[#This Row],[Date]])</f>
        <v>52</v>
      </c>
    </row>
    <row r="3623" spans="1:20" hidden="1">
      <c r="A3623" s="1"/>
      <c r="S3623" t="str">
        <f>TEXT(Table1[[#This Row],[Date]],"MMM-YY")</f>
        <v>Jan-00</v>
      </c>
      <c r="T3623">
        <f>_xlfn.ISOWEEKNUM(Table1[[#This Row],[Date]])</f>
        <v>52</v>
      </c>
    </row>
    <row r="3624" spans="1:20" hidden="1">
      <c r="A3624" s="1"/>
      <c r="S3624" t="str">
        <f>TEXT(Table1[[#This Row],[Date]],"MMM-YY")</f>
        <v>Jan-00</v>
      </c>
      <c r="T3624">
        <f>_xlfn.ISOWEEKNUM(Table1[[#This Row],[Date]])</f>
        <v>52</v>
      </c>
    </row>
    <row r="3625" spans="1:20" hidden="1">
      <c r="A3625" s="1"/>
      <c r="S3625" t="str">
        <f>TEXT(Table1[[#This Row],[Date]],"MMM-YY")</f>
        <v>Jan-00</v>
      </c>
      <c r="T3625">
        <f>_xlfn.ISOWEEKNUM(Table1[[#This Row],[Date]])</f>
        <v>52</v>
      </c>
    </row>
    <row r="3626" spans="1:20" hidden="1">
      <c r="A3626" s="1"/>
      <c r="S3626" t="str">
        <f>TEXT(Table1[[#This Row],[Date]],"MMM-YY")</f>
        <v>Jan-00</v>
      </c>
      <c r="T3626">
        <f>_xlfn.ISOWEEKNUM(Table1[[#This Row],[Date]])</f>
        <v>52</v>
      </c>
    </row>
    <row r="3627" spans="1:20" hidden="1">
      <c r="A3627" s="1"/>
      <c r="S3627" t="str">
        <f>TEXT(Table1[[#This Row],[Date]],"MMM-YY")</f>
        <v>Jan-00</v>
      </c>
      <c r="T3627">
        <f>_xlfn.ISOWEEKNUM(Table1[[#This Row],[Date]])</f>
        <v>52</v>
      </c>
    </row>
    <row r="3628" spans="1:20" hidden="1">
      <c r="A3628" s="1"/>
      <c r="S3628" t="str">
        <f>TEXT(Table1[[#This Row],[Date]],"MMM-YY")</f>
        <v>Jan-00</v>
      </c>
      <c r="T3628">
        <f>_xlfn.ISOWEEKNUM(Table1[[#This Row],[Date]])</f>
        <v>52</v>
      </c>
    </row>
    <row r="3629" spans="1:20" hidden="1">
      <c r="A3629" s="1"/>
      <c r="S3629" t="str">
        <f>TEXT(Table1[[#This Row],[Date]],"MMM-YY")</f>
        <v>Jan-00</v>
      </c>
      <c r="T3629">
        <f>_xlfn.ISOWEEKNUM(Table1[[#This Row],[Date]])</f>
        <v>52</v>
      </c>
    </row>
    <row r="3630" spans="1:20" hidden="1">
      <c r="A3630" s="1"/>
      <c r="S3630" t="str">
        <f>TEXT(Table1[[#This Row],[Date]],"MMM-YY")</f>
        <v>Jan-00</v>
      </c>
      <c r="T3630">
        <f>_xlfn.ISOWEEKNUM(Table1[[#This Row],[Date]])</f>
        <v>52</v>
      </c>
    </row>
    <row r="3631" spans="1:20" hidden="1">
      <c r="A3631" s="1"/>
      <c r="S3631" t="str">
        <f>TEXT(Table1[[#This Row],[Date]],"MMM-YY")</f>
        <v>Jan-00</v>
      </c>
      <c r="T3631">
        <f>_xlfn.ISOWEEKNUM(Table1[[#This Row],[Date]])</f>
        <v>52</v>
      </c>
    </row>
    <row r="3632" spans="1:20" hidden="1">
      <c r="A3632" s="1"/>
      <c r="S3632" t="str">
        <f>TEXT(Table1[[#This Row],[Date]],"MMM-YY")</f>
        <v>Jan-00</v>
      </c>
      <c r="T3632">
        <f>_xlfn.ISOWEEKNUM(Table1[[#This Row],[Date]])</f>
        <v>52</v>
      </c>
    </row>
    <row r="3633" spans="1:20" hidden="1">
      <c r="A3633" s="1"/>
      <c r="S3633" t="str">
        <f>TEXT(Table1[[#This Row],[Date]],"MMM-YY")</f>
        <v>Jan-00</v>
      </c>
      <c r="T3633">
        <f>_xlfn.ISOWEEKNUM(Table1[[#This Row],[Date]])</f>
        <v>52</v>
      </c>
    </row>
    <row r="3634" spans="1:20" hidden="1">
      <c r="A3634" s="1"/>
      <c r="S3634" t="str">
        <f>TEXT(Table1[[#This Row],[Date]],"MMM-YY")</f>
        <v>Jan-00</v>
      </c>
      <c r="T3634">
        <f>_xlfn.ISOWEEKNUM(Table1[[#This Row],[Date]])</f>
        <v>52</v>
      </c>
    </row>
    <row r="3635" spans="1:20" hidden="1">
      <c r="A3635" s="1"/>
      <c r="S3635" t="str">
        <f>TEXT(Table1[[#This Row],[Date]],"MMM-YY")</f>
        <v>Jan-00</v>
      </c>
      <c r="T3635">
        <f>_xlfn.ISOWEEKNUM(Table1[[#This Row],[Date]])</f>
        <v>52</v>
      </c>
    </row>
    <row r="3636" spans="1:20" hidden="1">
      <c r="A3636" s="1"/>
      <c r="S3636" t="str">
        <f>TEXT(Table1[[#This Row],[Date]],"MMM-YY")</f>
        <v>Jan-00</v>
      </c>
      <c r="T3636">
        <f>_xlfn.ISOWEEKNUM(Table1[[#This Row],[Date]])</f>
        <v>52</v>
      </c>
    </row>
    <row r="3637" spans="1:20" hidden="1">
      <c r="A3637" s="1"/>
      <c r="S3637" t="str">
        <f>TEXT(Table1[[#This Row],[Date]],"MMM-YY")</f>
        <v>Jan-00</v>
      </c>
      <c r="T3637">
        <f>_xlfn.ISOWEEKNUM(Table1[[#This Row],[Date]])</f>
        <v>52</v>
      </c>
    </row>
    <row r="3638" spans="1:20" hidden="1">
      <c r="A3638" s="1"/>
      <c r="S3638" t="str">
        <f>TEXT(Table1[[#This Row],[Date]],"MMM-YY")</f>
        <v>Jan-00</v>
      </c>
      <c r="T3638">
        <f>_xlfn.ISOWEEKNUM(Table1[[#This Row],[Date]])</f>
        <v>52</v>
      </c>
    </row>
    <row r="3639" spans="1:20" hidden="1">
      <c r="A3639" s="1"/>
      <c r="S3639" t="str">
        <f>TEXT(Table1[[#This Row],[Date]],"MMM-YY")</f>
        <v>Jan-00</v>
      </c>
      <c r="T3639">
        <f>_xlfn.ISOWEEKNUM(Table1[[#This Row],[Date]])</f>
        <v>52</v>
      </c>
    </row>
    <row r="3640" spans="1:20" hidden="1">
      <c r="A3640" s="1"/>
      <c r="S3640" t="str">
        <f>TEXT(Table1[[#This Row],[Date]],"MMM-YY")</f>
        <v>Jan-00</v>
      </c>
      <c r="T3640">
        <f>_xlfn.ISOWEEKNUM(Table1[[#This Row],[Date]])</f>
        <v>52</v>
      </c>
    </row>
    <row r="3641" spans="1:20" hidden="1">
      <c r="A3641" s="1"/>
      <c r="S3641" t="str">
        <f>TEXT(Table1[[#This Row],[Date]],"MMM-YY")</f>
        <v>Jan-00</v>
      </c>
      <c r="T3641">
        <f>_xlfn.ISOWEEKNUM(Table1[[#This Row],[Date]])</f>
        <v>52</v>
      </c>
    </row>
    <row r="3642" spans="1:20" hidden="1">
      <c r="A3642" s="1"/>
      <c r="S3642" t="str">
        <f>TEXT(Table1[[#This Row],[Date]],"MMM-YY")</f>
        <v>Jan-00</v>
      </c>
      <c r="T3642">
        <f>_xlfn.ISOWEEKNUM(Table1[[#This Row],[Date]])</f>
        <v>52</v>
      </c>
    </row>
    <row r="3643" spans="1:20" hidden="1">
      <c r="A3643" s="1"/>
      <c r="S3643" t="str">
        <f>TEXT(Table1[[#This Row],[Date]],"MMM-YY")</f>
        <v>Jan-00</v>
      </c>
      <c r="T3643">
        <f>_xlfn.ISOWEEKNUM(Table1[[#This Row],[Date]])</f>
        <v>52</v>
      </c>
    </row>
    <row r="3644" spans="1:20" hidden="1">
      <c r="A3644" s="1"/>
      <c r="S3644" t="str">
        <f>TEXT(Table1[[#This Row],[Date]],"MMM-YY")</f>
        <v>Jan-00</v>
      </c>
      <c r="T3644">
        <f>_xlfn.ISOWEEKNUM(Table1[[#This Row],[Date]])</f>
        <v>52</v>
      </c>
    </row>
    <row r="3645" spans="1:20" hidden="1">
      <c r="A3645" s="1"/>
      <c r="S3645" t="str">
        <f>TEXT(Table1[[#This Row],[Date]],"MMM-YY")</f>
        <v>Jan-00</v>
      </c>
      <c r="T3645">
        <f>_xlfn.ISOWEEKNUM(Table1[[#This Row],[Date]])</f>
        <v>52</v>
      </c>
    </row>
    <row r="3646" spans="1:20" hidden="1">
      <c r="A3646" s="1"/>
      <c r="S3646" t="str">
        <f>TEXT(Table1[[#This Row],[Date]],"MMM-YY")</f>
        <v>Jan-00</v>
      </c>
      <c r="T3646">
        <f>_xlfn.ISOWEEKNUM(Table1[[#This Row],[Date]])</f>
        <v>52</v>
      </c>
    </row>
    <row r="3647" spans="1:20" hidden="1">
      <c r="A3647" s="1"/>
      <c r="S3647" t="str">
        <f>TEXT(Table1[[#This Row],[Date]],"MMM-YY")</f>
        <v>Jan-00</v>
      </c>
      <c r="T3647">
        <f>_xlfn.ISOWEEKNUM(Table1[[#This Row],[Date]])</f>
        <v>52</v>
      </c>
    </row>
    <row r="3648" spans="1:20" hidden="1">
      <c r="A3648" s="1"/>
      <c r="S3648" t="str">
        <f>TEXT(Table1[[#This Row],[Date]],"MMM-YY")</f>
        <v>Jan-00</v>
      </c>
      <c r="T3648">
        <f>_xlfn.ISOWEEKNUM(Table1[[#This Row],[Date]])</f>
        <v>52</v>
      </c>
    </row>
    <row r="3649" spans="1:20" hidden="1">
      <c r="A3649" s="1"/>
      <c r="S3649" t="str">
        <f>TEXT(Table1[[#This Row],[Date]],"MMM-YY")</f>
        <v>Jan-00</v>
      </c>
      <c r="T3649">
        <f>_xlfn.ISOWEEKNUM(Table1[[#This Row],[Date]])</f>
        <v>52</v>
      </c>
    </row>
    <row r="3650" spans="1:20" hidden="1">
      <c r="A3650" s="1"/>
      <c r="S3650" t="str">
        <f>TEXT(Table1[[#This Row],[Date]],"MMM-YY")</f>
        <v>Jan-00</v>
      </c>
      <c r="T3650">
        <f>_xlfn.ISOWEEKNUM(Table1[[#This Row],[Date]])</f>
        <v>52</v>
      </c>
    </row>
    <row r="3651" spans="1:20" hidden="1">
      <c r="A3651" s="1"/>
      <c r="S3651" t="str">
        <f>TEXT(Table1[[#This Row],[Date]],"MMM-YY")</f>
        <v>Jan-00</v>
      </c>
      <c r="T3651">
        <f>_xlfn.ISOWEEKNUM(Table1[[#This Row],[Date]])</f>
        <v>52</v>
      </c>
    </row>
    <row r="3652" spans="1:20" hidden="1">
      <c r="A3652" s="1"/>
      <c r="S3652" t="str">
        <f>TEXT(Table1[[#This Row],[Date]],"MMM-YY")</f>
        <v>Jan-00</v>
      </c>
      <c r="T3652">
        <f>_xlfn.ISOWEEKNUM(Table1[[#This Row],[Date]])</f>
        <v>52</v>
      </c>
    </row>
    <row r="3653" spans="1:20" hidden="1">
      <c r="A3653" s="1"/>
      <c r="S3653" t="str">
        <f>TEXT(Table1[[#This Row],[Date]],"MMM-YY")</f>
        <v>Jan-00</v>
      </c>
      <c r="T3653">
        <f>_xlfn.ISOWEEKNUM(Table1[[#This Row],[Date]])</f>
        <v>52</v>
      </c>
    </row>
    <row r="3654" spans="1:20" hidden="1">
      <c r="A3654" s="1"/>
      <c r="S3654" t="str">
        <f>TEXT(Table1[[#This Row],[Date]],"MMM-YY")</f>
        <v>Jan-00</v>
      </c>
      <c r="T3654">
        <f>_xlfn.ISOWEEKNUM(Table1[[#This Row],[Date]])</f>
        <v>52</v>
      </c>
    </row>
    <row r="3655" spans="1:20" hidden="1">
      <c r="A3655" s="1"/>
      <c r="S3655" t="str">
        <f>TEXT(Table1[[#This Row],[Date]],"MMM-YY")</f>
        <v>Jan-00</v>
      </c>
      <c r="T3655">
        <f>_xlfn.ISOWEEKNUM(Table1[[#This Row],[Date]])</f>
        <v>52</v>
      </c>
    </row>
    <row r="3656" spans="1:20" hidden="1">
      <c r="A3656" s="1"/>
      <c r="S3656" t="str">
        <f>TEXT(Table1[[#This Row],[Date]],"MMM-YY")</f>
        <v>Jan-00</v>
      </c>
      <c r="T3656">
        <f>_xlfn.ISOWEEKNUM(Table1[[#This Row],[Date]])</f>
        <v>52</v>
      </c>
    </row>
    <row r="3657" spans="1:20" hidden="1">
      <c r="A3657" s="1"/>
      <c r="S3657" t="str">
        <f>TEXT(Table1[[#This Row],[Date]],"MMM-YY")</f>
        <v>Jan-00</v>
      </c>
      <c r="T3657">
        <f>_xlfn.ISOWEEKNUM(Table1[[#This Row],[Date]])</f>
        <v>52</v>
      </c>
    </row>
    <row r="3658" spans="1:20" hidden="1">
      <c r="A3658" s="1"/>
      <c r="S3658" t="str">
        <f>TEXT(Table1[[#This Row],[Date]],"MMM-YY")</f>
        <v>Jan-00</v>
      </c>
      <c r="T3658">
        <f>_xlfn.ISOWEEKNUM(Table1[[#This Row],[Date]])</f>
        <v>52</v>
      </c>
    </row>
    <row r="3659" spans="1:20" hidden="1">
      <c r="A3659" s="1"/>
      <c r="S3659" t="str">
        <f>TEXT(Table1[[#This Row],[Date]],"MMM-YY")</f>
        <v>Jan-00</v>
      </c>
      <c r="T3659">
        <f>_xlfn.ISOWEEKNUM(Table1[[#This Row],[Date]])</f>
        <v>52</v>
      </c>
    </row>
    <row r="3660" spans="1:20" hidden="1">
      <c r="A3660" s="1"/>
      <c r="S3660" t="str">
        <f>TEXT(Table1[[#This Row],[Date]],"MMM-YY")</f>
        <v>Jan-00</v>
      </c>
      <c r="T3660">
        <f>_xlfn.ISOWEEKNUM(Table1[[#This Row],[Date]])</f>
        <v>52</v>
      </c>
    </row>
    <row r="3661" spans="1:20" hidden="1">
      <c r="A3661" s="1"/>
      <c r="S3661" t="str">
        <f>TEXT(Table1[[#This Row],[Date]],"MMM-YY")</f>
        <v>Jan-00</v>
      </c>
      <c r="T3661">
        <f>_xlfn.ISOWEEKNUM(Table1[[#This Row],[Date]])</f>
        <v>52</v>
      </c>
    </row>
    <row r="3662" spans="1:20" hidden="1">
      <c r="A3662" s="1"/>
      <c r="S3662" t="str">
        <f>TEXT(Table1[[#This Row],[Date]],"MMM-YY")</f>
        <v>Jan-00</v>
      </c>
      <c r="T3662">
        <f>_xlfn.ISOWEEKNUM(Table1[[#This Row],[Date]])</f>
        <v>52</v>
      </c>
    </row>
    <row r="3663" spans="1:20" hidden="1">
      <c r="A3663" s="1"/>
      <c r="S3663" t="str">
        <f>TEXT(Table1[[#This Row],[Date]],"MMM-YY")</f>
        <v>Jan-00</v>
      </c>
      <c r="T3663">
        <f>_xlfn.ISOWEEKNUM(Table1[[#This Row],[Date]])</f>
        <v>52</v>
      </c>
    </row>
    <row r="3664" spans="1:20" hidden="1">
      <c r="A3664" s="1"/>
      <c r="S3664" t="str">
        <f>TEXT(Table1[[#This Row],[Date]],"MMM-YY")</f>
        <v>Jan-00</v>
      </c>
      <c r="T3664">
        <f>_xlfn.ISOWEEKNUM(Table1[[#This Row],[Date]])</f>
        <v>52</v>
      </c>
    </row>
    <row r="3665" spans="1:20" hidden="1">
      <c r="A3665" s="1"/>
      <c r="S3665" t="str">
        <f>TEXT(Table1[[#This Row],[Date]],"MMM-YY")</f>
        <v>Jan-00</v>
      </c>
      <c r="T3665">
        <f>_xlfn.ISOWEEKNUM(Table1[[#This Row],[Date]])</f>
        <v>52</v>
      </c>
    </row>
    <row r="3666" spans="1:20" hidden="1">
      <c r="A3666" s="1"/>
      <c r="S3666" t="str">
        <f>TEXT(Table1[[#This Row],[Date]],"MMM-YY")</f>
        <v>Jan-00</v>
      </c>
      <c r="T3666">
        <f>_xlfn.ISOWEEKNUM(Table1[[#This Row],[Date]])</f>
        <v>52</v>
      </c>
    </row>
    <row r="3667" spans="1:20" hidden="1">
      <c r="A3667" s="1"/>
      <c r="S3667" t="str">
        <f>TEXT(Table1[[#This Row],[Date]],"MMM-YY")</f>
        <v>Jan-00</v>
      </c>
      <c r="T3667">
        <f>_xlfn.ISOWEEKNUM(Table1[[#This Row],[Date]])</f>
        <v>52</v>
      </c>
    </row>
    <row r="3668" spans="1:20" hidden="1">
      <c r="A3668" s="1"/>
      <c r="S3668" t="str">
        <f>TEXT(Table1[[#This Row],[Date]],"MMM-YY")</f>
        <v>Jan-00</v>
      </c>
      <c r="T3668">
        <f>_xlfn.ISOWEEKNUM(Table1[[#This Row],[Date]])</f>
        <v>52</v>
      </c>
    </row>
    <row r="3669" spans="1:20" hidden="1">
      <c r="A3669" s="1"/>
      <c r="S3669" t="str">
        <f>TEXT(Table1[[#This Row],[Date]],"MMM-YY")</f>
        <v>Jan-00</v>
      </c>
      <c r="T3669">
        <f>_xlfn.ISOWEEKNUM(Table1[[#This Row],[Date]])</f>
        <v>52</v>
      </c>
    </row>
    <row r="3670" spans="1:20" hidden="1">
      <c r="A3670" s="1"/>
      <c r="S3670" t="str">
        <f>TEXT(Table1[[#This Row],[Date]],"MMM-YY")</f>
        <v>Jan-00</v>
      </c>
      <c r="T3670">
        <f>_xlfn.ISOWEEKNUM(Table1[[#This Row],[Date]])</f>
        <v>52</v>
      </c>
    </row>
    <row r="3671" spans="1:20" hidden="1">
      <c r="A3671" s="1"/>
      <c r="S3671" t="str">
        <f>TEXT(Table1[[#This Row],[Date]],"MMM-YY")</f>
        <v>Jan-00</v>
      </c>
      <c r="T3671">
        <f>_xlfn.ISOWEEKNUM(Table1[[#This Row],[Date]])</f>
        <v>52</v>
      </c>
    </row>
    <row r="3672" spans="1:20" hidden="1">
      <c r="A3672" s="1"/>
      <c r="S3672" t="str">
        <f>TEXT(Table1[[#This Row],[Date]],"MMM-YY")</f>
        <v>Jan-00</v>
      </c>
      <c r="T3672">
        <f>_xlfn.ISOWEEKNUM(Table1[[#This Row],[Date]])</f>
        <v>52</v>
      </c>
    </row>
    <row r="3673" spans="1:20" hidden="1">
      <c r="A3673" s="1"/>
      <c r="S3673" t="str">
        <f>TEXT(Table1[[#This Row],[Date]],"MMM-YY")</f>
        <v>Jan-00</v>
      </c>
      <c r="T3673">
        <f>_xlfn.ISOWEEKNUM(Table1[[#This Row],[Date]])</f>
        <v>52</v>
      </c>
    </row>
    <row r="3674" spans="1:20" hidden="1">
      <c r="A3674" s="1"/>
      <c r="S3674" t="str">
        <f>TEXT(Table1[[#This Row],[Date]],"MMM-YY")</f>
        <v>Jan-00</v>
      </c>
      <c r="T3674">
        <f>_xlfn.ISOWEEKNUM(Table1[[#This Row],[Date]])</f>
        <v>52</v>
      </c>
    </row>
    <row r="3675" spans="1:20" hidden="1">
      <c r="A3675" s="1"/>
      <c r="S3675" t="str">
        <f>TEXT(Table1[[#This Row],[Date]],"MMM-YY")</f>
        <v>Jan-00</v>
      </c>
      <c r="T3675">
        <f>_xlfn.ISOWEEKNUM(Table1[[#This Row],[Date]])</f>
        <v>52</v>
      </c>
    </row>
    <row r="3676" spans="1:20" hidden="1">
      <c r="A3676" s="1"/>
      <c r="S3676" t="str">
        <f>TEXT(Table1[[#This Row],[Date]],"MMM-YY")</f>
        <v>Jan-00</v>
      </c>
      <c r="T3676">
        <f>_xlfn.ISOWEEKNUM(Table1[[#This Row],[Date]])</f>
        <v>52</v>
      </c>
    </row>
    <row r="3677" spans="1:20" hidden="1">
      <c r="A3677" s="1"/>
      <c r="S3677" t="str">
        <f>TEXT(Table1[[#This Row],[Date]],"MMM-YY")</f>
        <v>Jan-00</v>
      </c>
      <c r="T3677">
        <f>_xlfn.ISOWEEKNUM(Table1[[#This Row],[Date]])</f>
        <v>52</v>
      </c>
    </row>
    <row r="3678" spans="1:20" hidden="1">
      <c r="A3678" s="1"/>
      <c r="S3678" t="str">
        <f>TEXT(Table1[[#This Row],[Date]],"MMM-YY")</f>
        <v>Jan-00</v>
      </c>
      <c r="T3678">
        <f>_xlfn.ISOWEEKNUM(Table1[[#This Row],[Date]])</f>
        <v>52</v>
      </c>
    </row>
    <row r="3679" spans="1:20" hidden="1">
      <c r="A3679" s="1"/>
      <c r="S3679" t="str">
        <f>TEXT(Table1[[#This Row],[Date]],"MMM-YY")</f>
        <v>Jan-00</v>
      </c>
      <c r="T3679">
        <f>_xlfn.ISOWEEKNUM(Table1[[#This Row],[Date]])</f>
        <v>52</v>
      </c>
    </row>
    <row r="3680" spans="1:20" hidden="1">
      <c r="A3680" s="1"/>
      <c r="S3680" t="str">
        <f>TEXT(Table1[[#This Row],[Date]],"MMM-YY")</f>
        <v>Jan-00</v>
      </c>
      <c r="T3680">
        <f>_xlfn.ISOWEEKNUM(Table1[[#This Row],[Date]])</f>
        <v>52</v>
      </c>
    </row>
    <row r="3681" spans="1:20" hidden="1">
      <c r="A3681" s="1"/>
      <c r="S3681" t="str">
        <f>TEXT(Table1[[#This Row],[Date]],"MMM-YY")</f>
        <v>Jan-00</v>
      </c>
      <c r="T3681">
        <f>_xlfn.ISOWEEKNUM(Table1[[#This Row],[Date]])</f>
        <v>52</v>
      </c>
    </row>
    <row r="3682" spans="1:20" hidden="1">
      <c r="A3682" s="1"/>
      <c r="S3682" t="str">
        <f>TEXT(Table1[[#This Row],[Date]],"MMM-YY")</f>
        <v>Jan-00</v>
      </c>
      <c r="T3682">
        <f>_xlfn.ISOWEEKNUM(Table1[[#This Row],[Date]])</f>
        <v>52</v>
      </c>
    </row>
    <row r="3683" spans="1:20" hidden="1">
      <c r="A3683" s="1"/>
      <c r="S3683" t="str">
        <f>TEXT(Table1[[#This Row],[Date]],"MMM-YY")</f>
        <v>Jan-00</v>
      </c>
      <c r="T3683">
        <f>_xlfn.ISOWEEKNUM(Table1[[#This Row],[Date]])</f>
        <v>52</v>
      </c>
    </row>
    <row r="3684" spans="1:20" hidden="1">
      <c r="A3684" s="1"/>
      <c r="S3684" t="str">
        <f>TEXT(Table1[[#This Row],[Date]],"MMM-YY")</f>
        <v>Jan-00</v>
      </c>
      <c r="T3684">
        <f>_xlfn.ISOWEEKNUM(Table1[[#This Row],[Date]])</f>
        <v>52</v>
      </c>
    </row>
    <row r="3685" spans="1:20" hidden="1">
      <c r="A3685" s="1"/>
      <c r="S3685" t="str">
        <f>TEXT(Table1[[#This Row],[Date]],"MMM-YY")</f>
        <v>Jan-00</v>
      </c>
      <c r="T3685">
        <f>_xlfn.ISOWEEKNUM(Table1[[#This Row],[Date]])</f>
        <v>52</v>
      </c>
    </row>
    <row r="3686" spans="1:20" hidden="1">
      <c r="A3686" s="1"/>
      <c r="S3686" t="str">
        <f>TEXT(Table1[[#This Row],[Date]],"MMM-YY")</f>
        <v>Jan-00</v>
      </c>
      <c r="T3686">
        <f>_xlfn.ISOWEEKNUM(Table1[[#This Row],[Date]])</f>
        <v>52</v>
      </c>
    </row>
    <row r="3687" spans="1:20" hidden="1">
      <c r="A3687" s="1"/>
      <c r="S3687" t="str">
        <f>TEXT(Table1[[#This Row],[Date]],"MMM-YY")</f>
        <v>Jan-00</v>
      </c>
      <c r="T3687">
        <f>_xlfn.ISOWEEKNUM(Table1[[#This Row],[Date]])</f>
        <v>52</v>
      </c>
    </row>
    <row r="3688" spans="1:20" hidden="1">
      <c r="A3688" s="1"/>
      <c r="S3688" t="str">
        <f>TEXT(Table1[[#This Row],[Date]],"MMM-YY")</f>
        <v>Jan-00</v>
      </c>
      <c r="T3688">
        <f>_xlfn.ISOWEEKNUM(Table1[[#This Row],[Date]])</f>
        <v>52</v>
      </c>
    </row>
    <row r="3689" spans="1:20" hidden="1">
      <c r="A3689" s="1"/>
      <c r="S3689" t="str">
        <f>TEXT(Table1[[#This Row],[Date]],"MMM-YY")</f>
        <v>Jan-00</v>
      </c>
      <c r="T3689">
        <f>_xlfn.ISOWEEKNUM(Table1[[#This Row],[Date]])</f>
        <v>52</v>
      </c>
    </row>
    <row r="3690" spans="1:20" hidden="1">
      <c r="A3690" s="1"/>
      <c r="S3690" t="str">
        <f>TEXT(Table1[[#This Row],[Date]],"MMM-YY")</f>
        <v>Jan-00</v>
      </c>
      <c r="T3690">
        <f>_xlfn.ISOWEEKNUM(Table1[[#This Row],[Date]])</f>
        <v>52</v>
      </c>
    </row>
    <row r="3691" spans="1:20" hidden="1">
      <c r="A3691" s="1"/>
      <c r="S3691" t="str">
        <f>TEXT(Table1[[#This Row],[Date]],"MMM-YY")</f>
        <v>Jan-00</v>
      </c>
      <c r="T3691">
        <f>_xlfn.ISOWEEKNUM(Table1[[#This Row],[Date]])</f>
        <v>52</v>
      </c>
    </row>
    <row r="3692" spans="1:20" hidden="1">
      <c r="A3692" s="1"/>
      <c r="O3692">
        <v>0</v>
      </c>
      <c r="S3692" t="str">
        <f>TEXT(Table1[[#This Row],[Date]],"MMM-YY")</f>
        <v>Jan-00</v>
      </c>
      <c r="T3692">
        <f>_xlfn.ISOWEEKNUM(Table1[[#This Row],[Date]])</f>
        <v>52</v>
      </c>
    </row>
    <row r="3693" spans="1:20" hidden="1">
      <c r="A3693" s="1"/>
      <c r="O3693">
        <v>0</v>
      </c>
      <c r="S3693" t="str">
        <f>TEXT(Table1[[#This Row],[Date]],"MMM-YY")</f>
        <v>Jan-00</v>
      </c>
      <c r="T3693">
        <f>_xlfn.ISOWEEKNUM(Table1[[#This Row],[Date]])</f>
        <v>52</v>
      </c>
    </row>
    <row r="3694" spans="1:20" hidden="1">
      <c r="A3694" s="1"/>
      <c r="O3694">
        <v>0</v>
      </c>
      <c r="S3694" t="str">
        <f>TEXT(Table1[[#This Row],[Date]],"MMM-YY")</f>
        <v>Jan-00</v>
      </c>
      <c r="T3694">
        <f>_xlfn.ISOWEEKNUM(Table1[[#This Row],[Date]])</f>
        <v>52</v>
      </c>
    </row>
    <row r="3695" spans="1:20" hidden="1">
      <c r="A3695" s="1"/>
      <c r="O3695">
        <v>0</v>
      </c>
      <c r="S3695" t="str">
        <f>TEXT(Table1[[#This Row],[Date]],"MMM-YY")</f>
        <v>Jan-00</v>
      </c>
      <c r="T3695">
        <f>_xlfn.ISOWEEKNUM(Table1[[#This Row],[Date]])</f>
        <v>52</v>
      </c>
    </row>
    <row r="3696" spans="1:20" hidden="1">
      <c r="A3696" s="1"/>
      <c r="O3696">
        <v>0</v>
      </c>
      <c r="S3696" t="str">
        <f>TEXT(Table1[[#This Row],[Date]],"MMM-YY")</f>
        <v>Jan-00</v>
      </c>
      <c r="T3696">
        <f>_xlfn.ISOWEEKNUM(Table1[[#This Row],[Date]])</f>
        <v>52</v>
      </c>
    </row>
    <row r="3697" spans="1:20" hidden="1">
      <c r="A3697" s="1"/>
      <c r="O3697">
        <v>0</v>
      </c>
      <c r="S3697" t="str">
        <f>TEXT(Table1[[#This Row],[Date]],"MMM-YY")</f>
        <v>Jan-00</v>
      </c>
      <c r="T3697">
        <f>_xlfn.ISOWEEKNUM(Table1[[#This Row],[Date]])</f>
        <v>52</v>
      </c>
    </row>
    <row r="3698" spans="1:20" hidden="1">
      <c r="A3698" s="1"/>
      <c r="O3698">
        <v>0</v>
      </c>
      <c r="S3698" t="str">
        <f>TEXT(Table1[[#This Row],[Date]],"MMM-YY")</f>
        <v>Jan-00</v>
      </c>
      <c r="T3698">
        <f>_xlfn.ISOWEEKNUM(Table1[[#This Row],[Date]])</f>
        <v>52</v>
      </c>
    </row>
    <row r="3699" spans="1:20" hidden="1">
      <c r="A3699" s="1"/>
      <c r="S3699" t="str">
        <f>TEXT(Table1[[#This Row],[Date]],"MMM-YY")</f>
        <v>Jan-00</v>
      </c>
      <c r="T3699">
        <f>_xlfn.ISOWEEKNUM(Table1[[#This Row],[Date]])</f>
        <v>52</v>
      </c>
    </row>
    <row r="3700" spans="1:20" hidden="1">
      <c r="A3700" s="1"/>
      <c r="S3700" t="str">
        <f>TEXT(Table1[[#This Row],[Date]],"MMM-YY")</f>
        <v>Jan-00</v>
      </c>
      <c r="T3700">
        <f>_xlfn.ISOWEEKNUM(Table1[[#This Row],[Date]])</f>
        <v>52</v>
      </c>
    </row>
    <row r="3701" spans="1:20" hidden="1">
      <c r="A3701" s="1"/>
      <c r="S3701" t="str">
        <f>TEXT(Table1[[#This Row],[Date]],"MMM-YY")</f>
        <v>Jan-00</v>
      </c>
      <c r="T3701">
        <f>_xlfn.ISOWEEKNUM(Table1[[#This Row],[Date]])</f>
        <v>52</v>
      </c>
    </row>
    <row r="3702" spans="1:20" hidden="1">
      <c r="A3702" s="1"/>
      <c r="S3702" t="str">
        <f>TEXT(Table1[[#This Row],[Date]],"MMM-YY")</f>
        <v>Jan-00</v>
      </c>
      <c r="T3702">
        <f>_xlfn.ISOWEEKNUM(Table1[[#This Row],[Date]])</f>
        <v>52</v>
      </c>
    </row>
    <row r="3703" spans="1:20" hidden="1">
      <c r="A3703" s="1"/>
      <c r="S3703" t="str">
        <f>TEXT(Table1[[#This Row],[Date]],"MMM-YY")</f>
        <v>Jan-00</v>
      </c>
      <c r="T3703">
        <f>_xlfn.ISOWEEKNUM(Table1[[#This Row],[Date]])</f>
        <v>52</v>
      </c>
    </row>
    <row r="3704" spans="1:20" hidden="1">
      <c r="A3704" s="1"/>
      <c r="S3704" t="str">
        <f>TEXT(Table1[[#This Row],[Date]],"MMM-YY")</f>
        <v>Jan-00</v>
      </c>
      <c r="T3704">
        <f>_xlfn.ISOWEEKNUM(Table1[[#This Row],[Date]])</f>
        <v>52</v>
      </c>
    </row>
    <row r="3705" spans="1:20" hidden="1">
      <c r="A3705" s="1"/>
      <c r="S3705" t="str">
        <f>TEXT(Table1[[#This Row],[Date]],"MMM-YY")</f>
        <v>Jan-00</v>
      </c>
      <c r="T3705">
        <f>_xlfn.ISOWEEKNUM(Table1[[#This Row],[Date]])</f>
        <v>52</v>
      </c>
    </row>
    <row r="3706" spans="1:20" hidden="1">
      <c r="A3706" s="1"/>
      <c r="S3706" t="str">
        <f>TEXT(Table1[[#This Row],[Date]],"MMM-YY")</f>
        <v>Jan-00</v>
      </c>
      <c r="T3706">
        <f>_xlfn.ISOWEEKNUM(Table1[[#This Row],[Date]])</f>
        <v>52</v>
      </c>
    </row>
    <row r="3707" spans="1:20" hidden="1">
      <c r="A3707" s="1"/>
      <c r="S3707" t="str">
        <f>TEXT(Table1[[#This Row],[Date]],"MMM-YY")</f>
        <v>Jan-00</v>
      </c>
      <c r="T3707">
        <f>_xlfn.ISOWEEKNUM(Table1[[#This Row],[Date]])</f>
        <v>52</v>
      </c>
    </row>
    <row r="3708" spans="1:20" hidden="1">
      <c r="A3708" s="1"/>
      <c r="S3708" t="str">
        <f>TEXT(Table1[[#This Row],[Date]],"MMM-YY")</f>
        <v>Jan-00</v>
      </c>
      <c r="T3708">
        <f>_xlfn.ISOWEEKNUM(Table1[[#This Row],[Date]])</f>
        <v>52</v>
      </c>
    </row>
    <row r="3709" spans="1:20" hidden="1">
      <c r="A3709" s="1"/>
      <c r="S3709" t="str">
        <f>TEXT(Table1[[#This Row],[Date]],"MMM-YY")</f>
        <v>Jan-00</v>
      </c>
      <c r="T3709">
        <f>_xlfn.ISOWEEKNUM(Table1[[#This Row],[Date]])</f>
        <v>52</v>
      </c>
    </row>
    <row r="3710" spans="1:20" hidden="1">
      <c r="A3710" s="1"/>
      <c r="S3710" t="str">
        <f>TEXT(Table1[[#This Row],[Date]],"MMM-YY")</f>
        <v>Jan-00</v>
      </c>
      <c r="T3710">
        <f>_xlfn.ISOWEEKNUM(Table1[[#This Row],[Date]])</f>
        <v>52</v>
      </c>
    </row>
    <row r="3711" spans="1:20" hidden="1">
      <c r="A3711" s="1"/>
      <c r="S3711" t="str">
        <f>TEXT(Table1[[#This Row],[Date]],"MMM-YY")</f>
        <v>Jan-00</v>
      </c>
      <c r="T3711">
        <f>_xlfn.ISOWEEKNUM(Table1[[#This Row],[Date]])</f>
        <v>52</v>
      </c>
    </row>
    <row r="3712" spans="1:20" hidden="1">
      <c r="A3712" s="1"/>
      <c r="S3712" t="str">
        <f>TEXT(Table1[[#This Row],[Date]],"MMM-YY")</f>
        <v>Jan-00</v>
      </c>
      <c r="T3712">
        <f>_xlfn.ISOWEEKNUM(Table1[[#This Row],[Date]])</f>
        <v>52</v>
      </c>
    </row>
    <row r="3713" spans="1:20" hidden="1">
      <c r="A3713" s="1"/>
      <c r="S3713" t="str">
        <f>TEXT(Table1[[#This Row],[Date]],"MMM-YY")</f>
        <v>Jan-00</v>
      </c>
      <c r="T3713">
        <f>_xlfn.ISOWEEKNUM(Table1[[#This Row],[Date]])</f>
        <v>52</v>
      </c>
    </row>
    <row r="3714" spans="1:20" hidden="1">
      <c r="A3714" s="1"/>
      <c r="S3714" t="str">
        <f>TEXT(Table1[[#This Row],[Date]],"MMM-YY")</f>
        <v>Jan-00</v>
      </c>
      <c r="T3714">
        <f>_xlfn.ISOWEEKNUM(Table1[[#This Row],[Date]])</f>
        <v>52</v>
      </c>
    </row>
    <row r="3715" spans="1:20" hidden="1">
      <c r="A3715" s="1"/>
      <c r="S3715" t="str">
        <f>TEXT(Table1[[#This Row],[Date]],"MMM-YY")</f>
        <v>Jan-00</v>
      </c>
      <c r="T3715">
        <f>_xlfn.ISOWEEKNUM(Table1[[#This Row],[Date]])</f>
        <v>52</v>
      </c>
    </row>
    <row r="3716" spans="1:20" hidden="1">
      <c r="A3716" s="1"/>
      <c r="S3716" t="str">
        <f>TEXT(Table1[[#This Row],[Date]],"MMM-YY")</f>
        <v>Jan-00</v>
      </c>
      <c r="T3716">
        <f>_xlfn.ISOWEEKNUM(Table1[[#This Row],[Date]])</f>
        <v>52</v>
      </c>
    </row>
    <row r="3717" spans="1:20" hidden="1">
      <c r="A3717" s="1"/>
      <c r="S3717" t="str">
        <f>TEXT(Table1[[#This Row],[Date]],"MMM-YY")</f>
        <v>Jan-00</v>
      </c>
      <c r="T3717">
        <f>_xlfn.ISOWEEKNUM(Table1[[#This Row],[Date]])</f>
        <v>52</v>
      </c>
    </row>
    <row r="3718" spans="1:20" hidden="1">
      <c r="A3718" s="1"/>
      <c r="S3718" t="str">
        <f>TEXT(Table1[[#This Row],[Date]],"MMM-YY")</f>
        <v>Jan-00</v>
      </c>
      <c r="T3718">
        <f>_xlfn.ISOWEEKNUM(Table1[[#This Row],[Date]])</f>
        <v>52</v>
      </c>
    </row>
    <row r="3719" spans="1:20" hidden="1">
      <c r="A3719" s="1"/>
      <c r="S3719" t="str">
        <f>TEXT(Table1[[#This Row],[Date]],"MMM-YY")</f>
        <v>Jan-00</v>
      </c>
      <c r="T3719">
        <f>_xlfn.ISOWEEKNUM(Table1[[#This Row],[Date]])</f>
        <v>52</v>
      </c>
    </row>
    <row r="3720" spans="1:20" hidden="1">
      <c r="A3720" s="1"/>
      <c r="S3720" t="str">
        <f>TEXT(Table1[[#This Row],[Date]],"MMM-YY")</f>
        <v>Jan-00</v>
      </c>
      <c r="T3720">
        <f>_xlfn.ISOWEEKNUM(Table1[[#This Row],[Date]])</f>
        <v>52</v>
      </c>
    </row>
    <row r="3721" spans="1:20" hidden="1">
      <c r="A3721" s="1"/>
      <c r="S3721" t="str">
        <f>TEXT(Table1[[#This Row],[Date]],"MMM-YY")</f>
        <v>Jan-00</v>
      </c>
      <c r="T3721">
        <f>_xlfn.ISOWEEKNUM(Table1[[#This Row],[Date]])</f>
        <v>52</v>
      </c>
    </row>
    <row r="3722" spans="1:20" hidden="1">
      <c r="A3722" s="1"/>
      <c r="S3722" t="str">
        <f>TEXT(Table1[[#This Row],[Date]],"MMM-YY")</f>
        <v>Jan-00</v>
      </c>
      <c r="T3722">
        <f>_xlfn.ISOWEEKNUM(Table1[[#This Row],[Date]])</f>
        <v>52</v>
      </c>
    </row>
    <row r="3723" spans="1:20" hidden="1">
      <c r="A3723" s="1"/>
      <c r="S3723" t="str">
        <f>TEXT(Table1[[#This Row],[Date]],"MMM-YY")</f>
        <v>Jan-00</v>
      </c>
      <c r="T3723">
        <f>_xlfn.ISOWEEKNUM(Table1[[#This Row],[Date]])</f>
        <v>52</v>
      </c>
    </row>
    <row r="3724" spans="1:20" hidden="1">
      <c r="A3724" s="1"/>
      <c r="S3724" t="str">
        <f>TEXT(Table1[[#This Row],[Date]],"MMM-YY")</f>
        <v>Jan-00</v>
      </c>
      <c r="T3724">
        <f>_xlfn.ISOWEEKNUM(Table1[[#This Row],[Date]])</f>
        <v>52</v>
      </c>
    </row>
    <row r="3725" spans="1:20" hidden="1">
      <c r="A3725" s="1"/>
      <c r="S3725" t="str">
        <f>TEXT(Table1[[#This Row],[Date]],"MMM-YY")</f>
        <v>Jan-00</v>
      </c>
      <c r="T3725">
        <f>_xlfn.ISOWEEKNUM(Table1[[#This Row],[Date]])</f>
        <v>52</v>
      </c>
    </row>
    <row r="3726" spans="1:20" hidden="1">
      <c r="A3726" s="1"/>
      <c r="S3726" t="str">
        <f>TEXT(Table1[[#This Row],[Date]],"MMM-YY")</f>
        <v>Jan-00</v>
      </c>
      <c r="T3726">
        <f>_xlfn.ISOWEEKNUM(Table1[[#This Row],[Date]])</f>
        <v>52</v>
      </c>
    </row>
    <row r="3727" spans="1:20" hidden="1">
      <c r="A3727" s="1"/>
      <c r="S3727" t="str">
        <f>TEXT(Table1[[#This Row],[Date]],"MMM-YY")</f>
        <v>Jan-00</v>
      </c>
      <c r="T3727">
        <f>_xlfn.ISOWEEKNUM(Table1[[#This Row],[Date]])</f>
        <v>52</v>
      </c>
    </row>
    <row r="3728" spans="1:20" hidden="1">
      <c r="A3728" s="1"/>
      <c r="S3728" t="str">
        <f>TEXT(Table1[[#This Row],[Date]],"MMM-YY")</f>
        <v>Jan-00</v>
      </c>
      <c r="T3728">
        <f>_xlfn.ISOWEEKNUM(Table1[[#This Row],[Date]])</f>
        <v>52</v>
      </c>
    </row>
    <row r="3729" spans="1:20" hidden="1">
      <c r="A3729" s="1"/>
      <c r="S3729" t="str">
        <f>TEXT(Table1[[#This Row],[Date]],"MMM-YY")</f>
        <v>Jan-00</v>
      </c>
      <c r="T3729">
        <f>_xlfn.ISOWEEKNUM(Table1[[#This Row],[Date]])</f>
        <v>52</v>
      </c>
    </row>
    <row r="3730" spans="1:20" hidden="1">
      <c r="A3730" s="1"/>
      <c r="S3730" t="str">
        <f>TEXT(Table1[[#This Row],[Date]],"MMM-YY")</f>
        <v>Jan-00</v>
      </c>
      <c r="T3730">
        <f>_xlfn.ISOWEEKNUM(Table1[[#This Row],[Date]])</f>
        <v>52</v>
      </c>
    </row>
    <row r="3731" spans="1:20" hidden="1">
      <c r="A3731" s="1"/>
      <c r="S3731" t="str">
        <f>TEXT(Table1[[#This Row],[Date]],"MMM-YY")</f>
        <v>Jan-00</v>
      </c>
      <c r="T3731">
        <f>_xlfn.ISOWEEKNUM(Table1[[#This Row],[Date]])</f>
        <v>52</v>
      </c>
    </row>
    <row r="3732" spans="1:20" hidden="1">
      <c r="A3732" s="1"/>
      <c r="S3732" t="str">
        <f>TEXT(Table1[[#This Row],[Date]],"MMM-YY")</f>
        <v>Jan-00</v>
      </c>
      <c r="T3732">
        <f>_xlfn.ISOWEEKNUM(Table1[[#This Row],[Date]])</f>
        <v>52</v>
      </c>
    </row>
    <row r="3733" spans="1:20" hidden="1">
      <c r="A3733" s="1"/>
      <c r="S3733" t="str">
        <f>TEXT(Table1[[#This Row],[Date]],"MMM-YY")</f>
        <v>Jan-00</v>
      </c>
      <c r="T3733">
        <f>_xlfn.ISOWEEKNUM(Table1[[#This Row],[Date]])</f>
        <v>52</v>
      </c>
    </row>
    <row r="3734" spans="1:20" hidden="1">
      <c r="A3734" s="1"/>
      <c r="S3734" t="str">
        <f>TEXT(Table1[[#This Row],[Date]],"MMM-YY")</f>
        <v>Jan-00</v>
      </c>
      <c r="T3734">
        <f>_xlfn.ISOWEEKNUM(Table1[[#This Row],[Date]])</f>
        <v>52</v>
      </c>
    </row>
    <row r="3735" spans="1:20" hidden="1">
      <c r="A3735" s="1"/>
      <c r="S3735" t="str">
        <f>TEXT(Table1[[#This Row],[Date]],"MMM-YY")</f>
        <v>Jan-00</v>
      </c>
      <c r="T3735">
        <f>_xlfn.ISOWEEKNUM(Table1[[#This Row],[Date]])</f>
        <v>52</v>
      </c>
    </row>
    <row r="3736" spans="1:20" hidden="1">
      <c r="A3736" s="1"/>
      <c r="S3736" t="str">
        <f>TEXT(Table1[[#This Row],[Date]],"MMM-YY")</f>
        <v>Jan-00</v>
      </c>
      <c r="T3736">
        <f>_xlfn.ISOWEEKNUM(Table1[[#This Row],[Date]])</f>
        <v>52</v>
      </c>
    </row>
    <row r="3737" spans="1:20" hidden="1">
      <c r="A3737" s="1"/>
      <c r="S3737" t="str">
        <f>TEXT(Table1[[#This Row],[Date]],"MMM-YY")</f>
        <v>Jan-00</v>
      </c>
      <c r="T3737">
        <f>_xlfn.ISOWEEKNUM(Table1[[#This Row],[Date]])</f>
        <v>52</v>
      </c>
    </row>
    <row r="3738" spans="1:20" hidden="1">
      <c r="A3738" s="1"/>
      <c r="S3738" t="str">
        <f>TEXT(Table1[[#This Row],[Date]],"MMM-YY")</f>
        <v>Jan-00</v>
      </c>
      <c r="T3738">
        <f>_xlfn.ISOWEEKNUM(Table1[[#This Row],[Date]])</f>
        <v>52</v>
      </c>
    </row>
    <row r="3739" spans="1:20" hidden="1">
      <c r="A3739" s="1"/>
      <c r="S3739" t="str">
        <f>TEXT(Table1[[#This Row],[Date]],"MMM-YY")</f>
        <v>Jan-00</v>
      </c>
      <c r="T3739">
        <f>_xlfn.ISOWEEKNUM(Table1[[#This Row],[Date]])</f>
        <v>52</v>
      </c>
    </row>
    <row r="3740" spans="1:20" hidden="1">
      <c r="A3740" s="1"/>
      <c r="S3740" t="str">
        <f>TEXT(Table1[[#This Row],[Date]],"MMM-YY")</f>
        <v>Jan-00</v>
      </c>
      <c r="T3740">
        <f>_xlfn.ISOWEEKNUM(Table1[[#This Row],[Date]])</f>
        <v>52</v>
      </c>
    </row>
    <row r="3741" spans="1:20" hidden="1">
      <c r="A3741" s="1"/>
      <c r="S3741" t="str">
        <f>TEXT(Table1[[#This Row],[Date]],"MMM-YY")</f>
        <v>Jan-00</v>
      </c>
      <c r="T3741">
        <f>_xlfn.ISOWEEKNUM(Table1[[#This Row],[Date]])</f>
        <v>52</v>
      </c>
    </row>
    <row r="3742" spans="1:20" hidden="1">
      <c r="A3742" s="1"/>
      <c r="S3742" t="str">
        <f>TEXT(Table1[[#This Row],[Date]],"MMM-YY")</f>
        <v>Jan-00</v>
      </c>
      <c r="T3742">
        <f>_xlfn.ISOWEEKNUM(Table1[[#This Row],[Date]])</f>
        <v>52</v>
      </c>
    </row>
    <row r="3743" spans="1:20" hidden="1">
      <c r="A3743" s="1"/>
      <c r="S3743" t="str">
        <f>TEXT(Table1[[#This Row],[Date]],"MMM-YY")</f>
        <v>Jan-00</v>
      </c>
      <c r="T3743">
        <f>_xlfn.ISOWEEKNUM(Table1[[#This Row],[Date]])</f>
        <v>52</v>
      </c>
    </row>
    <row r="3744" spans="1:20" hidden="1">
      <c r="A3744" s="1"/>
      <c r="S3744" t="str">
        <f>TEXT(Table1[[#This Row],[Date]],"MMM-YY")</f>
        <v>Jan-00</v>
      </c>
      <c r="T3744">
        <f>_xlfn.ISOWEEKNUM(Table1[[#This Row],[Date]])</f>
        <v>52</v>
      </c>
    </row>
    <row r="3745" spans="1:20" hidden="1">
      <c r="A3745" s="1"/>
      <c r="S3745" t="str">
        <f>TEXT(Table1[[#This Row],[Date]],"MMM-YY")</f>
        <v>Jan-00</v>
      </c>
      <c r="T3745">
        <f>_xlfn.ISOWEEKNUM(Table1[[#This Row],[Date]])</f>
        <v>52</v>
      </c>
    </row>
    <row r="3746" spans="1:20" hidden="1">
      <c r="A3746" s="1"/>
      <c r="S3746" t="str">
        <f>TEXT(Table1[[#This Row],[Date]],"MMM-YY")</f>
        <v>Jan-00</v>
      </c>
      <c r="T3746">
        <f>_xlfn.ISOWEEKNUM(Table1[[#This Row],[Date]])</f>
        <v>52</v>
      </c>
    </row>
    <row r="3747" spans="1:20" hidden="1">
      <c r="A3747" s="1"/>
      <c r="S3747" t="str">
        <f>TEXT(Table1[[#This Row],[Date]],"MMM-YY")</f>
        <v>Jan-00</v>
      </c>
      <c r="T3747">
        <f>_xlfn.ISOWEEKNUM(Table1[[#This Row],[Date]])</f>
        <v>52</v>
      </c>
    </row>
    <row r="3748" spans="1:20" hidden="1">
      <c r="A3748" s="1"/>
      <c r="S3748" t="str">
        <f>TEXT(Table1[[#This Row],[Date]],"MMM-YY")</f>
        <v>Jan-00</v>
      </c>
      <c r="T3748">
        <f>_xlfn.ISOWEEKNUM(Table1[[#This Row],[Date]])</f>
        <v>52</v>
      </c>
    </row>
    <row r="3749" spans="1:20" hidden="1">
      <c r="A3749" s="1"/>
      <c r="S3749" t="str">
        <f>TEXT(Table1[[#This Row],[Date]],"MMM-YY")</f>
        <v>Jan-00</v>
      </c>
      <c r="T3749">
        <f>_xlfn.ISOWEEKNUM(Table1[[#This Row],[Date]])</f>
        <v>52</v>
      </c>
    </row>
    <row r="3750" spans="1:20" hidden="1">
      <c r="A3750" s="1"/>
      <c r="S3750" t="str">
        <f>TEXT(Table1[[#This Row],[Date]],"MMM-YY")</f>
        <v>Jan-00</v>
      </c>
      <c r="T3750">
        <f>_xlfn.ISOWEEKNUM(Table1[[#This Row],[Date]])</f>
        <v>52</v>
      </c>
    </row>
    <row r="3751" spans="1:20" hidden="1">
      <c r="A3751" s="1"/>
      <c r="S3751" t="str">
        <f>TEXT(Table1[[#This Row],[Date]],"MMM-YY")</f>
        <v>Jan-00</v>
      </c>
      <c r="T3751">
        <f>_xlfn.ISOWEEKNUM(Table1[[#This Row],[Date]])</f>
        <v>52</v>
      </c>
    </row>
    <row r="3752" spans="1:20" hidden="1">
      <c r="A3752" s="1"/>
      <c r="S3752" t="str">
        <f>TEXT(Table1[[#This Row],[Date]],"MMM-YY")</f>
        <v>Jan-00</v>
      </c>
      <c r="T3752">
        <f>_xlfn.ISOWEEKNUM(Table1[[#This Row],[Date]])</f>
        <v>52</v>
      </c>
    </row>
    <row r="3753" spans="1:20" hidden="1">
      <c r="A3753" s="1"/>
      <c r="S3753" t="str">
        <f>TEXT(Table1[[#This Row],[Date]],"MMM-YY")</f>
        <v>Jan-00</v>
      </c>
      <c r="T3753">
        <f>_xlfn.ISOWEEKNUM(Table1[[#This Row],[Date]])</f>
        <v>52</v>
      </c>
    </row>
    <row r="3754" spans="1:20" hidden="1">
      <c r="A3754" s="1"/>
      <c r="S3754" t="str">
        <f>TEXT(Table1[[#This Row],[Date]],"MMM-YY")</f>
        <v>Jan-00</v>
      </c>
      <c r="T3754">
        <f>_xlfn.ISOWEEKNUM(Table1[[#This Row],[Date]])</f>
        <v>52</v>
      </c>
    </row>
    <row r="3755" spans="1:20" hidden="1">
      <c r="A3755" s="1"/>
      <c r="S3755" t="str">
        <f>TEXT(Table1[[#This Row],[Date]],"MMM-YY")</f>
        <v>Jan-00</v>
      </c>
      <c r="T3755">
        <f>_xlfn.ISOWEEKNUM(Table1[[#This Row],[Date]])</f>
        <v>52</v>
      </c>
    </row>
    <row r="3756" spans="1:20" hidden="1">
      <c r="A3756" s="1"/>
      <c r="S3756" t="str">
        <f>TEXT(Table1[[#This Row],[Date]],"MMM-YY")</f>
        <v>Jan-00</v>
      </c>
      <c r="T3756">
        <f>_xlfn.ISOWEEKNUM(Table1[[#This Row],[Date]])</f>
        <v>52</v>
      </c>
    </row>
    <row r="3757" spans="1:20" hidden="1">
      <c r="A3757" s="1"/>
      <c r="S3757" t="str">
        <f>TEXT(Table1[[#This Row],[Date]],"MMM-YY")</f>
        <v>Jan-00</v>
      </c>
      <c r="T3757">
        <f>_xlfn.ISOWEEKNUM(Table1[[#This Row],[Date]])</f>
        <v>52</v>
      </c>
    </row>
    <row r="3758" spans="1:20" hidden="1">
      <c r="A3758" s="1"/>
      <c r="S3758" t="str">
        <f>TEXT(Table1[[#This Row],[Date]],"MMM-YY")</f>
        <v>Jan-00</v>
      </c>
      <c r="T3758">
        <f>_xlfn.ISOWEEKNUM(Table1[[#This Row],[Date]])</f>
        <v>52</v>
      </c>
    </row>
    <row r="3759" spans="1:20" hidden="1">
      <c r="A3759" s="1"/>
      <c r="S3759" t="str">
        <f>TEXT(Table1[[#This Row],[Date]],"MMM-YY")</f>
        <v>Jan-00</v>
      </c>
      <c r="T3759">
        <f>_xlfn.ISOWEEKNUM(Table1[[#This Row],[Date]])</f>
        <v>52</v>
      </c>
    </row>
    <row r="3760" spans="1:20" hidden="1">
      <c r="A3760" s="1"/>
      <c r="S3760" t="str">
        <f>TEXT(Table1[[#This Row],[Date]],"MMM-YY")</f>
        <v>Jan-00</v>
      </c>
      <c r="T3760">
        <f>_xlfn.ISOWEEKNUM(Table1[[#This Row],[Date]])</f>
        <v>52</v>
      </c>
    </row>
    <row r="3761" spans="1:20" hidden="1">
      <c r="A3761" s="1"/>
      <c r="S3761" t="str">
        <f>TEXT(Table1[[#This Row],[Date]],"MMM-YY")</f>
        <v>Jan-00</v>
      </c>
      <c r="T3761">
        <f>_xlfn.ISOWEEKNUM(Table1[[#This Row],[Date]])</f>
        <v>52</v>
      </c>
    </row>
    <row r="3762" spans="1:20" hidden="1">
      <c r="A3762" s="1"/>
      <c r="S3762" t="str">
        <f>TEXT(Table1[[#This Row],[Date]],"MMM-YY")</f>
        <v>Jan-00</v>
      </c>
      <c r="T3762">
        <f>_xlfn.ISOWEEKNUM(Table1[[#This Row],[Date]])</f>
        <v>52</v>
      </c>
    </row>
    <row r="3763" spans="1:20" hidden="1">
      <c r="A3763" s="1"/>
      <c r="S3763" t="str">
        <f>TEXT(Table1[[#This Row],[Date]],"MMM-YY")</f>
        <v>Jan-00</v>
      </c>
      <c r="T3763">
        <f>_xlfn.ISOWEEKNUM(Table1[[#This Row],[Date]])</f>
        <v>52</v>
      </c>
    </row>
    <row r="3764" spans="1:20" hidden="1">
      <c r="A3764" s="1"/>
      <c r="S3764" t="str">
        <f>TEXT(Table1[[#This Row],[Date]],"MMM-YY")</f>
        <v>Jan-00</v>
      </c>
      <c r="T3764">
        <f>_xlfn.ISOWEEKNUM(Table1[[#This Row],[Date]])</f>
        <v>52</v>
      </c>
    </row>
    <row r="3765" spans="1:20" hidden="1">
      <c r="A3765" s="1"/>
      <c r="S3765" t="str">
        <f>TEXT(Table1[[#This Row],[Date]],"MMM-YY")</f>
        <v>Jan-00</v>
      </c>
      <c r="T3765">
        <f>_xlfn.ISOWEEKNUM(Table1[[#This Row],[Date]])</f>
        <v>52</v>
      </c>
    </row>
    <row r="3766" spans="1:20" hidden="1">
      <c r="A3766" s="1"/>
      <c r="S3766" t="str">
        <f>TEXT(Table1[[#This Row],[Date]],"MMM-YY")</f>
        <v>Jan-00</v>
      </c>
      <c r="T3766">
        <f>_xlfn.ISOWEEKNUM(Table1[[#This Row],[Date]])</f>
        <v>52</v>
      </c>
    </row>
    <row r="3767" spans="1:20" hidden="1">
      <c r="A3767" s="1"/>
      <c r="S3767" t="str">
        <f>TEXT(Table1[[#This Row],[Date]],"MMM-YY")</f>
        <v>Jan-00</v>
      </c>
      <c r="T3767">
        <f>_xlfn.ISOWEEKNUM(Table1[[#This Row],[Date]])</f>
        <v>52</v>
      </c>
    </row>
    <row r="3768" spans="1:20" hidden="1">
      <c r="A3768" s="1"/>
      <c r="S3768" t="str">
        <f>TEXT(Table1[[#This Row],[Date]],"MMM-YY")</f>
        <v>Jan-00</v>
      </c>
      <c r="T3768">
        <f>_xlfn.ISOWEEKNUM(Table1[[#This Row],[Date]])</f>
        <v>52</v>
      </c>
    </row>
    <row r="3769" spans="1:20" hidden="1">
      <c r="A3769" s="1"/>
      <c r="S3769" t="str">
        <f>TEXT(Table1[[#This Row],[Date]],"MMM-YY")</f>
        <v>Jan-00</v>
      </c>
      <c r="T3769">
        <f>_xlfn.ISOWEEKNUM(Table1[[#This Row],[Date]])</f>
        <v>52</v>
      </c>
    </row>
    <row r="3770" spans="1:20" hidden="1">
      <c r="A3770" s="1"/>
      <c r="S3770" t="str">
        <f>TEXT(Table1[[#This Row],[Date]],"MMM-YY")</f>
        <v>Jan-00</v>
      </c>
      <c r="T3770">
        <f>_xlfn.ISOWEEKNUM(Table1[[#This Row],[Date]])</f>
        <v>52</v>
      </c>
    </row>
    <row r="3771" spans="1:20" hidden="1">
      <c r="A3771" s="1"/>
      <c r="S3771" t="str">
        <f>TEXT(Table1[[#This Row],[Date]],"MMM-YY")</f>
        <v>Jan-00</v>
      </c>
      <c r="T3771">
        <f>_xlfn.ISOWEEKNUM(Table1[[#This Row],[Date]])</f>
        <v>52</v>
      </c>
    </row>
    <row r="3772" spans="1:20" hidden="1">
      <c r="A3772" s="1"/>
      <c r="S3772" t="str">
        <f>TEXT(Table1[[#This Row],[Date]],"MMM-YY")</f>
        <v>Jan-00</v>
      </c>
      <c r="T3772">
        <f>_xlfn.ISOWEEKNUM(Table1[[#This Row],[Date]])</f>
        <v>52</v>
      </c>
    </row>
    <row r="3773" spans="1:20" hidden="1">
      <c r="A3773" s="1"/>
      <c r="S3773" t="str">
        <f>TEXT(Table1[[#This Row],[Date]],"MMM-YY")</f>
        <v>Jan-00</v>
      </c>
      <c r="T3773">
        <f>_xlfn.ISOWEEKNUM(Table1[[#This Row],[Date]])</f>
        <v>52</v>
      </c>
    </row>
    <row r="3774" spans="1:20" hidden="1">
      <c r="A3774" s="1"/>
      <c r="S3774" t="str">
        <f>TEXT(Table1[[#This Row],[Date]],"MMM-YY")</f>
        <v>Jan-00</v>
      </c>
      <c r="T3774">
        <f>_xlfn.ISOWEEKNUM(Table1[[#This Row],[Date]])</f>
        <v>52</v>
      </c>
    </row>
    <row r="3775" spans="1:20" hidden="1">
      <c r="A3775" s="1"/>
      <c r="S3775" t="str">
        <f>TEXT(Table1[[#This Row],[Date]],"MMM-YY")</f>
        <v>Jan-00</v>
      </c>
      <c r="T3775">
        <f>_xlfn.ISOWEEKNUM(Table1[[#This Row],[Date]])</f>
        <v>52</v>
      </c>
    </row>
    <row r="3776" spans="1:20" hidden="1">
      <c r="A3776" s="1"/>
      <c r="S3776" t="str">
        <f>TEXT(Table1[[#This Row],[Date]],"MMM-YY")</f>
        <v>Jan-00</v>
      </c>
      <c r="T3776">
        <f>_xlfn.ISOWEEKNUM(Table1[[#This Row],[Date]])</f>
        <v>52</v>
      </c>
    </row>
    <row r="3777" spans="1:20" hidden="1">
      <c r="A3777" s="1"/>
      <c r="S3777" t="str">
        <f>TEXT(Table1[[#This Row],[Date]],"MMM-YY")</f>
        <v>Jan-00</v>
      </c>
      <c r="T3777">
        <f>_xlfn.ISOWEEKNUM(Table1[[#This Row],[Date]])</f>
        <v>52</v>
      </c>
    </row>
    <row r="3778" spans="1:20" hidden="1">
      <c r="A3778" s="1"/>
      <c r="S3778" t="str">
        <f>TEXT(Table1[[#This Row],[Date]],"MMM-YY")</f>
        <v>Jan-00</v>
      </c>
      <c r="T3778">
        <f>_xlfn.ISOWEEKNUM(Table1[[#This Row],[Date]])</f>
        <v>52</v>
      </c>
    </row>
    <row r="3779" spans="1:20" hidden="1">
      <c r="A3779" s="1"/>
      <c r="S3779" t="str">
        <f>TEXT(Table1[[#This Row],[Date]],"MMM-YY")</f>
        <v>Jan-00</v>
      </c>
      <c r="T3779">
        <f>_xlfn.ISOWEEKNUM(Table1[[#This Row],[Date]])</f>
        <v>52</v>
      </c>
    </row>
    <row r="3780" spans="1:20" hidden="1">
      <c r="A3780" s="1"/>
      <c r="S3780" t="str">
        <f>TEXT(Table1[[#This Row],[Date]],"MMM-YY")</f>
        <v>Jan-00</v>
      </c>
      <c r="T3780">
        <f>_xlfn.ISOWEEKNUM(Table1[[#This Row],[Date]])</f>
        <v>52</v>
      </c>
    </row>
    <row r="3781" spans="1:20" hidden="1">
      <c r="A3781" s="1"/>
      <c r="S3781" t="str">
        <f>TEXT(Table1[[#This Row],[Date]],"MMM-YY")</f>
        <v>Jan-00</v>
      </c>
      <c r="T3781">
        <f>_xlfn.ISOWEEKNUM(Table1[[#This Row],[Date]])</f>
        <v>52</v>
      </c>
    </row>
    <row r="3782" spans="1:20" hidden="1">
      <c r="A3782" s="1"/>
      <c r="S3782" t="str">
        <f>TEXT(Table1[[#This Row],[Date]],"MMM-YY")</f>
        <v>Jan-00</v>
      </c>
      <c r="T3782">
        <f>_xlfn.ISOWEEKNUM(Table1[[#This Row],[Date]])</f>
        <v>52</v>
      </c>
    </row>
    <row r="3783" spans="1:20" hidden="1">
      <c r="A3783" s="1"/>
      <c r="S3783" t="str">
        <f>TEXT(Table1[[#This Row],[Date]],"MMM-YY")</f>
        <v>Jan-00</v>
      </c>
      <c r="T3783">
        <f>_xlfn.ISOWEEKNUM(Table1[[#This Row],[Date]])</f>
        <v>52</v>
      </c>
    </row>
    <row r="3784" spans="1:20" hidden="1">
      <c r="A3784" s="1"/>
      <c r="S3784" t="str">
        <f>TEXT(Table1[[#This Row],[Date]],"MMM-YY")</f>
        <v>Jan-00</v>
      </c>
      <c r="T3784">
        <f>_xlfn.ISOWEEKNUM(Table1[[#This Row],[Date]])</f>
        <v>52</v>
      </c>
    </row>
    <row r="3785" spans="1:20" hidden="1">
      <c r="A3785" s="1"/>
      <c r="S3785" t="str">
        <f>TEXT(Table1[[#This Row],[Date]],"MMM-YY")</f>
        <v>Jan-00</v>
      </c>
      <c r="T3785">
        <f>_xlfn.ISOWEEKNUM(Table1[[#This Row],[Date]])</f>
        <v>52</v>
      </c>
    </row>
    <row r="3786" spans="1:20" hidden="1">
      <c r="A3786" s="1"/>
      <c r="S3786" t="str">
        <f>TEXT(Table1[[#This Row],[Date]],"MMM-YY")</f>
        <v>Jan-00</v>
      </c>
      <c r="T3786">
        <f>_xlfn.ISOWEEKNUM(Table1[[#This Row],[Date]])</f>
        <v>52</v>
      </c>
    </row>
    <row r="3787" spans="1:20" hidden="1">
      <c r="A3787" s="1"/>
      <c r="S3787" t="str">
        <f>TEXT(Table1[[#This Row],[Date]],"MMM-YY")</f>
        <v>Jan-00</v>
      </c>
      <c r="T3787">
        <f>_xlfn.ISOWEEKNUM(Table1[[#This Row],[Date]])</f>
        <v>52</v>
      </c>
    </row>
    <row r="3788" spans="1:20" hidden="1">
      <c r="A3788" s="1"/>
      <c r="S3788" t="str">
        <f>TEXT(Table1[[#This Row],[Date]],"MMM-YY")</f>
        <v>Jan-00</v>
      </c>
      <c r="T3788">
        <f>_xlfn.ISOWEEKNUM(Table1[[#This Row],[Date]])</f>
        <v>52</v>
      </c>
    </row>
    <row r="3789" spans="1:20" hidden="1">
      <c r="A3789" s="1"/>
      <c r="S3789" t="str">
        <f>TEXT(Table1[[#This Row],[Date]],"MMM-YY")</f>
        <v>Jan-00</v>
      </c>
      <c r="T3789">
        <f>_xlfn.ISOWEEKNUM(Table1[[#This Row],[Date]])</f>
        <v>52</v>
      </c>
    </row>
    <row r="3790" spans="1:20" hidden="1">
      <c r="A3790" s="1"/>
      <c r="S3790" t="str">
        <f>TEXT(Table1[[#This Row],[Date]],"MMM-YY")</f>
        <v>Jan-00</v>
      </c>
      <c r="T3790">
        <f>_xlfn.ISOWEEKNUM(Table1[[#This Row],[Date]])</f>
        <v>52</v>
      </c>
    </row>
    <row r="3791" spans="1:20" hidden="1">
      <c r="A3791" s="1"/>
      <c r="S3791" t="str">
        <f>TEXT(Table1[[#This Row],[Date]],"MMM-YY")</f>
        <v>Jan-00</v>
      </c>
      <c r="T3791">
        <f>_xlfn.ISOWEEKNUM(Table1[[#This Row],[Date]])</f>
        <v>52</v>
      </c>
    </row>
    <row r="3792" spans="1:20" hidden="1">
      <c r="A3792" s="1"/>
      <c r="S3792" t="str">
        <f>TEXT(Table1[[#This Row],[Date]],"MMM-YY")</f>
        <v>Jan-00</v>
      </c>
      <c r="T3792">
        <f>_xlfn.ISOWEEKNUM(Table1[[#This Row],[Date]])</f>
        <v>52</v>
      </c>
    </row>
    <row r="3793" spans="1:20" hidden="1">
      <c r="A3793" s="1"/>
      <c r="S3793" t="str">
        <f>TEXT(Table1[[#This Row],[Date]],"MMM-YY")</f>
        <v>Jan-00</v>
      </c>
      <c r="T3793">
        <f>_xlfn.ISOWEEKNUM(Table1[[#This Row],[Date]])</f>
        <v>52</v>
      </c>
    </row>
    <row r="3794" spans="1:20" hidden="1">
      <c r="A3794" s="1"/>
      <c r="S3794" t="str">
        <f>TEXT(Table1[[#This Row],[Date]],"MMM-YY")</f>
        <v>Jan-00</v>
      </c>
      <c r="T3794">
        <f>_xlfn.ISOWEEKNUM(Table1[[#This Row],[Date]])</f>
        <v>52</v>
      </c>
    </row>
    <row r="3795" spans="1:20" hidden="1">
      <c r="A3795" s="1"/>
      <c r="S3795" t="str">
        <f>TEXT(Table1[[#This Row],[Date]],"MMM-YY")</f>
        <v>Jan-00</v>
      </c>
      <c r="T3795">
        <f>_xlfn.ISOWEEKNUM(Table1[[#This Row],[Date]])</f>
        <v>52</v>
      </c>
    </row>
    <row r="3796" spans="1:20" hidden="1">
      <c r="A3796" s="1"/>
      <c r="S3796" t="str">
        <f>TEXT(Table1[[#This Row],[Date]],"MMM-YY")</f>
        <v>Jan-00</v>
      </c>
      <c r="T3796">
        <f>_xlfn.ISOWEEKNUM(Table1[[#This Row],[Date]])</f>
        <v>52</v>
      </c>
    </row>
    <row r="3797" spans="1:20" hidden="1">
      <c r="A3797" s="1"/>
      <c r="S3797" t="str">
        <f>TEXT(Table1[[#This Row],[Date]],"MMM-YY")</f>
        <v>Jan-00</v>
      </c>
      <c r="T3797">
        <f>_xlfn.ISOWEEKNUM(Table1[[#This Row],[Date]])</f>
        <v>52</v>
      </c>
    </row>
    <row r="3798" spans="1:20" hidden="1">
      <c r="A3798" s="1"/>
      <c r="S3798" t="str">
        <f>TEXT(Table1[[#This Row],[Date]],"MMM-YY")</f>
        <v>Jan-00</v>
      </c>
      <c r="T3798">
        <f>_xlfn.ISOWEEKNUM(Table1[[#This Row],[Date]])</f>
        <v>52</v>
      </c>
    </row>
    <row r="3799" spans="1:20" hidden="1">
      <c r="A3799" s="1"/>
      <c r="S3799" t="str">
        <f>TEXT(Table1[[#This Row],[Date]],"MMM-YY")</f>
        <v>Jan-00</v>
      </c>
      <c r="T3799">
        <f>_xlfn.ISOWEEKNUM(Table1[[#This Row],[Date]])</f>
        <v>52</v>
      </c>
    </row>
    <row r="3800" spans="1:20" hidden="1">
      <c r="A3800" s="1"/>
      <c r="S3800" t="str">
        <f>TEXT(Table1[[#This Row],[Date]],"MMM-YY")</f>
        <v>Jan-00</v>
      </c>
      <c r="T3800">
        <f>_xlfn.ISOWEEKNUM(Table1[[#This Row],[Date]])</f>
        <v>52</v>
      </c>
    </row>
    <row r="3801" spans="1:20" hidden="1">
      <c r="A3801" s="1"/>
      <c r="S3801" t="str">
        <f>TEXT(Table1[[#This Row],[Date]],"MMM-YY")</f>
        <v>Jan-00</v>
      </c>
      <c r="T3801">
        <f>_xlfn.ISOWEEKNUM(Table1[[#This Row],[Date]])</f>
        <v>52</v>
      </c>
    </row>
    <row r="3802" spans="1:20" hidden="1">
      <c r="A3802" s="1"/>
      <c r="S3802" t="str">
        <f>TEXT(Table1[[#This Row],[Date]],"MMM-YY")</f>
        <v>Jan-00</v>
      </c>
      <c r="T3802">
        <f>_xlfn.ISOWEEKNUM(Table1[[#This Row],[Date]])</f>
        <v>52</v>
      </c>
    </row>
    <row r="3803" spans="1:20" hidden="1">
      <c r="A3803" s="1"/>
      <c r="S3803" t="str">
        <f>TEXT(Table1[[#This Row],[Date]],"MMM-YY")</f>
        <v>Jan-00</v>
      </c>
      <c r="T3803">
        <f>_xlfn.ISOWEEKNUM(Table1[[#This Row],[Date]])</f>
        <v>52</v>
      </c>
    </row>
    <row r="3804" spans="1:20" hidden="1">
      <c r="A3804" s="1"/>
      <c r="S3804" t="str">
        <f>TEXT(Table1[[#This Row],[Date]],"MMM-YY")</f>
        <v>Jan-00</v>
      </c>
      <c r="T3804">
        <f>_xlfn.ISOWEEKNUM(Table1[[#This Row],[Date]])</f>
        <v>52</v>
      </c>
    </row>
    <row r="3805" spans="1:20" hidden="1">
      <c r="A3805" s="1"/>
      <c r="S3805" t="str">
        <f>TEXT(Table1[[#This Row],[Date]],"MMM-YY")</f>
        <v>Jan-00</v>
      </c>
      <c r="T3805">
        <f>_xlfn.ISOWEEKNUM(Table1[[#This Row],[Date]])</f>
        <v>52</v>
      </c>
    </row>
    <row r="3806" spans="1:20" hidden="1">
      <c r="A3806" s="1"/>
      <c r="S3806" t="str">
        <f>TEXT(Table1[[#This Row],[Date]],"MMM-YY")</f>
        <v>Jan-00</v>
      </c>
      <c r="T3806">
        <f>_xlfn.ISOWEEKNUM(Table1[[#This Row],[Date]])</f>
        <v>52</v>
      </c>
    </row>
    <row r="3807" spans="1:20" hidden="1">
      <c r="A3807" s="1"/>
      <c r="S3807" t="str">
        <f>TEXT(Table1[[#This Row],[Date]],"MMM-YY")</f>
        <v>Jan-00</v>
      </c>
      <c r="T3807">
        <f>_xlfn.ISOWEEKNUM(Table1[[#This Row],[Date]])</f>
        <v>52</v>
      </c>
    </row>
    <row r="3808" spans="1:20" hidden="1">
      <c r="A3808" s="1"/>
      <c r="S3808" t="str">
        <f>TEXT(Table1[[#This Row],[Date]],"MMM-YY")</f>
        <v>Jan-00</v>
      </c>
      <c r="T3808">
        <f>_xlfn.ISOWEEKNUM(Table1[[#This Row],[Date]])</f>
        <v>52</v>
      </c>
    </row>
    <row r="3809" spans="1:20" hidden="1">
      <c r="A3809" s="1"/>
      <c r="S3809" t="str">
        <f>TEXT(Table1[[#This Row],[Date]],"MMM-YY")</f>
        <v>Jan-00</v>
      </c>
      <c r="T3809">
        <f>_xlfn.ISOWEEKNUM(Table1[[#This Row],[Date]])</f>
        <v>52</v>
      </c>
    </row>
    <row r="3810" spans="1:20" hidden="1">
      <c r="A3810" s="1"/>
      <c r="S3810" t="str">
        <f>TEXT(Table1[[#This Row],[Date]],"MMM-YY")</f>
        <v>Jan-00</v>
      </c>
      <c r="T3810">
        <f>_xlfn.ISOWEEKNUM(Table1[[#This Row],[Date]])</f>
        <v>52</v>
      </c>
    </row>
    <row r="3811" spans="1:20" hidden="1">
      <c r="A3811" s="1"/>
      <c r="S3811" t="str">
        <f>TEXT(Table1[[#This Row],[Date]],"MMM-YY")</f>
        <v>Jan-00</v>
      </c>
      <c r="T3811">
        <f>_xlfn.ISOWEEKNUM(Table1[[#This Row],[Date]])</f>
        <v>52</v>
      </c>
    </row>
    <row r="3812" spans="1:20" hidden="1">
      <c r="A3812" s="1"/>
      <c r="S3812" t="str">
        <f>TEXT(Table1[[#This Row],[Date]],"MMM-YY")</f>
        <v>Jan-00</v>
      </c>
      <c r="T3812">
        <f>_xlfn.ISOWEEKNUM(Table1[[#This Row],[Date]])</f>
        <v>52</v>
      </c>
    </row>
    <row r="3813" spans="1:20" hidden="1">
      <c r="A3813" s="1"/>
      <c r="S3813" t="str">
        <f>TEXT(Table1[[#This Row],[Date]],"MMM-YY")</f>
        <v>Jan-00</v>
      </c>
      <c r="T3813">
        <f>_xlfn.ISOWEEKNUM(Table1[[#This Row],[Date]])</f>
        <v>52</v>
      </c>
    </row>
    <row r="3814" spans="1:20" hidden="1">
      <c r="A3814" s="1"/>
      <c r="S3814" t="str">
        <f>TEXT(Table1[[#This Row],[Date]],"MMM-YY")</f>
        <v>Jan-00</v>
      </c>
      <c r="T3814">
        <f>_xlfn.ISOWEEKNUM(Table1[[#This Row],[Date]])</f>
        <v>52</v>
      </c>
    </row>
    <row r="3815" spans="1:20" hidden="1">
      <c r="A3815" s="1"/>
      <c r="S3815" t="str">
        <f>TEXT(Table1[[#This Row],[Date]],"MMM-YY")</f>
        <v>Jan-00</v>
      </c>
      <c r="T3815">
        <f>_xlfn.ISOWEEKNUM(Table1[[#This Row],[Date]])</f>
        <v>52</v>
      </c>
    </row>
    <row r="3816" spans="1:20" hidden="1">
      <c r="A3816" s="1"/>
      <c r="S3816" t="str">
        <f>TEXT(Table1[[#This Row],[Date]],"MMM-YY")</f>
        <v>Jan-00</v>
      </c>
      <c r="T3816">
        <f>_xlfn.ISOWEEKNUM(Table1[[#This Row],[Date]])</f>
        <v>52</v>
      </c>
    </row>
    <row r="3817" spans="1:20" hidden="1">
      <c r="A3817" s="1"/>
      <c r="S3817" t="str">
        <f>TEXT(Table1[[#This Row],[Date]],"MMM-YY")</f>
        <v>Jan-00</v>
      </c>
      <c r="T3817">
        <f>_xlfn.ISOWEEKNUM(Table1[[#This Row],[Date]])</f>
        <v>52</v>
      </c>
    </row>
    <row r="3818" spans="1:20" hidden="1">
      <c r="A3818" s="1"/>
      <c r="S3818" t="str">
        <f>TEXT(Table1[[#This Row],[Date]],"MMM-YY")</f>
        <v>Jan-00</v>
      </c>
      <c r="T3818">
        <f>_xlfn.ISOWEEKNUM(Table1[[#This Row],[Date]])</f>
        <v>52</v>
      </c>
    </row>
    <row r="3819" spans="1:20" hidden="1">
      <c r="A3819" s="1"/>
      <c r="S3819" t="str">
        <f>TEXT(Table1[[#This Row],[Date]],"MMM-YY")</f>
        <v>Jan-00</v>
      </c>
      <c r="T3819">
        <f>_xlfn.ISOWEEKNUM(Table1[[#This Row],[Date]])</f>
        <v>52</v>
      </c>
    </row>
    <row r="3820" spans="1:20" hidden="1">
      <c r="A3820" s="1"/>
      <c r="S3820" t="str">
        <f>TEXT(Table1[[#This Row],[Date]],"MMM-YY")</f>
        <v>Jan-00</v>
      </c>
      <c r="T3820">
        <f>_xlfn.ISOWEEKNUM(Table1[[#This Row],[Date]])</f>
        <v>52</v>
      </c>
    </row>
    <row r="3821" spans="1:20" hidden="1">
      <c r="A3821" s="1"/>
      <c r="S3821" t="str">
        <f>TEXT(Table1[[#This Row],[Date]],"MMM-YY")</f>
        <v>Jan-00</v>
      </c>
      <c r="T3821">
        <f>_xlfn.ISOWEEKNUM(Table1[[#This Row],[Date]])</f>
        <v>52</v>
      </c>
    </row>
    <row r="3822" spans="1:20" hidden="1">
      <c r="A3822" s="1"/>
      <c r="S3822" t="str">
        <f>TEXT(Table1[[#This Row],[Date]],"MMM-YY")</f>
        <v>Jan-00</v>
      </c>
      <c r="T3822">
        <f>_xlfn.ISOWEEKNUM(Table1[[#This Row],[Date]])</f>
        <v>52</v>
      </c>
    </row>
    <row r="3823" spans="1:20" hidden="1">
      <c r="A3823" s="1"/>
      <c r="S3823" t="str">
        <f>TEXT(Table1[[#This Row],[Date]],"MMM-YY")</f>
        <v>Jan-00</v>
      </c>
      <c r="T3823">
        <f>_xlfn.ISOWEEKNUM(Table1[[#This Row],[Date]])</f>
        <v>52</v>
      </c>
    </row>
    <row r="3824" spans="1:20" hidden="1">
      <c r="A3824" s="1"/>
      <c r="S3824" t="str">
        <f>TEXT(Table1[[#This Row],[Date]],"MMM-YY")</f>
        <v>Jan-00</v>
      </c>
      <c r="T3824">
        <f>_xlfn.ISOWEEKNUM(Table1[[#This Row],[Date]])</f>
        <v>52</v>
      </c>
    </row>
    <row r="3825" spans="1:20" hidden="1">
      <c r="A3825" s="1"/>
      <c r="S3825" t="str">
        <f>TEXT(Table1[[#This Row],[Date]],"MMM-YY")</f>
        <v>Jan-00</v>
      </c>
      <c r="T3825">
        <f>_xlfn.ISOWEEKNUM(Table1[[#This Row],[Date]])</f>
        <v>52</v>
      </c>
    </row>
    <row r="3826" spans="1:20" hidden="1">
      <c r="A3826" s="1"/>
      <c r="S3826" t="str">
        <f>TEXT(Table1[[#This Row],[Date]],"MMM-YY")</f>
        <v>Jan-00</v>
      </c>
      <c r="T3826">
        <f>_xlfn.ISOWEEKNUM(Table1[[#This Row],[Date]])</f>
        <v>52</v>
      </c>
    </row>
    <row r="3827" spans="1:20" hidden="1">
      <c r="A3827" s="1"/>
      <c r="S3827" t="str">
        <f>TEXT(Table1[[#This Row],[Date]],"MMM-YY")</f>
        <v>Jan-00</v>
      </c>
      <c r="T3827">
        <f>_xlfn.ISOWEEKNUM(Table1[[#This Row],[Date]])</f>
        <v>52</v>
      </c>
    </row>
    <row r="3828" spans="1:20" hidden="1">
      <c r="A3828" s="1"/>
      <c r="S3828" t="str">
        <f>TEXT(Table1[[#This Row],[Date]],"MMM-YY")</f>
        <v>Jan-00</v>
      </c>
      <c r="T3828">
        <f>_xlfn.ISOWEEKNUM(Table1[[#This Row],[Date]])</f>
        <v>52</v>
      </c>
    </row>
    <row r="3829" spans="1:20" hidden="1">
      <c r="A3829" s="1"/>
      <c r="S3829" t="str">
        <f>TEXT(Table1[[#This Row],[Date]],"MMM-YY")</f>
        <v>Jan-00</v>
      </c>
      <c r="T3829">
        <f>_xlfn.ISOWEEKNUM(Table1[[#This Row],[Date]])</f>
        <v>52</v>
      </c>
    </row>
    <row r="3830" spans="1:20" hidden="1">
      <c r="A3830" s="1"/>
      <c r="S3830" t="str">
        <f>TEXT(Table1[[#This Row],[Date]],"MMM-YY")</f>
        <v>Jan-00</v>
      </c>
      <c r="T3830">
        <f>_xlfn.ISOWEEKNUM(Table1[[#This Row],[Date]])</f>
        <v>52</v>
      </c>
    </row>
    <row r="3831" spans="1:20" hidden="1">
      <c r="A3831" s="1"/>
      <c r="S3831" t="str">
        <f>TEXT(Table1[[#This Row],[Date]],"MMM-YY")</f>
        <v>Jan-00</v>
      </c>
      <c r="T3831">
        <f>_xlfn.ISOWEEKNUM(Table1[[#This Row],[Date]])</f>
        <v>52</v>
      </c>
    </row>
    <row r="3832" spans="1:20" hidden="1">
      <c r="A3832" s="1"/>
      <c r="S3832" t="str">
        <f>TEXT(Table1[[#This Row],[Date]],"MMM-YY")</f>
        <v>Jan-00</v>
      </c>
      <c r="T3832">
        <f>_xlfn.ISOWEEKNUM(Table1[[#This Row],[Date]])</f>
        <v>52</v>
      </c>
    </row>
    <row r="3833" spans="1:20" hidden="1">
      <c r="A3833" s="1"/>
      <c r="S3833" t="str">
        <f>TEXT(Table1[[#This Row],[Date]],"MMM-YY")</f>
        <v>Jan-00</v>
      </c>
      <c r="T3833">
        <f>_xlfn.ISOWEEKNUM(Table1[[#This Row],[Date]])</f>
        <v>52</v>
      </c>
    </row>
    <row r="3834" spans="1:20" hidden="1">
      <c r="A3834" s="1"/>
      <c r="S3834" t="str">
        <f>TEXT(Table1[[#This Row],[Date]],"MMM-YY")</f>
        <v>Jan-00</v>
      </c>
      <c r="T3834">
        <f>_xlfn.ISOWEEKNUM(Table1[[#This Row],[Date]])</f>
        <v>52</v>
      </c>
    </row>
    <row r="3835" spans="1:20" hidden="1">
      <c r="A3835" s="1"/>
      <c r="S3835" t="str">
        <f>TEXT(Table1[[#This Row],[Date]],"MMM-YY")</f>
        <v>Jan-00</v>
      </c>
      <c r="T3835">
        <f>_xlfn.ISOWEEKNUM(Table1[[#This Row],[Date]])</f>
        <v>52</v>
      </c>
    </row>
    <row r="3836" spans="1:20" hidden="1">
      <c r="A3836" s="1"/>
      <c r="S3836" t="str">
        <f>TEXT(Table1[[#This Row],[Date]],"MMM-YY")</f>
        <v>Jan-00</v>
      </c>
      <c r="T3836">
        <f>_xlfn.ISOWEEKNUM(Table1[[#This Row],[Date]])</f>
        <v>52</v>
      </c>
    </row>
    <row r="3837" spans="1:20" hidden="1">
      <c r="A3837" s="1"/>
      <c r="S3837" t="str">
        <f>TEXT(Table1[[#This Row],[Date]],"MMM-YY")</f>
        <v>Jan-00</v>
      </c>
      <c r="T3837">
        <f>_xlfn.ISOWEEKNUM(Table1[[#This Row],[Date]])</f>
        <v>52</v>
      </c>
    </row>
    <row r="3838" spans="1:20" hidden="1">
      <c r="A3838" s="1"/>
      <c r="S3838" t="str">
        <f>TEXT(Table1[[#This Row],[Date]],"MMM-YY")</f>
        <v>Jan-00</v>
      </c>
      <c r="T3838">
        <f>_xlfn.ISOWEEKNUM(Table1[[#This Row],[Date]])</f>
        <v>52</v>
      </c>
    </row>
    <row r="3839" spans="1:20" hidden="1">
      <c r="A3839" s="1"/>
      <c r="S3839" t="str">
        <f>TEXT(Table1[[#This Row],[Date]],"MMM-YY")</f>
        <v>Jan-00</v>
      </c>
      <c r="T3839">
        <f>_xlfn.ISOWEEKNUM(Table1[[#This Row],[Date]])</f>
        <v>52</v>
      </c>
    </row>
    <row r="3840" spans="1:20" hidden="1">
      <c r="A3840" s="1"/>
      <c r="S3840" t="str">
        <f>TEXT(Table1[[#This Row],[Date]],"MMM-YY")</f>
        <v>Jan-00</v>
      </c>
      <c r="T3840">
        <f>_xlfn.ISOWEEKNUM(Table1[[#This Row],[Date]])</f>
        <v>52</v>
      </c>
    </row>
    <row r="3841" spans="1:20" hidden="1">
      <c r="A3841" s="1"/>
      <c r="S3841" t="str">
        <f>TEXT(Table1[[#This Row],[Date]],"MMM-YY")</f>
        <v>Jan-00</v>
      </c>
      <c r="T3841">
        <f>_xlfn.ISOWEEKNUM(Table1[[#This Row],[Date]])</f>
        <v>52</v>
      </c>
    </row>
    <row r="3842" spans="1:20" hidden="1">
      <c r="A3842" s="1"/>
      <c r="S3842" t="str">
        <f>TEXT(Table1[[#This Row],[Date]],"MMM-YY")</f>
        <v>Jan-00</v>
      </c>
      <c r="T3842">
        <f>_xlfn.ISOWEEKNUM(Table1[[#This Row],[Date]])</f>
        <v>52</v>
      </c>
    </row>
    <row r="3843" spans="1:20" hidden="1">
      <c r="A3843" s="1"/>
      <c r="S3843" t="str">
        <f>TEXT(Table1[[#This Row],[Date]],"MMM-YY")</f>
        <v>Jan-00</v>
      </c>
      <c r="T3843">
        <f>_xlfn.ISOWEEKNUM(Table1[[#This Row],[Date]])</f>
        <v>52</v>
      </c>
    </row>
    <row r="3844" spans="1:20" hidden="1">
      <c r="A3844" s="1"/>
      <c r="S3844" t="str">
        <f>TEXT(Table1[[#This Row],[Date]],"MMM-YY")</f>
        <v>Jan-00</v>
      </c>
      <c r="T3844">
        <f>_xlfn.ISOWEEKNUM(Table1[[#This Row],[Date]])</f>
        <v>52</v>
      </c>
    </row>
    <row r="3845" spans="1:20" hidden="1">
      <c r="A3845" s="1"/>
      <c r="S3845" t="str">
        <f>TEXT(Table1[[#This Row],[Date]],"MMM-YY")</f>
        <v>Jan-00</v>
      </c>
      <c r="T3845">
        <f>_xlfn.ISOWEEKNUM(Table1[[#This Row],[Date]])</f>
        <v>52</v>
      </c>
    </row>
    <row r="3846" spans="1:20" hidden="1">
      <c r="A3846" s="1"/>
      <c r="S3846" t="str">
        <f>TEXT(Table1[[#This Row],[Date]],"MMM-YY")</f>
        <v>Jan-00</v>
      </c>
      <c r="T3846">
        <f>_xlfn.ISOWEEKNUM(Table1[[#This Row],[Date]])</f>
        <v>52</v>
      </c>
    </row>
    <row r="3847" spans="1:20" hidden="1">
      <c r="A3847" s="1"/>
      <c r="S3847" t="str">
        <f>TEXT(Table1[[#This Row],[Date]],"MMM-YY")</f>
        <v>Jan-00</v>
      </c>
      <c r="T3847">
        <f>_xlfn.ISOWEEKNUM(Table1[[#This Row],[Date]])</f>
        <v>52</v>
      </c>
    </row>
    <row r="3848" spans="1:20" hidden="1">
      <c r="A3848" s="1"/>
      <c r="S3848" t="str">
        <f>TEXT(Table1[[#This Row],[Date]],"MMM-YY")</f>
        <v>Jan-00</v>
      </c>
      <c r="T3848">
        <f>_xlfn.ISOWEEKNUM(Table1[[#This Row],[Date]])</f>
        <v>52</v>
      </c>
    </row>
    <row r="3849" spans="1:20" hidden="1">
      <c r="A3849" s="1"/>
      <c r="S3849" t="str">
        <f>TEXT(Table1[[#This Row],[Date]],"MMM-YY")</f>
        <v>Jan-00</v>
      </c>
      <c r="T3849">
        <f>_xlfn.ISOWEEKNUM(Table1[[#This Row],[Date]])</f>
        <v>52</v>
      </c>
    </row>
    <row r="3850" spans="1:20" hidden="1">
      <c r="A3850" s="1"/>
      <c r="S3850" t="str">
        <f>TEXT(Table1[[#This Row],[Date]],"MMM-YY")</f>
        <v>Jan-00</v>
      </c>
      <c r="T3850">
        <f>_xlfn.ISOWEEKNUM(Table1[[#This Row],[Date]])</f>
        <v>52</v>
      </c>
    </row>
    <row r="3851" spans="1:20" hidden="1">
      <c r="A3851" s="1"/>
      <c r="S3851" t="str">
        <f>TEXT(Table1[[#This Row],[Date]],"MMM-YY")</f>
        <v>Jan-00</v>
      </c>
      <c r="T3851">
        <f>_xlfn.ISOWEEKNUM(Table1[[#This Row],[Date]])</f>
        <v>52</v>
      </c>
    </row>
    <row r="3852" spans="1:20" hidden="1">
      <c r="A3852" s="1"/>
      <c r="S3852" t="str">
        <f>TEXT(Table1[[#This Row],[Date]],"MMM-YY")</f>
        <v>Jan-00</v>
      </c>
      <c r="T3852">
        <f>_xlfn.ISOWEEKNUM(Table1[[#This Row],[Date]])</f>
        <v>52</v>
      </c>
    </row>
    <row r="3853" spans="1:20" hidden="1">
      <c r="A3853" s="1"/>
      <c r="S3853" t="str">
        <f>TEXT(Table1[[#This Row],[Date]],"MMM-YY")</f>
        <v>Jan-00</v>
      </c>
      <c r="T3853">
        <f>_xlfn.ISOWEEKNUM(Table1[[#This Row],[Date]])</f>
        <v>52</v>
      </c>
    </row>
    <row r="3854" spans="1:20" hidden="1">
      <c r="A3854" s="1"/>
      <c r="S3854" t="str">
        <f>TEXT(Table1[[#This Row],[Date]],"MMM-YY")</f>
        <v>Jan-00</v>
      </c>
      <c r="T3854">
        <f>_xlfn.ISOWEEKNUM(Table1[[#This Row],[Date]])</f>
        <v>52</v>
      </c>
    </row>
    <row r="3855" spans="1:20" hidden="1">
      <c r="A3855" s="1"/>
      <c r="S3855" t="str">
        <f>TEXT(Table1[[#This Row],[Date]],"MMM-YY")</f>
        <v>Jan-00</v>
      </c>
      <c r="T3855">
        <f>_xlfn.ISOWEEKNUM(Table1[[#This Row],[Date]])</f>
        <v>52</v>
      </c>
    </row>
    <row r="3856" spans="1:20" hidden="1">
      <c r="A3856" s="1"/>
      <c r="S3856" t="str">
        <f>TEXT(Table1[[#This Row],[Date]],"MMM-YY")</f>
        <v>Jan-00</v>
      </c>
      <c r="T3856">
        <f>_xlfn.ISOWEEKNUM(Table1[[#This Row],[Date]])</f>
        <v>52</v>
      </c>
    </row>
    <row r="3857" spans="1:20" hidden="1">
      <c r="A3857" s="1"/>
      <c r="S3857" t="str">
        <f>TEXT(Table1[[#This Row],[Date]],"MMM-YY")</f>
        <v>Jan-00</v>
      </c>
      <c r="T3857">
        <f>_xlfn.ISOWEEKNUM(Table1[[#This Row],[Date]])</f>
        <v>52</v>
      </c>
    </row>
    <row r="3858" spans="1:20" hidden="1">
      <c r="A3858" s="1"/>
      <c r="S3858" t="str">
        <f>TEXT(Table1[[#This Row],[Date]],"MMM-YY")</f>
        <v>Jan-00</v>
      </c>
      <c r="T3858">
        <f>_xlfn.ISOWEEKNUM(Table1[[#This Row],[Date]])</f>
        <v>52</v>
      </c>
    </row>
    <row r="3859" spans="1:20" hidden="1">
      <c r="A3859" s="1"/>
      <c r="S3859" t="str">
        <f>TEXT(Table1[[#This Row],[Date]],"MMM-YY")</f>
        <v>Jan-00</v>
      </c>
      <c r="T3859">
        <f>_xlfn.ISOWEEKNUM(Table1[[#This Row],[Date]])</f>
        <v>52</v>
      </c>
    </row>
    <row r="3860" spans="1:20" hidden="1">
      <c r="A3860" s="1"/>
      <c r="S3860" t="str">
        <f>TEXT(Table1[[#This Row],[Date]],"MMM-YY")</f>
        <v>Jan-00</v>
      </c>
      <c r="T3860">
        <f>_xlfn.ISOWEEKNUM(Table1[[#This Row],[Date]])</f>
        <v>52</v>
      </c>
    </row>
    <row r="3861" spans="1:20" hidden="1">
      <c r="A3861" s="1"/>
      <c r="S3861" t="str">
        <f>TEXT(Table1[[#This Row],[Date]],"MMM-YY")</f>
        <v>Jan-00</v>
      </c>
      <c r="T3861">
        <f>_xlfn.ISOWEEKNUM(Table1[[#This Row],[Date]])</f>
        <v>52</v>
      </c>
    </row>
    <row r="3862" spans="1:20" hidden="1">
      <c r="A3862" s="1"/>
      <c r="S3862" t="str">
        <f>TEXT(Table1[[#This Row],[Date]],"MMM-YY")</f>
        <v>Jan-00</v>
      </c>
      <c r="T3862">
        <f>_xlfn.ISOWEEKNUM(Table1[[#This Row],[Date]])</f>
        <v>52</v>
      </c>
    </row>
    <row r="3863" spans="1:20" hidden="1">
      <c r="A3863" s="1"/>
      <c r="S3863" t="str">
        <f>TEXT(Table1[[#This Row],[Date]],"MMM-YY")</f>
        <v>Jan-00</v>
      </c>
      <c r="T3863">
        <f>_xlfn.ISOWEEKNUM(Table1[[#This Row],[Date]])</f>
        <v>52</v>
      </c>
    </row>
    <row r="3864" spans="1:20" hidden="1">
      <c r="A3864" s="1"/>
      <c r="S3864" t="str">
        <f>TEXT(Table1[[#This Row],[Date]],"MMM-YY")</f>
        <v>Jan-00</v>
      </c>
      <c r="T3864">
        <f>_xlfn.ISOWEEKNUM(Table1[[#This Row],[Date]])</f>
        <v>52</v>
      </c>
    </row>
    <row r="3865" spans="1:20" hidden="1">
      <c r="A3865" s="1"/>
      <c r="S3865" t="str">
        <f>TEXT(Table1[[#This Row],[Date]],"MMM-YY")</f>
        <v>Jan-00</v>
      </c>
      <c r="T3865">
        <f>_xlfn.ISOWEEKNUM(Table1[[#This Row],[Date]])</f>
        <v>52</v>
      </c>
    </row>
    <row r="3866" spans="1:20" hidden="1">
      <c r="A3866" s="1"/>
      <c r="S3866" t="str">
        <f>TEXT(Table1[[#This Row],[Date]],"MMM-YY")</f>
        <v>Jan-00</v>
      </c>
      <c r="T3866">
        <f>_xlfn.ISOWEEKNUM(Table1[[#This Row],[Date]])</f>
        <v>52</v>
      </c>
    </row>
    <row r="3867" spans="1:20" hidden="1">
      <c r="A3867" s="1"/>
      <c r="S3867" t="str">
        <f>TEXT(Table1[[#This Row],[Date]],"MMM-YY")</f>
        <v>Jan-00</v>
      </c>
      <c r="T3867">
        <f>_xlfn.ISOWEEKNUM(Table1[[#This Row],[Date]])</f>
        <v>52</v>
      </c>
    </row>
    <row r="3868" spans="1:20" hidden="1">
      <c r="A3868" s="1"/>
      <c r="S3868" t="str">
        <f>TEXT(Table1[[#This Row],[Date]],"MMM-YY")</f>
        <v>Jan-00</v>
      </c>
      <c r="T3868">
        <f>_xlfn.ISOWEEKNUM(Table1[[#This Row],[Date]])</f>
        <v>52</v>
      </c>
    </row>
    <row r="3869" spans="1:20" hidden="1">
      <c r="A3869" s="1"/>
      <c r="S3869" t="str">
        <f>TEXT(Table1[[#This Row],[Date]],"MMM-YY")</f>
        <v>Jan-00</v>
      </c>
      <c r="T3869">
        <f>_xlfn.ISOWEEKNUM(Table1[[#This Row],[Date]])</f>
        <v>52</v>
      </c>
    </row>
    <row r="3870" spans="1:20" hidden="1">
      <c r="A3870" s="1"/>
      <c r="S3870" t="str">
        <f>TEXT(Table1[[#This Row],[Date]],"MMM-YY")</f>
        <v>Jan-00</v>
      </c>
      <c r="T3870">
        <f>_xlfn.ISOWEEKNUM(Table1[[#This Row],[Date]])</f>
        <v>52</v>
      </c>
    </row>
    <row r="3871" spans="1:20" hidden="1">
      <c r="A3871" s="1"/>
      <c r="S3871" t="str">
        <f>TEXT(Table1[[#This Row],[Date]],"MMM-YY")</f>
        <v>Jan-00</v>
      </c>
      <c r="T3871">
        <f>_xlfn.ISOWEEKNUM(Table1[[#This Row],[Date]])</f>
        <v>52</v>
      </c>
    </row>
    <row r="3872" spans="1:20" hidden="1">
      <c r="A3872" s="1"/>
      <c r="S3872" t="str">
        <f>TEXT(Table1[[#This Row],[Date]],"MMM-YY")</f>
        <v>Jan-00</v>
      </c>
      <c r="T3872">
        <f>_xlfn.ISOWEEKNUM(Table1[[#This Row],[Date]])</f>
        <v>52</v>
      </c>
    </row>
    <row r="3873" spans="1:20" hidden="1">
      <c r="A3873" s="1"/>
      <c r="S3873" t="str">
        <f>TEXT(Table1[[#This Row],[Date]],"MMM-YY")</f>
        <v>Jan-00</v>
      </c>
      <c r="T3873">
        <f>_xlfn.ISOWEEKNUM(Table1[[#This Row],[Date]])</f>
        <v>52</v>
      </c>
    </row>
    <row r="3874" spans="1:20" hidden="1">
      <c r="A3874" s="1"/>
      <c r="S3874" t="str">
        <f>TEXT(Table1[[#This Row],[Date]],"MMM-YY")</f>
        <v>Jan-00</v>
      </c>
      <c r="T3874">
        <f>_xlfn.ISOWEEKNUM(Table1[[#This Row],[Date]])</f>
        <v>52</v>
      </c>
    </row>
    <row r="3875" spans="1:20" hidden="1">
      <c r="A3875" s="1"/>
      <c r="S3875" t="str">
        <f>TEXT(Table1[[#This Row],[Date]],"MMM-YY")</f>
        <v>Jan-00</v>
      </c>
      <c r="T3875">
        <f>_xlfn.ISOWEEKNUM(Table1[[#This Row],[Date]])</f>
        <v>52</v>
      </c>
    </row>
    <row r="3876" spans="1:20" hidden="1">
      <c r="A3876" s="1"/>
      <c r="S3876" t="str">
        <f>TEXT(Table1[[#This Row],[Date]],"MMM-YY")</f>
        <v>Jan-00</v>
      </c>
      <c r="T3876">
        <f>_xlfn.ISOWEEKNUM(Table1[[#This Row],[Date]])</f>
        <v>52</v>
      </c>
    </row>
    <row r="3877" spans="1:20" hidden="1">
      <c r="A3877" s="1"/>
      <c r="S3877" t="str">
        <f>TEXT(Table1[[#This Row],[Date]],"MMM-YY")</f>
        <v>Jan-00</v>
      </c>
      <c r="T3877">
        <f>_xlfn.ISOWEEKNUM(Table1[[#This Row],[Date]])</f>
        <v>52</v>
      </c>
    </row>
    <row r="3878" spans="1:20" hidden="1">
      <c r="A3878" s="1"/>
      <c r="S3878" t="str">
        <f>TEXT(Table1[[#This Row],[Date]],"MMM-YY")</f>
        <v>Jan-00</v>
      </c>
      <c r="T3878">
        <f>_xlfn.ISOWEEKNUM(Table1[[#This Row],[Date]])</f>
        <v>52</v>
      </c>
    </row>
    <row r="3879" spans="1:20" hidden="1">
      <c r="A3879" s="1"/>
      <c r="S3879" t="str">
        <f>TEXT(Table1[[#This Row],[Date]],"MMM-YY")</f>
        <v>Jan-00</v>
      </c>
      <c r="T3879">
        <f>_xlfn.ISOWEEKNUM(Table1[[#This Row],[Date]])</f>
        <v>52</v>
      </c>
    </row>
    <row r="3880" spans="1:20" hidden="1">
      <c r="A3880" s="1"/>
      <c r="S3880" t="str">
        <f>TEXT(Table1[[#This Row],[Date]],"MMM-YY")</f>
        <v>Jan-00</v>
      </c>
      <c r="T3880">
        <f>_xlfn.ISOWEEKNUM(Table1[[#This Row],[Date]])</f>
        <v>52</v>
      </c>
    </row>
    <row r="3881" spans="1:20" hidden="1">
      <c r="A3881" s="1"/>
      <c r="S3881" t="str">
        <f>TEXT(Table1[[#This Row],[Date]],"MMM-YY")</f>
        <v>Jan-00</v>
      </c>
      <c r="T3881">
        <f>_xlfn.ISOWEEKNUM(Table1[[#This Row],[Date]])</f>
        <v>52</v>
      </c>
    </row>
    <row r="3882" spans="1:20" hidden="1">
      <c r="A3882" s="1"/>
      <c r="S3882" t="str">
        <f>TEXT(Table1[[#This Row],[Date]],"MMM-YY")</f>
        <v>Jan-00</v>
      </c>
      <c r="T3882">
        <f>_xlfn.ISOWEEKNUM(Table1[[#This Row],[Date]])</f>
        <v>52</v>
      </c>
    </row>
    <row r="3883" spans="1:20" hidden="1">
      <c r="A3883" s="1"/>
      <c r="S3883" t="str">
        <f>TEXT(Table1[[#This Row],[Date]],"MMM-YY")</f>
        <v>Jan-00</v>
      </c>
      <c r="T3883">
        <f>_xlfn.ISOWEEKNUM(Table1[[#This Row],[Date]])</f>
        <v>52</v>
      </c>
    </row>
    <row r="3884" spans="1:20" hidden="1">
      <c r="A3884" s="1"/>
      <c r="S3884" t="str">
        <f>TEXT(Table1[[#This Row],[Date]],"MMM-YY")</f>
        <v>Jan-00</v>
      </c>
      <c r="T3884">
        <f>_xlfn.ISOWEEKNUM(Table1[[#This Row],[Date]])</f>
        <v>52</v>
      </c>
    </row>
    <row r="3885" spans="1:20" hidden="1">
      <c r="A3885" s="1"/>
      <c r="S3885" t="str">
        <f>TEXT(Table1[[#This Row],[Date]],"MMM-YY")</f>
        <v>Jan-00</v>
      </c>
      <c r="T3885">
        <f>_xlfn.ISOWEEKNUM(Table1[[#This Row],[Date]])</f>
        <v>52</v>
      </c>
    </row>
    <row r="3886" spans="1:20" hidden="1">
      <c r="A3886" s="1"/>
      <c r="S3886" t="str">
        <f>TEXT(Table1[[#This Row],[Date]],"MMM-YY")</f>
        <v>Jan-00</v>
      </c>
      <c r="T3886">
        <f>_xlfn.ISOWEEKNUM(Table1[[#This Row],[Date]])</f>
        <v>52</v>
      </c>
    </row>
    <row r="3887" spans="1:20" hidden="1">
      <c r="A3887" s="1"/>
      <c r="S3887" t="str">
        <f>TEXT(Table1[[#This Row],[Date]],"MMM-YY")</f>
        <v>Jan-00</v>
      </c>
      <c r="T3887">
        <f>_xlfn.ISOWEEKNUM(Table1[[#This Row],[Date]])</f>
        <v>52</v>
      </c>
    </row>
    <row r="3888" spans="1:20" hidden="1">
      <c r="A3888" s="1"/>
      <c r="S3888" t="str">
        <f>TEXT(Table1[[#This Row],[Date]],"MMM-YY")</f>
        <v>Jan-00</v>
      </c>
      <c r="T3888">
        <f>_xlfn.ISOWEEKNUM(Table1[[#This Row],[Date]])</f>
        <v>52</v>
      </c>
    </row>
    <row r="3889" spans="1:20" hidden="1">
      <c r="A3889" s="1"/>
      <c r="S3889" t="str">
        <f>TEXT(Table1[[#This Row],[Date]],"MMM-YY")</f>
        <v>Jan-00</v>
      </c>
      <c r="T3889">
        <f>_xlfn.ISOWEEKNUM(Table1[[#This Row],[Date]])</f>
        <v>52</v>
      </c>
    </row>
    <row r="3890" spans="1:20" hidden="1">
      <c r="A3890" s="1"/>
      <c r="S3890" t="str">
        <f>TEXT(Table1[[#This Row],[Date]],"MMM-YY")</f>
        <v>Jan-00</v>
      </c>
      <c r="T3890">
        <f>_xlfn.ISOWEEKNUM(Table1[[#This Row],[Date]])</f>
        <v>52</v>
      </c>
    </row>
    <row r="3891" spans="1:20" hidden="1">
      <c r="A3891" s="1"/>
      <c r="S3891" t="str">
        <f>TEXT(Table1[[#This Row],[Date]],"MMM-YY")</f>
        <v>Jan-00</v>
      </c>
      <c r="T3891">
        <f>_xlfn.ISOWEEKNUM(Table1[[#This Row],[Date]])</f>
        <v>52</v>
      </c>
    </row>
    <row r="3892" spans="1:20" hidden="1">
      <c r="A3892" s="1"/>
      <c r="S3892" t="str">
        <f>TEXT(Table1[[#This Row],[Date]],"MMM-YY")</f>
        <v>Jan-00</v>
      </c>
      <c r="T3892">
        <f>_xlfn.ISOWEEKNUM(Table1[[#This Row],[Date]])</f>
        <v>52</v>
      </c>
    </row>
    <row r="3893" spans="1:20" hidden="1">
      <c r="A3893" s="1"/>
      <c r="S3893" t="str">
        <f>TEXT(Table1[[#This Row],[Date]],"MMM-YY")</f>
        <v>Jan-00</v>
      </c>
      <c r="T3893">
        <f>_xlfn.ISOWEEKNUM(Table1[[#This Row],[Date]])</f>
        <v>52</v>
      </c>
    </row>
    <row r="3894" spans="1:20" hidden="1">
      <c r="A3894" s="1"/>
      <c r="S3894" t="str">
        <f>TEXT(Table1[[#This Row],[Date]],"MMM-YY")</f>
        <v>Jan-00</v>
      </c>
      <c r="T3894">
        <f>_xlfn.ISOWEEKNUM(Table1[[#This Row],[Date]])</f>
        <v>52</v>
      </c>
    </row>
    <row r="3895" spans="1:20" hidden="1">
      <c r="A3895" s="1"/>
      <c r="S3895" t="str">
        <f>TEXT(Table1[[#This Row],[Date]],"MMM-YY")</f>
        <v>Jan-00</v>
      </c>
      <c r="T3895">
        <f>_xlfn.ISOWEEKNUM(Table1[[#This Row],[Date]])</f>
        <v>52</v>
      </c>
    </row>
    <row r="3896" spans="1:20" hidden="1">
      <c r="A3896" s="1"/>
      <c r="S3896" t="str">
        <f>TEXT(Table1[[#This Row],[Date]],"MMM-YY")</f>
        <v>Jan-00</v>
      </c>
      <c r="T3896">
        <f>_xlfn.ISOWEEKNUM(Table1[[#This Row],[Date]])</f>
        <v>52</v>
      </c>
    </row>
    <row r="3897" spans="1:20" hidden="1">
      <c r="A3897" s="1"/>
      <c r="S3897" t="str">
        <f>TEXT(Table1[[#This Row],[Date]],"MMM-YY")</f>
        <v>Jan-00</v>
      </c>
      <c r="T3897">
        <f>_xlfn.ISOWEEKNUM(Table1[[#This Row],[Date]])</f>
        <v>52</v>
      </c>
    </row>
    <row r="3898" spans="1:20" hidden="1">
      <c r="A3898" s="1"/>
      <c r="S3898" t="str">
        <f>TEXT(Table1[[#This Row],[Date]],"MMM-YY")</f>
        <v>Jan-00</v>
      </c>
      <c r="T3898">
        <f>_xlfn.ISOWEEKNUM(Table1[[#This Row],[Date]])</f>
        <v>52</v>
      </c>
    </row>
    <row r="3899" spans="1:20" hidden="1">
      <c r="A3899" s="1"/>
      <c r="S3899" t="str">
        <f>TEXT(Table1[[#This Row],[Date]],"MMM-YY")</f>
        <v>Jan-00</v>
      </c>
      <c r="T3899">
        <f>_xlfn.ISOWEEKNUM(Table1[[#This Row],[Date]])</f>
        <v>52</v>
      </c>
    </row>
    <row r="3900" spans="1:20" hidden="1">
      <c r="A3900" s="1"/>
      <c r="S3900" t="str">
        <f>TEXT(Table1[[#This Row],[Date]],"MMM-YY")</f>
        <v>Jan-00</v>
      </c>
      <c r="T3900">
        <f>_xlfn.ISOWEEKNUM(Table1[[#This Row],[Date]])</f>
        <v>52</v>
      </c>
    </row>
    <row r="3901" spans="1:20" hidden="1">
      <c r="A3901" s="1"/>
      <c r="S3901" t="str">
        <f>TEXT(Table1[[#This Row],[Date]],"MMM-YY")</f>
        <v>Jan-00</v>
      </c>
      <c r="T3901">
        <f>_xlfn.ISOWEEKNUM(Table1[[#This Row],[Date]])</f>
        <v>52</v>
      </c>
    </row>
    <row r="3902" spans="1:20" hidden="1">
      <c r="A3902" s="1"/>
      <c r="S3902" t="str">
        <f>TEXT(Table1[[#This Row],[Date]],"MMM-YY")</f>
        <v>Jan-00</v>
      </c>
      <c r="T3902">
        <f>_xlfn.ISOWEEKNUM(Table1[[#This Row],[Date]])</f>
        <v>52</v>
      </c>
    </row>
    <row r="3903" spans="1:20" hidden="1">
      <c r="A3903" s="1"/>
      <c r="S3903" t="str">
        <f>TEXT(Table1[[#This Row],[Date]],"MMM-YY")</f>
        <v>Jan-00</v>
      </c>
      <c r="T3903">
        <f>_xlfn.ISOWEEKNUM(Table1[[#This Row],[Date]])</f>
        <v>52</v>
      </c>
    </row>
    <row r="3904" spans="1:20" hidden="1">
      <c r="A3904" s="1"/>
      <c r="S3904" t="str">
        <f>TEXT(Table1[[#This Row],[Date]],"MMM-YY")</f>
        <v>Jan-00</v>
      </c>
      <c r="T3904">
        <f>_xlfn.ISOWEEKNUM(Table1[[#This Row],[Date]])</f>
        <v>52</v>
      </c>
    </row>
    <row r="3905" spans="1:20" hidden="1">
      <c r="A3905" s="1"/>
      <c r="S3905" t="str">
        <f>TEXT(Table1[[#This Row],[Date]],"MMM-YY")</f>
        <v>Jan-00</v>
      </c>
      <c r="T3905">
        <f>_xlfn.ISOWEEKNUM(Table1[[#This Row],[Date]])</f>
        <v>52</v>
      </c>
    </row>
    <row r="3906" spans="1:20" hidden="1">
      <c r="A3906" s="1"/>
      <c r="S3906" t="str">
        <f>TEXT(Table1[[#This Row],[Date]],"MMM-YY")</f>
        <v>Jan-00</v>
      </c>
      <c r="T3906">
        <f>_xlfn.ISOWEEKNUM(Table1[[#This Row],[Date]])</f>
        <v>52</v>
      </c>
    </row>
    <row r="3907" spans="1:20" hidden="1">
      <c r="A3907" s="1"/>
      <c r="S3907" t="str">
        <f>TEXT(Table1[[#This Row],[Date]],"MMM-YY")</f>
        <v>Jan-00</v>
      </c>
      <c r="T3907">
        <f>_xlfn.ISOWEEKNUM(Table1[[#This Row],[Date]])</f>
        <v>52</v>
      </c>
    </row>
    <row r="3908" spans="1:20" hidden="1">
      <c r="A3908" s="1"/>
      <c r="S3908" t="str">
        <f>TEXT(Table1[[#This Row],[Date]],"MMM-YY")</f>
        <v>Jan-00</v>
      </c>
      <c r="T3908">
        <f>_xlfn.ISOWEEKNUM(Table1[[#This Row],[Date]])</f>
        <v>52</v>
      </c>
    </row>
    <row r="3909" spans="1:20" hidden="1">
      <c r="A3909" s="1"/>
      <c r="S3909" t="str">
        <f>TEXT(Table1[[#This Row],[Date]],"MMM-YY")</f>
        <v>Jan-00</v>
      </c>
      <c r="T3909">
        <f>_xlfn.ISOWEEKNUM(Table1[[#This Row],[Date]])</f>
        <v>52</v>
      </c>
    </row>
    <row r="3910" spans="1:20" hidden="1">
      <c r="A3910" s="1"/>
      <c r="S3910" t="str">
        <f>TEXT(Table1[[#This Row],[Date]],"MMM-YY")</f>
        <v>Jan-00</v>
      </c>
      <c r="T3910">
        <f>_xlfn.ISOWEEKNUM(Table1[[#This Row],[Date]])</f>
        <v>52</v>
      </c>
    </row>
    <row r="3911" spans="1:20" hidden="1">
      <c r="A3911" s="1"/>
      <c r="S3911" t="str">
        <f>TEXT(Table1[[#This Row],[Date]],"MMM-YY")</f>
        <v>Jan-00</v>
      </c>
      <c r="T3911">
        <f>_xlfn.ISOWEEKNUM(Table1[[#This Row],[Date]])</f>
        <v>52</v>
      </c>
    </row>
    <row r="3912" spans="1:20" hidden="1">
      <c r="A3912" s="1"/>
      <c r="S3912" t="str">
        <f>TEXT(Table1[[#This Row],[Date]],"MMM-YY")</f>
        <v>Jan-00</v>
      </c>
      <c r="T3912">
        <f>_xlfn.ISOWEEKNUM(Table1[[#This Row],[Date]])</f>
        <v>52</v>
      </c>
    </row>
    <row r="3913" spans="1:20" hidden="1">
      <c r="A3913" s="1"/>
      <c r="S3913" t="str">
        <f>TEXT(Table1[[#This Row],[Date]],"MMM-YY")</f>
        <v>Jan-00</v>
      </c>
      <c r="T3913">
        <f>_xlfn.ISOWEEKNUM(Table1[[#This Row],[Date]])</f>
        <v>52</v>
      </c>
    </row>
    <row r="3914" spans="1:20" hidden="1">
      <c r="A3914" s="1"/>
      <c r="S3914" t="str">
        <f>TEXT(Table1[[#This Row],[Date]],"MMM-YY")</f>
        <v>Jan-00</v>
      </c>
      <c r="T3914">
        <f>_xlfn.ISOWEEKNUM(Table1[[#This Row],[Date]])</f>
        <v>52</v>
      </c>
    </row>
    <row r="3915" spans="1:20" hidden="1">
      <c r="A3915" s="1"/>
      <c r="S3915" t="str">
        <f>TEXT(Table1[[#This Row],[Date]],"MMM-YY")</f>
        <v>Jan-00</v>
      </c>
      <c r="T3915">
        <f>_xlfn.ISOWEEKNUM(Table1[[#This Row],[Date]])</f>
        <v>52</v>
      </c>
    </row>
    <row r="3916" spans="1:20" hidden="1">
      <c r="A3916" s="1"/>
      <c r="S3916" t="str">
        <f>TEXT(Table1[[#This Row],[Date]],"MMM-YY")</f>
        <v>Jan-00</v>
      </c>
      <c r="T3916">
        <f>_xlfn.ISOWEEKNUM(Table1[[#This Row],[Date]])</f>
        <v>52</v>
      </c>
    </row>
    <row r="3917" spans="1:20" hidden="1">
      <c r="A3917" s="1"/>
      <c r="S3917" t="str">
        <f>TEXT(Table1[[#This Row],[Date]],"MMM-YY")</f>
        <v>Jan-00</v>
      </c>
      <c r="T3917">
        <f>_xlfn.ISOWEEKNUM(Table1[[#This Row],[Date]])</f>
        <v>52</v>
      </c>
    </row>
    <row r="3918" spans="1:20" hidden="1">
      <c r="A3918" s="1"/>
      <c r="S3918" t="str">
        <f>TEXT(Table1[[#This Row],[Date]],"MMM-YY")</f>
        <v>Jan-00</v>
      </c>
      <c r="T3918">
        <f>_xlfn.ISOWEEKNUM(Table1[[#This Row],[Date]])</f>
        <v>52</v>
      </c>
    </row>
    <row r="3919" spans="1:20" hidden="1">
      <c r="A3919" s="1"/>
      <c r="S3919" t="str">
        <f>TEXT(Table1[[#This Row],[Date]],"MMM-YY")</f>
        <v>Jan-00</v>
      </c>
      <c r="T3919">
        <f>_xlfn.ISOWEEKNUM(Table1[[#This Row],[Date]])</f>
        <v>52</v>
      </c>
    </row>
    <row r="3920" spans="1:20" hidden="1">
      <c r="A3920" s="1"/>
      <c r="S3920" t="str">
        <f>TEXT(Table1[[#This Row],[Date]],"MMM-YY")</f>
        <v>Jan-00</v>
      </c>
      <c r="T3920">
        <f>_xlfn.ISOWEEKNUM(Table1[[#This Row],[Date]])</f>
        <v>52</v>
      </c>
    </row>
    <row r="3921" spans="1:20" hidden="1">
      <c r="A3921" s="1"/>
      <c r="S3921" t="str">
        <f>TEXT(Table1[[#This Row],[Date]],"MMM-YY")</f>
        <v>Jan-00</v>
      </c>
      <c r="T3921">
        <f>_xlfn.ISOWEEKNUM(Table1[[#This Row],[Date]])</f>
        <v>52</v>
      </c>
    </row>
    <row r="3922" spans="1:20" hidden="1">
      <c r="A3922" s="1"/>
      <c r="S3922" t="str">
        <f>TEXT(Table1[[#This Row],[Date]],"MMM-YY")</f>
        <v>Jan-00</v>
      </c>
      <c r="T3922">
        <f>_xlfn.ISOWEEKNUM(Table1[[#This Row],[Date]])</f>
        <v>52</v>
      </c>
    </row>
    <row r="3923" spans="1:20" hidden="1">
      <c r="A3923" s="1"/>
      <c r="S3923" t="str">
        <f>TEXT(Table1[[#This Row],[Date]],"MMM-YY")</f>
        <v>Jan-00</v>
      </c>
      <c r="T3923">
        <f>_xlfn.ISOWEEKNUM(Table1[[#This Row],[Date]])</f>
        <v>52</v>
      </c>
    </row>
    <row r="3924" spans="1:20" hidden="1">
      <c r="A3924" s="1"/>
      <c r="S3924" t="str">
        <f>TEXT(Table1[[#This Row],[Date]],"MMM-YY")</f>
        <v>Jan-00</v>
      </c>
      <c r="T3924">
        <f>_xlfn.ISOWEEKNUM(Table1[[#This Row],[Date]])</f>
        <v>52</v>
      </c>
    </row>
    <row r="3925" spans="1:20" hidden="1">
      <c r="A3925" s="1"/>
      <c r="S3925" t="str">
        <f>TEXT(Table1[[#This Row],[Date]],"MMM-YY")</f>
        <v>Jan-00</v>
      </c>
      <c r="T3925">
        <f>_xlfn.ISOWEEKNUM(Table1[[#This Row],[Date]])</f>
        <v>52</v>
      </c>
    </row>
    <row r="3926" spans="1:20" hidden="1">
      <c r="A3926" s="1"/>
      <c r="S3926" t="str">
        <f>TEXT(Table1[[#This Row],[Date]],"MMM-YY")</f>
        <v>Jan-00</v>
      </c>
      <c r="T3926">
        <f>_xlfn.ISOWEEKNUM(Table1[[#This Row],[Date]])</f>
        <v>52</v>
      </c>
    </row>
    <row r="3927" spans="1:20" hidden="1">
      <c r="A3927" s="1"/>
      <c r="S3927" t="str">
        <f>TEXT(Table1[[#This Row],[Date]],"MMM-YY")</f>
        <v>Jan-00</v>
      </c>
      <c r="T3927">
        <f>_xlfn.ISOWEEKNUM(Table1[[#This Row],[Date]])</f>
        <v>52</v>
      </c>
    </row>
    <row r="3928" spans="1:20" hidden="1">
      <c r="A3928" s="1"/>
      <c r="S3928" t="str">
        <f>TEXT(Table1[[#This Row],[Date]],"MMM-YY")</f>
        <v>Jan-00</v>
      </c>
      <c r="T3928">
        <f>_xlfn.ISOWEEKNUM(Table1[[#This Row],[Date]])</f>
        <v>52</v>
      </c>
    </row>
    <row r="3929" spans="1:20" hidden="1">
      <c r="A3929" s="1"/>
      <c r="S3929" t="str">
        <f>TEXT(Table1[[#This Row],[Date]],"MMM-YY")</f>
        <v>Jan-00</v>
      </c>
      <c r="T3929">
        <f>_xlfn.ISOWEEKNUM(Table1[[#This Row],[Date]])</f>
        <v>52</v>
      </c>
    </row>
    <row r="3930" spans="1:20" hidden="1">
      <c r="A3930" s="1"/>
      <c r="S3930" t="str">
        <f>TEXT(Table1[[#This Row],[Date]],"MMM-YY")</f>
        <v>Jan-00</v>
      </c>
      <c r="T3930">
        <f>_xlfn.ISOWEEKNUM(Table1[[#This Row],[Date]])</f>
        <v>52</v>
      </c>
    </row>
    <row r="3931" spans="1:20" hidden="1">
      <c r="A3931" s="1"/>
      <c r="S3931" t="str">
        <f>TEXT(Table1[[#This Row],[Date]],"MMM-YY")</f>
        <v>Jan-00</v>
      </c>
      <c r="T3931">
        <f>_xlfn.ISOWEEKNUM(Table1[[#This Row],[Date]])</f>
        <v>52</v>
      </c>
    </row>
    <row r="3932" spans="1:20" hidden="1">
      <c r="A3932" s="1"/>
      <c r="S3932" t="str">
        <f>TEXT(Table1[[#This Row],[Date]],"MMM-YY")</f>
        <v>Jan-00</v>
      </c>
      <c r="T3932">
        <f>_xlfn.ISOWEEKNUM(Table1[[#This Row],[Date]])</f>
        <v>52</v>
      </c>
    </row>
    <row r="3933" spans="1:20" hidden="1">
      <c r="A3933" s="1"/>
      <c r="S3933" t="str">
        <f>TEXT(Table1[[#This Row],[Date]],"MMM-YY")</f>
        <v>Jan-00</v>
      </c>
      <c r="T3933">
        <f>_xlfn.ISOWEEKNUM(Table1[[#This Row],[Date]])</f>
        <v>52</v>
      </c>
    </row>
    <row r="3934" spans="1:20" hidden="1">
      <c r="A3934" s="1"/>
      <c r="S3934" t="str">
        <f>TEXT(Table1[[#This Row],[Date]],"MMM-YY")</f>
        <v>Jan-00</v>
      </c>
      <c r="T3934">
        <f>_xlfn.ISOWEEKNUM(Table1[[#This Row],[Date]])</f>
        <v>52</v>
      </c>
    </row>
    <row r="3935" spans="1:20" hidden="1">
      <c r="A3935" s="1"/>
      <c r="S3935" t="str">
        <f>TEXT(Table1[[#This Row],[Date]],"MMM-YY")</f>
        <v>Jan-00</v>
      </c>
      <c r="T3935">
        <f>_xlfn.ISOWEEKNUM(Table1[[#This Row],[Date]])</f>
        <v>52</v>
      </c>
    </row>
    <row r="3936" spans="1:20" hidden="1">
      <c r="A3936" s="1"/>
      <c r="S3936" t="str">
        <f>TEXT(Table1[[#This Row],[Date]],"MMM-YY")</f>
        <v>Jan-00</v>
      </c>
      <c r="T3936">
        <f>_xlfn.ISOWEEKNUM(Table1[[#This Row],[Date]])</f>
        <v>52</v>
      </c>
    </row>
    <row r="3937" spans="1:20" hidden="1">
      <c r="A3937" s="1"/>
      <c r="S3937" t="str">
        <f>TEXT(Table1[[#This Row],[Date]],"MMM-YY")</f>
        <v>Jan-00</v>
      </c>
      <c r="T3937">
        <f>_xlfn.ISOWEEKNUM(Table1[[#This Row],[Date]])</f>
        <v>52</v>
      </c>
    </row>
    <row r="3938" spans="1:20" hidden="1">
      <c r="A3938" s="1"/>
      <c r="S3938" t="str">
        <f>TEXT(Table1[[#This Row],[Date]],"MMM-YY")</f>
        <v>Jan-00</v>
      </c>
      <c r="T3938">
        <f>_xlfn.ISOWEEKNUM(Table1[[#This Row],[Date]])</f>
        <v>52</v>
      </c>
    </row>
    <row r="3939" spans="1:20" hidden="1">
      <c r="A3939" s="1"/>
      <c r="S3939" t="str">
        <f>TEXT(Table1[[#This Row],[Date]],"MMM-YY")</f>
        <v>Jan-00</v>
      </c>
      <c r="T3939">
        <f>_xlfn.ISOWEEKNUM(Table1[[#This Row],[Date]])</f>
        <v>52</v>
      </c>
    </row>
    <row r="3940" spans="1:20" hidden="1">
      <c r="A3940" s="1"/>
      <c r="S3940" t="str">
        <f>TEXT(Table1[[#This Row],[Date]],"MMM-YY")</f>
        <v>Jan-00</v>
      </c>
      <c r="T3940">
        <f>_xlfn.ISOWEEKNUM(Table1[[#This Row],[Date]])</f>
        <v>52</v>
      </c>
    </row>
    <row r="3941" spans="1:20" hidden="1">
      <c r="A3941" s="1"/>
      <c r="S3941" t="str">
        <f>TEXT(Table1[[#This Row],[Date]],"MMM-YY")</f>
        <v>Jan-00</v>
      </c>
      <c r="T3941">
        <f>_xlfn.ISOWEEKNUM(Table1[[#This Row],[Date]])</f>
        <v>52</v>
      </c>
    </row>
    <row r="3942" spans="1:20" hidden="1">
      <c r="A3942" s="1"/>
      <c r="S3942" t="str">
        <f>TEXT(Table1[[#This Row],[Date]],"MMM-YY")</f>
        <v>Jan-00</v>
      </c>
      <c r="T3942">
        <f>_xlfn.ISOWEEKNUM(Table1[[#This Row],[Date]])</f>
        <v>52</v>
      </c>
    </row>
    <row r="3943" spans="1:20" hidden="1">
      <c r="A3943" s="1"/>
      <c r="S3943" t="str">
        <f>TEXT(Table1[[#This Row],[Date]],"MMM-YY")</f>
        <v>Jan-00</v>
      </c>
      <c r="T3943">
        <f>_xlfn.ISOWEEKNUM(Table1[[#This Row],[Date]])</f>
        <v>52</v>
      </c>
    </row>
    <row r="3944" spans="1:20" hidden="1">
      <c r="A3944" s="1"/>
      <c r="S3944" t="str">
        <f>TEXT(Table1[[#This Row],[Date]],"MMM-YY")</f>
        <v>Jan-00</v>
      </c>
      <c r="T3944">
        <f>_xlfn.ISOWEEKNUM(Table1[[#This Row],[Date]])</f>
        <v>52</v>
      </c>
    </row>
    <row r="3945" spans="1:20" hidden="1">
      <c r="A3945" s="1"/>
      <c r="S3945" t="str">
        <f>TEXT(Table1[[#This Row],[Date]],"MMM-YY")</f>
        <v>Jan-00</v>
      </c>
      <c r="T3945">
        <f>_xlfn.ISOWEEKNUM(Table1[[#This Row],[Date]])</f>
        <v>52</v>
      </c>
    </row>
    <row r="3946" spans="1:20" hidden="1">
      <c r="A3946" s="1"/>
      <c r="S3946" t="str">
        <f>TEXT(Table1[[#This Row],[Date]],"MMM-YY")</f>
        <v>Jan-00</v>
      </c>
      <c r="T3946">
        <f>_xlfn.ISOWEEKNUM(Table1[[#This Row],[Date]])</f>
        <v>52</v>
      </c>
    </row>
    <row r="3947" spans="1:20" hidden="1">
      <c r="A3947" s="1"/>
      <c r="S3947" t="str">
        <f>TEXT(Table1[[#This Row],[Date]],"MMM-YY")</f>
        <v>Jan-00</v>
      </c>
      <c r="T3947">
        <f>_xlfn.ISOWEEKNUM(Table1[[#This Row],[Date]])</f>
        <v>52</v>
      </c>
    </row>
    <row r="3948" spans="1:20" hidden="1">
      <c r="A3948" s="1"/>
      <c r="S3948" t="str">
        <f>TEXT(Table1[[#This Row],[Date]],"MMM-YY")</f>
        <v>Jan-00</v>
      </c>
      <c r="T3948">
        <f>_xlfn.ISOWEEKNUM(Table1[[#This Row],[Date]])</f>
        <v>52</v>
      </c>
    </row>
    <row r="3949" spans="1:20" hidden="1">
      <c r="A3949" s="1"/>
      <c r="S3949" t="str">
        <f>TEXT(Table1[[#This Row],[Date]],"MMM-YY")</f>
        <v>Jan-00</v>
      </c>
      <c r="T3949">
        <f>_xlfn.ISOWEEKNUM(Table1[[#This Row],[Date]])</f>
        <v>52</v>
      </c>
    </row>
    <row r="3950" spans="1:20" hidden="1">
      <c r="A3950" s="1"/>
      <c r="S3950" t="str">
        <f>TEXT(Table1[[#This Row],[Date]],"MMM-YY")</f>
        <v>Jan-00</v>
      </c>
      <c r="T3950">
        <f>_xlfn.ISOWEEKNUM(Table1[[#This Row],[Date]])</f>
        <v>52</v>
      </c>
    </row>
    <row r="3951" spans="1:20" hidden="1">
      <c r="A3951" s="1"/>
      <c r="S3951" t="str">
        <f>TEXT(Table1[[#This Row],[Date]],"MMM-YY")</f>
        <v>Jan-00</v>
      </c>
      <c r="T3951">
        <f>_xlfn.ISOWEEKNUM(Table1[[#This Row],[Date]])</f>
        <v>52</v>
      </c>
    </row>
    <row r="3952" spans="1:20" hidden="1">
      <c r="A3952" s="1"/>
      <c r="S3952" t="str">
        <f>TEXT(Table1[[#This Row],[Date]],"MMM-YY")</f>
        <v>Jan-00</v>
      </c>
      <c r="T3952">
        <f>_xlfn.ISOWEEKNUM(Table1[[#This Row],[Date]])</f>
        <v>52</v>
      </c>
    </row>
    <row r="3953" spans="1:20" hidden="1">
      <c r="A3953" s="1"/>
      <c r="S3953" t="str">
        <f>TEXT(Table1[[#This Row],[Date]],"MMM-YY")</f>
        <v>Jan-00</v>
      </c>
      <c r="T3953">
        <f>_xlfn.ISOWEEKNUM(Table1[[#This Row],[Date]])</f>
        <v>52</v>
      </c>
    </row>
    <row r="3954" spans="1:20" hidden="1">
      <c r="A3954" s="1"/>
      <c r="S3954" t="str">
        <f>TEXT(Table1[[#This Row],[Date]],"MMM-YY")</f>
        <v>Jan-00</v>
      </c>
      <c r="T3954">
        <f>_xlfn.ISOWEEKNUM(Table1[[#This Row],[Date]])</f>
        <v>52</v>
      </c>
    </row>
    <row r="3955" spans="1:20" hidden="1">
      <c r="A3955" s="1"/>
      <c r="S3955" t="str">
        <f>TEXT(Table1[[#This Row],[Date]],"MMM-YY")</f>
        <v>Jan-00</v>
      </c>
      <c r="T3955">
        <f>_xlfn.ISOWEEKNUM(Table1[[#This Row],[Date]])</f>
        <v>52</v>
      </c>
    </row>
    <row r="3956" spans="1:20" hidden="1">
      <c r="A3956" s="1"/>
      <c r="S3956" t="str">
        <f>TEXT(Table1[[#This Row],[Date]],"MMM-YY")</f>
        <v>Jan-00</v>
      </c>
      <c r="T3956">
        <f>_xlfn.ISOWEEKNUM(Table1[[#This Row],[Date]])</f>
        <v>52</v>
      </c>
    </row>
    <row r="3957" spans="1:20" hidden="1">
      <c r="A3957" s="1"/>
      <c r="S3957" t="str">
        <f>TEXT(Table1[[#This Row],[Date]],"MMM-YY")</f>
        <v>Jan-00</v>
      </c>
      <c r="T3957">
        <f>_xlfn.ISOWEEKNUM(Table1[[#This Row],[Date]])</f>
        <v>52</v>
      </c>
    </row>
    <row r="3958" spans="1:20" hidden="1">
      <c r="A3958" s="1"/>
      <c r="S3958" t="str">
        <f>TEXT(Table1[[#This Row],[Date]],"MMM-YY")</f>
        <v>Jan-00</v>
      </c>
      <c r="T3958">
        <f>_xlfn.ISOWEEKNUM(Table1[[#This Row],[Date]])</f>
        <v>52</v>
      </c>
    </row>
    <row r="3959" spans="1:20" hidden="1">
      <c r="A3959" s="1"/>
      <c r="S3959" t="str">
        <f>TEXT(Table1[[#This Row],[Date]],"MMM-YY")</f>
        <v>Jan-00</v>
      </c>
      <c r="T3959">
        <f>_xlfn.ISOWEEKNUM(Table1[[#This Row],[Date]])</f>
        <v>52</v>
      </c>
    </row>
    <row r="3960" spans="1:20" hidden="1">
      <c r="A3960" s="1"/>
      <c r="S3960" t="str">
        <f>TEXT(Table1[[#This Row],[Date]],"MMM-YY")</f>
        <v>Jan-00</v>
      </c>
      <c r="T3960">
        <f>_xlfn.ISOWEEKNUM(Table1[[#This Row],[Date]])</f>
        <v>52</v>
      </c>
    </row>
    <row r="3961" spans="1:20" hidden="1">
      <c r="A3961" s="1"/>
      <c r="S3961" t="str">
        <f>TEXT(Table1[[#This Row],[Date]],"MMM-YY")</f>
        <v>Jan-00</v>
      </c>
      <c r="T3961">
        <f>_xlfn.ISOWEEKNUM(Table1[[#This Row],[Date]])</f>
        <v>52</v>
      </c>
    </row>
    <row r="3962" spans="1:20" hidden="1">
      <c r="A3962" s="1"/>
      <c r="S3962" t="str">
        <f>TEXT(Table1[[#This Row],[Date]],"MMM-YY")</f>
        <v>Jan-00</v>
      </c>
      <c r="T3962">
        <f>_xlfn.ISOWEEKNUM(Table1[[#This Row],[Date]])</f>
        <v>52</v>
      </c>
    </row>
    <row r="3963" spans="1:20" hidden="1">
      <c r="A3963" s="1"/>
      <c r="S3963" t="str">
        <f>TEXT(Table1[[#This Row],[Date]],"MMM-YY")</f>
        <v>Jan-00</v>
      </c>
      <c r="T3963">
        <f>_xlfn.ISOWEEKNUM(Table1[[#This Row],[Date]])</f>
        <v>52</v>
      </c>
    </row>
    <row r="3964" spans="1:20" hidden="1">
      <c r="A3964" s="1"/>
      <c r="S3964" t="str">
        <f>TEXT(Table1[[#This Row],[Date]],"MMM-YY")</f>
        <v>Jan-00</v>
      </c>
      <c r="T3964">
        <f>_xlfn.ISOWEEKNUM(Table1[[#This Row],[Date]])</f>
        <v>52</v>
      </c>
    </row>
    <row r="3965" spans="1:20" hidden="1">
      <c r="A3965" s="1"/>
      <c r="S3965" t="str">
        <f>TEXT(Table1[[#This Row],[Date]],"MMM-YY")</f>
        <v>Jan-00</v>
      </c>
      <c r="T3965">
        <f>_xlfn.ISOWEEKNUM(Table1[[#This Row],[Date]])</f>
        <v>52</v>
      </c>
    </row>
    <row r="3966" spans="1:20" hidden="1">
      <c r="A3966" s="1"/>
      <c r="S3966" t="str">
        <f>TEXT(Table1[[#This Row],[Date]],"MMM-YY")</f>
        <v>Jan-00</v>
      </c>
      <c r="T3966">
        <f>_xlfn.ISOWEEKNUM(Table1[[#This Row],[Date]])</f>
        <v>52</v>
      </c>
    </row>
    <row r="3967" spans="1:20" hidden="1">
      <c r="A3967" s="1"/>
      <c r="S3967" t="str">
        <f>TEXT(Table1[[#This Row],[Date]],"MMM-YY")</f>
        <v>Jan-00</v>
      </c>
      <c r="T3967">
        <f>_xlfn.ISOWEEKNUM(Table1[[#This Row],[Date]])</f>
        <v>52</v>
      </c>
    </row>
    <row r="3968" spans="1:20" hidden="1">
      <c r="A3968" s="1"/>
      <c r="S3968" t="str">
        <f>TEXT(Table1[[#This Row],[Date]],"MMM-YY")</f>
        <v>Jan-00</v>
      </c>
      <c r="T3968">
        <f>_xlfn.ISOWEEKNUM(Table1[[#This Row],[Date]])</f>
        <v>52</v>
      </c>
    </row>
    <row r="3969" spans="1:20" hidden="1">
      <c r="A3969" s="1"/>
      <c r="S3969" t="str">
        <f>TEXT(Table1[[#This Row],[Date]],"MMM-YY")</f>
        <v>Jan-00</v>
      </c>
      <c r="T3969">
        <f>_xlfn.ISOWEEKNUM(Table1[[#This Row],[Date]])</f>
        <v>52</v>
      </c>
    </row>
    <row r="3970" spans="1:20" hidden="1">
      <c r="A3970" s="1"/>
      <c r="S3970" t="str">
        <f>TEXT(Table1[[#This Row],[Date]],"MMM-YY")</f>
        <v>Jan-00</v>
      </c>
      <c r="T3970">
        <f>_xlfn.ISOWEEKNUM(Table1[[#This Row],[Date]])</f>
        <v>52</v>
      </c>
    </row>
    <row r="3971" spans="1:20" hidden="1">
      <c r="A3971" s="1"/>
      <c r="S3971" t="str">
        <f>TEXT(Table1[[#This Row],[Date]],"MMM-YY")</f>
        <v>Jan-00</v>
      </c>
      <c r="T3971">
        <f>_xlfn.ISOWEEKNUM(Table1[[#This Row],[Date]])</f>
        <v>52</v>
      </c>
    </row>
    <row r="3972" spans="1:20" hidden="1">
      <c r="A3972" s="1"/>
      <c r="S3972" t="str">
        <f>TEXT(Table1[[#This Row],[Date]],"MMM-YY")</f>
        <v>Jan-00</v>
      </c>
      <c r="T3972">
        <f>_xlfn.ISOWEEKNUM(Table1[[#This Row],[Date]])</f>
        <v>52</v>
      </c>
    </row>
    <row r="3973" spans="1:20" hidden="1">
      <c r="A3973" s="1"/>
      <c r="S3973" t="str">
        <f>TEXT(Table1[[#This Row],[Date]],"MMM-YY")</f>
        <v>Jan-00</v>
      </c>
      <c r="T3973">
        <f>_xlfn.ISOWEEKNUM(Table1[[#This Row],[Date]])</f>
        <v>52</v>
      </c>
    </row>
    <row r="3974" spans="1:20" hidden="1">
      <c r="A3974" s="1"/>
      <c r="S3974" t="str">
        <f>TEXT(Table1[[#This Row],[Date]],"MMM-YY")</f>
        <v>Jan-00</v>
      </c>
      <c r="T3974">
        <f>_xlfn.ISOWEEKNUM(Table1[[#This Row],[Date]])</f>
        <v>52</v>
      </c>
    </row>
    <row r="3975" spans="1:20" hidden="1">
      <c r="A3975" s="1"/>
      <c r="S3975" t="str">
        <f>TEXT(Table1[[#This Row],[Date]],"MMM-YY")</f>
        <v>Jan-00</v>
      </c>
      <c r="T3975">
        <f>_xlfn.ISOWEEKNUM(Table1[[#This Row],[Date]])</f>
        <v>52</v>
      </c>
    </row>
    <row r="3976" spans="1:20" hidden="1">
      <c r="A3976" s="1"/>
      <c r="S3976" t="str">
        <f>TEXT(Table1[[#This Row],[Date]],"MMM-YY")</f>
        <v>Jan-00</v>
      </c>
      <c r="T3976">
        <f>_xlfn.ISOWEEKNUM(Table1[[#This Row],[Date]])</f>
        <v>52</v>
      </c>
    </row>
    <row r="3977" spans="1:20" hidden="1">
      <c r="A3977" s="1"/>
      <c r="S3977" t="str">
        <f>TEXT(Table1[[#This Row],[Date]],"MMM-YY")</f>
        <v>Jan-00</v>
      </c>
      <c r="T3977">
        <f>_xlfn.ISOWEEKNUM(Table1[[#This Row],[Date]])</f>
        <v>52</v>
      </c>
    </row>
    <row r="3978" spans="1:20" hidden="1">
      <c r="A3978" s="1"/>
      <c r="S3978" t="str">
        <f>TEXT(Table1[[#This Row],[Date]],"MMM-YY")</f>
        <v>Jan-00</v>
      </c>
      <c r="T3978">
        <f>_xlfn.ISOWEEKNUM(Table1[[#This Row],[Date]])</f>
        <v>52</v>
      </c>
    </row>
    <row r="3979" spans="1:20" hidden="1">
      <c r="A3979" s="1"/>
      <c r="S3979" t="str">
        <f>TEXT(Table1[[#This Row],[Date]],"MMM-YY")</f>
        <v>Jan-00</v>
      </c>
      <c r="T3979">
        <f>_xlfn.ISOWEEKNUM(Table1[[#This Row],[Date]])</f>
        <v>52</v>
      </c>
    </row>
    <row r="3980" spans="1:20" hidden="1">
      <c r="A3980" s="1"/>
      <c r="S3980" t="str">
        <f>TEXT(Table1[[#This Row],[Date]],"MMM-YY")</f>
        <v>Jan-00</v>
      </c>
      <c r="T3980">
        <f>_xlfn.ISOWEEKNUM(Table1[[#This Row],[Date]])</f>
        <v>52</v>
      </c>
    </row>
    <row r="3981" spans="1:20" hidden="1">
      <c r="A3981" s="1"/>
      <c r="S3981" t="str">
        <f>TEXT(Table1[[#This Row],[Date]],"MMM-YY")</f>
        <v>Jan-00</v>
      </c>
      <c r="T3981">
        <f>_xlfn.ISOWEEKNUM(Table1[[#This Row],[Date]])</f>
        <v>52</v>
      </c>
    </row>
    <row r="3982" spans="1:20" hidden="1">
      <c r="A3982" s="1"/>
      <c r="S3982" t="str">
        <f>TEXT(Table1[[#This Row],[Date]],"MMM-YY")</f>
        <v>Jan-00</v>
      </c>
      <c r="T3982">
        <f>_xlfn.ISOWEEKNUM(Table1[[#This Row],[Date]])</f>
        <v>52</v>
      </c>
    </row>
    <row r="3983" spans="1:20" hidden="1">
      <c r="A3983" s="1"/>
      <c r="S3983" t="str">
        <f>TEXT(Table1[[#This Row],[Date]],"MMM-YY")</f>
        <v>Jan-00</v>
      </c>
      <c r="T3983">
        <f>_xlfn.ISOWEEKNUM(Table1[[#This Row],[Date]])</f>
        <v>52</v>
      </c>
    </row>
    <row r="3984" spans="1:20" hidden="1">
      <c r="A3984" s="1"/>
      <c r="S3984" t="str">
        <f>TEXT(Table1[[#This Row],[Date]],"MMM-YY")</f>
        <v>Jan-00</v>
      </c>
      <c r="T3984">
        <f>_xlfn.ISOWEEKNUM(Table1[[#This Row],[Date]])</f>
        <v>52</v>
      </c>
    </row>
    <row r="3985" spans="1:20" hidden="1">
      <c r="A3985" s="1"/>
      <c r="S3985" t="str">
        <f>TEXT(Table1[[#This Row],[Date]],"MMM-YY")</f>
        <v>Jan-00</v>
      </c>
      <c r="T3985">
        <f>_xlfn.ISOWEEKNUM(Table1[[#This Row],[Date]])</f>
        <v>52</v>
      </c>
    </row>
    <row r="3986" spans="1:20" hidden="1">
      <c r="A3986" s="1"/>
      <c r="S3986" t="str">
        <f>TEXT(Table1[[#This Row],[Date]],"MMM-YY")</f>
        <v>Jan-00</v>
      </c>
      <c r="T3986">
        <f>_xlfn.ISOWEEKNUM(Table1[[#This Row],[Date]])</f>
        <v>52</v>
      </c>
    </row>
    <row r="3987" spans="1:20" hidden="1">
      <c r="A3987" s="1"/>
      <c r="S3987" t="str">
        <f>TEXT(Table1[[#This Row],[Date]],"MMM-YY")</f>
        <v>Jan-00</v>
      </c>
      <c r="T3987">
        <f>_xlfn.ISOWEEKNUM(Table1[[#This Row],[Date]])</f>
        <v>52</v>
      </c>
    </row>
    <row r="3988" spans="1:20" hidden="1">
      <c r="A3988" s="1"/>
      <c r="S3988" t="str">
        <f>TEXT(Table1[[#This Row],[Date]],"MMM-YY")</f>
        <v>Jan-00</v>
      </c>
      <c r="T3988">
        <f>_xlfn.ISOWEEKNUM(Table1[[#This Row],[Date]])</f>
        <v>52</v>
      </c>
    </row>
    <row r="3989" spans="1:20" hidden="1">
      <c r="A3989" s="1"/>
      <c r="S3989" t="str">
        <f>TEXT(Table1[[#This Row],[Date]],"MMM-YY")</f>
        <v>Jan-00</v>
      </c>
      <c r="T3989">
        <f>_xlfn.ISOWEEKNUM(Table1[[#This Row],[Date]])</f>
        <v>52</v>
      </c>
    </row>
    <row r="3990" spans="1:20" hidden="1">
      <c r="A3990" s="1"/>
      <c r="S3990" t="str">
        <f>TEXT(Table1[[#This Row],[Date]],"MMM-YY")</f>
        <v>Jan-00</v>
      </c>
      <c r="T3990">
        <f>_xlfn.ISOWEEKNUM(Table1[[#This Row],[Date]])</f>
        <v>52</v>
      </c>
    </row>
    <row r="3991" spans="1:20" hidden="1">
      <c r="A3991" s="1"/>
      <c r="S3991" t="str">
        <f>TEXT(Table1[[#This Row],[Date]],"MMM-YY")</f>
        <v>Jan-00</v>
      </c>
      <c r="T3991">
        <f>_xlfn.ISOWEEKNUM(Table1[[#This Row],[Date]])</f>
        <v>52</v>
      </c>
    </row>
    <row r="3992" spans="1:20" hidden="1">
      <c r="A3992" s="1"/>
      <c r="S3992" t="str">
        <f>TEXT(Table1[[#This Row],[Date]],"MMM-YY")</f>
        <v>Jan-00</v>
      </c>
      <c r="T3992">
        <f>_xlfn.ISOWEEKNUM(Table1[[#This Row],[Date]])</f>
        <v>52</v>
      </c>
    </row>
    <row r="3993" spans="1:20" hidden="1">
      <c r="A3993" s="1"/>
      <c r="S3993" t="str">
        <f>TEXT(Table1[[#This Row],[Date]],"MMM-YY")</f>
        <v>Jan-00</v>
      </c>
      <c r="T3993">
        <f>_xlfn.ISOWEEKNUM(Table1[[#This Row],[Date]])</f>
        <v>52</v>
      </c>
    </row>
    <row r="3994" spans="1:20" hidden="1">
      <c r="A3994" s="1"/>
      <c r="S3994" t="str">
        <f>TEXT(Table1[[#This Row],[Date]],"MMM-YY")</f>
        <v>Jan-00</v>
      </c>
      <c r="T3994">
        <f>_xlfn.ISOWEEKNUM(Table1[[#This Row],[Date]])</f>
        <v>52</v>
      </c>
    </row>
    <row r="3995" spans="1:20" hidden="1">
      <c r="A3995" s="1"/>
      <c r="S3995" t="str">
        <f>TEXT(Table1[[#This Row],[Date]],"MMM-YY")</f>
        <v>Jan-00</v>
      </c>
      <c r="T3995">
        <f>_xlfn.ISOWEEKNUM(Table1[[#This Row],[Date]])</f>
        <v>52</v>
      </c>
    </row>
    <row r="3996" spans="1:20" hidden="1">
      <c r="A3996" s="1"/>
      <c r="S3996" t="str">
        <f>TEXT(Table1[[#This Row],[Date]],"MMM-YY")</f>
        <v>Jan-00</v>
      </c>
      <c r="T3996">
        <f>_xlfn.ISOWEEKNUM(Table1[[#This Row],[Date]])</f>
        <v>52</v>
      </c>
    </row>
    <row r="3997" spans="1:20" hidden="1">
      <c r="A3997" s="1"/>
      <c r="S3997" t="str">
        <f>TEXT(Table1[[#This Row],[Date]],"MMM-YY")</f>
        <v>Jan-00</v>
      </c>
      <c r="T3997">
        <f>_xlfn.ISOWEEKNUM(Table1[[#This Row],[Date]])</f>
        <v>52</v>
      </c>
    </row>
    <row r="3998" spans="1:20" hidden="1">
      <c r="A3998" s="1"/>
      <c r="S3998" t="str">
        <f>TEXT(Table1[[#This Row],[Date]],"MMM-YY")</f>
        <v>Jan-00</v>
      </c>
      <c r="T3998">
        <f>_xlfn.ISOWEEKNUM(Table1[[#This Row],[Date]])</f>
        <v>52</v>
      </c>
    </row>
    <row r="3999" spans="1:20" hidden="1">
      <c r="A3999" s="1"/>
      <c r="S3999" t="str">
        <f>TEXT(Table1[[#This Row],[Date]],"MMM-YY")</f>
        <v>Jan-00</v>
      </c>
      <c r="T3999">
        <f>_xlfn.ISOWEEKNUM(Table1[[#This Row],[Date]])</f>
        <v>52</v>
      </c>
    </row>
    <row r="4000" spans="1:20" hidden="1">
      <c r="A4000" s="1"/>
      <c r="S4000" t="str">
        <f>TEXT(Table1[[#This Row],[Date]],"MMM-YY")</f>
        <v>Jan-00</v>
      </c>
      <c r="T4000">
        <f>_xlfn.ISOWEEKNUM(Table1[[#This Row],[Date]])</f>
        <v>52</v>
      </c>
    </row>
    <row r="4001" spans="1:20" hidden="1">
      <c r="A4001" s="1"/>
      <c r="S4001" t="str">
        <f>TEXT(Table1[[#This Row],[Date]],"MMM-YY")</f>
        <v>Jan-00</v>
      </c>
      <c r="T4001">
        <f>_xlfn.ISOWEEKNUM(Table1[[#This Row],[Date]])</f>
        <v>52</v>
      </c>
    </row>
    <row r="4002" spans="1:20" hidden="1">
      <c r="A4002" s="1"/>
      <c r="S4002" t="str">
        <f>TEXT(Table1[[#This Row],[Date]],"MMM-YY")</f>
        <v>Jan-00</v>
      </c>
      <c r="T4002">
        <f>_xlfn.ISOWEEKNUM(Table1[[#This Row],[Date]])</f>
        <v>52</v>
      </c>
    </row>
    <row r="4003" spans="1:20" hidden="1">
      <c r="A4003" s="1"/>
      <c r="S4003" t="str">
        <f>TEXT(Table1[[#This Row],[Date]],"MMM-YY")</f>
        <v>Jan-00</v>
      </c>
      <c r="T4003">
        <f>_xlfn.ISOWEEKNUM(Table1[[#This Row],[Date]])</f>
        <v>52</v>
      </c>
    </row>
    <row r="4004" spans="1:20" hidden="1">
      <c r="A4004" s="1"/>
      <c r="S4004" t="str">
        <f>TEXT(Table1[[#This Row],[Date]],"MMM-YY")</f>
        <v>Jan-00</v>
      </c>
      <c r="T4004">
        <f>_xlfn.ISOWEEKNUM(Table1[[#This Row],[Date]])</f>
        <v>52</v>
      </c>
    </row>
    <row r="4005" spans="1:20" hidden="1">
      <c r="A4005" s="1"/>
      <c r="S4005" t="str">
        <f>TEXT(Table1[[#This Row],[Date]],"MMM-YY")</f>
        <v>Jan-00</v>
      </c>
      <c r="T4005">
        <f>_xlfn.ISOWEEKNUM(Table1[[#This Row],[Date]])</f>
        <v>52</v>
      </c>
    </row>
    <row r="4006" spans="1:20" hidden="1">
      <c r="A4006" s="1"/>
      <c r="S4006" t="str">
        <f>TEXT(Table1[[#This Row],[Date]],"MMM-YY")</f>
        <v>Jan-00</v>
      </c>
      <c r="T4006">
        <f>_xlfn.ISOWEEKNUM(Table1[[#This Row],[Date]])</f>
        <v>52</v>
      </c>
    </row>
    <row r="4007" spans="1:20" hidden="1">
      <c r="A4007" s="1"/>
      <c r="S4007" t="str">
        <f>TEXT(Table1[[#This Row],[Date]],"MMM-YY")</f>
        <v>Jan-00</v>
      </c>
      <c r="T4007">
        <f>_xlfn.ISOWEEKNUM(Table1[[#This Row],[Date]])</f>
        <v>52</v>
      </c>
    </row>
    <row r="4008" spans="1:20" hidden="1">
      <c r="A4008" s="1"/>
      <c r="S4008" t="str">
        <f>TEXT(Table1[[#This Row],[Date]],"MMM-YY")</f>
        <v>Jan-00</v>
      </c>
      <c r="T4008">
        <f>_xlfn.ISOWEEKNUM(Table1[[#This Row],[Date]])</f>
        <v>52</v>
      </c>
    </row>
    <row r="4009" spans="1:20" hidden="1">
      <c r="A4009" s="1"/>
      <c r="S4009" t="str">
        <f>TEXT(Table1[[#This Row],[Date]],"MMM-YY")</f>
        <v>Jan-00</v>
      </c>
      <c r="T4009">
        <f>_xlfn.ISOWEEKNUM(Table1[[#This Row],[Date]])</f>
        <v>52</v>
      </c>
    </row>
    <row r="4010" spans="1:20" hidden="1">
      <c r="A4010" s="1"/>
      <c r="S4010" t="str">
        <f>TEXT(Table1[[#This Row],[Date]],"MMM-YY")</f>
        <v>Jan-00</v>
      </c>
      <c r="T4010">
        <f>_xlfn.ISOWEEKNUM(Table1[[#This Row],[Date]])</f>
        <v>52</v>
      </c>
    </row>
    <row r="4011" spans="1:20" hidden="1">
      <c r="A4011" s="1"/>
      <c r="S4011" t="str">
        <f>TEXT(Table1[[#This Row],[Date]],"MMM-YY")</f>
        <v>Jan-00</v>
      </c>
      <c r="T4011">
        <f>_xlfn.ISOWEEKNUM(Table1[[#This Row],[Date]])</f>
        <v>52</v>
      </c>
    </row>
    <row r="4012" spans="1:20" hidden="1">
      <c r="A4012" s="1"/>
      <c r="S4012" t="str">
        <f>TEXT(Table1[[#This Row],[Date]],"MMM-YY")</f>
        <v>Jan-00</v>
      </c>
      <c r="T4012">
        <f>_xlfn.ISOWEEKNUM(Table1[[#This Row],[Date]])</f>
        <v>52</v>
      </c>
    </row>
    <row r="4013" spans="1:20" hidden="1">
      <c r="A4013" s="1"/>
      <c r="S4013" t="str">
        <f>TEXT(Table1[[#This Row],[Date]],"MMM-YY")</f>
        <v>Jan-00</v>
      </c>
      <c r="T4013">
        <f>_xlfn.ISOWEEKNUM(Table1[[#This Row],[Date]])</f>
        <v>52</v>
      </c>
    </row>
    <row r="4014" spans="1:20" hidden="1">
      <c r="A4014" s="1"/>
      <c r="S4014" t="str">
        <f>TEXT(Table1[[#This Row],[Date]],"MMM-YY")</f>
        <v>Jan-00</v>
      </c>
      <c r="T4014">
        <f>_xlfn.ISOWEEKNUM(Table1[[#This Row],[Date]])</f>
        <v>52</v>
      </c>
    </row>
    <row r="4015" spans="1:20" hidden="1">
      <c r="A4015" s="1"/>
      <c r="S4015" t="str">
        <f>TEXT(Table1[[#This Row],[Date]],"MMM-YY")</f>
        <v>Jan-00</v>
      </c>
      <c r="T4015">
        <f>_xlfn.ISOWEEKNUM(Table1[[#This Row],[Date]])</f>
        <v>52</v>
      </c>
    </row>
    <row r="4016" spans="1:20" hidden="1">
      <c r="A4016" s="1"/>
      <c r="S4016" t="str">
        <f>TEXT(Table1[[#This Row],[Date]],"MMM-YY")</f>
        <v>Jan-00</v>
      </c>
      <c r="T4016">
        <f>_xlfn.ISOWEEKNUM(Table1[[#This Row],[Date]])</f>
        <v>52</v>
      </c>
    </row>
    <row r="4017" spans="1:20" hidden="1">
      <c r="A4017" s="1"/>
      <c r="S4017" t="str">
        <f>TEXT(Table1[[#This Row],[Date]],"MMM-YY")</f>
        <v>Jan-00</v>
      </c>
      <c r="T4017">
        <f>_xlfn.ISOWEEKNUM(Table1[[#This Row],[Date]])</f>
        <v>52</v>
      </c>
    </row>
    <row r="4018" spans="1:20" hidden="1">
      <c r="A4018" s="1"/>
      <c r="S4018" t="str">
        <f>TEXT(Table1[[#This Row],[Date]],"MMM-YY")</f>
        <v>Jan-00</v>
      </c>
      <c r="T4018">
        <f>_xlfn.ISOWEEKNUM(Table1[[#This Row],[Date]])</f>
        <v>52</v>
      </c>
    </row>
    <row r="4019" spans="1:20" hidden="1">
      <c r="A4019" s="1"/>
      <c r="S4019" t="str">
        <f>TEXT(Table1[[#This Row],[Date]],"MMM-YY")</f>
        <v>Jan-00</v>
      </c>
      <c r="T4019">
        <f>_xlfn.ISOWEEKNUM(Table1[[#This Row],[Date]])</f>
        <v>52</v>
      </c>
    </row>
    <row r="4020" spans="1:20" hidden="1">
      <c r="A4020" s="1"/>
      <c r="S4020" t="str">
        <f>TEXT(Table1[[#This Row],[Date]],"MMM-YY")</f>
        <v>Jan-00</v>
      </c>
      <c r="T4020">
        <f>_xlfn.ISOWEEKNUM(Table1[[#This Row],[Date]])</f>
        <v>52</v>
      </c>
    </row>
    <row r="4021" spans="1:20" hidden="1">
      <c r="A4021" s="1"/>
      <c r="S4021" t="str">
        <f>TEXT(Table1[[#This Row],[Date]],"MMM-YY")</f>
        <v>Jan-00</v>
      </c>
      <c r="T4021">
        <f>_xlfn.ISOWEEKNUM(Table1[[#This Row],[Date]])</f>
        <v>52</v>
      </c>
    </row>
    <row r="4022" spans="1:20" hidden="1">
      <c r="A4022" s="1"/>
      <c r="S4022" t="str">
        <f>TEXT(Table1[[#This Row],[Date]],"MMM-YY")</f>
        <v>Jan-00</v>
      </c>
      <c r="T4022">
        <f>_xlfn.ISOWEEKNUM(Table1[[#This Row],[Date]])</f>
        <v>52</v>
      </c>
    </row>
    <row r="4023" spans="1:20" hidden="1">
      <c r="A4023" s="1"/>
      <c r="S4023" t="str">
        <f>TEXT(Table1[[#This Row],[Date]],"MMM-YY")</f>
        <v>Jan-00</v>
      </c>
      <c r="T4023">
        <f>_xlfn.ISOWEEKNUM(Table1[[#This Row],[Date]])</f>
        <v>52</v>
      </c>
    </row>
    <row r="4024" spans="1:20" hidden="1">
      <c r="A4024" s="1"/>
      <c r="S4024" t="str">
        <f>TEXT(Table1[[#This Row],[Date]],"MMM-YY")</f>
        <v>Jan-00</v>
      </c>
      <c r="T4024">
        <f>_xlfn.ISOWEEKNUM(Table1[[#This Row],[Date]])</f>
        <v>52</v>
      </c>
    </row>
    <row r="4025" spans="1:20" hidden="1">
      <c r="A4025" s="1"/>
      <c r="S4025" t="str">
        <f>TEXT(Table1[[#This Row],[Date]],"MMM-YY")</f>
        <v>Jan-00</v>
      </c>
      <c r="T4025">
        <f>_xlfn.ISOWEEKNUM(Table1[[#This Row],[Date]])</f>
        <v>52</v>
      </c>
    </row>
    <row r="4026" spans="1:20" hidden="1">
      <c r="A4026" s="1"/>
      <c r="S4026" t="str">
        <f>TEXT(Table1[[#This Row],[Date]],"MMM-YY")</f>
        <v>Jan-00</v>
      </c>
      <c r="T4026">
        <f>_xlfn.ISOWEEKNUM(Table1[[#This Row],[Date]])</f>
        <v>52</v>
      </c>
    </row>
    <row r="4027" spans="1:20" hidden="1">
      <c r="A4027" s="1"/>
      <c r="S4027" t="str">
        <f>TEXT(Table1[[#This Row],[Date]],"MMM-YY")</f>
        <v>Jan-00</v>
      </c>
      <c r="T4027">
        <f>_xlfn.ISOWEEKNUM(Table1[[#This Row],[Date]])</f>
        <v>52</v>
      </c>
    </row>
    <row r="4028" spans="1:20" hidden="1">
      <c r="A4028" s="1"/>
      <c r="S4028" t="str">
        <f>TEXT(Table1[[#This Row],[Date]],"MMM-YY")</f>
        <v>Jan-00</v>
      </c>
      <c r="T4028">
        <f>_xlfn.ISOWEEKNUM(Table1[[#This Row],[Date]])</f>
        <v>52</v>
      </c>
    </row>
    <row r="4029" spans="1:20" hidden="1">
      <c r="A4029" s="1"/>
      <c r="S4029" t="str">
        <f>TEXT(Table1[[#This Row],[Date]],"MMM-YY")</f>
        <v>Jan-00</v>
      </c>
      <c r="T4029">
        <f>_xlfn.ISOWEEKNUM(Table1[[#This Row],[Date]])</f>
        <v>52</v>
      </c>
    </row>
    <row r="4030" spans="1:20" hidden="1">
      <c r="A4030" s="1"/>
      <c r="S4030" t="str">
        <f>TEXT(Table1[[#This Row],[Date]],"MMM-YY")</f>
        <v>Jan-00</v>
      </c>
      <c r="T4030">
        <f>_xlfn.ISOWEEKNUM(Table1[[#This Row],[Date]])</f>
        <v>52</v>
      </c>
    </row>
    <row r="4031" spans="1:20" hidden="1">
      <c r="A4031" s="1"/>
      <c r="S4031" t="str">
        <f>TEXT(Table1[[#This Row],[Date]],"MMM-YY")</f>
        <v>Jan-00</v>
      </c>
      <c r="T4031">
        <f>_xlfn.ISOWEEKNUM(Table1[[#This Row],[Date]])</f>
        <v>52</v>
      </c>
    </row>
    <row r="4032" spans="1:20" hidden="1">
      <c r="A4032" s="1"/>
      <c r="S4032" t="str">
        <f>TEXT(Table1[[#This Row],[Date]],"MMM-YY")</f>
        <v>Jan-00</v>
      </c>
      <c r="T4032">
        <f>_xlfn.ISOWEEKNUM(Table1[[#This Row],[Date]])</f>
        <v>52</v>
      </c>
    </row>
    <row r="4033" spans="1:20" hidden="1">
      <c r="A4033" s="1"/>
      <c r="S4033" t="str">
        <f>TEXT(Table1[[#This Row],[Date]],"MMM-YY")</f>
        <v>Jan-00</v>
      </c>
      <c r="T4033">
        <f>_xlfn.ISOWEEKNUM(Table1[[#This Row],[Date]])</f>
        <v>52</v>
      </c>
    </row>
    <row r="4034" spans="1:20" hidden="1">
      <c r="A4034" s="1"/>
      <c r="S4034" t="str">
        <f>TEXT(Table1[[#This Row],[Date]],"MMM-YY")</f>
        <v>Jan-00</v>
      </c>
      <c r="T4034">
        <f>_xlfn.ISOWEEKNUM(Table1[[#This Row],[Date]])</f>
        <v>52</v>
      </c>
    </row>
    <row r="4035" spans="1:20" hidden="1">
      <c r="A4035" s="1"/>
      <c r="S4035" t="str">
        <f>TEXT(Table1[[#This Row],[Date]],"MMM-YY")</f>
        <v>Jan-00</v>
      </c>
      <c r="T4035">
        <f>_xlfn.ISOWEEKNUM(Table1[[#This Row],[Date]])</f>
        <v>52</v>
      </c>
    </row>
    <row r="4036" spans="1:20" hidden="1">
      <c r="A4036" s="1"/>
      <c r="S4036" t="str">
        <f>TEXT(Table1[[#This Row],[Date]],"MMM-YY")</f>
        <v>Jan-00</v>
      </c>
      <c r="T4036">
        <f>_xlfn.ISOWEEKNUM(Table1[[#This Row],[Date]])</f>
        <v>52</v>
      </c>
    </row>
    <row r="4037" spans="1:20" hidden="1">
      <c r="A4037" s="1"/>
      <c r="S4037" t="str">
        <f>TEXT(Table1[[#This Row],[Date]],"MMM-YY")</f>
        <v>Jan-00</v>
      </c>
      <c r="T4037">
        <f>_xlfn.ISOWEEKNUM(Table1[[#This Row],[Date]])</f>
        <v>52</v>
      </c>
    </row>
    <row r="4038" spans="1:20" hidden="1">
      <c r="A4038" s="1"/>
      <c r="S4038" t="str">
        <f>TEXT(Table1[[#This Row],[Date]],"MMM-YY")</f>
        <v>Jan-00</v>
      </c>
      <c r="T4038">
        <f>_xlfn.ISOWEEKNUM(Table1[[#This Row],[Date]])</f>
        <v>52</v>
      </c>
    </row>
    <row r="4039" spans="1:20" hidden="1">
      <c r="A4039" s="1"/>
      <c r="S4039" t="str">
        <f>TEXT(Table1[[#This Row],[Date]],"MMM-YY")</f>
        <v>Jan-00</v>
      </c>
      <c r="T4039">
        <f>_xlfn.ISOWEEKNUM(Table1[[#This Row],[Date]])</f>
        <v>52</v>
      </c>
    </row>
    <row r="4040" spans="1:20" hidden="1">
      <c r="A4040" s="1"/>
      <c r="S4040" t="str">
        <f>TEXT(Table1[[#This Row],[Date]],"MMM-YY")</f>
        <v>Jan-00</v>
      </c>
      <c r="T4040">
        <f>_xlfn.ISOWEEKNUM(Table1[[#This Row],[Date]])</f>
        <v>52</v>
      </c>
    </row>
    <row r="4041" spans="1:20" ht="15" hidden="1" customHeight="1">
      <c r="A4041" s="1"/>
      <c r="S4041" t="str">
        <f>TEXT(Table1[[#This Row],[Date]],"MMM-YY")</f>
        <v>Jan-00</v>
      </c>
      <c r="T4041">
        <f>_xlfn.ISOWEEKNUM(Table1[[#This Row],[Date]])</f>
        <v>52</v>
      </c>
    </row>
    <row r="4042" spans="1:20" ht="15" hidden="1" customHeight="1">
      <c r="A4042" s="1"/>
      <c r="S4042" t="str">
        <f>TEXT(Table1[[#This Row],[Date]],"MMM-YY")</f>
        <v>Jan-00</v>
      </c>
      <c r="T4042">
        <f>_xlfn.ISOWEEKNUM(Table1[[#This Row],[Date]])</f>
        <v>52</v>
      </c>
    </row>
    <row r="4043" spans="1:20" ht="15" hidden="1" customHeight="1">
      <c r="A4043" s="1"/>
      <c r="S4043" t="str">
        <f>TEXT(Table1[[#This Row],[Date]],"MMM-YY")</f>
        <v>Jan-00</v>
      </c>
      <c r="T4043">
        <f>_xlfn.ISOWEEKNUM(Table1[[#This Row],[Date]])</f>
        <v>52</v>
      </c>
    </row>
    <row r="4044" spans="1:20" ht="15" hidden="1" customHeight="1">
      <c r="A4044" s="1"/>
      <c r="S4044" t="str">
        <f>TEXT(Table1[[#This Row],[Date]],"MMM-YY")</f>
        <v>Jan-00</v>
      </c>
      <c r="T4044">
        <f>_xlfn.ISOWEEKNUM(Table1[[#This Row],[Date]])</f>
        <v>52</v>
      </c>
    </row>
    <row r="4045" spans="1:20" ht="15" hidden="1" customHeight="1">
      <c r="A4045" s="1"/>
      <c r="S4045" t="str">
        <f>TEXT(Table1[[#This Row],[Date]],"MMM-YY")</f>
        <v>Jan-00</v>
      </c>
      <c r="T4045">
        <f>_xlfn.ISOWEEKNUM(Table1[[#This Row],[Date]])</f>
        <v>52</v>
      </c>
    </row>
    <row r="4046" spans="1:20" ht="15" hidden="1" customHeight="1">
      <c r="A4046" s="1"/>
      <c r="S4046" t="str">
        <f>TEXT(Table1[[#This Row],[Date]],"MMM-YY")</f>
        <v>Jan-00</v>
      </c>
      <c r="T4046">
        <f>_xlfn.ISOWEEKNUM(Table1[[#This Row],[Date]])</f>
        <v>52</v>
      </c>
    </row>
    <row r="4047" spans="1:20" ht="15" hidden="1" customHeight="1">
      <c r="A4047" s="1"/>
      <c r="S4047" t="str">
        <f>TEXT(Table1[[#This Row],[Date]],"MMM-YY")</f>
        <v>Jan-00</v>
      </c>
      <c r="T4047">
        <f>_xlfn.ISOWEEKNUM(Table1[[#This Row],[Date]])</f>
        <v>52</v>
      </c>
    </row>
    <row r="4048" spans="1:20" ht="15" hidden="1" customHeight="1">
      <c r="A4048" s="1"/>
      <c r="S4048" t="str">
        <f>TEXT(Table1[[#This Row],[Date]],"MMM-YY")</f>
        <v>Jan-00</v>
      </c>
      <c r="T4048">
        <f>_xlfn.ISOWEEKNUM(Table1[[#This Row],[Date]])</f>
        <v>52</v>
      </c>
    </row>
    <row r="4049" spans="1:20" ht="15" hidden="1" customHeight="1">
      <c r="A4049" s="1"/>
      <c r="S4049" t="str">
        <f>TEXT(Table1[[#This Row],[Date]],"MMM-YY")</f>
        <v>Jan-00</v>
      </c>
      <c r="T4049">
        <f>_xlfn.ISOWEEKNUM(Table1[[#This Row],[Date]])</f>
        <v>52</v>
      </c>
    </row>
    <row r="4050" spans="1:20" ht="15" hidden="1" customHeight="1">
      <c r="A4050" s="1"/>
      <c r="S4050" t="str">
        <f>TEXT(Table1[[#This Row],[Date]],"MMM-YY")</f>
        <v>Jan-00</v>
      </c>
      <c r="T4050">
        <f>_xlfn.ISOWEEKNUM(Table1[[#This Row],[Date]])</f>
        <v>52</v>
      </c>
    </row>
    <row r="4051" spans="1:20" ht="15" hidden="1" customHeight="1">
      <c r="A4051" s="1"/>
      <c r="S4051" t="str">
        <f>TEXT(Table1[[#This Row],[Date]],"MMM-YY")</f>
        <v>Jan-00</v>
      </c>
      <c r="T4051">
        <f>_xlfn.ISOWEEKNUM(Table1[[#This Row],[Date]])</f>
        <v>52</v>
      </c>
    </row>
    <row r="4052" spans="1:20" ht="15" hidden="1" customHeight="1">
      <c r="A4052" s="1"/>
      <c r="S4052" t="str">
        <f>TEXT(Table1[[#This Row],[Date]],"MMM-YY")</f>
        <v>Jan-00</v>
      </c>
      <c r="T4052">
        <f>_xlfn.ISOWEEKNUM(Table1[[#This Row],[Date]])</f>
        <v>52</v>
      </c>
    </row>
    <row r="4053" spans="1:20" ht="15" hidden="1" customHeight="1">
      <c r="A4053" s="1"/>
      <c r="S4053" t="str">
        <f>TEXT(Table1[[#This Row],[Date]],"MMM-YY")</f>
        <v>Jan-00</v>
      </c>
      <c r="T4053">
        <f>_xlfn.ISOWEEKNUM(Table1[[#This Row],[Date]])</f>
        <v>52</v>
      </c>
    </row>
    <row r="4054" spans="1:20" ht="15" hidden="1" customHeight="1">
      <c r="A4054" s="1"/>
      <c r="S4054" t="str">
        <f>TEXT(Table1[[#This Row],[Date]],"MMM-YY")</f>
        <v>Jan-00</v>
      </c>
      <c r="T4054">
        <f>_xlfn.ISOWEEKNUM(Table1[[#This Row],[Date]])</f>
        <v>52</v>
      </c>
    </row>
    <row r="4055" spans="1:20" ht="15" hidden="1" customHeight="1">
      <c r="A4055" s="1"/>
      <c r="S4055" t="str">
        <f>TEXT(Table1[[#This Row],[Date]],"MMM-YY")</f>
        <v>Jan-00</v>
      </c>
      <c r="T4055">
        <f>_xlfn.ISOWEEKNUM(Table1[[#This Row],[Date]])</f>
        <v>52</v>
      </c>
    </row>
    <row r="4056" spans="1:20" ht="15" hidden="1" customHeight="1">
      <c r="A4056" s="1"/>
      <c r="S4056" t="str">
        <f>TEXT(Table1[[#This Row],[Date]],"MMM-YY")</f>
        <v>Jan-00</v>
      </c>
      <c r="T4056">
        <f>_xlfn.ISOWEEKNUM(Table1[[#This Row],[Date]])</f>
        <v>52</v>
      </c>
    </row>
    <row r="4057" spans="1:20" ht="15" hidden="1" customHeight="1">
      <c r="A4057" s="1"/>
      <c r="S4057" t="str">
        <f>TEXT(Table1[[#This Row],[Date]],"MMM-YY")</f>
        <v>Jan-00</v>
      </c>
      <c r="T4057">
        <f>_xlfn.ISOWEEKNUM(Table1[[#This Row],[Date]])</f>
        <v>52</v>
      </c>
    </row>
    <row r="4058" spans="1:20" ht="15" hidden="1" customHeight="1">
      <c r="A4058" s="1"/>
      <c r="S4058" t="str">
        <f>TEXT(Table1[[#This Row],[Date]],"MMM-YY")</f>
        <v>Jan-00</v>
      </c>
      <c r="T4058">
        <f>_xlfn.ISOWEEKNUM(Table1[[#This Row],[Date]])</f>
        <v>52</v>
      </c>
    </row>
    <row r="4059" spans="1:20" ht="15" hidden="1" customHeight="1">
      <c r="A4059" s="1"/>
      <c r="S4059" t="str">
        <f>TEXT(Table1[[#This Row],[Date]],"MMM-YY")</f>
        <v>Jan-00</v>
      </c>
      <c r="T4059">
        <f>_xlfn.ISOWEEKNUM(Table1[[#This Row],[Date]])</f>
        <v>52</v>
      </c>
    </row>
    <row r="4060" spans="1:20" ht="15" hidden="1" customHeight="1">
      <c r="A4060" s="1"/>
      <c r="S4060" t="str">
        <f>TEXT(Table1[[#This Row],[Date]],"MMM-YY")</f>
        <v>Jan-00</v>
      </c>
      <c r="T4060">
        <f>_xlfn.ISOWEEKNUM(Table1[[#This Row],[Date]])</f>
        <v>52</v>
      </c>
    </row>
    <row r="4061" spans="1:20" hidden="1">
      <c r="A4061" s="1"/>
      <c r="S4061" t="str">
        <f>TEXT(Table1[[#This Row],[Date]],"MMM-YY")</f>
        <v>Jan-00</v>
      </c>
      <c r="T4061">
        <f>_xlfn.ISOWEEKNUM(Table1[[#This Row],[Date]])</f>
        <v>52</v>
      </c>
    </row>
    <row r="4062" spans="1:20" hidden="1">
      <c r="A4062" s="1"/>
      <c r="S4062" t="str">
        <f>TEXT(Table1[[#This Row],[Date]],"MMM-YY")</f>
        <v>Jan-00</v>
      </c>
      <c r="T4062">
        <f>_xlfn.ISOWEEKNUM(Table1[[#This Row],[Date]])</f>
        <v>52</v>
      </c>
    </row>
    <row r="4063" spans="1:20" hidden="1">
      <c r="A4063" s="1"/>
      <c r="S4063" t="str">
        <f>TEXT(Table1[[#This Row],[Date]],"MMM-YY")</f>
        <v>Jan-00</v>
      </c>
      <c r="T4063">
        <f>_xlfn.ISOWEEKNUM(Table1[[#This Row],[Date]])</f>
        <v>52</v>
      </c>
    </row>
    <row r="4064" spans="1:20" hidden="1">
      <c r="A4064" s="1"/>
      <c r="S4064" t="str">
        <f>TEXT(Table1[[#This Row],[Date]],"MMM-YY")</f>
        <v>Jan-00</v>
      </c>
      <c r="T4064">
        <f>_xlfn.ISOWEEKNUM(Table1[[#This Row],[Date]])</f>
        <v>52</v>
      </c>
    </row>
    <row r="4065" spans="1:20" hidden="1">
      <c r="A4065" s="1"/>
      <c r="S4065" t="str">
        <f>TEXT(Table1[[#This Row],[Date]],"MMM-YY")</f>
        <v>Jan-00</v>
      </c>
      <c r="T4065">
        <f>_xlfn.ISOWEEKNUM(Table1[[#This Row],[Date]])</f>
        <v>52</v>
      </c>
    </row>
    <row r="4066" spans="1:20" hidden="1">
      <c r="A4066" s="1"/>
      <c r="S4066" t="str">
        <f>TEXT(Table1[[#This Row],[Date]],"MMM-YY")</f>
        <v>Jan-00</v>
      </c>
      <c r="T4066">
        <f>_xlfn.ISOWEEKNUM(Table1[[#This Row],[Date]])</f>
        <v>52</v>
      </c>
    </row>
    <row r="4067" spans="1:20" hidden="1">
      <c r="A4067" s="1"/>
      <c r="S4067" t="str">
        <f>TEXT(Table1[[#This Row],[Date]],"MMM-YY")</f>
        <v>Jan-00</v>
      </c>
      <c r="T4067">
        <f>_xlfn.ISOWEEKNUM(Table1[[#This Row],[Date]])</f>
        <v>52</v>
      </c>
    </row>
    <row r="4068" spans="1:20" hidden="1">
      <c r="A4068" s="1"/>
      <c r="S4068" t="str">
        <f>TEXT(Table1[[#This Row],[Date]],"MMM-YY")</f>
        <v>Jan-00</v>
      </c>
      <c r="T4068">
        <f>_xlfn.ISOWEEKNUM(Table1[[#This Row],[Date]])</f>
        <v>52</v>
      </c>
    </row>
    <row r="4069" spans="1:20" hidden="1">
      <c r="A4069" s="1"/>
      <c r="S4069" t="str">
        <f>TEXT(Table1[[#This Row],[Date]],"MMM-YY")</f>
        <v>Jan-00</v>
      </c>
      <c r="T4069">
        <f>_xlfn.ISOWEEKNUM(Table1[[#This Row],[Date]])</f>
        <v>52</v>
      </c>
    </row>
    <row r="4070" spans="1:20" hidden="1">
      <c r="A4070" s="1"/>
      <c r="S4070" t="str">
        <f>TEXT(Table1[[#This Row],[Date]],"MMM-YY")</f>
        <v>Jan-00</v>
      </c>
      <c r="T4070">
        <f>_xlfn.ISOWEEKNUM(Table1[[#This Row],[Date]])</f>
        <v>52</v>
      </c>
    </row>
    <row r="4071" spans="1:20" hidden="1">
      <c r="A4071" s="1"/>
      <c r="S4071" t="str">
        <f>TEXT(Table1[[#This Row],[Date]],"MMM-YY")</f>
        <v>Jan-00</v>
      </c>
      <c r="T4071">
        <f>_xlfn.ISOWEEKNUM(Table1[[#This Row],[Date]])</f>
        <v>52</v>
      </c>
    </row>
    <row r="4072" spans="1:20" hidden="1">
      <c r="A4072" s="1"/>
      <c r="S4072" t="str">
        <f>TEXT(Table1[[#This Row],[Date]],"MMM-YY")</f>
        <v>Jan-00</v>
      </c>
      <c r="T4072">
        <f>_xlfn.ISOWEEKNUM(Table1[[#This Row],[Date]])</f>
        <v>52</v>
      </c>
    </row>
    <row r="4073" spans="1:20" hidden="1">
      <c r="A4073" s="1"/>
      <c r="S4073" t="str">
        <f>TEXT(Table1[[#This Row],[Date]],"MMM-YY")</f>
        <v>Jan-00</v>
      </c>
      <c r="T4073">
        <f>_xlfn.ISOWEEKNUM(Table1[[#This Row],[Date]])</f>
        <v>52</v>
      </c>
    </row>
    <row r="4074" spans="1:20" hidden="1">
      <c r="A4074" s="1"/>
      <c r="S4074" t="str">
        <f>TEXT(Table1[[#This Row],[Date]],"MMM-YY")</f>
        <v>Jan-00</v>
      </c>
      <c r="T4074">
        <f>_xlfn.ISOWEEKNUM(Table1[[#This Row],[Date]])</f>
        <v>52</v>
      </c>
    </row>
    <row r="4075" spans="1:20" hidden="1">
      <c r="A4075" s="1"/>
      <c r="S4075" t="str">
        <f>TEXT(Table1[[#This Row],[Date]],"MMM-YY")</f>
        <v>Jan-00</v>
      </c>
      <c r="T4075">
        <f>_xlfn.ISOWEEKNUM(Table1[[#This Row],[Date]])</f>
        <v>52</v>
      </c>
    </row>
    <row r="4076" spans="1:20" hidden="1">
      <c r="A4076" s="1"/>
      <c r="S4076" t="str">
        <f>TEXT(Table1[[#This Row],[Date]],"MMM-YY")</f>
        <v>Jan-00</v>
      </c>
      <c r="T4076">
        <f>_xlfn.ISOWEEKNUM(Table1[[#This Row],[Date]])</f>
        <v>52</v>
      </c>
    </row>
    <row r="4077" spans="1:20" hidden="1">
      <c r="A4077" s="1"/>
      <c r="S4077" t="str">
        <f>TEXT(Table1[[#This Row],[Date]],"MMM-YY")</f>
        <v>Jan-00</v>
      </c>
      <c r="T4077">
        <f>_xlfn.ISOWEEKNUM(Table1[[#This Row],[Date]])</f>
        <v>52</v>
      </c>
    </row>
    <row r="4078" spans="1:20" hidden="1">
      <c r="A4078" s="1"/>
      <c r="S4078" t="str">
        <f>TEXT(Table1[[#This Row],[Date]],"MMM-YY")</f>
        <v>Jan-00</v>
      </c>
      <c r="T4078">
        <f>_xlfn.ISOWEEKNUM(Table1[[#This Row],[Date]])</f>
        <v>52</v>
      </c>
    </row>
    <row r="4079" spans="1:20" hidden="1">
      <c r="A4079" s="1"/>
      <c r="S4079" t="str">
        <f>TEXT(Table1[[#This Row],[Date]],"MMM-YY")</f>
        <v>Jan-00</v>
      </c>
      <c r="T4079">
        <f>_xlfn.ISOWEEKNUM(Table1[[#This Row],[Date]])</f>
        <v>52</v>
      </c>
    </row>
    <row r="4080" spans="1:20" hidden="1">
      <c r="A4080" s="1"/>
      <c r="S4080" t="str">
        <f>TEXT(Table1[[#This Row],[Date]],"MMM-YY")</f>
        <v>Jan-00</v>
      </c>
      <c r="T4080">
        <f>_xlfn.ISOWEEKNUM(Table1[[#This Row],[Date]])</f>
        <v>52</v>
      </c>
    </row>
    <row r="4081" spans="1:20" hidden="1">
      <c r="A4081" s="1"/>
      <c r="S4081" t="str">
        <f>TEXT(Table1[[#This Row],[Date]],"MMM-YY")</f>
        <v>Jan-00</v>
      </c>
      <c r="T4081">
        <f>_xlfn.ISOWEEKNUM(Table1[[#This Row],[Date]])</f>
        <v>52</v>
      </c>
    </row>
    <row r="4082" spans="1:20" hidden="1">
      <c r="A4082" s="1"/>
      <c r="S4082" t="str">
        <f>TEXT(Table1[[#This Row],[Date]],"MMM-YY")</f>
        <v>Jan-00</v>
      </c>
      <c r="T4082">
        <f>_xlfn.ISOWEEKNUM(Table1[[#This Row],[Date]])</f>
        <v>52</v>
      </c>
    </row>
    <row r="4083" spans="1:20" hidden="1">
      <c r="A4083" s="1"/>
      <c r="S4083" t="str">
        <f>TEXT(Table1[[#This Row],[Date]],"MMM-YY")</f>
        <v>Jan-00</v>
      </c>
      <c r="T4083">
        <f>_xlfn.ISOWEEKNUM(Table1[[#This Row],[Date]])</f>
        <v>52</v>
      </c>
    </row>
    <row r="4084" spans="1:20" hidden="1">
      <c r="A4084" s="1"/>
      <c r="S4084" t="str">
        <f>TEXT(Table1[[#This Row],[Date]],"MMM-YY")</f>
        <v>Jan-00</v>
      </c>
      <c r="T4084">
        <f>_xlfn.ISOWEEKNUM(Table1[[#This Row],[Date]])</f>
        <v>52</v>
      </c>
    </row>
    <row r="4085" spans="1:20" hidden="1">
      <c r="A4085" s="1"/>
      <c r="S4085" t="str">
        <f>TEXT(Table1[[#This Row],[Date]],"MMM-YY")</f>
        <v>Jan-00</v>
      </c>
      <c r="T4085">
        <f>_xlfn.ISOWEEKNUM(Table1[[#This Row],[Date]])</f>
        <v>52</v>
      </c>
    </row>
    <row r="4086" spans="1:20" hidden="1">
      <c r="A4086" s="1"/>
      <c r="S4086" t="str">
        <f>TEXT(Table1[[#This Row],[Date]],"MMM-YY")</f>
        <v>Jan-00</v>
      </c>
      <c r="T4086">
        <f>_xlfn.ISOWEEKNUM(Table1[[#This Row],[Date]])</f>
        <v>52</v>
      </c>
    </row>
    <row r="4087" spans="1:20" hidden="1">
      <c r="A4087" s="1"/>
      <c r="S4087" t="str">
        <f>TEXT(Table1[[#This Row],[Date]],"MMM-YY")</f>
        <v>Jan-00</v>
      </c>
      <c r="T4087">
        <f>_xlfn.ISOWEEKNUM(Table1[[#This Row],[Date]])</f>
        <v>52</v>
      </c>
    </row>
    <row r="4088" spans="1:20" hidden="1">
      <c r="A4088" s="1"/>
      <c r="S4088" t="str">
        <f>TEXT(Table1[[#This Row],[Date]],"MMM-YY")</f>
        <v>Jan-00</v>
      </c>
      <c r="T4088">
        <f>_xlfn.ISOWEEKNUM(Table1[[#This Row],[Date]])</f>
        <v>52</v>
      </c>
    </row>
    <row r="4089" spans="1:20" hidden="1">
      <c r="A4089" s="1"/>
      <c r="S4089" t="str">
        <f>TEXT(Table1[[#This Row],[Date]],"MMM-YY")</f>
        <v>Jan-00</v>
      </c>
      <c r="T4089">
        <f>_xlfn.ISOWEEKNUM(Table1[[#This Row],[Date]])</f>
        <v>52</v>
      </c>
    </row>
    <row r="4090" spans="1:20" hidden="1">
      <c r="A4090" s="1"/>
      <c r="S4090" t="str">
        <f>TEXT(Table1[[#This Row],[Date]],"MMM-YY")</f>
        <v>Jan-00</v>
      </c>
      <c r="T4090">
        <f>_xlfn.ISOWEEKNUM(Table1[[#This Row],[Date]])</f>
        <v>52</v>
      </c>
    </row>
    <row r="4091" spans="1:20" hidden="1">
      <c r="A4091" s="1"/>
      <c r="S4091" t="str">
        <f>TEXT(Table1[[#This Row],[Date]],"MMM-YY")</f>
        <v>Jan-00</v>
      </c>
      <c r="T4091">
        <f>_xlfn.ISOWEEKNUM(Table1[[#This Row],[Date]])</f>
        <v>52</v>
      </c>
    </row>
    <row r="4092" spans="1:20" hidden="1">
      <c r="A4092" s="1"/>
      <c r="S4092" t="str">
        <f>TEXT(Table1[[#This Row],[Date]],"MMM-YY")</f>
        <v>Jan-00</v>
      </c>
      <c r="T4092">
        <f>_xlfn.ISOWEEKNUM(Table1[[#This Row],[Date]])</f>
        <v>52</v>
      </c>
    </row>
    <row r="4093" spans="1:20" hidden="1">
      <c r="A4093" s="1"/>
      <c r="S4093" t="str">
        <f>TEXT(Table1[[#This Row],[Date]],"MMM-YY")</f>
        <v>Jan-00</v>
      </c>
      <c r="T4093">
        <f>_xlfn.ISOWEEKNUM(Table1[[#This Row],[Date]])</f>
        <v>52</v>
      </c>
    </row>
    <row r="4094" spans="1:20" hidden="1">
      <c r="A4094" s="1"/>
      <c r="S4094" t="str">
        <f>TEXT(Table1[[#This Row],[Date]],"MMM-YY")</f>
        <v>Jan-00</v>
      </c>
      <c r="T4094">
        <f>_xlfn.ISOWEEKNUM(Table1[[#This Row],[Date]])</f>
        <v>52</v>
      </c>
    </row>
    <row r="4095" spans="1:20" hidden="1">
      <c r="A4095" s="1"/>
      <c r="S4095" t="str">
        <f>TEXT(Table1[[#This Row],[Date]],"MMM-YY")</f>
        <v>Jan-00</v>
      </c>
      <c r="T4095">
        <f>_xlfn.ISOWEEKNUM(Table1[[#This Row],[Date]])</f>
        <v>52</v>
      </c>
    </row>
    <row r="4096" spans="1:20" hidden="1">
      <c r="A4096" s="1"/>
      <c r="S4096" t="str">
        <f>TEXT(Table1[[#This Row],[Date]],"MMM-YY")</f>
        <v>Jan-00</v>
      </c>
      <c r="T4096">
        <f>_xlfn.ISOWEEKNUM(Table1[[#This Row],[Date]])</f>
        <v>52</v>
      </c>
    </row>
    <row r="4097" spans="1:20" hidden="1">
      <c r="A4097" s="1"/>
      <c r="S4097" t="str">
        <f>TEXT(Table1[[#This Row],[Date]],"MMM-YY")</f>
        <v>Jan-00</v>
      </c>
      <c r="T4097">
        <f>_xlfn.ISOWEEKNUM(Table1[[#This Row],[Date]])</f>
        <v>52</v>
      </c>
    </row>
    <row r="4098" spans="1:20" hidden="1">
      <c r="A4098" s="1"/>
      <c r="S4098" t="str">
        <f>TEXT(Table1[[#This Row],[Date]],"MMM-YY")</f>
        <v>Jan-00</v>
      </c>
      <c r="T4098">
        <f>_xlfn.ISOWEEKNUM(Table1[[#This Row],[Date]])</f>
        <v>52</v>
      </c>
    </row>
    <row r="4099" spans="1:20" hidden="1">
      <c r="A4099" s="1"/>
      <c r="S4099" t="str">
        <f>TEXT(Table1[[#This Row],[Date]],"MMM-YY")</f>
        <v>Jan-00</v>
      </c>
      <c r="T4099">
        <f>_xlfn.ISOWEEKNUM(Table1[[#This Row],[Date]])</f>
        <v>52</v>
      </c>
    </row>
    <row r="4100" spans="1:20" hidden="1">
      <c r="A4100" s="1"/>
      <c r="S4100" t="str">
        <f>TEXT(Table1[[#This Row],[Date]],"MMM-YY")</f>
        <v>Jan-00</v>
      </c>
      <c r="T4100">
        <f>_xlfn.ISOWEEKNUM(Table1[[#This Row],[Date]])</f>
        <v>52</v>
      </c>
    </row>
    <row r="4101" spans="1:20" hidden="1">
      <c r="A4101" s="1"/>
      <c r="S4101" t="str">
        <f>TEXT(Table1[[#This Row],[Date]],"MMM-YY")</f>
        <v>Jan-00</v>
      </c>
      <c r="T4101">
        <f>_xlfn.ISOWEEKNUM(Table1[[#This Row],[Date]])</f>
        <v>52</v>
      </c>
    </row>
    <row r="4102" spans="1:20" hidden="1">
      <c r="A4102" s="1"/>
      <c r="S4102" t="str">
        <f>TEXT(Table1[[#This Row],[Date]],"MMM-YY")</f>
        <v>Jan-00</v>
      </c>
      <c r="T4102">
        <f>_xlfn.ISOWEEKNUM(Table1[[#This Row],[Date]])</f>
        <v>52</v>
      </c>
    </row>
    <row r="4103" spans="1:20" hidden="1">
      <c r="A4103" s="1"/>
      <c r="S4103" t="str">
        <f>TEXT(Table1[[#This Row],[Date]],"MMM-YY")</f>
        <v>Jan-00</v>
      </c>
      <c r="T4103">
        <f>_xlfn.ISOWEEKNUM(Table1[[#This Row],[Date]])</f>
        <v>52</v>
      </c>
    </row>
    <row r="4104" spans="1:20" hidden="1">
      <c r="A4104" s="1"/>
      <c r="S4104" t="str">
        <f>TEXT(Table1[[#This Row],[Date]],"MMM-YY")</f>
        <v>Jan-00</v>
      </c>
      <c r="T4104">
        <f>_xlfn.ISOWEEKNUM(Table1[[#This Row],[Date]])</f>
        <v>52</v>
      </c>
    </row>
    <row r="4105" spans="1:20" hidden="1">
      <c r="A4105" s="1"/>
      <c r="S4105" t="str">
        <f>TEXT(Table1[[#This Row],[Date]],"MMM-YY")</f>
        <v>Jan-00</v>
      </c>
      <c r="T4105">
        <f>_xlfn.ISOWEEKNUM(Table1[[#This Row],[Date]])</f>
        <v>52</v>
      </c>
    </row>
    <row r="4106" spans="1:20" hidden="1">
      <c r="A4106" s="1"/>
      <c r="S4106" t="str">
        <f>TEXT(Table1[[#This Row],[Date]],"MMM-YY")</f>
        <v>Jan-00</v>
      </c>
      <c r="T4106">
        <f>_xlfn.ISOWEEKNUM(Table1[[#This Row],[Date]])</f>
        <v>52</v>
      </c>
    </row>
    <row r="4107" spans="1:20" hidden="1">
      <c r="A4107" s="1"/>
      <c r="S4107" t="str">
        <f>TEXT(Table1[[#This Row],[Date]],"MMM-YY")</f>
        <v>Jan-00</v>
      </c>
      <c r="T4107">
        <f>_xlfn.ISOWEEKNUM(Table1[[#This Row],[Date]])</f>
        <v>52</v>
      </c>
    </row>
    <row r="4108" spans="1:20" hidden="1">
      <c r="A4108" s="1"/>
      <c r="S4108" t="str">
        <f>TEXT(Table1[[#This Row],[Date]],"MMM-YY")</f>
        <v>Jan-00</v>
      </c>
      <c r="T4108">
        <f>_xlfn.ISOWEEKNUM(Table1[[#This Row],[Date]])</f>
        <v>52</v>
      </c>
    </row>
    <row r="4109" spans="1:20" hidden="1">
      <c r="A4109" s="1"/>
      <c r="S4109" t="str">
        <f>TEXT(Table1[[#This Row],[Date]],"MMM-YY")</f>
        <v>Jan-00</v>
      </c>
      <c r="T4109">
        <f>_xlfn.ISOWEEKNUM(Table1[[#This Row],[Date]])</f>
        <v>52</v>
      </c>
    </row>
    <row r="4110" spans="1:20" hidden="1">
      <c r="A4110" s="1"/>
      <c r="S4110" t="str">
        <f>TEXT(Table1[[#This Row],[Date]],"MMM-YY")</f>
        <v>Jan-00</v>
      </c>
      <c r="T4110">
        <f>_xlfn.ISOWEEKNUM(Table1[[#This Row],[Date]])</f>
        <v>52</v>
      </c>
    </row>
    <row r="4111" spans="1:20" hidden="1">
      <c r="A4111" s="1"/>
      <c r="S4111" t="str">
        <f>TEXT(Table1[[#This Row],[Date]],"MMM-YY")</f>
        <v>Jan-00</v>
      </c>
      <c r="T4111">
        <f>_xlfn.ISOWEEKNUM(Table1[[#This Row],[Date]])</f>
        <v>52</v>
      </c>
    </row>
    <row r="4112" spans="1:20" hidden="1">
      <c r="A4112" s="1"/>
      <c r="S4112" t="str">
        <f>TEXT(Table1[[#This Row],[Date]],"MMM-YY")</f>
        <v>Jan-00</v>
      </c>
      <c r="T4112">
        <f>_xlfn.ISOWEEKNUM(Table1[[#This Row],[Date]])</f>
        <v>52</v>
      </c>
    </row>
    <row r="4113" spans="1:20" hidden="1">
      <c r="A4113" s="1"/>
      <c r="S4113" t="str">
        <f>TEXT(Table1[[#This Row],[Date]],"MMM-YY")</f>
        <v>Jan-00</v>
      </c>
      <c r="T4113">
        <f>_xlfn.ISOWEEKNUM(Table1[[#This Row],[Date]])</f>
        <v>52</v>
      </c>
    </row>
    <row r="4114" spans="1:20" hidden="1">
      <c r="A4114" s="1"/>
      <c r="S4114" t="str">
        <f>TEXT(Table1[[#This Row],[Date]],"MMM-YY")</f>
        <v>Jan-00</v>
      </c>
      <c r="T4114">
        <f>_xlfn.ISOWEEKNUM(Table1[[#This Row],[Date]])</f>
        <v>52</v>
      </c>
    </row>
    <row r="4115" spans="1:20" hidden="1">
      <c r="A4115" s="1"/>
      <c r="S4115" t="str">
        <f>TEXT(Table1[[#This Row],[Date]],"MMM-YY")</f>
        <v>Jan-00</v>
      </c>
      <c r="T4115">
        <f>_xlfn.ISOWEEKNUM(Table1[[#This Row],[Date]])</f>
        <v>52</v>
      </c>
    </row>
    <row r="4116" spans="1:20" hidden="1">
      <c r="A4116" s="1"/>
      <c r="S4116" t="str">
        <f>TEXT(Table1[[#This Row],[Date]],"MMM-YY")</f>
        <v>Jan-00</v>
      </c>
      <c r="T4116">
        <f>_xlfn.ISOWEEKNUM(Table1[[#This Row],[Date]])</f>
        <v>52</v>
      </c>
    </row>
    <row r="4117" spans="1:20" hidden="1">
      <c r="A4117" s="1"/>
      <c r="S4117" t="str">
        <f>TEXT(Table1[[#This Row],[Date]],"MMM-YY")</f>
        <v>Jan-00</v>
      </c>
      <c r="T4117">
        <f>_xlfn.ISOWEEKNUM(Table1[[#This Row],[Date]])</f>
        <v>52</v>
      </c>
    </row>
    <row r="4118" spans="1:20" hidden="1">
      <c r="A4118" s="1"/>
      <c r="S4118" t="str">
        <f>TEXT(Table1[[#This Row],[Date]],"MMM-YY")</f>
        <v>Jan-00</v>
      </c>
      <c r="T4118">
        <f>_xlfn.ISOWEEKNUM(Table1[[#This Row],[Date]])</f>
        <v>52</v>
      </c>
    </row>
    <row r="4119" spans="1:20" hidden="1">
      <c r="A4119" s="1"/>
      <c r="S4119" t="str">
        <f>TEXT(Table1[[#This Row],[Date]],"MMM-YY")</f>
        <v>Jan-00</v>
      </c>
      <c r="T4119">
        <f>_xlfn.ISOWEEKNUM(Table1[[#This Row],[Date]])</f>
        <v>52</v>
      </c>
    </row>
    <row r="4120" spans="1:20" hidden="1">
      <c r="A4120" s="1"/>
      <c r="S4120" t="str">
        <f>TEXT(Table1[[#This Row],[Date]],"MMM-YY")</f>
        <v>Jan-00</v>
      </c>
      <c r="T4120">
        <f>_xlfn.ISOWEEKNUM(Table1[[#This Row],[Date]])</f>
        <v>52</v>
      </c>
    </row>
    <row r="4121" spans="1:20" hidden="1">
      <c r="A4121" s="1"/>
      <c r="S4121" t="str">
        <f>TEXT(Table1[[#This Row],[Date]],"MMM-YY")</f>
        <v>Jan-00</v>
      </c>
      <c r="T4121">
        <f>_xlfn.ISOWEEKNUM(Table1[[#This Row],[Date]])</f>
        <v>52</v>
      </c>
    </row>
    <row r="4122" spans="1:20" hidden="1">
      <c r="A4122" s="1"/>
      <c r="S4122" t="str">
        <f>TEXT(Table1[[#This Row],[Date]],"MMM-YY")</f>
        <v>Jan-00</v>
      </c>
      <c r="T4122">
        <f>_xlfn.ISOWEEKNUM(Table1[[#This Row],[Date]])</f>
        <v>52</v>
      </c>
    </row>
    <row r="4123" spans="1:20" hidden="1">
      <c r="A4123" s="1"/>
      <c r="S4123" t="str">
        <f>TEXT(Table1[[#This Row],[Date]],"MMM-YY")</f>
        <v>Jan-00</v>
      </c>
      <c r="T4123">
        <f>_xlfn.ISOWEEKNUM(Table1[[#This Row],[Date]])</f>
        <v>52</v>
      </c>
    </row>
    <row r="4124" spans="1:20" hidden="1">
      <c r="A4124" s="1"/>
      <c r="S4124" t="str">
        <f>TEXT(Table1[[#This Row],[Date]],"MMM-YY")</f>
        <v>Jan-00</v>
      </c>
      <c r="T4124">
        <f>_xlfn.ISOWEEKNUM(Table1[[#This Row],[Date]])</f>
        <v>52</v>
      </c>
    </row>
    <row r="4125" spans="1:20" hidden="1">
      <c r="A4125" s="1"/>
      <c r="S4125" t="str">
        <f>TEXT(Table1[[#This Row],[Date]],"MMM-YY")</f>
        <v>Jan-00</v>
      </c>
      <c r="T4125">
        <f>_xlfn.ISOWEEKNUM(Table1[[#This Row],[Date]])</f>
        <v>52</v>
      </c>
    </row>
    <row r="4126" spans="1:20" hidden="1">
      <c r="A4126" s="1"/>
      <c r="S4126" t="str">
        <f>TEXT(Table1[[#This Row],[Date]],"MMM-YY")</f>
        <v>Jan-00</v>
      </c>
      <c r="T4126">
        <f>_xlfn.ISOWEEKNUM(Table1[[#This Row],[Date]])</f>
        <v>52</v>
      </c>
    </row>
    <row r="4127" spans="1:20" hidden="1">
      <c r="A4127" s="1"/>
      <c r="S4127" t="str">
        <f>TEXT(Table1[[#This Row],[Date]],"MMM-YY")</f>
        <v>Jan-00</v>
      </c>
      <c r="T4127">
        <f>_xlfn.ISOWEEKNUM(Table1[[#This Row],[Date]])</f>
        <v>52</v>
      </c>
    </row>
    <row r="4128" spans="1:20" hidden="1">
      <c r="A4128" s="1"/>
      <c r="S4128" t="str">
        <f>TEXT(Table1[[#This Row],[Date]],"MMM-YY")</f>
        <v>Jan-00</v>
      </c>
      <c r="T4128">
        <f>_xlfn.ISOWEEKNUM(Table1[[#This Row],[Date]])</f>
        <v>52</v>
      </c>
    </row>
    <row r="4129" spans="1:20" hidden="1">
      <c r="A4129" s="1"/>
      <c r="S4129" t="str">
        <f>TEXT(Table1[[#This Row],[Date]],"MMM-YY")</f>
        <v>Jan-00</v>
      </c>
      <c r="T4129">
        <f>_xlfn.ISOWEEKNUM(Table1[[#This Row],[Date]])</f>
        <v>52</v>
      </c>
    </row>
    <row r="4130" spans="1:20" hidden="1">
      <c r="A4130" s="1"/>
      <c r="S4130" t="str">
        <f>TEXT(Table1[[#This Row],[Date]],"MMM-YY")</f>
        <v>Jan-00</v>
      </c>
      <c r="T4130">
        <f>_xlfn.ISOWEEKNUM(Table1[[#This Row],[Date]])</f>
        <v>52</v>
      </c>
    </row>
    <row r="4131" spans="1:20" hidden="1">
      <c r="A4131" s="1"/>
      <c r="S4131" t="str">
        <f>TEXT(Table1[[#This Row],[Date]],"MMM-YY")</f>
        <v>Jan-00</v>
      </c>
      <c r="T4131">
        <f>_xlfn.ISOWEEKNUM(Table1[[#This Row],[Date]])</f>
        <v>52</v>
      </c>
    </row>
    <row r="4132" spans="1:20" hidden="1">
      <c r="A4132" s="1"/>
      <c r="S4132" t="str">
        <f>TEXT(Table1[[#This Row],[Date]],"MMM-YY")</f>
        <v>Jan-00</v>
      </c>
      <c r="T4132">
        <f>_xlfn.ISOWEEKNUM(Table1[[#This Row],[Date]])</f>
        <v>52</v>
      </c>
    </row>
    <row r="4133" spans="1:20" hidden="1">
      <c r="A4133" s="1"/>
      <c r="S4133" t="str">
        <f>TEXT(Table1[[#This Row],[Date]],"MMM-YY")</f>
        <v>Jan-00</v>
      </c>
      <c r="T4133">
        <f>_xlfn.ISOWEEKNUM(Table1[[#This Row],[Date]])</f>
        <v>52</v>
      </c>
    </row>
    <row r="4134" spans="1:20" hidden="1">
      <c r="A4134" s="1"/>
      <c r="S4134" t="str">
        <f>TEXT(Table1[[#This Row],[Date]],"MMM-YY")</f>
        <v>Jan-00</v>
      </c>
      <c r="T4134">
        <f>_xlfn.ISOWEEKNUM(Table1[[#This Row],[Date]])</f>
        <v>52</v>
      </c>
    </row>
    <row r="4135" spans="1:20" hidden="1">
      <c r="A4135" s="1"/>
      <c r="S4135" t="str">
        <f>TEXT(Table1[[#This Row],[Date]],"MMM-YY")</f>
        <v>Jan-00</v>
      </c>
      <c r="T4135">
        <f>_xlfn.ISOWEEKNUM(Table1[[#This Row],[Date]])</f>
        <v>52</v>
      </c>
    </row>
    <row r="4136" spans="1:20" hidden="1">
      <c r="A4136" s="1"/>
      <c r="S4136" t="str">
        <f>TEXT(Table1[[#This Row],[Date]],"MMM-YY")</f>
        <v>Jan-00</v>
      </c>
      <c r="T4136">
        <f>_xlfn.ISOWEEKNUM(Table1[[#This Row],[Date]])</f>
        <v>52</v>
      </c>
    </row>
    <row r="4137" spans="1:20" hidden="1">
      <c r="A4137" s="1"/>
      <c r="S4137" t="str">
        <f>TEXT(Table1[[#This Row],[Date]],"MMM-YY")</f>
        <v>Jan-00</v>
      </c>
      <c r="T4137">
        <f>_xlfn.ISOWEEKNUM(Table1[[#This Row],[Date]])</f>
        <v>52</v>
      </c>
    </row>
    <row r="4138" spans="1:20" hidden="1">
      <c r="A4138" s="1"/>
      <c r="S4138" t="str">
        <f>TEXT(Table1[[#This Row],[Date]],"MMM-YY")</f>
        <v>Jan-00</v>
      </c>
      <c r="T4138">
        <f>_xlfn.ISOWEEKNUM(Table1[[#This Row],[Date]])</f>
        <v>52</v>
      </c>
    </row>
    <row r="4139" spans="1:20" hidden="1">
      <c r="A4139" s="1"/>
      <c r="S4139" t="str">
        <f>TEXT(Table1[[#This Row],[Date]],"MMM-YY")</f>
        <v>Jan-00</v>
      </c>
      <c r="T4139">
        <f>_xlfn.ISOWEEKNUM(Table1[[#This Row],[Date]])</f>
        <v>52</v>
      </c>
    </row>
    <row r="4140" spans="1:20" hidden="1">
      <c r="A4140" s="1"/>
      <c r="S4140" t="str">
        <f>TEXT(Table1[[#This Row],[Date]],"MMM-YY")</f>
        <v>Jan-00</v>
      </c>
      <c r="T4140">
        <f>_xlfn.ISOWEEKNUM(Table1[[#This Row],[Date]])</f>
        <v>52</v>
      </c>
    </row>
    <row r="4141" spans="1:20" hidden="1">
      <c r="A4141" s="1"/>
      <c r="S4141" t="str">
        <f>TEXT(Table1[[#This Row],[Date]],"MMM-YY")</f>
        <v>Jan-00</v>
      </c>
      <c r="T4141">
        <f>_xlfn.ISOWEEKNUM(Table1[[#This Row],[Date]])</f>
        <v>52</v>
      </c>
    </row>
    <row r="4142" spans="1:20" hidden="1">
      <c r="A4142" s="1"/>
      <c r="S4142" t="str">
        <f>TEXT(Table1[[#This Row],[Date]],"MMM-YY")</f>
        <v>Jan-00</v>
      </c>
      <c r="T4142">
        <f>_xlfn.ISOWEEKNUM(Table1[[#This Row],[Date]])</f>
        <v>52</v>
      </c>
    </row>
    <row r="4143" spans="1:20" hidden="1">
      <c r="A4143" s="1"/>
      <c r="S4143" t="str">
        <f>TEXT(Table1[[#This Row],[Date]],"MMM-YY")</f>
        <v>Jan-00</v>
      </c>
      <c r="T4143">
        <f>_xlfn.ISOWEEKNUM(Table1[[#This Row],[Date]])</f>
        <v>52</v>
      </c>
    </row>
    <row r="4144" spans="1:20" hidden="1">
      <c r="A4144" s="1"/>
      <c r="S4144" t="str">
        <f>TEXT(Table1[[#This Row],[Date]],"MMM-YY")</f>
        <v>Jan-00</v>
      </c>
      <c r="T4144">
        <f>_xlfn.ISOWEEKNUM(Table1[[#This Row],[Date]])</f>
        <v>52</v>
      </c>
    </row>
    <row r="4145" spans="1:20" hidden="1">
      <c r="A4145" s="1"/>
      <c r="S4145" t="str">
        <f>TEXT(Table1[[#This Row],[Date]],"MMM-YY")</f>
        <v>Jan-00</v>
      </c>
      <c r="T4145">
        <f>_xlfn.ISOWEEKNUM(Table1[[#This Row],[Date]])</f>
        <v>52</v>
      </c>
    </row>
    <row r="4146" spans="1:20" hidden="1">
      <c r="A4146" s="1"/>
      <c r="S4146" t="str">
        <f>TEXT(Table1[[#This Row],[Date]],"MMM-YY")</f>
        <v>Jan-00</v>
      </c>
      <c r="T4146">
        <f>_xlfn.ISOWEEKNUM(Table1[[#This Row],[Date]])</f>
        <v>52</v>
      </c>
    </row>
    <row r="4147" spans="1:20" hidden="1">
      <c r="A4147" s="1"/>
      <c r="S4147" t="str">
        <f>TEXT(Table1[[#This Row],[Date]],"MMM-YY")</f>
        <v>Jan-00</v>
      </c>
      <c r="T4147">
        <f>_xlfn.ISOWEEKNUM(Table1[[#This Row],[Date]])</f>
        <v>52</v>
      </c>
    </row>
    <row r="4148" spans="1:20" hidden="1">
      <c r="A4148" s="1"/>
      <c r="S4148" t="str">
        <f>TEXT(Table1[[#This Row],[Date]],"MMM-YY")</f>
        <v>Jan-00</v>
      </c>
      <c r="T4148">
        <f>_xlfn.ISOWEEKNUM(Table1[[#This Row],[Date]])</f>
        <v>52</v>
      </c>
    </row>
    <row r="4149" spans="1:20" hidden="1">
      <c r="A4149" s="1"/>
      <c r="S4149" t="str">
        <f>TEXT(Table1[[#This Row],[Date]],"MMM-YY")</f>
        <v>Jan-00</v>
      </c>
      <c r="T4149">
        <f>_xlfn.ISOWEEKNUM(Table1[[#This Row],[Date]])</f>
        <v>52</v>
      </c>
    </row>
    <row r="4150" spans="1:20" hidden="1">
      <c r="A4150" s="1"/>
      <c r="S4150" t="str">
        <f>TEXT(Table1[[#This Row],[Date]],"MMM-YY")</f>
        <v>Jan-00</v>
      </c>
      <c r="T4150">
        <f>_xlfn.ISOWEEKNUM(Table1[[#This Row],[Date]])</f>
        <v>52</v>
      </c>
    </row>
    <row r="4151" spans="1:20" hidden="1">
      <c r="A4151" s="1"/>
      <c r="S4151" t="str">
        <f>TEXT(Table1[[#This Row],[Date]],"MMM-YY")</f>
        <v>Jan-00</v>
      </c>
      <c r="T4151">
        <f>_xlfn.ISOWEEKNUM(Table1[[#This Row],[Date]])</f>
        <v>52</v>
      </c>
    </row>
    <row r="4152" spans="1:20" hidden="1">
      <c r="A4152" s="1"/>
      <c r="S4152" t="str">
        <f>TEXT(Table1[[#This Row],[Date]],"MMM-YY")</f>
        <v>Jan-00</v>
      </c>
      <c r="T4152">
        <f>_xlfn.ISOWEEKNUM(Table1[[#This Row],[Date]])</f>
        <v>52</v>
      </c>
    </row>
    <row r="4153" spans="1:20" hidden="1">
      <c r="A4153" s="1"/>
      <c r="S4153" t="str">
        <f>TEXT(Table1[[#This Row],[Date]],"MMM-YY")</f>
        <v>Jan-00</v>
      </c>
      <c r="T4153">
        <f>_xlfn.ISOWEEKNUM(Table1[[#This Row],[Date]])</f>
        <v>52</v>
      </c>
    </row>
    <row r="4154" spans="1:20" hidden="1">
      <c r="A4154" s="1"/>
      <c r="S4154" t="str">
        <f>TEXT(Table1[[#This Row],[Date]],"MMM-YY")</f>
        <v>Jan-00</v>
      </c>
      <c r="T4154">
        <f>_xlfn.ISOWEEKNUM(Table1[[#This Row],[Date]])</f>
        <v>52</v>
      </c>
    </row>
    <row r="4155" spans="1:20" hidden="1">
      <c r="A4155" s="1"/>
      <c r="S4155" t="str">
        <f>TEXT(Table1[[#This Row],[Date]],"MMM-YY")</f>
        <v>Jan-00</v>
      </c>
      <c r="T4155">
        <f>_xlfn.ISOWEEKNUM(Table1[[#This Row],[Date]])</f>
        <v>52</v>
      </c>
    </row>
    <row r="4156" spans="1:20" hidden="1">
      <c r="A4156" s="1"/>
      <c r="S4156" t="str">
        <f>TEXT(Table1[[#This Row],[Date]],"MMM-YY")</f>
        <v>Jan-00</v>
      </c>
      <c r="T4156">
        <f>_xlfn.ISOWEEKNUM(Table1[[#This Row],[Date]])</f>
        <v>52</v>
      </c>
    </row>
    <row r="4157" spans="1:20" hidden="1">
      <c r="A4157" s="1"/>
      <c r="S4157" t="str">
        <f>TEXT(Table1[[#This Row],[Date]],"MMM-YY")</f>
        <v>Jan-00</v>
      </c>
      <c r="T4157">
        <f>_xlfn.ISOWEEKNUM(Table1[[#This Row],[Date]])</f>
        <v>52</v>
      </c>
    </row>
    <row r="4158" spans="1:20" hidden="1">
      <c r="A4158" s="1"/>
      <c r="S4158" t="str">
        <f>TEXT(Table1[[#This Row],[Date]],"MMM-YY")</f>
        <v>Jan-00</v>
      </c>
      <c r="T4158">
        <f>_xlfn.ISOWEEKNUM(Table1[[#This Row],[Date]])</f>
        <v>52</v>
      </c>
    </row>
    <row r="4159" spans="1:20" hidden="1">
      <c r="A4159" s="1"/>
      <c r="S4159" t="str">
        <f>TEXT(Table1[[#This Row],[Date]],"MMM-YY")</f>
        <v>Jan-00</v>
      </c>
      <c r="T4159">
        <f>_xlfn.ISOWEEKNUM(Table1[[#This Row],[Date]])</f>
        <v>52</v>
      </c>
    </row>
    <row r="4160" spans="1:20" hidden="1">
      <c r="A4160" s="1"/>
      <c r="S4160" t="str">
        <f>TEXT(Table1[[#This Row],[Date]],"MMM-YY")</f>
        <v>Jan-00</v>
      </c>
      <c r="T4160">
        <f>_xlfn.ISOWEEKNUM(Table1[[#This Row],[Date]])</f>
        <v>52</v>
      </c>
    </row>
    <row r="4161" spans="1:20" hidden="1">
      <c r="A4161" s="1"/>
      <c r="S4161" t="str">
        <f>TEXT(Table1[[#This Row],[Date]],"MMM-YY")</f>
        <v>Jan-00</v>
      </c>
      <c r="T4161">
        <f>_xlfn.ISOWEEKNUM(Table1[[#This Row],[Date]])</f>
        <v>52</v>
      </c>
    </row>
    <row r="4162" spans="1:20" hidden="1">
      <c r="A4162" s="1"/>
      <c r="S4162" t="str">
        <f>TEXT(Table1[[#This Row],[Date]],"MMM-YY")</f>
        <v>Jan-00</v>
      </c>
      <c r="T4162">
        <f>_xlfn.ISOWEEKNUM(Table1[[#This Row],[Date]])</f>
        <v>52</v>
      </c>
    </row>
    <row r="4163" spans="1:20" hidden="1">
      <c r="A4163" s="1"/>
      <c r="S4163" t="str">
        <f>TEXT(Table1[[#This Row],[Date]],"MMM-YY")</f>
        <v>Jan-00</v>
      </c>
      <c r="T4163">
        <f>_xlfn.ISOWEEKNUM(Table1[[#This Row],[Date]])</f>
        <v>52</v>
      </c>
    </row>
    <row r="4164" spans="1:20" hidden="1">
      <c r="A4164" s="1"/>
      <c r="S4164" t="str">
        <f>TEXT(Table1[[#This Row],[Date]],"MMM-YY")</f>
        <v>Jan-00</v>
      </c>
      <c r="T4164">
        <f>_xlfn.ISOWEEKNUM(Table1[[#This Row],[Date]])</f>
        <v>52</v>
      </c>
    </row>
    <row r="4165" spans="1:20" hidden="1">
      <c r="A4165" s="1"/>
      <c r="S4165" t="str">
        <f>TEXT(Table1[[#This Row],[Date]],"MMM-YY")</f>
        <v>Jan-00</v>
      </c>
      <c r="T4165">
        <f>_xlfn.ISOWEEKNUM(Table1[[#This Row],[Date]])</f>
        <v>52</v>
      </c>
    </row>
    <row r="4166" spans="1:20" hidden="1">
      <c r="A4166" s="1"/>
      <c r="S4166" t="str">
        <f>TEXT(Table1[[#This Row],[Date]],"MMM-YY")</f>
        <v>Jan-00</v>
      </c>
      <c r="T4166">
        <f>_xlfn.ISOWEEKNUM(Table1[[#This Row],[Date]])</f>
        <v>52</v>
      </c>
    </row>
    <row r="4167" spans="1:20" hidden="1">
      <c r="A4167" s="1"/>
      <c r="S4167" t="str">
        <f>TEXT(Table1[[#This Row],[Date]],"MMM-YY")</f>
        <v>Jan-00</v>
      </c>
      <c r="T4167">
        <f>_xlfn.ISOWEEKNUM(Table1[[#This Row],[Date]])</f>
        <v>52</v>
      </c>
    </row>
    <row r="4168" spans="1:20" hidden="1">
      <c r="A4168" s="1"/>
      <c r="S4168" t="str">
        <f>TEXT(Table1[[#This Row],[Date]],"MMM-YY")</f>
        <v>Jan-00</v>
      </c>
      <c r="T4168">
        <f>_xlfn.ISOWEEKNUM(Table1[[#This Row],[Date]])</f>
        <v>52</v>
      </c>
    </row>
    <row r="4169" spans="1:20" hidden="1">
      <c r="A4169" s="1"/>
      <c r="S4169" t="str">
        <f>TEXT(Table1[[#This Row],[Date]],"MMM-YY")</f>
        <v>Jan-00</v>
      </c>
      <c r="T4169">
        <f>_xlfn.ISOWEEKNUM(Table1[[#This Row],[Date]])</f>
        <v>52</v>
      </c>
    </row>
    <row r="4170" spans="1:20" hidden="1">
      <c r="A4170" s="1"/>
      <c r="S4170" t="str">
        <f>TEXT(Table1[[#This Row],[Date]],"MMM-YY")</f>
        <v>Jan-00</v>
      </c>
      <c r="T4170">
        <f>_xlfn.ISOWEEKNUM(Table1[[#This Row],[Date]])</f>
        <v>52</v>
      </c>
    </row>
    <row r="4171" spans="1:20" hidden="1">
      <c r="A4171" s="1"/>
      <c r="S4171" t="str">
        <f>TEXT(Table1[[#This Row],[Date]],"MMM-YY")</f>
        <v>Jan-00</v>
      </c>
      <c r="T4171">
        <f>_xlfn.ISOWEEKNUM(Table1[[#This Row],[Date]])</f>
        <v>52</v>
      </c>
    </row>
    <row r="4172" spans="1:20" hidden="1">
      <c r="A4172" s="1"/>
      <c r="S4172" t="str">
        <f>TEXT(Table1[[#This Row],[Date]],"MMM-YY")</f>
        <v>Jan-00</v>
      </c>
      <c r="T4172">
        <f>_xlfn.ISOWEEKNUM(Table1[[#This Row],[Date]])</f>
        <v>52</v>
      </c>
    </row>
    <row r="4173" spans="1:20" hidden="1">
      <c r="A4173" s="1"/>
      <c r="S4173" t="str">
        <f>TEXT(Table1[[#This Row],[Date]],"MMM-YY")</f>
        <v>Jan-00</v>
      </c>
      <c r="T4173">
        <f>_xlfn.ISOWEEKNUM(Table1[[#This Row],[Date]])</f>
        <v>52</v>
      </c>
    </row>
    <row r="4174" spans="1:20" hidden="1">
      <c r="A4174" s="1"/>
      <c r="S4174" t="str">
        <f>TEXT(Table1[[#This Row],[Date]],"MMM-YY")</f>
        <v>Jan-00</v>
      </c>
      <c r="T4174">
        <f>_xlfn.ISOWEEKNUM(Table1[[#This Row],[Date]])</f>
        <v>52</v>
      </c>
    </row>
    <row r="4175" spans="1:20" hidden="1">
      <c r="A4175" s="1"/>
      <c r="S4175" t="str">
        <f>TEXT(Table1[[#This Row],[Date]],"MMM-YY")</f>
        <v>Jan-00</v>
      </c>
      <c r="T4175">
        <f>_xlfn.ISOWEEKNUM(Table1[[#This Row],[Date]])</f>
        <v>52</v>
      </c>
    </row>
    <row r="4176" spans="1:20" hidden="1">
      <c r="A4176" s="1"/>
      <c r="S4176" t="str">
        <f>TEXT(Table1[[#This Row],[Date]],"MMM-YY")</f>
        <v>Jan-00</v>
      </c>
      <c r="T4176">
        <f>_xlfn.ISOWEEKNUM(Table1[[#This Row],[Date]])</f>
        <v>52</v>
      </c>
    </row>
    <row r="4177" spans="1:20" hidden="1">
      <c r="A4177" s="1"/>
      <c r="S4177" t="str">
        <f>TEXT(Table1[[#This Row],[Date]],"MMM-YY")</f>
        <v>Jan-00</v>
      </c>
      <c r="T4177">
        <f>_xlfn.ISOWEEKNUM(Table1[[#This Row],[Date]])</f>
        <v>52</v>
      </c>
    </row>
    <row r="4178" spans="1:20" hidden="1">
      <c r="A4178" s="1"/>
      <c r="S4178" t="str">
        <f>TEXT(Table1[[#This Row],[Date]],"MMM-YY")</f>
        <v>Jan-00</v>
      </c>
      <c r="T4178">
        <f>_xlfn.ISOWEEKNUM(Table1[[#This Row],[Date]])</f>
        <v>52</v>
      </c>
    </row>
    <row r="4179" spans="1:20" hidden="1">
      <c r="A4179" s="1"/>
      <c r="S4179" t="str">
        <f>TEXT(Table1[[#This Row],[Date]],"MMM-YY")</f>
        <v>Jan-00</v>
      </c>
      <c r="T4179">
        <f>_xlfn.ISOWEEKNUM(Table1[[#This Row],[Date]])</f>
        <v>52</v>
      </c>
    </row>
    <row r="4180" spans="1:20" hidden="1">
      <c r="A4180" s="1"/>
      <c r="S4180" t="str">
        <f>TEXT(Table1[[#This Row],[Date]],"MMM-YY")</f>
        <v>Jan-00</v>
      </c>
      <c r="T4180">
        <f>_xlfn.ISOWEEKNUM(Table1[[#This Row],[Date]])</f>
        <v>52</v>
      </c>
    </row>
    <row r="4181" spans="1:20" hidden="1">
      <c r="A4181" s="1"/>
      <c r="S4181" t="str">
        <f>TEXT(Table1[[#This Row],[Date]],"MMM-YY")</f>
        <v>Jan-00</v>
      </c>
      <c r="T4181">
        <f>_xlfn.ISOWEEKNUM(Table1[[#This Row],[Date]])</f>
        <v>52</v>
      </c>
    </row>
    <row r="4182" spans="1:20" hidden="1">
      <c r="A4182" s="1"/>
      <c r="S4182" t="str">
        <f>TEXT(Table1[[#This Row],[Date]],"MMM-YY")</f>
        <v>Jan-00</v>
      </c>
      <c r="T4182">
        <f>_xlfn.ISOWEEKNUM(Table1[[#This Row],[Date]])</f>
        <v>52</v>
      </c>
    </row>
    <row r="4183" spans="1:20" hidden="1">
      <c r="A4183" s="1"/>
      <c r="S4183" t="str">
        <f>TEXT(Table1[[#This Row],[Date]],"MMM-YY")</f>
        <v>Jan-00</v>
      </c>
      <c r="T4183">
        <f>_xlfn.ISOWEEKNUM(Table1[[#This Row],[Date]])</f>
        <v>52</v>
      </c>
    </row>
    <row r="4184" spans="1:20" hidden="1">
      <c r="A4184" s="1"/>
      <c r="S4184" t="str">
        <f>TEXT(Table1[[#This Row],[Date]],"MMM-YY")</f>
        <v>Jan-00</v>
      </c>
      <c r="T4184">
        <f>_xlfn.ISOWEEKNUM(Table1[[#This Row],[Date]])</f>
        <v>52</v>
      </c>
    </row>
    <row r="4185" spans="1:20" hidden="1">
      <c r="A4185" s="1"/>
      <c r="S4185" t="str">
        <f>TEXT(Table1[[#This Row],[Date]],"MMM-YY")</f>
        <v>Jan-00</v>
      </c>
      <c r="T4185">
        <f>_xlfn.ISOWEEKNUM(Table1[[#This Row],[Date]])</f>
        <v>52</v>
      </c>
    </row>
    <row r="4186" spans="1:20" hidden="1">
      <c r="A4186" s="1"/>
      <c r="S4186" t="str">
        <f>TEXT(Table1[[#This Row],[Date]],"MMM-YY")</f>
        <v>Jan-00</v>
      </c>
      <c r="T4186">
        <f>_xlfn.ISOWEEKNUM(Table1[[#This Row],[Date]])</f>
        <v>52</v>
      </c>
    </row>
    <row r="4187" spans="1:20" hidden="1">
      <c r="A4187" s="1"/>
      <c r="S4187" t="str">
        <f>TEXT(Table1[[#This Row],[Date]],"MMM-YY")</f>
        <v>Jan-00</v>
      </c>
      <c r="T4187">
        <f>_xlfn.ISOWEEKNUM(Table1[[#This Row],[Date]])</f>
        <v>52</v>
      </c>
    </row>
    <row r="4188" spans="1:20" hidden="1">
      <c r="A4188" s="1"/>
      <c r="S4188" t="str">
        <f>TEXT(Table1[[#This Row],[Date]],"MMM-YY")</f>
        <v>Jan-00</v>
      </c>
      <c r="T4188">
        <f>_xlfn.ISOWEEKNUM(Table1[[#This Row],[Date]])</f>
        <v>52</v>
      </c>
    </row>
    <row r="4189" spans="1:20" hidden="1">
      <c r="A4189" s="1"/>
      <c r="S4189" t="str">
        <f>TEXT(Table1[[#This Row],[Date]],"MMM-YY")</f>
        <v>Jan-00</v>
      </c>
      <c r="T4189">
        <f>_xlfn.ISOWEEKNUM(Table1[[#This Row],[Date]])</f>
        <v>52</v>
      </c>
    </row>
    <row r="4190" spans="1:20" hidden="1">
      <c r="A4190" s="1"/>
      <c r="S4190" t="str">
        <f>TEXT(Table1[[#This Row],[Date]],"MMM-YY")</f>
        <v>Jan-00</v>
      </c>
      <c r="T4190">
        <f>_xlfn.ISOWEEKNUM(Table1[[#This Row],[Date]])</f>
        <v>52</v>
      </c>
    </row>
    <row r="4191" spans="1:20" hidden="1">
      <c r="A4191" s="1"/>
      <c r="S4191" t="str">
        <f>TEXT(Table1[[#This Row],[Date]],"MMM-YY")</f>
        <v>Jan-00</v>
      </c>
      <c r="T4191">
        <f>_xlfn.ISOWEEKNUM(Table1[[#This Row],[Date]])</f>
        <v>52</v>
      </c>
    </row>
    <row r="4192" spans="1:20" hidden="1">
      <c r="A4192" s="1"/>
      <c r="S4192" t="str">
        <f>TEXT(Table1[[#This Row],[Date]],"MMM-YY")</f>
        <v>Jan-00</v>
      </c>
      <c r="T4192">
        <f>_xlfn.ISOWEEKNUM(Table1[[#This Row],[Date]])</f>
        <v>52</v>
      </c>
    </row>
    <row r="4193" spans="1:20" hidden="1">
      <c r="A4193" s="1"/>
      <c r="S4193" t="str">
        <f>TEXT(Table1[[#This Row],[Date]],"MMM-YY")</f>
        <v>Jan-00</v>
      </c>
      <c r="T4193">
        <f>_xlfn.ISOWEEKNUM(Table1[[#This Row],[Date]])</f>
        <v>52</v>
      </c>
    </row>
    <row r="4194" spans="1:20" hidden="1">
      <c r="A4194" s="1"/>
      <c r="S4194" t="str">
        <f>TEXT(Table1[[#This Row],[Date]],"MMM-YY")</f>
        <v>Jan-00</v>
      </c>
      <c r="T4194">
        <f>_xlfn.ISOWEEKNUM(Table1[[#This Row],[Date]])</f>
        <v>52</v>
      </c>
    </row>
    <row r="4195" spans="1:20" hidden="1">
      <c r="A4195" s="1"/>
      <c r="S4195" t="str">
        <f>TEXT(Table1[[#This Row],[Date]],"MMM-YY")</f>
        <v>Jan-00</v>
      </c>
      <c r="T4195">
        <f>_xlfn.ISOWEEKNUM(Table1[[#This Row],[Date]])</f>
        <v>52</v>
      </c>
    </row>
    <row r="4196" spans="1:20" hidden="1">
      <c r="A4196" s="1"/>
      <c r="S4196" t="str">
        <f>TEXT(Table1[[#This Row],[Date]],"MMM-YY")</f>
        <v>Jan-00</v>
      </c>
      <c r="T4196">
        <f>_xlfn.ISOWEEKNUM(Table1[[#This Row],[Date]])</f>
        <v>52</v>
      </c>
    </row>
    <row r="4197" spans="1:20" hidden="1">
      <c r="A4197" s="1"/>
      <c r="S4197" t="str">
        <f>TEXT(Table1[[#This Row],[Date]],"MMM-YY")</f>
        <v>Jan-00</v>
      </c>
      <c r="T4197">
        <f>_xlfn.ISOWEEKNUM(Table1[[#This Row],[Date]])</f>
        <v>52</v>
      </c>
    </row>
    <row r="4198" spans="1:20" hidden="1">
      <c r="A4198" s="1"/>
      <c r="S4198" t="str">
        <f>TEXT(Table1[[#This Row],[Date]],"MMM-YY")</f>
        <v>Jan-00</v>
      </c>
      <c r="T4198">
        <f>_xlfn.ISOWEEKNUM(Table1[[#This Row],[Date]])</f>
        <v>52</v>
      </c>
    </row>
    <row r="4199" spans="1:20" hidden="1">
      <c r="A4199" s="1"/>
      <c r="S4199" t="str">
        <f>TEXT(Table1[[#This Row],[Date]],"MMM-YY")</f>
        <v>Jan-00</v>
      </c>
      <c r="T4199">
        <f>_xlfn.ISOWEEKNUM(Table1[[#This Row],[Date]])</f>
        <v>52</v>
      </c>
    </row>
    <row r="4200" spans="1:20" hidden="1">
      <c r="A4200" s="1"/>
      <c r="S4200" t="str">
        <f>TEXT(Table1[[#This Row],[Date]],"MMM-YY")</f>
        <v>Jan-00</v>
      </c>
      <c r="T4200">
        <f>_xlfn.ISOWEEKNUM(Table1[[#This Row],[Date]])</f>
        <v>52</v>
      </c>
    </row>
    <row r="4201" spans="1:20" hidden="1">
      <c r="A4201" s="1"/>
      <c r="S4201" t="str">
        <f>TEXT(Table1[[#This Row],[Date]],"MMM-YY")</f>
        <v>Jan-00</v>
      </c>
      <c r="T4201">
        <f>_xlfn.ISOWEEKNUM(Table1[[#This Row],[Date]])</f>
        <v>52</v>
      </c>
    </row>
    <row r="4202" spans="1:20" hidden="1">
      <c r="A4202" s="1"/>
      <c r="S4202" t="str">
        <f>TEXT(Table1[[#This Row],[Date]],"MMM-YY")</f>
        <v>Jan-00</v>
      </c>
      <c r="T4202">
        <f>_xlfn.ISOWEEKNUM(Table1[[#This Row],[Date]])</f>
        <v>52</v>
      </c>
    </row>
    <row r="4203" spans="1:20" hidden="1">
      <c r="A4203" s="1"/>
      <c r="S4203" t="str">
        <f>TEXT(Table1[[#This Row],[Date]],"MMM-YY")</f>
        <v>Jan-00</v>
      </c>
      <c r="T4203">
        <f>_xlfn.ISOWEEKNUM(Table1[[#This Row],[Date]])</f>
        <v>52</v>
      </c>
    </row>
    <row r="4204" spans="1:20" hidden="1">
      <c r="A4204" s="1"/>
      <c r="S4204" t="str">
        <f>TEXT(Table1[[#This Row],[Date]],"MMM-YY")</f>
        <v>Jan-00</v>
      </c>
      <c r="T4204">
        <f>_xlfn.ISOWEEKNUM(Table1[[#This Row],[Date]])</f>
        <v>52</v>
      </c>
    </row>
    <row r="4205" spans="1:20" hidden="1">
      <c r="A4205" s="1"/>
      <c r="S4205" t="str">
        <f>TEXT(Table1[[#This Row],[Date]],"MMM-YY")</f>
        <v>Jan-00</v>
      </c>
      <c r="T4205">
        <f>_xlfn.ISOWEEKNUM(Table1[[#This Row],[Date]])</f>
        <v>52</v>
      </c>
    </row>
    <row r="4206" spans="1:20" hidden="1">
      <c r="A4206" s="1"/>
      <c r="S4206" t="str">
        <f>TEXT(Table1[[#This Row],[Date]],"MMM-YY")</f>
        <v>Jan-00</v>
      </c>
      <c r="T4206">
        <f>_xlfn.ISOWEEKNUM(Table1[[#This Row],[Date]])</f>
        <v>52</v>
      </c>
    </row>
    <row r="4207" spans="1:20" hidden="1">
      <c r="A4207" s="1"/>
      <c r="S4207" t="str">
        <f>TEXT(Table1[[#This Row],[Date]],"MMM-YY")</f>
        <v>Jan-00</v>
      </c>
      <c r="T4207">
        <f>_xlfn.ISOWEEKNUM(Table1[[#This Row],[Date]])</f>
        <v>52</v>
      </c>
    </row>
    <row r="4208" spans="1:20" hidden="1">
      <c r="A4208" s="1"/>
      <c r="S4208" t="str">
        <f>TEXT(Table1[[#This Row],[Date]],"MMM-YY")</f>
        <v>Jan-00</v>
      </c>
      <c r="T4208">
        <f>_xlfn.ISOWEEKNUM(Table1[[#This Row],[Date]])</f>
        <v>52</v>
      </c>
    </row>
    <row r="4209" spans="1:20" hidden="1">
      <c r="A4209" s="1"/>
      <c r="S4209" t="str">
        <f>TEXT(Table1[[#This Row],[Date]],"MMM-YY")</f>
        <v>Jan-00</v>
      </c>
      <c r="T4209">
        <f>_xlfn.ISOWEEKNUM(Table1[[#This Row],[Date]])</f>
        <v>52</v>
      </c>
    </row>
    <row r="4210" spans="1:20" hidden="1">
      <c r="A4210" s="1"/>
      <c r="S4210" t="str">
        <f>TEXT(Table1[[#This Row],[Date]],"MMM-YY")</f>
        <v>Jan-00</v>
      </c>
      <c r="T4210">
        <f>_xlfn.ISOWEEKNUM(Table1[[#This Row],[Date]])</f>
        <v>52</v>
      </c>
    </row>
    <row r="4211" spans="1:20" hidden="1">
      <c r="A4211" s="1"/>
      <c r="S4211" t="str">
        <f>TEXT(Table1[[#This Row],[Date]],"MMM-YY")</f>
        <v>Jan-00</v>
      </c>
      <c r="T4211">
        <f>_xlfn.ISOWEEKNUM(Table1[[#This Row],[Date]])</f>
        <v>52</v>
      </c>
    </row>
    <row r="4212" spans="1:20" hidden="1">
      <c r="A4212" s="1"/>
      <c r="S4212" t="str">
        <f>TEXT(Table1[[#This Row],[Date]],"MMM-YY")</f>
        <v>Jan-00</v>
      </c>
      <c r="T4212">
        <f>_xlfn.ISOWEEKNUM(Table1[[#This Row],[Date]])</f>
        <v>52</v>
      </c>
    </row>
    <row r="4213" spans="1:20" hidden="1">
      <c r="A4213" s="1"/>
      <c r="S4213" t="str">
        <f>TEXT(Table1[[#This Row],[Date]],"MMM-YY")</f>
        <v>Jan-00</v>
      </c>
      <c r="T4213">
        <f>_xlfn.ISOWEEKNUM(Table1[[#This Row],[Date]])</f>
        <v>52</v>
      </c>
    </row>
    <row r="4214" spans="1:20" hidden="1">
      <c r="A4214" s="1"/>
      <c r="S4214" t="str">
        <f>TEXT(Table1[[#This Row],[Date]],"MMM-YY")</f>
        <v>Jan-00</v>
      </c>
      <c r="T4214">
        <f>_xlfn.ISOWEEKNUM(Table1[[#This Row],[Date]])</f>
        <v>52</v>
      </c>
    </row>
    <row r="4215" spans="1:20" hidden="1">
      <c r="A4215" s="1"/>
      <c r="S4215" t="str">
        <f>TEXT(Table1[[#This Row],[Date]],"MMM-YY")</f>
        <v>Jan-00</v>
      </c>
      <c r="T4215">
        <f>_xlfn.ISOWEEKNUM(Table1[[#This Row],[Date]])</f>
        <v>52</v>
      </c>
    </row>
    <row r="4216" spans="1:20" hidden="1">
      <c r="A4216" s="1"/>
      <c r="S4216" t="str">
        <f>TEXT(Table1[[#This Row],[Date]],"MMM-YY")</f>
        <v>Jan-00</v>
      </c>
      <c r="T4216">
        <f>_xlfn.ISOWEEKNUM(Table1[[#This Row],[Date]])</f>
        <v>52</v>
      </c>
    </row>
    <row r="4217" spans="1:20" hidden="1">
      <c r="A4217" s="1"/>
      <c r="S4217" t="str">
        <f>TEXT(Table1[[#This Row],[Date]],"MMM-YY")</f>
        <v>Jan-00</v>
      </c>
      <c r="T4217">
        <f>_xlfn.ISOWEEKNUM(Table1[[#This Row],[Date]])</f>
        <v>52</v>
      </c>
    </row>
    <row r="4218" spans="1:20" hidden="1">
      <c r="A4218" s="1"/>
      <c r="S4218" t="str">
        <f>TEXT(Table1[[#This Row],[Date]],"MMM-YY")</f>
        <v>Jan-00</v>
      </c>
      <c r="T4218">
        <f>_xlfn.ISOWEEKNUM(Table1[[#This Row],[Date]])</f>
        <v>52</v>
      </c>
    </row>
    <row r="4219" spans="1:20" hidden="1">
      <c r="A4219" s="1"/>
      <c r="S4219" t="str">
        <f>TEXT(Table1[[#This Row],[Date]],"MMM-YY")</f>
        <v>Jan-00</v>
      </c>
      <c r="T4219">
        <f>_xlfn.ISOWEEKNUM(Table1[[#This Row],[Date]])</f>
        <v>52</v>
      </c>
    </row>
    <row r="4220" spans="1:20" hidden="1">
      <c r="A4220" s="1"/>
      <c r="S4220" t="str">
        <f>TEXT(Table1[[#This Row],[Date]],"MMM-YY")</f>
        <v>Jan-00</v>
      </c>
      <c r="T4220">
        <f>_xlfn.ISOWEEKNUM(Table1[[#This Row],[Date]])</f>
        <v>52</v>
      </c>
    </row>
    <row r="4221" spans="1:20" hidden="1">
      <c r="A4221" s="1"/>
      <c r="S4221" t="str">
        <f>TEXT(Table1[[#This Row],[Date]],"MMM-YY")</f>
        <v>Jan-00</v>
      </c>
      <c r="T4221">
        <f>_xlfn.ISOWEEKNUM(Table1[[#This Row],[Date]])</f>
        <v>52</v>
      </c>
    </row>
    <row r="4222" spans="1:20" hidden="1">
      <c r="A4222" s="1"/>
      <c r="S4222" t="str">
        <f>TEXT(Table1[[#This Row],[Date]],"MMM-YY")</f>
        <v>Jan-00</v>
      </c>
      <c r="T4222">
        <f>_xlfn.ISOWEEKNUM(Table1[[#This Row],[Date]])</f>
        <v>52</v>
      </c>
    </row>
    <row r="4223" spans="1:20" hidden="1">
      <c r="A4223" s="1"/>
      <c r="S4223" t="str">
        <f>TEXT(Table1[[#This Row],[Date]],"MMM-YY")</f>
        <v>Jan-00</v>
      </c>
      <c r="T4223">
        <f>_xlfn.ISOWEEKNUM(Table1[[#This Row],[Date]])</f>
        <v>52</v>
      </c>
    </row>
    <row r="4224" spans="1:20" hidden="1">
      <c r="A4224" s="1"/>
      <c r="S4224" t="str">
        <f>TEXT(Table1[[#This Row],[Date]],"MMM-YY")</f>
        <v>Jan-00</v>
      </c>
      <c r="T4224">
        <f>_xlfn.ISOWEEKNUM(Table1[[#This Row],[Date]])</f>
        <v>52</v>
      </c>
    </row>
    <row r="4225" spans="1:20" hidden="1">
      <c r="A4225" s="1"/>
      <c r="S4225" t="str">
        <f>TEXT(Table1[[#This Row],[Date]],"MMM-YY")</f>
        <v>Jan-00</v>
      </c>
      <c r="T4225">
        <f>_xlfn.ISOWEEKNUM(Table1[[#This Row],[Date]])</f>
        <v>52</v>
      </c>
    </row>
    <row r="4226" spans="1:20" hidden="1">
      <c r="A4226" s="1"/>
      <c r="S4226" t="str">
        <f>TEXT(Table1[[#This Row],[Date]],"MMM-YY")</f>
        <v>Jan-00</v>
      </c>
      <c r="T4226">
        <f>_xlfn.ISOWEEKNUM(Table1[[#This Row],[Date]])</f>
        <v>52</v>
      </c>
    </row>
    <row r="4227" spans="1:20" hidden="1">
      <c r="A4227" s="1"/>
      <c r="S4227" t="str">
        <f>TEXT(Table1[[#This Row],[Date]],"MMM-YY")</f>
        <v>Jan-00</v>
      </c>
      <c r="T4227">
        <f>_xlfn.ISOWEEKNUM(Table1[[#This Row],[Date]])</f>
        <v>52</v>
      </c>
    </row>
    <row r="4228" spans="1:20" hidden="1">
      <c r="A4228" s="1"/>
      <c r="S4228" t="str">
        <f>TEXT(Table1[[#This Row],[Date]],"MMM-YY")</f>
        <v>Jan-00</v>
      </c>
      <c r="T4228">
        <f>_xlfn.ISOWEEKNUM(Table1[[#This Row],[Date]])</f>
        <v>52</v>
      </c>
    </row>
    <row r="4229" spans="1:20" hidden="1">
      <c r="A4229" s="1"/>
      <c r="S4229" t="str">
        <f>TEXT(Table1[[#This Row],[Date]],"MMM-YY")</f>
        <v>Jan-00</v>
      </c>
      <c r="T4229">
        <f>_xlfn.ISOWEEKNUM(Table1[[#This Row],[Date]])</f>
        <v>52</v>
      </c>
    </row>
    <row r="4230" spans="1:20" hidden="1">
      <c r="A4230" s="1"/>
      <c r="S4230" t="str">
        <f>TEXT(Table1[[#This Row],[Date]],"MMM-YY")</f>
        <v>Jan-00</v>
      </c>
      <c r="T4230">
        <f>_xlfn.ISOWEEKNUM(Table1[[#This Row],[Date]])</f>
        <v>52</v>
      </c>
    </row>
    <row r="4231" spans="1:20" hidden="1">
      <c r="A4231" s="1"/>
      <c r="S4231" t="str">
        <f>TEXT(Table1[[#This Row],[Date]],"MMM-YY")</f>
        <v>Jan-00</v>
      </c>
      <c r="T4231">
        <f>_xlfn.ISOWEEKNUM(Table1[[#This Row],[Date]])</f>
        <v>52</v>
      </c>
    </row>
    <row r="4232" spans="1:20" hidden="1">
      <c r="A4232" s="1"/>
      <c r="S4232" t="str">
        <f>TEXT(Table1[[#This Row],[Date]],"MMM-YY")</f>
        <v>Jan-00</v>
      </c>
      <c r="T4232">
        <f>_xlfn.ISOWEEKNUM(Table1[[#This Row],[Date]])</f>
        <v>52</v>
      </c>
    </row>
    <row r="4233" spans="1:20" hidden="1">
      <c r="A4233" s="1"/>
      <c r="S4233" t="str">
        <f>TEXT(Table1[[#This Row],[Date]],"MMM-YY")</f>
        <v>Jan-00</v>
      </c>
      <c r="T4233">
        <f>_xlfn.ISOWEEKNUM(Table1[[#This Row],[Date]])</f>
        <v>52</v>
      </c>
    </row>
    <row r="4234" spans="1:20" hidden="1">
      <c r="A4234" s="1"/>
      <c r="S4234" t="str">
        <f>TEXT(Table1[[#This Row],[Date]],"MMM-YY")</f>
        <v>Jan-00</v>
      </c>
      <c r="T4234">
        <f>_xlfn.ISOWEEKNUM(Table1[[#This Row],[Date]])</f>
        <v>52</v>
      </c>
    </row>
    <row r="4235" spans="1:20" hidden="1">
      <c r="A4235" s="1"/>
      <c r="S4235" t="str">
        <f>TEXT(Table1[[#This Row],[Date]],"MMM-YY")</f>
        <v>Jan-00</v>
      </c>
      <c r="T4235">
        <f>_xlfn.ISOWEEKNUM(Table1[[#This Row],[Date]])</f>
        <v>52</v>
      </c>
    </row>
    <row r="4236" spans="1:20" hidden="1">
      <c r="A4236" s="1"/>
      <c r="S4236" t="str">
        <f>TEXT(Table1[[#This Row],[Date]],"MMM-YY")</f>
        <v>Jan-00</v>
      </c>
      <c r="T4236">
        <f>_xlfn.ISOWEEKNUM(Table1[[#This Row],[Date]])</f>
        <v>52</v>
      </c>
    </row>
    <row r="4237" spans="1:20" hidden="1">
      <c r="A4237" s="1"/>
      <c r="S4237" t="str">
        <f>TEXT(Table1[[#This Row],[Date]],"MMM-YY")</f>
        <v>Jan-00</v>
      </c>
      <c r="T4237">
        <f>_xlfn.ISOWEEKNUM(Table1[[#This Row],[Date]])</f>
        <v>52</v>
      </c>
    </row>
    <row r="4238" spans="1:20" hidden="1">
      <c r="A4238" s="1"/>
      <c r="S4238" t="str">
        <f>TEXT(Table1[[#This Row],[Date]],"MMM-YY")</f>
        <v>Jan-00</v>
      </c>
      <c r="T4238">
        <f>_xlfn.ISOWEEKNUM(Table1[[#This Row],[Date]])</f>
        <v>52</v>
      </c>
    </row>
    <row r="4239" spans="1:20" hidden="1">
      <c r="A4239" s="1"/>
      <c r="S4239" t="str">
        <f>TEXT(Table1[[#This Row],[Date]],"MMM-YY")</f>
        <v>Jan-00</v>
      </c>
      <c r="T4239">
        <f>_xlfn.ISOWEEKNUM(Table1[[#This Row],[Date]])</f>
        <v>52</v>
      </c>
    </row>
    <row r="4240" spans="1:20" hidden="1">
      <c r="A4240" s="1"/>
      <c r="S4240" t="str">
        <f>TEXT(Table1[[#This Row],[Date]],"MMM-YY")</f>
        <v>Jan-00</v>
      </c>
      <c r="T4240">
        <f>_xlfn.ISOWEEKNUM(Table1[[#This Row],[Date]])</f>
        <v>52</v>
      </c>
    </row>
    <row r="4241" spans="1:20" hidden="1">
      <c r="A4241" s="1"/>
      <c r="S4241" t="str">
        <f>TEXT(Table1[[#This Row],[Date]],"MMM-YY")</f>
        <v>Jan-00</v>
      </c>
      <c r="T4241">
        <f>_xlfn.ISOWEEKNUM(Table1[[#This Row],[Date]])</f>
        <v>52</v>
      </c>
    </row>
    <row r="4242" spans="1:20" hidden="1">
      <c r="A4242" s="1"/>
      <c r="S4242" t="str">
        <f>TEXT(Table1[[#This Row],[Date]],"MMM-YY")</f>
        <v>Jan-00</v>
      </c>
      <c r="T4242">
        <f>_xlfn.ISOWEEKNUM(Table1[[#This Row],[Date]])</f>
        <v>52</v>
      </c>
    </row>
    <row r="4243" spans="1:20" hidden="1">
      <c r="A4243" s="1"/>
      <c r="S4243" t="str">
        <f>TEXT(Table1[[#This Row],[Date]],"MMM-YY")</f>
        <v>Jan-00</v>
      </c>
      <c r="T4243">
        <f>_xlfn.ISOWEEKNUM(Table1[[#This Row],[Date]])</f>
        <v>52</v>
      </c>
    </row>
    <row r="4244" spans="1:20" hidden="1">
      <c r="A4244" s="1"/>
      <c r="S4244" t="str">
        <f>TEXT(Table1[[#This Row],[Date]],"MMM-YY")</f>
        <v>Jan-00</v>
      </c>
      <c r="T4244">
        <f>_xlfn.ISOWEEKNUM(Table1[[#This Row],[Date]])</f>
        <v>52</v>
      </c>
    </row>
    <row r="4245" spans="1:20" hidden="1">
      <c r="A4245" s="1"/>
      <c r="S4245" t="str">
        <f>TEXT(Table1[[#This Row],[Date]],"MMM-YY")</f>
        <v>Jan-00</v>
      </c>
      <c r="T4245">
        <f>_xlfn.ISOWEEKNUM(Table1[[#This Row],[Date]])</f>
        <v>52</v>
      </c>
    </row>
    <row r="4246" spans="1:20" hidden="1">
      <c r="A4246" s="1"/>
      <c r="S4246" t="str">
        <f>TEXT(Table1[[#This Row],[Date]],"MMM-YY")</f>
        <v>Jan-00</v>
      </c>
      <c r="T4246">
        <f>_xlfn.ISOWEEKNUM(Table1[[#This Row],[Date]])</f>
        <v>52</v>
      </c>
    </row>
    <row r="4247" spans="1:20" hidden="1">
      <c r="A4247" s="1"/>
      <c r="S4247" t="str">
        <f>TEXT(Table1[[#This Row],[Date]],"MMM-YY")</f>
        <v>Jan-00</v>
      </c>
      <c r="T4247">
        <f>_xlfn.ISOWEEKNUM(Table1[[#This Row],[Date]])</f>
        <v>52</v>
      </c>
    </row>
    <row r="4248" spans="1:20" hidden="1">
      <c r="A4248" s="1"/>
      <c r="S4248" t="str">
        <f>TEXT(Table1[[#This Row],[Date]],"MMM-YY")</f>
        <v>Jan-00</v>
      </c>
      <c r="T4248">
        <f>_xlfn.ISOWEEKNUM(Table1[[#This Row],[Date]])</f>
        <v>52</v>
      </c>
    </row>
    <row r="4249" spans="1:20" hidden="1">
      <c r="A4249" s="1"/>
      <c r="S4249" t="str">
        <f>TEXT(Table1[[#This Row],[Date]],"MMM-YY")</f>
        <v>Jan-00</v>
      </c>
      <c r="T4249">
        <f>_xlfn.ISOWEEKNUM(Table1[[#This Row],[Date]])</f>
        <v>52</v>
      </c>
    </row>
    <row r="4250" spans="1:20" hidden="1">
      <c r="A4250" s="1"/>
      <c r="S4250" t="str">
        <f>TEXT(Table1[[#This Row],[Date]],"MMM-YY")</f>
        <v>Jan-00</v>
      </c>
      <c r="T4250">
        <f>_xlfn.ISOWEEKNUM(Table1[[#This Row],[Date]])</f>
        <v>52</v>
      </c>
    </row>
    <row r="4251" spans="1:20" hidden="1">
      <c r="A4251" s="1"/>
      <c r="S4251" t="str">
        <f>TEXT(Table1[[#This Row],[Date]],"MMM-YY")</f>
        <v>Jan-00</v>
      </c>
      <c r="T4251">
        <f>_xlfn.ISOWEEKNUM(Table1[[#This Row],[Date]])</f>
        <v>52</v>
      </c>
    </row>
    <row r="4252" spans="1:20" hidden="1">
      <c r="A4252" s="1"/>
      <c r="S4252" t="str">
        <f>TEXT(Table1[[#This Row],[Date]],"MMM-YY")</f>
        <v>Jan-00</v>
      </c>
      <c r="T4252">
        <f>_xlfn.ISOWEEKNUM(Table1[[#This Row],[Date]])</f>
        <v>52</v>
      </c>
    </row>
    <row r="4253" spans="1:20" hidden="1">
      <c r="A4253" s="1"/>
      <c r="S4253" t="str">
        <f>TEXT(Table1[[#This Row],[Date]],"MMM-YY")</f>
        <v>Jan-00</v>
      </c>
      <c r="T4253">
        <f>_xlfn.ISOWEEKNUM(Table1[[#This Row],[Date]])</f>
        <v>52</v>
      </c>
    </row>
    <row r="4254" spans="1:20" hidden="1">
      <c r="A4254" s="1"/>
      <c r="S4254" t="str">
        <f>TEXT(Table1[[#This Row],[Date]],"MMM-YY")</f>
        <v>Jan-00</v>
      </c>
      <c r="T4254">
        <f>_xlfn.ISOWEEKNUM(Table1[[#This Row],[Date]])</f>
        <v>52</v>
      </c>
    </row>
    <row r="4255" spans="1:20" hidden="1">
      <c r="A4255" s="1"/>
      <c r="S4255" t="str">
        <f>TEXT(Table1[[#This Row],[Date]],"MMM-YY")</f>
        <v>Jan-00</v>
      </c>
      <c r="T4255">
        <f>_xlfn.ISOWEEKNUM(Table1[[#This Row],[Date]])</f>
        <v>52</v>
      </c>
    </row>
    <row r="4256" spans="1:20" hidden="1">
      <c r="A4256" s="1"/>
      <c r="S4256" t="str">
        <f>TEXT(Table1[[#This Row],[Date]],"MMM-YY")</f>
        <v>Jan-00</v>
      </c>
      <c r="T4256">
        <f>_xlfn.ISOWEEKNUM(Table1[[#This Row],[Date]])</f>
        <v>52</v>
      </c>
    </row>
    <row r="4257" spans="1:20" hidden="1">
      <c r="A4257" s="1"/>
      <c r="S4257" t="str">
        <f>TEXT(Table1[[#This Row],[Date]],"MMM-YY")</f>
        <v>Jan-00</v>
      </c>
      <c r="T4257">
        <f>_xlfn.ISOWEEKNUM(Table1[[#This Row],[Date]])</f>
        <v>52</v>
      </c>
    </row>
    <row r="4258" spans="1:20" hidden="1">
      <c r="A4258" s="1"/>
      <c r="S4258" t="str">
        <f>TEXT(Table1[[#This Row],[Date]],"MMM-YY")</f>
        <v>Jan-00</v>
      </c>
      <c r="T4258">
        <f>_xlfn.ISOWEEKNUM(Table1[[#This Row],[Date]])</f>
        <v>52</v>
      </c>
    </row>
    <row r="4259" spans="1:20" hidden="1">
      <c r="A4259" s="1"/>
      <c r="S4259" t="str">
        <f>TEXT(Table1[[#This Row],[Date]],"MMM-YY")</f>
        <v>Jan-00</v>
      </c>
      <c r="T4259">
        <f>_xlfn.ISOWEEKNUM(Table1[[#This Row],[Date]])</f>
        <v>52</v>
      </c>
    </row>
    <row r="4260" spans="1:20" hidden="1">
      <c r="A4260" s="1"/>
      <c r="S4260" t="str">
        <f>TEXT(Table1[[#This Row],[Date]],"MMM-YY")</f>
        <v>Jan-00</v>
      </c>
      <c r="T4260">
        <f>_xlfn.ISOWEEKNUM(Table1[[#This Row],[Date]])</f>
        <v>52</v>
      </c>
    </row>
    <row r="4261" spans="1:20" hidden="1">
      <c r="A4261" s="1"/>
      <c r="S4261" t="str">
        <f>TEXT(Table1[[#This Row],[Date]],"MMM-YY")</f>
        <v>Jan-00</v>
      </c>
      <c r="T4261">
        <f>_xlfn.ISOWEEKNUM(Table1[[#This Row],[Date]])</f>
        <v>52</v>
      </c>
    </row>
    <row r="4262" spans="1:20" hidden="1">
      <c r="A4262" s="1"/>
      <c r="S4262" t="str">
        <f>TEXT(Table1[[#This Row],[Date]],"MMM-YY")</f>
        <v>Jan-00</v>
      </c>
      <c r="T4262">
        <f>_xlfn.ISOWEEKNUM(Table1[[#This Row],[Date]])</f>
        <v>52</v>
      </c>
    </row>
    <row r="4263" spans="1:20" hidden="1">
      <c r="A4263" s="1"/>
      <c r="S4263" t="str">
        <f>TEXT(Table1[[#This Row],[Date]],"MMM-YY")</f>
        <v>Jan-00</v>
      </c>
      <c r="T4263">
        <f>_xlfn.ISOWEEKNUM(Table1[[#This Row],[Date]])</f>
        <v>52</v>
      </c>
    </row>
    <row r="4264" spans="1:20" hidden="1">
      <c r="A4264" s="1"/>
      <c r="S4264" t="str">
        <f>TEXT(Table1[[#This Row],[Date]],"MMM-YY")</f>
        <v>Jan-00</v>
      </c>
      <c r="T4264">
        <f>_xlfn.ISOWEEKNUM(Table1[[#This Row],[Date]])</f>
        <v>52</v>
      </c>
    </row>
    <row r="4265" spans="1:20" hidden="1">
      <c r="A4265" s="1"/>
      <c r="S4265" t="str">
        <f>TEXT(Table1[[#This Row],[Date]],"MMM-YY")</f>
        <v>Jan-00</v>
      </c>
      <c r="T4265">
        <f>_xlfn.ISOWEEKNUM(Table1[[#This Row],[Date]])</f>
        <v>52</v>
      </c>
    </row>
    <row r="4266" spans="1:20" hidden="1">
      <c r="A4266" s="1"/>
      <c r="S4266" t="str">
        <f>TEXT(Table1[[#This Row],[Date]],"MMM-YY")</f>
        <v>Jan-00</v>
      </c>
      <c r="T4266">
        <f>_xlfn.ISOWEEKNUM(Table1[[#This Row],[Date]])</f>
        <v>52</v>
      </c>
    </row>
    <row r="4267" spans="1:20" hidden="1">
      <c r="A4267" s="1"/>
      <c r="S4267" t="str">
        <f>TEXT(Table1[[#This Row],[Date]],"MMM-YY")</f>
        <v>Jan-00</v>
      </c>
      <c r="T4267">
        <f>_xlfn.ISOWEEKNUM(Table1[[#This Row],[Date]])</f>
        <v>52</v>
      </c>
    </row>
    <row r="4268" spans="1:20" hidden="1">
      <c r="A4268" s="1"/>
      <c r="S4268" t="str">
        <f>TEXT(Table1[[#This Row],[Date]],"MMM-YY")</f>
        <v>Jan-00</v>
      </c>
      <c r="T4268">
        <f>_xlfn.ISOWEEKNUM(Table1[[#This Row],[Date]])</f>
        <v>52</v>
      </c>
    </row>
    <row r="4269" spans="1:20" hidden="1">
      <c r="A4269" s="1"/>
      <c r="S4269" t="str">
        <f>TEXT(Table1[[#This Row],[Date]],"MMM-YY")</f>
        <v>Jan-00</v>
      </c>
      <c r="T4269">
        <f>_xlfn.ISOWEEKNUM(Table1[[#This Row],[Date]])</f>
        <v>52</v>
      </c>
    </row>
    <row r="4270" spans="1:20" hidden="1">
      <c r="A4270" s="1"/>
      <c r="S4270" t="str">
        <f>TEXT(Table1[[#This Row],[Date]],"MMM-YY")</f>
        <v>Jan-00</v>
      </c>
      <c r="T4270">
        <f>_xlfn.ISOWEEKNUM(Table1[[#This Row],[Date]])</f>
        <v>52</v>
      </c>
    </row>
    <row r="4271" spans="1:20" hidden="1">
      <c r="A4271" s="1"/>
      <c r="S4271" t="str">
        <f>TEXT(Table1[[#This Row],[Date]],"MMM-YY")</f>
        <v>Jan-00</v>
      </c>
      <c r="T4271">
        <f>_xlfn.ISOWEEKNUM(Table1[[#This Row],[Date]])</f>
        <v>52</v>
      </c>
    </row>
    <row r="4272" spans="1:20" hidden="1">
      <c r="A4272" s="1"/>
      <c r="S4272" t="str">
        <f>TEXT(Table1[[#This Row],[Date]],"MMM-YY")</f>
        <v>Jan-00</v>
      </c>
      <c r="T4272">
        <f>_xlfn.ISOWEEKNUM(Table1[[#This Row],[Date]])</f>
        <v>52</v>
      </c>
    </row>
    <row r="4273" spans="1:20" hidden="1">
      <c r="A4273" s="1"/>
      <c r="S4273" t="str">
        <f>TEXT(Table1[[#This Row],[Date]],"MMM-YY")</f>
        <v>Jan-00</v>
      </c>
      <c r="T4273">
        <f>_xlfn.ISOWEEKNUM(Table1[[#This Row],[Date]])</f>
        <v>52</v>
      </c>
    </row>
    <row r="4274" spans="1:20" hidden="1">
      <c r="A4274" s="1"/>
      <c r="S4274" t="str">
        <f>TEXT(Table1[[#This Row],[Date]],"MMM-YY")</f>
        <v>Jan-00</v>
      </c>
      <c r="T4274">
        <f>_xlfn.ISOWEEKNUM(Table1[[#This Row],[Date]])</f>
        <v>52</v>
      </c>
    </row>
    <row r="4275" spans="1:20" hidden="1">
      <c r="A4275" s="1"/>
      <c r="S4275" t="str">
        <f>TEXT(Table1[[#This Row],[Date]],"MMM-YY")</f>
        <v>Jan-00</v>
      </c>
      <c r="T4275">
        <f>_xlfn.ISOWEEKNUM(Table1[[#This Row],[Date]])</f>
        <v>52</v>
      </c>
    </row>
    <row r="4276" spans="1:20" hidden="1">
      <c r="A4276" s="1"/>
      <c r="S4276" t="str">
        <f>TEXT(Table1[[#This Row],[Date]],"MMM-YY")</f>
        <v>Jan-00</v>
      </c>
      <c r="T4276">
        <f>_xlfn.ISOWEEKNUM(Table1[[#This Row],[Date]])</f>
        <v>52</v>
      </c>
    </row>
    <row r="4277" spans="1:20" hidden="1">
      <c r="A4277" s="1"/>
      <c r="S4277" t="str">
        <f>TEXT(Table1[[#This Row],[Date]],"MMM-YY")</f>
        <v>Jan-00</v>
      </c>
      <c r="T4277">
        <f>_xlfn.ISOWEEKNUM(Table1[[#This Row],[Date]])</f>
        <v>52</v>
      </c>
    </row>
    <row r="4278" spans="1:20" hidden="1">
      <c r="A4278" s="1"/>
      <c r="S4278" t="str">
        <f>TEXT(Table1[[#This Row],[Date]],"MMM-YY")</f>
        <v>Jan-00</v>
      </c>
      <c r="T4278">
        <f>_xlfn.ISOWEEKNUM(Table1[[#This Row],[Date]])</f>
        <v>52</v>
      </c>
    </row>
    <row r="4279" spans="1:20" hidden="1">
      <c r="A4279" s="1"/>
      <c r="S4279" t="str">
        <f>TEXT(Table1[[#This Row],[Date]],"MMM-YY")</f>
        <v>Jan-00</v>
      </c>
      <c r="T4279">
        <f>_xlfn.ISOWEEKNUM(Table1[[#This Row],[Date]])</f>
        <v>52</v>
      </c>
    </row>
    <row r="4280" spans="1:20" hidden="1">
      <c r="A4280" s="1"/>
      <c r="S4280" t="str">
        <f>TEXT(Table1[[#This Row],[Date]],"MMM-YY")</f>
        <v>Jan-00</v>
      </c>
      <c r="T4280">
        <f>_xlfn.ISOWEEKNUM(Table1[[#This Row],[Date]])</f>
        <v>52</v>
      </c>
    </row>
    <row r="4281" spans="1:20" hidden="1">
      <c r="A4281" s="1"/>
      <c r="S4281" t="str">
        <f>TEXT(Table1[[#This Row],[Date]],"MMM-YY")</f>
        <v>Jan-00</v>
      </c>
      <c r="T4281">
        <f>_xlfn.ISOWEEKNUM(Table1[[#This Row],[Date]])</f>
        <v>52</v>
      </c>
    </row>
    <row r="4282" spans="1:20" hidden="1">
      <c r="A4282" s="1"/>
      <c r="S4282" t="str">
        <f>TEXT(Table1[[#This Row],[Date]],"MMM-YY")</f>
        <v>Jan-00</v>
      </c>
      <c r="T4282">
        <f>_xlfn.ISOWEEKNUM(Table1[[#This Row],[Date]])</f>
        <v>52</v>
      </c>
    </row>
    <row r="4283" spans="1:20" hidden="1">
      <c r="A4283" s="1"/>
      <c r="S4283" t="str">
        <f>TEXT(Table1[[#This Row],[Date]],"MMM-YY")</f>
        <v>Jan-00</v>
      </c>
      <c r="T4283">
        <f>_xlfn.ISOWEEKNUM(Table1[[#This Row],[Date]])</f>
        <v>52</v>
      </c>
    </row>
    <row r="4284" spans="1:20" hidden="1">
      <c r="A4284" s="1"/>
      <c r="S4284" t="str">
        <f>TEXT(Table1[[#This Row],[Date]],"MMM-YY")</f>
        <v>Jan-00</v>
      </c>
      <c r="T4284">
        <f>_xlfn.ISOWEEKNUM(Table1[[#This Row],[Date]])</f>
        <v>52</v>
      </c>
    </row>
    <row r="4285" spans="1:20" hidden="1">
      <c r="A4285" s="1"/>
      <c r="S4285" t="str">
        <f>TEXT(Table1[[#This Row],[Date]],"MMM-YY")</f>
        <v>Jan-00</v>
      </c>
      <c r="T4285">
        <f>_xlfn.ISOWEEKNUM(Table1[[#This Row],[Date]])</f>
        <v>52</v>
      </c>
    </row>
    <row r="4286" spans="1:20" hidden="1">
      <c r="A4286" s="1"/>
      <c r="S4286" t="str">
        <f>TEXT(Table1[[#This Row],[Date]],"MMM-YY")</f>
        <v>Jan-00</v>
      </c>
      <c r="T4286">
        <f>_xlfn.ISOWEEKNUM(Table1[[#This Row],[Date]])</f>
        <v>52</v>
      </c>
    </row>
    <row r="4287" spans="1:20" hidden="1">
      <c r="A4287" s="1"/>
      <c r="S4287" t="str">
        <f>TEXT(Table1[[#This Row],[Date]],"MMM-YY")</f>
        <v>Jan-00</v>
      </c>
      <c r="T4287">
        <f>_xlfn.ISOWEEKNUM(Table1[[#This Row],[Date]])</f>
        <v>52</v>
      </c>
    </row>
    <row r="4288" spans="1:20" hidden="1">
      <c r="A4288" s="1"/>
      <c r="S4288" t="str">
        <f>TEXT(Table1[[#This Row],[Date]],"MMM-YY")</f>
        <v>Jan-00</v>
      </c>
      <c r="T4288">
        <f>_xlfn.ISOWEEKNUM(Table1[[#This Row],[Date]])</f>
        <v>52</v>
      </c>
    </row>
    <row r="4289" spans="1:20" hidden="1">
      <c r="A4289" s="1"/>
      <c r="S4289" t="str">
        <f>TEXT(Table1[[#This Row],[Date]],"MMM-YY")</f>
        <v>Jan-00</v>
      </c>
      <c r="T4289">
        <f>_xlfn.ISOWEEKNUM(Table1[[#This Row],[Date]])</f>
        <v>52</v>
      </c>
    </row>
    <row r="4290" spans="1:20" hidden="1">
      <c r="A4290" s="1"/>
      <c r="S4290" t="str">
        <f>TEXT(Table1[[#This Row],[Date]],"MMM-YY")</f>
        <v>Jan-00</v>
      </c>
      <c r="T4290">
        <f>_xlfn.ISOWEEKNUM(Table1[[#This Row],[Date]])</f>
        <v>52</v>
      </c>
    </row>
    <row r="4291" spans="1:20" hidden="1">
      <c r="A4291" s="1"/>
      <c r="S4291" t="str">
        <f>TEXT(Table1[[#This Row],[Date]],"MMM-YY")</f>
        <v>Jan-00</v>
      </c>
      <c r="T4291">
        <f>_xlfn.ISOWEEKNUM(Table1[[#This Row],[Date]])</f>
        <v>52</v>
      </c>
    </row>
    <row r="4292" spans="1:20" hidden="1">
      <c r="A4292" s="1"/>
      <c r="S4292" t="str">
        <f>TEXT(Table1[[#This Row],[Date]],"MMM-YY")</f>
        <v>Jan-00</v>
      </c>
      <c r="T4292">
        <f>_xlfn.ISOWEEKNUM(Table1[[#This Row],[Date]])</f>
        <v>52</v>
      </c>
    </row>
    <row r="4293" spans="1:20" hidden="1">
      <c r="A4293" s="1"/>
      <c r="S4293" t="str">
        <f>TEXT(Table1[[#This Row],[Date]],"MMM-YY")</f>
        <v>Jan-00</v>
      </c>
      <c r="T4293">
        <f>_xlfn.ISOWEEKNUM(Table1[[#This Row],[Date]])</f>
        <v>52</v>
      </c>
    </row>
    <row r="4294" spans="1:20" hidden="1">
      <c r="A4294" s="1"/>
      <c r="S4294" t="str">
        <f>TEXT(Table1[[#This Row],[Date]],"MMM-YY")</f>
        <v>Jan-00</v>
      </c>
      <c r="T4294">
        <f>_xlfn.ISOWEEKNUM(Table1[[#This Row],[Date]])</f>
        <v>52</v>
      </c>
    </row>
    <row r="4295" spans="1:20" hidden="1">
      <c r="A4295" s="1"/>
      <c r="S4295" t="str">
        <f>TEXT(Table1[[#This Row],[Date]],"MMM-YY")</f>
        <v>Jan-00</v>
      </c>
      <c r="T4295">
        <f>_xlfn.ISOWEEKNUM(Table1[[#This Row],[Date]])</f>
        <v>52</v>
      </c>
    </row>
    <row r="4296" spans="1:20" hidden="1">
      <c r="A4296" s="1"/>
      <c r="S4296" t="str">
        <f>TEXT(Table1[[#This Row],[Date]],"MMM-YY")</f>
        <v>Jan-00</v>
      </c>
      <c r="T4296">
        <f>_xlfn.ISOWEEKNUM(Table1[[#This Row],[Date]])</f>
        <v>52</v>
      </c>
    </row>
    <row r="4297" spans="1:20" hidden="1">
      <c r="A4297" s="1"/>
      <c r="S4297" t="str">
        <f>TEXT(Table1[[#This Row],[Date]],"MMM-YY")</f>
        <v>Jan-00</v>
      </c>
      <c r="T4297">
        <f>_xlfn.ISOWEEKNUM(Table1[[#This Row],[Date]])</f>
        <v>52</v>
      </c>
    </row>
    <row r="4298" spans="1:20" hidden="1">
      <c r="A4298" s="1"/>
      <c r="S4298" t="str">
        <f>TEXT(Table1[[#This Row],[Date]],"MMM-YY")</f>
        <v>Jan-00</v>
      </c>
      <c r="T4298">
        <f>_xlfn.ISOWEEKNUM(Table1[[#This Row],[Date]])</f>
        <v>52</v>
      </c>
    </row>
    <row r="4299" spans="1:20" hidden="1">
      <c r="A4299" s="1"/>
      <c r="S4299" t="str">
        <f>TEXT(Table1[[#This Row],[Date]],"MMM-YY")</f>
        <v>Jan-00</v>
      </c>
      <c r="T4299">
        <f>_xlfn.ISOWEEKNUM(Table1[[#This Row],[Date]])</f>
        <v>52</v>
      </c>
    </row>
    <row r="4300" spans="1:20" hidden="1">
      <c r="A4300" s="1"/>
      <c r="S4300" t="str">
        <f>TEXT(Table1[[#This Row],[Date]],"MMM-YY")</f>
        <v>Jan-00</v>
      </c>
      <c r="T4300">
        <f>_xlfn.ISOWEEKNUM(Table1[[#This Row],[Date]])</f>
        <v>52</v>
      </c>
    </row>
    <row r="4301" spans="1:20" hidden="1">
      <c r="A4301" s="1"/>
      <c r="S4301" t="str">
        <f>TEXT(Table1[[#This Row],[Date]],"MMM-YY")</f>
        <v>Jan-00</v>
      </c>
      <c r="T4301">
        <f>_xlfn.ISOWEEKNUM(Table1[[#This Row],[Date]])</f>
        <v>52</v>
      </c>
    </row>
    <row r="4302" spans="1:20" hidden="1">
      <c r="A4302" s="1"/>
      <c r="S4302" t="str">
        <f>TEXT(Table1[[#This Row],[Date]],"MMM-YY")</f>
        <v>Jan-00</v>
      </c>
      <c r="T4302">
        <f>_xlfn.ISOWEEKNUM(Table1[[#This Row],[Date]])</f>
        <v>52</v>
      </c>
    </row>
    <row r="4303" spans="1:20" hidden="1">
      <c r="A4303" s="1"/>
      <c r="S4303" t="str">
        <f>TEXT(Table1[[#This Row],[Date]],"MMM-YY")</f>
        <v>Jan-00</v>
      </c>
      <c r="T4303">
        <f>_xlfn.ISOWEEKNUM(Table1[[#This Row],[Date]])</f>
        <v>52</v>
      </c>
    </row>
    <row r="4304" spans="1:20" hidden="1">
      <c r="A4304" s="1"/>
      <c r="S4304" t="str">
        <f>TEXT(Table1[[#This Row],[Date]],"MMM-YY")</f>
        <v>Jan-00</v>
      </c>
      <c r="T4304">
        <f>_xlfn.ISOWEEKNUM(Table1[[#This Row],[Date]])</f>
        <v>52</v>
      </c>
    </row>
    <row r="4305" spans="1:20" hidden="1">
      <c r="A4305" s="1"/>
      <c r="S4305" t="str">
        <f>TEXT(Table1[[#This Row],[Date]],"MMM-YY")</f>
        <v>Jan-00</v>
      </c>
      <c r="T4305">
        <f>_xlfn.ISOWEEKNUM(Table1[[#This Row],[Date]])</f>
        <v>52</v>
      </c>
    </row>
    <row r="4306" spans="1:20" hidden="1">
      <c r="A4306" s="1"/>
      <c r="S4306" t="str">
        <f>TEXT(Table1[[#This Row],[Date]],"MMM-YY")</f>
        <v>Jan-00</v>
      </c>
      <c r="T4306">
        <f>_xlfn.ISOWEEKNUM(Table1[[#This Row],[Date]])</f>
        <v>52</v>
      </c>
    </row>
    <row r="4307" spans="1:20" hidden="1">
      <c r="A4307" s="1"/>
      <c r="S4307" t="str">
        <f>TEXT(Table1[[#This Row],[Date]],"MMM-YY")</f>
        <v>Jan-00</v>
      </c>
      <c r="T4307">
        <f>_xlfn.ISOWEEKNUM(Table1[[#This Row],[Date]])</f>
        <v>52</v>
      </c>
    </row>
    <row r="4308" spans="1:20" hidden="1">
      <c r="A4308" s="1"/>
      <c r="S4308" t="str">
        <f>TEXT(Table1[[#This Row],[Date]],"MMM-YY")</f>
        <v>Jan-00</v>
      </c>
      <c r="T4308">
        <f>_xlfn.ISOWEEKNUM(Table1[[#This Row],[Date]])</f>
        <v>52</v>
      </c>
    </row>
    <row r="4309" spans="1:20" hidden="1">
      <c r="A4309" s="1"/>
      <c r="S4309" t="str">
        <f>TEXT(Table1[[#This Row],[Date]],"MMM-YY")</f>
        <v>Jan-00</v>
      </c>
      <c r="T4309">
        <f>_xlfn.ISOWEEKNUM(Table1[[#This Row],[Date]])</f>
        <v>52</v>
      </c>
    </row>
    <row r="4310" spans="1:20" hidden="1">
      <c r="A4310" s="1"/>
      <c r="S4310" t="str">
        <f>TEXT(Table1[[#This Row],[Date]],"MMM-YY")</f>
        <v>Jan-00</v>
      </c>
      <c r="T4310">
        <f>_xlfn.ISOWEEKNUM(Table1[[#This Row],[Date]])</f>
        <v>52</v>
      </c>
    </row>
    <row r="4311" spans="1:20" hidden="1">
      <c r="A4311" s="1"/>
      <c r="S4311" t="str">
        <f>TEXT(Table1[[#This Row],[Date]],"MMM-YY")</f>
        <v>Jan-00</v>
      </c>
      <c r="T4311">
        <f>_xlfn.ISOWEEKNUM(Table1[[#This Row],[Date]])</f>
        <v>52</v>
      </c>
    </row>
    <row r="4312" spans="1:20" hidden="1">
      <c r="A4312" s="1"/>
      <c r="S4312" t="str">
        <f>TEXT(Table1[[#This Row],[Date]],"MMM-YY")</f>
        <v>Jan-00</v>
      </c>
      <c r="T4312">
        <f>_xlfn.ISOWEEKNUM(Table1[[#This Row],[Date]])</f>
        <v>52</v>
      </c>
    </row>
    <row r="4313" spans="1:20" hidden="1">
      <c r="A4313" s="1"/>
      <c r="S4313" t="str">
        <f>TEXT(Table1[[#This Row],[Date]],"MMM-YY")</f>
        <v>Jan-00</v>
      </c>
      <c r="T4313">
        <f>_xlfn.ISOWEEKNUM(Table1[[#This Row],[Date]])</f>
        <v>52</v>
      </c>
    </row>
    <row r="4314" spans="1:20" hidden="1">
      <c r="A4314" s="1"/>
      <c r="S4314" t="str">
        <f>TEXT(Table1[[#This Row],[Date]],"MMM-YY")</f>
        <v>Jan-00</v>
      </c>
      <c r="T4314">
        <f>_xlfn.ISOWEEKNUM(Table1[[#This Row],[Date]])</f>
        <v>52</v>
      </c>
    </row>
    <row r="4315" spans="1:20" hidden="1">
      <c r="A4315" s="1"/>
      <c r="S4315" t="str">
        <f>TEXT(Table1[[#This Row],[Date]],"MMM-YY")</f>
        <v>Jan-00</v>
      </c>
      <c r="T4315">
        <f>_xlfn.ISOWEEKNUM(Table1[[#This Row],[Date]])</f>
        <v>52</v>
      </c>
    </row>
    <row r="4316" spans="1:20" hidden="1">
      <c r="A4316" s="1"/>
      <c r="S4316" t="str">
        <f>TEXT(Table1[[#This Row],[Date]],"MMM-YY")</f>
        <v>Jan-00</v>
      </c>
      <c r="T4316">
        <f>_xlfn.ISOWEEKNUM(Table1[[#This Row],[Date]])</f>
        <v>52</v>
      </c>
    </row>
    <row r="4317" spans="1:20" hidden="1">
      <c r="A4317" s="1"/>
      <c r="S4317" t="str">
        <f>TEXT(Table1[[#This Row],[Date]],"MMM-YY")</f>
        <v>Jan-00</v>
      </c>
      <c r="T4317">
        <f>_xlfn.ISOWEEKNUM(Table1[[#This Row],[Date]])</f>
        <v>52</v>
      </c>
    </row>
    <row r="4318" spans="1:20" hidden="1">
      <c r="A4318" s="1"/>
      <c r="S4318" t="str">
        <f>TEXT(Table1[[#This Row],[Date]],"MMM-YY")</f>
        <v>Jan-00</v>
      </c>
      <c r="T4318">
        <f>_xlfn.ISOWEEKNUM(Table1[[#This Row],[Date]])</f>
        <v>52</v>
      </c>
    </row>
    <row r="4319" spans="1:20" hidden="1">
      <c r="A4319" s="1"/>
      <c r="S4319" t="str">
        <f>TEXT(Table1[[#This Row],[Date]],"MMM-YY")</f>
        <v>Jan-00</v>
      </c>
      <c r="T4319">
        <f>_xlfn.ISOWEEKNUM(Table1[[#This Row],[Date]])</f>
        <v>52</v>
      </c>
    </row>
    <row r="4320" spans="1:20" hidden="1">
      <c r="A4320" s="1"/>
      <c r="S4320" t="str">
        <f>TEXT(Table1[[#This Row],[Date]],"MMM-YY")</f>
        <v>Jan-00</v>
      </c>
      <c r="T4320">
        <f>_xlfn.ISOWEEKNUM(Table1[[#This Row],[Date]])</f>
        <v>52</v>
      </c>
    </row>
    <row r="4321" spans="1:20" hidden="1">
      <c r="A4321" s="1"/>
      <c r="S4321" t="str">
        <f>TEXT(Table1[[#This Row],[Date]],"MMM-YY")</f>
        <v>Jan-00</v>
      </c>
      <c r="T4321">
        <f>_xlfn.ISOWEEKNUM(Table1[[#This Row],[Date]])</f>
        <v>52</v>
      </c>
    </row>
    <row r="4322" spans="1:20" hidden="1">
      <c r="A4322" s="1"/>
      <c r="S4322" t="str">
        <f>TEXT(Table1[[#This Row],[Date]],"MMM-YY")</f>
        <v>Jan-00</v>
      </c>
      <c r="T4322">
        <f>_xlfn.ISOWEEKNUM(Table1[[#This Row],[Date]])</f>
        <v>52</v>
      </c>
    </row>
    <row r="4323" spans="1:20" hidden="1">
      <c r="A4323" s="1"/>
      <c r="S4323" t="str">
        <f>TEXT(Table1[[#This Row],[Date]],"MMM-YY")</f>
        <v>Jan-00</v>
      </c>
      <c r="T4323">
        <f>_xlfn.ISOWEEKNUM(Table1[[#This Row],[Date]])</f>
        <v>52</v>
      </c>
    </row>
    <row r="4324" spans="1:20" hidden="1">
      <c r="A4324" s="1"/>
      <c r="S4324" t="str">
        <f>TEXT(Table1[[#This Row],[Date]],"MMM-YY")</f>
        <v>Jan-00</v>
      </c>
      <c r="T4324">
        <f>_xlfn.ISOWEEKNUM(Table1[[#This Row],[Date]])</f>
        <v>52</v>
      </c>
    </row>
    <row r="4325" spans="1:20" hidden="1">
      <c r="A4325" s="1"/>
      <c r="S4325" t="str">
        <f>TEXT(Table1[[#This Row],[Date]],"MMM-YY")</f>
        <v>Jan-00</v>
      </c>
      <c r="T4325">
        <f>_xlfn.ISOWEEKNUM(Table1[[#This Row],[Date]])</f>
        <v>52</v>
      </c>
    </row>
    <row r="4326" spans="1:20" hidden="1">
      <c r="A4326" s="1"/>
      <c r="S4326" t="str">
        <f>TEXT(Table1[[#This Row],[Date]],"MMM-YY")</f>
        <v>Jan-00</v>
      </c>
      <c r="T4326">
        <f>_xlfn.ISOWEEKNUM(Table1[[#This Row],[Date]])</f>
        <v>52</v>
      </c>
    </row>
    <row r="4327" spans="1:20" hidden="1">
      <c r="A4327" s="1"/>
      <c r="S4327" t="str">
        <f>TEXT(Table1[[#This Row],[Date]],"MMM-YY")</f>
        <v>Jan-00</v>
      </c>
      <c r="T4327">
        <f>_xlfn.ISOWEEKNUM(Table1[[#This Row],[Date]])</f>
        <v>52</v>
      </c>
    </row>
    <row r="4328" spans="1:20" hidden="1">
      <c r="A4328" s="1"/>
      <c r="S4328" t="str">
        <f>TEXT(Table1[[#This Row],[Date]],"MMM-YY")</f>
        <v>Jan-00</v>
      </c>
      <c r="T4328">
        <f>_xlfn.ISOWEEKNUM(Table1[[#This Row],[Date]])</f>
        <v>52</v>
      </c>
    </row>
    <row r="4329" spans="1:20" hidden="1">
      <c r="A4329" s="1"/>
      <c r="S4329" t="str">
        <f>TEXT(Table1[[#This Row],[Date]],"MMM-YY")</f>
        <v>Jan-00</v>
      </c>
      <c r="T4329">
        <f>_xlfn.ISOWEEKNUM(Table1[[#This Row],[Date]])</f>
        <v>52</v>
      </c>
    </row>
    <row r="4330" spans="1:20" hidden="1">
      <c r="A4330" s="1"/>
      <c r="S4330" t="str">
        <f>TEXT(Table1[[#This Row],[Date]],"MMM-YY")</f>
        <v>Jan-00</v>
      </c>
      <c r="T4330">
        <f>_xlfn.ISOWEEKNUM(Table1[[#This Row],[Date]])</f>
        <v>52</v>
      </c>
    </row>
    <row r="4331" spans="1:20" hidden="1">
      <c r="A4331" s="1"/>
      <c r="S4331" t="str">
        <f>TEXT(Table1[[#This Row],[Date]],"MMM-YY")</f>
        <v>Jan-00</v>
      </c>
      <c r="T4331">
        <f>_xlfn.ISOWEEKNUM(Table1[[#This Row],[Date]])</f>
        <v>52</v>
      </c>
    </row>
    <row r="4332" spans="1:20" hidden="1">
      <c r="A4332" s="1"/>
      <c r="S4332" t="str">
        <f>TEXT(Table1[[#This Row],[Date]],"MMM-YY")</f>
        <v>Jan-00</v>
      </c>
      <c r="T4332">
        <f>_xlfn.ISOWEEKNUM(Table1[[#This Row],[Date]])</f>
        <v>52</v>
      </c>
    </row>
    <row r="4333" spans="1:20" hidden="1">
      <c r="A4333" s="1"/>
      <c r="S4333" t="str">
        <f>TEXT(Table1[[#This Row],[Date]],"MMM-YY")</f>
        <v>Jan-00</v>
      </c>
      <c r="T4333">
        <f>_xlfn.ISOWEEKNUM(Table1[[#This Row],[Date]])</f>
        <v>52</v>
      </c>
    </row>
    <row r="4334" spans="1:20" hidden="1">
      <c r="A4334" s="1"/>
      <c r="S4334" t="str">
        <f>TEXT(Table1[[#This Row],[Date]],"MMM-YY")</f>
        <v>Jan-00</v>
      </c>
      <c r="T4334">
        <f>_xlfn.ISOWEEKNUM(Table1[[#This Row],[Date]])</f>
        <v>52</v>
      </c>
    </row>
    <row r="4335" spans="1:20" hidden="1">
      <c r="A4335" s="1"/>
      <c r="S4335" t="str">
        <f>TEXT(Table1[[#This Row],[Date]],"MMM-YY")</f>
        <v>Jan-00</v>
      </c>
      <c r="T4335">
        <f>_xlfn.ISOWEEKNUM(Table1[[#This Row],[Date]])</f>
        <v>52</v>
      </c>
    </row>
    <row r="4336" spans="1:20" hidden="1">
      <c r="A4336" s="1"/>
      <c r="S4336" t="str">
        <f>TEXT(Table1[[#This Row],[Date]],"MMM-YY")</f>
        <v>Jan-00</v>
      </c>
      <c r="T4336">
        <f>_xlfn.ISOWEEKNUM(Table1[[#This Row],[Date]])</f>
        <v>52</v>
      </c>
    </row>
    <row r="4337" spans="1:20" hidden="1">
      <c r="A4337" s="1"/>
      <c r="S4337" t="str">
        <f>TEXT(Table1[[#This Row],[Date]],"MMM-YY")</f>
        <v>Jan-00</v>
      </c>
      <c r="T4337">
        <f>_xlfn.ISOWEEKNUM(Table1[[#This Row],[Date]])</f>
        <v>52</v>
      </c>
    </row>
    <row r="4338" spans="1:20" hidden="1">
      <c r="A4338" s="1"/>
      <c r="S4338" t="str">
        <f>TEXT(Table1[[#This Row],[Date]],"MMM-YY")</f>
        <v>Jan-00</v>
      </c>
      <c r="T4338">
        <f>_xlfn.ISOWEEKNUM(Table1[[#This Row],[Date]])</f>
        <v>52</v>
      </c>
    </row>
    <row r="4339" spans="1:20" hidden="1">
      <c r="A4339" s="1"/>
      <c r="S4339" t="str">
        <f>TEXT(Table1[[#This Row],[Date]],"MMM-YY")</f>
        <v>Jan-00</v>
      </c>
      <c r="T4339">
        <f>_xlfn.ISOWEEKNUM(Table1[[#This Row],[Date]])</f>
        <v>52</v>
      </c>
    </row>
    <row r="4340" spans="1:20" hidden="1">
      <c r="A4340" s="1"/>
      <c r="S4340" t="str">
        <f>TEXT(Table1[[#This Row],[Date]],"MMM-YY")</f>
        <v>Jan-00</v>
      </c>
      <c r="T4340">
        <f>_xlfn.ISOWEEKNUM(Table1[[#This Row],[Date]])</f>
        <v>52</v>
      </c>
    </row>
    <row r="4341" spans="1:20" hidden="1">
      <c r="A4341" s="1"/>
      <c r="S4341" t="str">
        <f>TEXT(Table1[[#This Row],[Date]],"MMM-YY")</f>
        <v>Jan-00</v>
      </c>
      <c r="T4341">
        <f>_xlfn.ISOWEEKNUM(Table1[[#This Row],[Date]])</f>
        <v>52</v>
      </c>
    </row>
    <row r="4342" spans="1:20" hidden="1">
      <c r="A4342" s="1"/>
      <c r="S4342" t="str">
        <f>TEXT(Table1[[#This Row],[Date]],"MMM-YY")</f>
        <v>Jan-00</v>
      </c>
      <c r="T4342">
        <f>_xlfn.ISOWEEKNUM(Table1[[#This Row],[Date]])</f>
        <v>52</v>
      </c>
    </row>
    <row r="4343" spans="1:20" hidden="1">
      <c r="A4343" s="1"/>
      <c r="S4343" t="str">
        <f>TEXT(Table1[[#This Row],[Date]],"MMM-YY")</f>
        <v>Jan-00</v>
      </c>
      <c r="T4343">
        <f>_xlfn.ISOWEEKNUM(Table1[[#This Row],[Date]])</f>
        <v>52</v>
      </c>
    </row>
    <row r="4344" spans="1:20" hidden="1">
      <c r="A4344" s="1"/>
      <c r="S4344" t="str">
        <f>TEXT(Table1[[#This Row],[Date]],"MMM-YY")</f>
        <v>Jan-00</v>
      </c>
      <c r="T4344">
        <f>_xlfn.ISOWEEKNUM(Table1[[#This Row],[Date]])</f>
        <v>52</v>
      </c>
    </row>
    <row r="4345" spans="1:20" hidden="1">
      <c r="A4345" s="1"/>
      <c r="S4345" t="str">
        <f>TEXT(Table1[[#This Row],[Date]],"MMM-YY")</f>
        <v>Jan-00</v>
      </c>
      <c r="T4345">
        <f>_xlfn.ISOWEEKNUM(Table1[[#This Row],[Date]])</f>
        <v>52</v>
      </c>
    </row>
    <row r="4346" spans="1:20" hidden="1">
      <c r="A4346" s="1"/>
      <c r="S4346" t="str">
        <f>TEXT(Table1[[#This Row],[Date]],"MMM-YY")</f>
        <v>Jan-00</v>
      </c>
      <c r="T4346">
        <f>_xlfn.ISOWEEKNUM(Table1[[#This Row],[Date]])</f>
        <v>52</v>
      </c>
    </row>
    <row r="4347" spans="1:20" hidden="1">
      <c r="A4347" s="1"/>
      <c r="S4347" t="str">
        <f>TEXT(Table1[[#This Row],[Date]],"MMM-YY")</f>
        <v>Jan-00</v>
      </c>
      <c r="T4347">
        <f>_xlfn.ISOWEEKNUM(Table1[[#This Row],[Date]])</f>
        <v>52</v>
      </c>
    </row>
    <row r="4348" spans="1:20" hidden="1">
      <c r="A4348" s="1"/>
      <c r="S4348" t="str">
        <f>TEXT(Table1[[#This Row],[Date]],"MMM-YY")</f>
        <v>Jan-00</v>
      </c>
      <c r="T4348">
        <f>_xlfn.ISOWEEKNUM(Table1[[#This Row],[Date]])</f>
        <v>52</v>
      </c>
    </row>
    <row r="4349" spans="1:20" hidden="1">
      <c r="A4349" s="1"/>
      <c r="S4349" t="str">
        <f>TEXT(Table1[[#This Row],[Date]],"MMM-YY")</f>
        <v>Jan-00</v>
      </c>
      <c r="T4349">
        <f>_xlfn.ISOWEEKNUM(Table1[[#This Row],[Date]])</f>
        <v>52</v>
      </c>
    </row>
    <row r="4350" spans="1:20" hidden="1">
      <c r="A4350" s="1"/>
      <c r="S4350" t="str">
        <f>TEXT(Table1[[#This Row],[Date]],"MMM-YY")</f>
        <v>Jan-00</v>
      </c>
      <c r="T4350">
        <f>_xlfn.ISOWEEKNUM(Table1[[#This Row],[Date]])</f>
        <v>52</v>
      </c>
    </row>
    <row r="4351" spans="1:20" hidden="1">
      <c r="A4351" s="1"/>
      <c r="S4351" t="str">
        <f>TEXT(Table1[[#This Row],[Date]],"MMM-YY")</f>
        <v>Jan-00</v>
      </c>
      <c r="T4351">
        <f>_xlfn.ISOWEEKNUM(Table1[[#This Row],[Date]])</f>
        <v>52</v>
      </c>
    </row>
    <row r="4352" spans="1:20" hidden="1">
      <c r="A4352" s="1"/>
      <c r="S4352" t="str">
        <f>TEXT(Table1[[#This Row],[Date]],"MMM-YY")</f>
        <v>Jan-00</v>
      </c>
      <c r="T4352">
        <f>_xlfn.ISOWEEKNUM(Table1[[#This Row],[Date]])</f>
        <v>52</v>
      </c>
    </row>
    <row r="4353" spans="1:20" hidden="1">
      <c r="A4353" s="1"/>
      <c r="S4353" t="str">
        <f>TEXT(Table1[[#This Row],[Date]],"MMM-YY")</f>
        <v>Jan-00</v>
      </c>
      <c r="T4353">
        <f>_xlfn.ISOWEEKNUM(Table1[[#This Row],[Date]])</f>
        <v>52</v>
      </c>
    </row>
    <row r="4354" spans="1:20" hidden="1">
      <c r="A4354" s="1"/>
      <c r="S4354" t="str">
        <f>TEXT(Table1[[#This Row],[Date]],"MMM-YY")</f>
        <v>Jan-00</v>
      </c>
      <c r="T4354">
        <f>_xlfn.ISOWEEKNUM(Table1[[#This Row],[Date]])</f>
        <v>52</v>
      </c>
    </row>
    <row r="4355" spans="1:20" hidden="1">
      <c r="A4355" s="1"/>
      <c r="S4355" t="str">
        <f>TEXT(Table1[[#This Row],[Date]],"MMM-YY")</f>
        <v>Jan-00</v>
      </c>
      <c r="T4355">
        <f>_xlfn.ISOWEEKNUM(Table1[[#This Row],[Date]])</f>
        <v>52</v>
      </c>
    </row>
    <row r="4356" spans="1:20" hidden="1">
      <c r="A4356" s="1"/>
      <c r="S4356" t="str">
        <f>TEXT(Table1[[#This Row],[Date]],"MMM-YY")</f>
        <v>Jan-00</v>
      </c>
      <c r="T4356">
        <f>_xlfn.ISOWEEKNUM(Table1[[#This Row],[Date]])</f>
        <v>52</v>
      </c>
    </row>
    <row r="4357" spans="1:20" hidden="1">
      <c r="A4357" s="1"/>
      <c r="S4357" t="str">
        <f>TEXT(Table1[[#This Row],[Date]],"MMM-YY")</f>
        <v>Jan-00</v>
      </c>
      <c r="T4357">
        <f>_xlfn.ISOWEEKNUM(Table1[[#This Row],[Date]])</f>
        <v>52</v>
      </c>
    </row>
    <row r="4358" spans="1:20" hidden="1">
      <c r="A4358" s="1"/>
      <c r="S4358" t="str">
        <f>TEXT(Table1[[#This Row],[Date]],"MMM-YY")</f>
        <v>Jan-00</v>
      </c>
      <c r="T4358">
        <f>_xlfn.ISOWEEKNUM(Table1[[#This Row],[Date]])</f>
        <v>52</v>
      </c>
    </row>
    <row r="4359" spans="1:20" hidden="1">
      <c r="A4359" s="1"/>
      <c r="S4359" t="str">
        <f>TEXT(Table1[[#This Row],[Date]],"MMM-YY")</f>
        <v>Jan-00</v>
      </c>
      <c r="T4359">
        <f>_xlfn.ISOWEEKNUM(Table1[[#This Row],[Date]])</f>
        <v>52</v>
      </c>
    </row>
    <row r="4360" spans="1:20" hidden="1">
      <c r="A4360" s="1"/>
      <c r="S4360" t="str">
        <f>TEXT(Table1[[#This Row],[Date]],"MMM-YY")</f>
        <v>Jan-00</v>
      </c>
      <c r="T4360">
        <f>_xlfn.ISOWEEKNUM(Table1[[#This Row],[Date]])</f>
        <v>52</v>
      </c>
    </row>
    <row r="4361" spans="1:20" hidden="1">
      <c r="A4361" s="1">
        <v>45982</v>
      </c>
      <c r="J4361" s="21"/>
      <c r="S4361" t="str">
        <f>TEXT(Table1[[#This Row],[Date]],"MMM-YY")</f>
        <v>Nov-25</v>
      </c>
      <c r="T4361">
        <f>_xlfn.ISOWEEKNUM(Table1[[#This Row],[Date]])</f>
        <v>47</v>
      </c>
    </row>
  </sheetData>
  <phoneticPr fontId="3" type="noConversion"/>
  <dataValidations count="1">
    <dataValidation type="list" allowBlank="1" showInputMessage="1" showErrorMessage="1" sqref="L1:L1048576" xr:uid="{968DA8AF-867D-4C8A-9811-09B9509581D9}">
      <formula1>$W$2:$W$7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F687-E230-4244-A7DE-E0F2578677DE}">
  <dimension ref="D2:O26"/>
  <sheetViews>
    <sheetView topLeftCell="C13" workbookViewId="0">
      <selection activeCell="H25" sqref="H25"/>
    </sheetView>
  </sheetViews>
  <sheetFormatPr defaultRowHeight="14.45"/>
  <cols>
    <col min="4" max="4" width="17.85546875" bestFit="1" customWidth="1"/>
    <col min="5" max="5" width="21.85546875" bestFit="1" customWidth="1"/>
    <col min="6" max="6" width="22.5703125" bestFit="1" customWidth="1"/>
    <col min="7" max="7" width="16.85546875" bestFit="1" customWidth="1"/>
    <col min="8" max="8" width="14.28515625" bestFit="1" customWidth="1"/>
    <col min="9" max="9" width="10.140625" bestFit="1" customWidth="1"/>
    <col min="11" max="11" width="10.140625" bestFit="1" customWidth="1"/>
    <col min="15" max="15" width="11.5703125" bestFit="1" customWidth="1"/>
  </cols>
  <sheetData>
    <row r="2" spans="4:8" ht="15.95">
      <c r="F2" s="23" t="s">
        <v>4544</v>
      </c>
    </row>
    <row r="3" spans="4:8">
      <c r="E3" t="s">
        <v>4545</v>
      </c>
      <c r="F3" t="s">
        <v>4546</v>
      </c>
      <c r="G3" t="s">
        <v>4547</v>
      </c>
    </row>
    <row r="4" spans="4:8">
      <c r="D4" s="5" t="s">
        <v>4548</v>
      </c>
      <c r="E4" s="28" t="s">
        <v>4549</v>
      </c>
      <c r="F4" s="28" t="s">
        <v>4550</v>
      </c>
      <c r="G4" s="28" t="s">
        <v>4551</v>
      </c>
      <c r="H4" s="28"/>
    </row>
    <row r="5" spans="4:8">
      <c r="D5" s="33" t="s">
        <v>563</v>
      </c>
      <c r="E5" s="28"/>
      <c r="F5" s="28"/>
      <c r="G5" s="28"/>
      <c r="H5" s="33" t="s">
        <v>11</v>
      </c>
    </row>
    <row r="6" spans="4:8">
      <c r="D6" s="33" t="s">
        <v>4</v>
      </c>
      <c r="E6" s="28"/>
      <c r="F6" s="28"/>
      <c r="G6" s="28"/>
      <c r="H6" s="28"/>
    </row>
    <row r="7" spans="4:8">
      <c r="D7" s="34" t="s">
        <v>4552</v>
      </c>
      <c r="E7" s="31">
        <f xml:space="preserve"> SUM('Overall Sales'!B24:F24)</f>
        <v>145</v>
      </c>
      <c r="F7" s="31">
        <f>SUM('Overall Sales'!G24:R24)</f>
        <v>574</v>
      </c>
      <c r="G7" s="31">
        <v>0</v>
      </c>
      <c r="H7" s="35" t="e">
        <f>GETPIVOTDATA("Expected Business",'Overall Sales'!$A$22,"Status","Introduction/C0")</f>
        <v>#REF!</v>
      </c>
    </row>
    <row r="8" spans="4:8">
      <c r="D8" s="34" t="s">
        <v>4553</v>
      </c>
      <c r="E8" s="31">
        <v>0</v>
      </c>
      <c r="F8" s="31">
        <v>0</v>
      </c>
      <c r="G8" s="31">
        <v>0</v>
      </c>
      <c r="H8" s="35" t="e">
        <f>GETPIVOTDATA("Expected Business",'Overall Sales'!$A$22,"Status","Followup/C1")</f>
        <v>#REF!</v>
      </c>
    </row>
    <row r="9" spans="4:8">
      <c r="D9" s="34" t="s">
        <v>4554</v>
      </c>
      <c r="E9" s="31">
        <v>0</v>
      </c>
      <c r="F9" s="31">
        <v>0</v>
      </c>
      <c r="G9" s="31">
        <v>0</v>
      </c>
      <c r="H9" s="35" t="e">
        <f>GETPIVOTDATA("Expected Business",'Overall Sales'!$A$22,"Status","Negotiation/C2")</f>
        <v>#REF!</v>
      </c>
    </row>
    <row r="10" spans="4:8">
      <c r="D10" s="34" t="s">
        <v>4555</v>
      </c>
      <c r="E10" s="31">
        <v>0</v>
      </c>
      <c r="F10" s="31">
        <v>0</v>
      </c>
      <c r="G10" s="31">
        <v>0</v>
      </c>
      <c r="H10" s="35" t="e">
        <f>GETPIVOTDATA("Expected Business",'Overall Sales'!$A$22,"Status","Confirmed/C3")</f>
        <v>#REF!</v>
      </c>
    </row>
    <row r="11" spans="4:8">
      <c r="D11" s="48" t="s">
        <v>2</v>
      </c>
      <c r="E11" s="49">
        <f>SUM('Overall Sales'!B28:F28)</f>
        <v>0</v>
      </c>
      <c r="F11" s="49">
        <f>SUM('Overall Sales'!G28:R28)</f>
        <v>0</v>
      </c>
      <c r="G11" s="49">
        <f>SUM('Overall Sales'!S28:V28)</f>
        <v>0</v>
      </c>
      <c r="H11" s="50">
        <f t="shared" ref="H11" si="0">SUM(E11:G11)</f>
        <v>0</v>
      </c>
    </row>
    <row r="12" spans="4:8">
      <c r="D12" s="40" t="s">
        <v>4556</v>
      </c>
      <c r="E12" s="41"/>
      <c r="F12" s="41"/>
      <c r="G12" s="41"/>
      <c r="H12" s="42" t="e">
        <f>GETPIVOTDATA("Expected Business",'Overall Sales'!$A$22)</f>
        <v>#REF!</v>
      </c>
    </row>
    <row r="16" spans="4:8" ht="16.5" thickBot="1">
      <c r="F16" s="23" t="s">
        <v>4557</v>
      </c>
    </row>
    <row r="17" spans="4:15" ht="26.25" customHeight="1" thickBot="1">
      <c r="E17" s="27" t="s">
        <v>4545</v>
      </c>
      <c r="F17" s="24"/>
      <c r="G17" s="27" t="s">
        <v>4558</v>
      </c>
      <c r="H17" s="25"/>
      <c r="I17" s="25"/>
      <c r="J17" s="24"/>
      <c r="K17" s="27" t="s">
        <v>4547</v>
      </c>
      <c r="L17" s="25"/>
      <c r="M17" s="25"/>
      <c r="N17" s="24"/>
    </row>
    <row r="18" spans="4:15" ht="15" thickBot="1">
      <c r="D18" s="26" t="s">
        <v>4548</v>
      </c>
      <c r="E18" s="53" t="s">
        <v>4559</v>
      </c>
      <c r="F18" s="54" t="s">
        <v>4560</v>
      </c>
      <c r="G18" s="55" t="s">
        <v>4561</v>
      </c>
      <c r="H18" s="56" t="s">
        <v>4562</v>
      </c>
      <c r="I18" s="56" t="s">
        <v>4563</v>
      </c>
      <c r="J18" s="57" t="s">
        <v>4560</v>
      </c>
      <c r="K18" s="55" t="s">
        <v>4561</v>
      </c>
      <c r="L18" s="56" t="s">
        <v>4562</v>
      </c>
      <c r="M18" s="56" t="s">
        <v>4563</v>
      </c>
      <c r="N18" s="57" t="s">
        <v>4560</v>
      </c>
      <c r="O18" s="65" t="s">
        <v>11</v>
      </c>
    </row>
    <row r="19" spans="4:15">
      <c r="D19" s="58" t="s">
        <v>563</v>
      </c>
      <c r="E19" s="59"/>
      <c r="F19" s="56"/>
      <c r="G19" s="59"/>
      <c r="H19" s="59"/>
      <c r="I19" s="59"/>
      <c r="J19" s="59"/>
      <c r="K19" s="59"/>
      <c r="L19" s="59"/>
      <c r="M19" s="59"/>
      <c r="N19" s="59"/>
      <c r="O19" s="57"/>
    </row>
    <row r="20" spans="4:15" ht="15" thickBot="1">
      <c r="D20" s="60" t="s">
        <v>4</v>
      </c>
      <c r="E20" s="61"/>
      <c r="F20" s="62"/>
      <c r="G20" s="61"/>
      <c r="H20" s="61"/>
      <c r="I20" s="61"/>
      <c r="J20" s="61"/>
      <c r="K20" s="61"/>
      <c r="L20" s="63"/>
      <c r="M20" s="63"/>
      <c r="N20" s="63"/>
      <c r="O20" s="64"/>
    </row>
    <row r="21" spans="4:15">
      <c r="D21" s="37" t="s">
        <v>4552</v>
      </c>
      <c r="E21" s="30"/>
      <c r="F21" s="7"/>
      <c r="G21" s="30"/>
      <c r="H21" s="30"/>
      <c r="I21" s="30"/>
      <c r="J21" s="30"/>
      <c r="K21" s="30"/>
      <c r="L21" s="30"/>
      <c r="M21" s="30"/>
      <c r="N21" s="30"/>
      <c r="O21" s="29" t="e">
        <f>H7</f>
        <v>#REF!</v>
      </c>
    </row>
    <row r="22" spans="4:15">
      <c r="D22" s="34" t="s">
        <v>4553</v>
      </c>
      <c r="E22" s="30"/>
      <c r="F22" s="7"/>
      <c r="G22" s="30"/>
      <c r="H22" s="30"/>
      <c r="I22" s="30"/>
      <c r="J22" s="30"/>
      <c r="K22" s="30"/>
      <c r="L22" s="30"/>
      <c r="M22" s="30"/>
      <c r="N22" s="30"/>
      <c r="O22" s="29" t="e">
        <f>H8</f>
        <v>#REF!</v>
      </c>
    </row>
    <row r="23" spans="4:15">
      <c r="D23" s="34" t="s">
        <v>4554</v>
      </c>
      <c r="E23" s="30"/>
      <c r="F23" s="7"/>
      <c r="G23" s="30"/>
      <c r="H23" s="30"/>
      <c r="I23" s="30"/>
      <c r="J23" s="30"/>
      <c r="K23" s="30"/>
      <c r="L23" s="30"/>
      <c r="M23" s="30"/>
      <c r="N23" s="30"/>
      <c r="O23" s="43" t="e">
        <f>H9</f>
        <v>#REF!</v>
      </c>
    </row>
    <row r="24" spans="4:15">
      <c r="D24" s="34" t="s">
        <v>4555</v>
      </c>
      <c r="E24" s="30"/>
      <c r="F24" s="7"/>
      <c r="G24" s="30"/>
      <c r="H24" s="30"/>
      <c r="I24" s="30"/>
      <c r="J24" s="30"/>
      <c r="K24" s="30"/>
      <c r="L24" s="30"/>
      <c r="M24" s="30"/>
      <c r="N24" s="30"/>
      <c r="O24" s="29" t="e">
        <f>H10</f>
        <v>#REF!</v>
      </c>
    </row>
    <row r="25" spans="4:15">
      <c r="D25" s="45" t="s">
        <v>69</v>
      </c>
      <c r="E25" s="51">
        <f>SUM('Overall Sales'!B28:C28)</f>
        <v>0</v>
      </c>
      <c r="F25" s="52">
        <f>SUM('Overall Sales'!D28:F28)</f>
        <v>0</v>
      </c>
      <c r="G25" s="51">
        <f>SUM('Overall Sales'!G28:I28)</f>
        <v>0</v>
      </c>
      <c r="H25" s="51">
        <f>SUM('Overall Sales'!J28:L28)</f>
        <v>0</v>
      </c>
      <c r="I25" s="51">
        <f>SUM('Overall Sales'!M28:O28)</f>
        <v>0</v>
      </c>
      <c r="J25" s="51">
        <f>SUM('Overall Sales'!P28:R28)</f>
        <v>0</v>
      </c>
      <c r="K25" s="51">
        <f>SUM('Overall Sales'!S28:U28)</f>
        <v>0</v>
      </c>
      <c r="L25" s="51">
        <f>SUM('Overall Sales'!V28:W28)</f>
        <v>0</v>
      </c>
      <c r="M25" s="46"/>
      <c r="N25" s="46"/>
      <c r="O25" s="47">
        <f>H11</f>
        <v>0</v>
      </c>
    </row>
    <row r="26" spans="4:15">
      <c r="D26" s="44" t="s">
        <v>4556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 t="e">
        <f>GETPIVOTDATA("Expected Business",'Overall Sales'!$A$22)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DE89-DF8D-43F4-8C6F-2502A5250A4C}">
  <dimension ref="B3:C88"/>
  <sheetViews>
    <sheetView workbookViewId="0">
      <selection activeCell="B18" sqref="B18"/>
    </sheetView>
  </sheetViews>
  <sheetFormatPr defaultRowHeight="14.45"/>
  <cols>
    <col min="2" max="2" width="47.7109375" bestFit="1" customWidth="1"/>
    <col min="3" max="3" width="24" bestFit="1" customWidth="1"/>
  </cols>
  <sheetData>
    <row r="3" spans="2:3">
      <c r="B3" s="32" t="s">
        <v>4564</v>
      </c>
      <c r="C3" s="32" t="s">
        <v>4565</v>
      </c>
    </row>
    <row r="4" spans="2:3">
      <c r="B4" t="s">
        <v>2515</v>
      </c>
      <c r="C4">
        <v>238000</v>
      </c>
    </row>
    <row r="5" spans="2:3">
      <c r="B5" t="s">
        <v>62</v>
      </c>
      <c r="C5">
        <v>2179000</v>
      </c>
    </row>
    <row r="6" spans="2:3">
      <c r="B6" t="s">
        <v>3078</v>
      </c>
      <c r="C6">
        <v>151500</v>
      </c>
    </row>
    <row r="7" spans="2:3">
      <c r="B7" t="s">
        <v>1698</v>
      </c>
      <c r="C7">
        <v>46271</v>
      </c>
    </row>
    <row r="8" spans="2:3">
      <c r="B8" t="s">
        <v>3540</v>
      </c>
      <c r="C8">
        <v>58565</v>
      </c>
    </row>
    <row r="9" spans="2:3">
      <c r="B9" t="s">
        <v>3508</v>
      </c>
      <c r="C9">
        <v>41750</v>
      </c>
    </row>
    <row r="10" spans="2:3">
      <c r="B10" t="s">
        <v>3609</v>
      </c>
      <c r="C10">
        <v>210000</v>
      </c>
    </row>
    <row r="11" spans="2:3">
      <c r="B11" t="s">
        <v>1047</v>
      </c>
      <c r="C11">
        <v>292500</v>
      </c>
    </row>
    <row r="12" spans="2:3">
      <c r="B12" t="s">
        <v>3476</v>
      </c>
      <c r="C12">
        <v>38589</v>
      </c>
    </row>
    <row r="13" spans="2:3">
      <c r="B13" t="s">
        <v>1758</v>
      </c>
      <c r="C13">
        <v>111833</v>
      </c>
    </row>
    <row r="14" spans="2:3">
      <c r="B14" t="s">
        <v>3211</v>
      </c>
      <c r="C14">
        <v>50000</v>
      </c>
    </row>
    <row r="15" spans="2:3">
      <c r="B15" t="s">
        <v>3044</v>
      </c>
      <c r="C15">
        <v>43000</v>
      </c>
    </row>
    <row r="16" spans="2:3">
      <c r="B16" t="s">
        <v>2769</v>
      </c>
      <c r="C16">
        <v>191100</v>
      </c>
    </row>
    <row r="17" spans="2:3">
      <c r="B17" t="s">
        <v>2889</v>
      </c>
      <c r="C17">
        <v>46405</v>
      </c>
    </row>
    <row r="18" spans="2:3">
      <c r="B18" t="s">
        <v>4566</v>
      </c>
      <c r="C18">
        <v>114000</v>
      </c>
    </row>
    <row r="19" spans="2:3">
      <c r="B19" t="s">
        <v>4567</v>
      </c>
      <c r="C19">
        <v>1937218</v>
      </c>
    </row>
    <row r="20" spans="2:3">
      <c r="B20" t="s">
        <v>1678</v>
      </c>
      <c r="C20">
        <v>40491</v>
      </c>
    </row>
    <row r="21" spans="2:3">
      <c r="B21" t="s">
        <v>3631</v>
      </c>
      <c r="C21">
        <v>35000</v>
      </c>
    </row>
    <row r="22" spans="2:3">
      <c r="B22" t="s">
        <v>3511</v>
      </c>
      <c r="C22">
        <v>63409</v>
      </c>
    </row>
    <row r="23" spans="2:3">
      <c r="B23" t="s">
        <v>2926</v>
      </c>
      <c r="C23">
        <v>268000</v>
      </c>
    </row>
    <row r="24" spans="2:3">
      <c r="B24" t="s">
        <v>2972</v>
      </c>
      <c r="C24">
        <v>212200</v>
      </c>
    </row>
    <row r="25" spans="2:3">
      <c r="B25" t="s">
        <v>3123</v>
      </c>
      <c r="C25">
        <v>60000</v>
      </c>
    </row>
    <row r="26" spans="2:3">
      <c r="B26" t="s">
        <v>95</v>
      </c>
      <c r="C26">
        <v>719047</v>
      </c>
    </row>
    <row r="27" spans="2:3">
      <c r="B27" t="s">
        <v>1400</v>
      </c>
      <c r="C27">
        <v>38009</v>
      </c>
    </row>
    <row r="28" spans="2:3">
      <c r="B28" t="s">
        <v>3125</v>
      </c>
      <c r="C28">
        <v>37000</v>
      </c>
    </row>
    <row r="29" spans="2:3">
      <c r="B29" t="s">
        <v>1796</v>
      </c>
      <c r="C29">
        <v>54900</v>
      </c>
    </row>
    <row r="30" spans="2:3">
      <c r="B30" t="s">
        <v>3703</v>
      </c>
      <c r="C30">
        <v>67830</v>
      </c>
    </row>
    <row r="31" spans="2:3">
      <c r="B31" t="s">
        <v>3167</v>
      </c>
      <c r="C31">
        <v>563989</v>
      </c>
    </row>
    <row r="32" spans="2:3">
      <c r="B32" t="s">
        <v>3421</v>
      </c>
      <c r="C32">
        <v>172896</v>
      </c>
    </row>
    <row r="33" spans="2:3">
      <c r="B33" t="s">
        <v>2795</v>
      </c>
      <c r="C33">
        <v>38000</v>
      </c>
    </row>
    <row r="34" spans="2:3">
      <c r="B34" t="s">
        <v>3218</v>
      </c>
      <c r="C34">
        <v>79644</v>
      </c>
    </row>
    <row r="35" spans="2:3">
      <c r="B35" t="s">
        <v>2853</v>
      </c>
      <c r="C35">
        <v>37650</v>
      </c>
    </row>
    <row r="36" spans="2:3">
      <c r="B36" t="s">
        <v>2855</v>
      </c>
      <c r="C36">
        <v>58000</v>
      </c>
    </row>
    <row r="37" spans="2:3">
      <c r="B37" t="s">
        <v>2771</v>
      </c>
      <c r="C37">
        <v>96500</v>
      </c>
    </row>
    <row r="38" spans="2:3">
      <c r="B38" t="s">
        <v>3231</v>
      </c>
      <c r="C38">
        <v>94795</v>
      </c>
    </row>
    <row r="39" spans="2:3">
      <c r="B39" t="s">
        <v>3176</v>
      </c>
      <c r="C39">
        <v>169290</v>
      </c>
    </row>
    <row r="40" spans="2:3">
      <c r="B40" t="s">
        <v>3519</v>
      </c>
      <c r="C40">
        <v>510960</v>
      </c>
    </row>
    <row r="41" spans="2:3">
      <c r="B41" t="s">
        <v>3346</v>
      </c>
      <c r="C41">
        <v>288565</v>
      </c>
    </row>
    <row r="42" spans="2:3">
      <c r="B42" t="s">
        <v>3548</v>
      </c>
      <c r="C42">
        <v>750000</v>
      </c>
    </row>
    <row r="43" spans="2:3">
      <c r="B43" t="s">
        <v>2472</v>
      </c>
      <c r="C43">
        <v>112323</v>
      </c>
    </row>
    <row r="44" spans="2:3">
      <c r="B44" t="s">
        <v>3492</v>
      </c>
      <c r="C44">
        <v>104000</v>
      </c>
    </row>
    <row r="45" spans="2:3">
      <c r="B45" t="s">
        <v>3466</v>
      </c>
      <c r="C45">
        <v>39806</v>
      </c>
    </row>
    <row r="46" spans="2:3">
      <c r="B46" t="s">
        <v>2871</v>
      </c>
      <c r="C46">
        <v>402550</v>
      </c>
    </row>
    <row r="47" spans="2:3">
      <c r="B47" t="s">
        <v>1731</v>
      </c>
      <c r="C47">
        <v>244000</v>
      </c>
    </row>
    <row r="48" spans="2:3">
      <c r="B48" t="s">
        <v>775</v>
      </c>
      <c r="C48">
        <v>100000</v>
      </c>
    </row>
    <row r="49" spans="2:3">
      <c r="B49" t="s">
        <v>1395</v>
      </c>
      <c r="C49">
        <v>94329</v>
      </c>
    </row>
    <row r="50" spans="2:3">
      <c r="B50" t="s">
        <v>2897</v>
      </c>
      <c r="C50">
        <v>50000</v>
      </c>
    </row>
    <row r="51" spans="2:3">
      <c r="B51" t="s">
        <v>79</v>
      </c>
      <c r="C51">
        <v>219180</v>
      </c>
    </row>
    <row r="52" spans="2:3">
      <c r="B52" t="s">
        <v>3128</v>
      </c>
      <c r="C52">
        <v>3081646</v>
      </c>
    </row>
    <row r="53" spans="2:3">
      <c r="B53" t="s">
        <v>2426</v>
      </c>
      <c r="C53">
        <v>183680</v>
      </c>
    </row>
    <row r="54" spans="2:3">
      <c r="B54" t="s">
        <v>3336</v>
      </c>
      <c r="C54">
        <v>149900</v>
      </c>
    </row>
    <row r="55" spans="2:3">
      <c r="B55" t="s">
        <v>1378</v>
      </c>
      <c r="C55">
        <v>88300</v>
      </c>
    </row>
    <row r="56" spans="2:3">
      <c r="B56" t="s">
        <v>1381</v>
      </c>
      <c r="C56">
        <v>105450</v>
      </c>
    </row>
    <row r="57" spans="2:3">
      <c r="B57" t="s">
        <v>1075</v>
      </c>
      <c r="C57">
        <v>45920</v>
      </c>
    </row>
    <row r="58" spans="2:3">
      <c r="B58" t="s">
        <v>2948</v>
      </c>
      <c r="C58">
        <v>40500</v>
      </c>
    </row>
    <row r="59" spans="2:3">
      <c r="B59" t="s">
        <v>1514</v>
      </c>
      <c r="C59">
        <v>91389</v>
      </c>
    </row>
    <row r="60" spans="2:3">
      <c r="B60" t="s">
        <v>2483</v>
      </c>
      <c r="C60">
        <v>130000</v>
      </c>
    </row>
    <row r="61" spans="2:3">
      <c r="B61" t="s">
        <v>2993</v>
      </c>
      <c r="C61">
        <v>65000</v>
      </c>
    </row>
    <row r="62" spans="2:3">
      <c r="B62" t="s">
        <v>382</v>
      </c>
      <c r="C62">
        <v>11628600</v>
      </c>
    </row>
    <row r="63" spans="2:3">
      <c r="B63" t="s">
        <v>2018</v>
      </c>
      <c r="C63">
        <v>2590000</v>
      </c>
    </row>
    <row r="64" spans="2:3">
      <c r="B64" t="s">
        <v>3452</v>
      </c>
      <c r="C64">
        <v>35000</v>
      </c>
    </row>
    <row r="65" spans="2:3">
      <c r="B65" t="s">
        <v>2844</v>
      </c>
      <c r="C65">
        <v>61690</v>
      </c>
    </row>
    <row r="66" spans="2:3">
      <c r="B66" t="s">
        <v>1649</v>
      </c>
      <c r="C66">
        <v>287346</v>
      </c>
    </row>
    <row r="67" spans="2:3">
      <c r="B67" t="s">
        <v>1865</v>
      </c>
      <c r="C67">
        <v>170000</v>
      </c>
    </row>
    <row r="68" spans="2:3">
      <c r="B68" t="s">
        <v>816</v>
      </c>
      <c r="C68">
        <v>150000</v>
      </c>
    </row>
    <row r="69" spans="2:3">
      <c r="B69" t="s">
        <v>3299</v>
      </c>
      <c r="C69">
        <v>167350</v>
      </c>
    </row>
    <row r="70" spans="2:3">
      <c r="B70" t="s">
        <v>2976</v>
      </c>
      <c r="C70">
        <v>40000</v>
      </c>
    </row>
    <row r="71" spans="2:3">
      <c r="B71" t="s">
        <v>3701</v>
      </c>
      <c r="C71">
        <v>90000</v>
      </c>
    </row>
    <row r="72" spans="2:3">
      <c r="B72" t="s">
        <v>2215</v>
      </c>
      <c r="C72">
        <v>48000</v>
      </c>
    </row>
    <row r="73" spans="2:3">
      <c r="B73" t="s">
        <v>2203</v>
      </c>
      <c r="C73">
        <v>80000</v>
      </c>
    </row>
    <row r="74" spans="2:3">
      <c r="B74" t="s">
        <v>3031</v>
      </c>
      <c r="C74">
        <v>120000</v>
      </c>
    </row>
    <row r="75" spans="2:3">
      <c r="B75" t="s">
        <v>3037</v>
      </c>
      <c r="C75">
        <v>40000</v>
      </c>
    </row>
    <row r="76" spans="2:3">
      <c r="B76" t="s">
        <v>615</v>
      </c>
      <c r="C76">
        <v>216000</v>
      </c>
    </row>
    <row r="77" spans="2:3">
      <c r="B77" t="s">
        <v>3562</v>
      </c>
      <c r="C77">
        <v>84900</v>
      </c>
    </row>
    <row r="78" spans="2:3">
      <c r="B78" t="s">
        <v>3585</v>
      </c>
      <c r="C78">
        <v>62500</v>
      </c>
    </row>
    <row r="79" spans="2:3">
      <c r="B79" t="s">
        <v>3366</v>
      </c>
      <c r="C79">
        <v>34991</v>
      </c>
    </row>
    <row r="80" spans="2:3">
      <c r="B80" t="s">
        <v>3607</v>
      </c>
      <c r="C80">
        <v>96500</v>
      </c>
    </row>
    <row r="81" spans="2:3">
      <c r="B81" t="s">
        <v>2868</v>
      </c>
      <c r="C81">
        <v>36000</v>
      </c>
    </row>
    <row r="82" spans="2:3">
      <c r="B82" t="s">
        <v>2232</v>
      </c>
      <c r="C82">
        <v>353900</v>
      </c>
    </row>
    <row r="83" spans="2:3">
      <c r="B83" t="s">
        <v>2379</v>
      </c>
      <c r="C83">
        <v>1896308</v>
      </c>
    </row>
    <row r="84" spans="2:3">
      <c r="B84" t="s">
        <v>1771</v>
      </c>
      <c r="C84">
        <v>47308</v>
      </c>
    </row>
    <row r="85" spans="2:3">
      <c r="B85" t="s">
        <v>4568</v>
      </c>
      <c r="C85">
        <v>41086</v>
      </c>
    </row>
    <row r="86" spans="2:3">
      <c r="B86" t="s">
        <v>1280</v>
      </c>
      <c r="C86">
        <v>57000</v>
      </c>
    </row>
    <row r="87" spans="2:3">
      <c r="B87" t="s">
        <v>2873</v>
      </c>
      <c r="C87">
        <v>557702</v>
      </c>
    </row>
    <row r="88" spans="2:3">
      <c r="B88" s="36" t="s">
        <v>11</v>
      </c>
      <c r="C88" s="36">
        <f>SUM(C4:C87)</f>
        <v>34546060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/>
  <cp:revision/>
  <dcterms:created xsi:type="dcterms:W3CDTF">2024-05-07T12:29:32Z</dcterms:created>
  <dcterms:modified xsi:type="dcterms:W3CDTF">2026-09-29T07:04:05Z</dcterms:modified>
  <cp:category/>
  <cp:contentStatus/>
</cp:coreProperties>
</file>